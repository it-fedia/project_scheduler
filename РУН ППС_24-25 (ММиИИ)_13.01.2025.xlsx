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ЭтаКнига"/>
  <mc:AlternateContent xmlns:mc="http://schemas.openxmlformats.org/markup-compatibility/2006">
    <mc:Choice Requires="x15">
      <x15ac:absPath xmlns:x15ac="http://schemas.microsoft.com/office/spreadsheetml/2010/11/ac" url="F:\RUDN\Диплом\"/>
    </mc:Choice>
  </mc:AlternateContent>
  <xr:revisionPtr revIDLastSave="0" documentId="13_ncr:1_{1B630CF5-B7A2-4489-AE06-EA9FCD36B23F}" xr6:coauthVersionLast="47" xr6:coauthVersionMax="47" xr10:uidLastSave="{00000000-0000-0000-0000-000000000000}"/>
  <bookViews>
    <workbookView xWindow="-108" yWindow="-108" windowWidth="23256" windowHeight="12456" tabRatio="700" xr2:uid="{00000000-000D-0000-FFFF-FFFF00000000}"/>
  </bookViews>
  <sheets>
    <sheet name="УН сводная" sheetId="77" r:id="rId1"/>
    <sheet name="ООП" sheetId="80" r:id="rId2"/>
    <sheet name="Список кафедр" sheetId="78" r:id="rId3"/>
    <sheet name="Нормы УР" sheetId="60" r:id="rId4"/>
    <sheet name="Списки" sheetId="71" r:id="rId5"/>
  </sheets>
  <externalReferences>
    <externalReference r:id="rId6"/>
  </externalReferences>
  <definedNames>
    <definedName name="_FilterDatabase" localSheetId="3" hidden="1">'Нормы УР'!$A$4:$H$58</definedName>
    <definedName name="_FilterDatabase" localSheetId="1" hidden="1">ООП!$A$2:$M$1344</definedName>
    <definedName name="_FilterDatabase" localSheetId="2" hidden="1">'Список кафедр'!$A$1:$B$284</definedName>
    <definedName name="_FilterDatabase" localSheetId="0" hidden="1">'УН сводная'!$A$5:$BL$663</definedName>
    <definedName name="_xlnm._FilterDatabase" localSheetId="1" hidden="1">ООП!$A$2:$M$1344</definedName>
    <definedName name="_xlnm._FilterDatabase" localSheetId="0" hidden="1">'УН сводная'!$A$5:$BL$663</definedName>
    <definedName name="блок_ООП">Списки!$A$77:$A$81</definedName>
    <definedName name="Вид_ПА_ГИА">Списки!$A$36:$A$42</definedName>
    <definedName name="Вид_УР" localSheetId="1">[1]Списки!$A$44:$A$73</definedName>
    <definedName name="Вид_УР">Списки!$A$45:$A$75</definedName>
    <definedName name="ВПИБ" localSheetId="1">'[1]Нормы УР'!$E$19</definedName>
    <definedName name="ВПИБ">'Нормы УР'!$E$19</definedName>
    <definedName name="ВПКП" localSheetId="1">'[1]Нормы УР'!$E$18</definedName>
    <definedName name="ВПКП">'Нормы УР'!$E$18</definedName>
    <definedName name="ВПКР" localSheetId="1">'[1]Нормы УР'!$E$17</definedName>
    <definedName name="ВПКР">'Нормы УР'!$E$17</definedName>
    <definedName name="ВПр" localSheetId="1">'[1]Нормы УР'!$E$31</definedName>
    <definedName name="ВПр">'Нормы УР'!$E$31</definedName>
    <definedName name="Должность" localSheetId="1">[1]Списки!$A$14:$A$19</definedName>
    <definedName name="Должность">Списки!$A$14:$A$20</definedName>
    <definedName name="КдЭк" localSheetId="1">'[1]Нормы УР'!$E$54</definedName>
    <definedName name="КдЭк">'Нормы УР'!$E$54</definedName>
    <definedName name="Код_ООП" comment="Связь кода ООП с названием, формой обучения и уровнем" localSheetId="1">ООП!$A$3:$M$1344</definedName>
    <definedName name="Код_ООП" comment="Связь кода ООП с названием, формой обучения и уровнем">ООП!$A$3:$M$1344</definedName>
    <definedName name="Компонета">Списки!$A$83:$A$86</definedName>
    <definedName name="КРФРЯ">'Нормы УР'!$E$21</definedName>
    <definedName name="Л">'Нормы УР'!$E$5</definedName>
    <definedName name="ЛР">'Нормы УР'!$E$7</definedName>
    <definedName name="НИРА" localSheetId="1">'[1]Нормы УР'!$E$36</definedName>
    <definedName name="НИРА">'Нормы УР'!$E$36</definedName>
    <definedName name="НИРАИ" localSheetId="1">'[1]Нормы УР'!$E$37</definedName>
    <definedName name="НИРАИ">'Нормы УР'!$E$37</definedName>
    <definedName name="НИРМ" localSheetId="1">'[1]Нормы УР'!$E$33</definedName>
    <definedName name="НИРМ">'Нормы УР'!$E$33</definedName>
    <definedName name="НИРМИн" localSheetId="1">'[1]Нормы УР'!$E$34</definedName>
    <definedName name="НИРМИн">'Нормы УР'!$E$34</definedName>
    <definedName name="НКД" localSheetId="1">'[1]Нормы УР'!#REF!</definedName>
    <definedName name="НКД">'Нормы УР'!#REF!</definedName>
    <definedName name="ОфВед" localSheetId="1">'[1]Нормы УР'!$E$27</definedName>
    <definedName name="ОфВед">'Нормы УР'!$E$27</definedName>
    <definedName name="ПАБРС" localSheetId="1">'[1]Нормы УР'!$E$24</definedName>
    <definedName name="ПАБРС">'Нормы УР'!$E$24</definedName>
    <definedName name="ПГ" localSheetId="1">'[1]Нормы УР'!$E$49</definedName>
    <definedName name="ПГ">'Нормы УР'!$E$49</definedName>
    <definedName name="ПЗ">'Нормы УР'!$E$6</definedName>
    <definedName name="ПрИн">'Нормы УР'!$E$8</definedName>
    <definedName name="ПрРЯ">'Нормы УР'!$E$9</definedName>
    <definedName name="ПЭФРЯ">'Нормы УР'!$E$22</definedName>
    <definedName name="РБ" localSheetId="1">'[1]Нормы УР'!$E$38</definedName>
    <definedName name="РБ">'Нормы УР'!$E$38</definedName>
    <definedName name="РБИ" localSheetId="1">'[1]Нормы УР'!$E$39</definedName>
    <definedName name="РБИ">'Нормы УР'!$E$39</definedName>
    <definedName name="РДП" localSheetId="1">'[1]Нормы УР'!$E$44</definedName>
    <definedName name="РДП">'Нормы УР'!$E$44</definedName>
    <definedName name="РефАсп" localSheetId="1">'[1]Нормы УР'!$E$25</definedName>
    <definedName name="РефАсп">'Нормы УР'!$E$25</definedName>
    <definedName name="РефФил" localSheetId="1">'[1]Нормы УР'!$E$26</definedName>
    <definedName name="РефФил">'Нормы УР'!$E$26</definedName>
    <definedName name="РНКР" localSheetId="1">'[1]Нормы УР'!$E$42</definedName>
    <definedName name="РНКР">'Нормы УР'!$E$42</definedName>
    <definedName name="РНКРИн" localSheetId="1">'[1]Нормы УР'!$E$43</definedName>
    <definedName name="РНКРИн">'Нормы УР'!$E$43</definedName>
    <definedName name="РПА" localSheetId="1">'[1]Нормы УР'!$E$35</definedName>
    <definedName name="РПА">'Нормы УР'!$E$35</definedName>
    <definedName name="РПП" localSheetId="1">'[1]Нормы УР'!$E$30</definedName>
    <definedName name="РПП">'Нормы УР'!$E$30</definedName>
    <definedName name="РРА" localSheetId="1">'[1]Нормы УР'!$E$47</definedName>
    <definedName name="РРА">'Нормы УР'!$E$47</definedName>
    <definedName name="РРБ" localSheetId="1">'[1]Нормы УР'!$E$45</definedName>
    <definedName name="РРБ">'Нормы УР'!$E$45</definedName>
    <definedName name="РРСМ" localSheetId="1">'[1]Нормы УР'!$E$46</definedName>
    <definedName name="РРСМ">'Нормы УР'!$E$46</definedName>
    <definedName name="РСМ" localSheetId="1">'[1]Нормы УР'!$E$40</definedName>
    <definedName name="РСМ">'Нормы УР'!$E$40</definedName>
    <definedName name="РСМИ" localSheetId="1">'[1]Нормы УР'!$E$41</definedName>
    <definedName name="РСМИ">'Нормы УР'!$E$41</definedName>
    <definedName name="РукИна" localSheetId="1">'[1]Нормы УР'!$E$56</definedName>
    <definedName name="РукИна">'Нормы УР'!$E$56</definedName>
    <definedName name="РукИСт" localSheetId="1">'[1]Нормы УР'!#REF!</definedName>
    <definedName name="РукИСт">'Нормы УР'!#REF!</definedName>
    <definedName name="РукПЛ" localSheetId="1">'[1]Нормы УР'!$E$57</definedName>
    <definedName name="РукПЛ">'Нормы УР'!$E$57</definedName>
    <definedName name="РукРФа" localSheetId="1">'[1]Нормы УР'!$E$55</definedName>
    <definedName name="РукРФа">'Нормы УР'!$E$55</definedName>
    <definedName name="РукСт" localSheetId="1">'[1]Нормы УР'!#REF!</definedName>
    <definedName name="РукСт">'Нормы УР'!#REF!</definedName>
    <definedName name="РУП" localSheetId="1">'[1]Нормы УР'!$E$28</definedName>
    <definedName name="РУП">'Нормы УР'!$E$28</definedName>
    <definedName name="РУПЛеч" localSheetId="1">'[1]Нормы УР'!$E$29</definedName>
    <definedName name="РУПЛеч">'Нормы УР'!$E$29</definedName>
    <definedName name="СГ" localSheetId="1">'[1]Нормы УР'!$E$53</definedName>
    <definedName name="СГ">'Нормы УР'!$E$53</definedName>
    <definedName name="ТГИЭ" localSheetId="1">'[1]Нормы УР'!$E$48</definedName>
    <definedName name="ТГИЭ">'Нормы УР'!$E$48</definedName>
    <definedName name="ТКиРА" localSheetId="1">'[1]Нормы УР'!$E$20</definedName>
    <definedName name="ТКиРА">'Нормы УР'!$E$20</definedName>
    <definedName name="ТКЛВ" localSheetId="1">'[1]Нормы УР'!$E$15</definedName>
    <definedName name="ТКЛВ">'Нормы УР'!$E$15</definedName>
    <definedName name="ТКЛД" localSheetId="1">'[1]Нормы УР'!$E$14</definedName>
    <definedName name="ТКЛД">'Нормы УР'!$E$14</definedName>
    <definedName name="ТКЛЗ" localSheetId="1">'[1]Нормы УР'!$E$16</definedName>
    <definedName name="ТКЛЗ">'Нормы УР'!$E$16</definedName>
    <definedName name="ТУИС">'Нормы УР'!$E$10</definedName>
    <definedName name="Уровень_ОП">Списки!$A$7:$A$11</definedName>
    <definedName name="Условия_привлечения" localSheetId="1">[1]Списки!$A$22:$A$26</definedName>
    <definedName name="Условия_привлечения">Списки!$A$23:$A$27</definedName>
    <definedName name="УЭФРЯ">'Нормы УР'!$E$23</definedName>
    <definedName name="форма_обучения">Списки!$A$2:$A$4</definedName>
    <definedName name="ЦП" localSheetId="1">'[1]Нормы УР'!$E$32</definedName>
    <definedName name="ЦП">'Нормы УР'!$E$32</definedName>
    <definedName name="ЧГ" localSheetId="1">'[1]Нормы УР'!$E$51</definedName>
    <definedName name="ЧГ">'Нормы УР'!$E$51</definedName>
  </definedNames>
  <calcPr calcId="181029" refMode="R1C1"/>
  <webPublishObjects count="1">
    <webPublishObject id="6866" divId="Учебная нагрузка кафедры (шаблон)_6866" destinationFile="D:\Страница.htm"/>
  </webPublishObjects>
</workbook>
</file>

<file path=xl/calcChain.xml><?xml version="1.0" encoding="utf-8"?>
<calcChain xmlns="http://schemas.openxmlformats.org/spreadsheetml/2006/main">
  <c r="B6" i="77" l="1"/>
  <c r="D6" i="77"/>
  <c r="E6" i="77"/>
  <c r="B7" i="77"/>
  <c r="D7" i="77"/>
  <c r="E7" i="77"/>
  <c r="B8" i="77"/>
  <c r="D8" i="77"/>
  <c r="E8" i="77"/>
  <c r="B9" i="77"/>
  <c r="D9" i="77"/>
  <c r="E9" i="77"/>
  <c r="B10" i="77"/>
  <c r="D10" i="77"/>
  <c r="E10" i="77"/>
  <c r="B11" i="77"/>
  <c r="D11" i="77"/>
  <c r="E11" i="77"/>
  <c r="B12" i="77"/>
  <c r="D12" i="77"/>
  <c r="E12" i="77"/>
  <c r="B13" i="77"/>
  <c r="D13" i="77"/>
  <c r="E13" i="77"/>
  <c r="B14" i="77"/>
  <c r="D14" i="77"/>
  <c r="E14" i="77"/>
  <c r="B15" i="77"/>
  <c r="D15" i="77"/>
  <c r="E15" i="77"/>
  <c r="B16" i="77"/>
  <c r="D16" i="77"/>
  <c r="E16" i="77"/>
  <c r="B17" i="77"/>
  <c r="D17" i="77"/>
  <c r="E17" i="77"/>
  <c r="B18" i="77"/>
  <c r="D18" i="77"/>
  <c r="E18" i="77"/>
  <c r="B19" i="77"/>
  <c r="D19" i="77"/>
  <c r="E19" i="77"/>
  <c r="B20" i="77"/>
  <c r="D20" i="77"/>
  <c r="E20" i="77"/>
  <c r="B21" i="77"/>
  <c r="D21" i="77"/>
  <c r="E21" i="77"/>
  <c r="B22" i="77"/>
  <c r="D22" i="77"/>
  <c r="E22" i="77"/>
  <c r="B23" i="77"/>
  <c r="D23" i="77"/>
  <c r="E23" i="77"/>
  <c r="B24" i="77"/>
  <c r="D24" i="77"/>
  <c r="E24" i="77"/>
  <c r="B25" i="77"/>
  <c r="D25" i="77"/>
  <c r="E25" i="77"/>
  <c r="B26" i="77"/>
  <c r="D26" i="77"/>
  <c r="E26" i="77"/>
  <c r="B27" i="77"/>
  <c r="D27" i="77"/>
  <c r="E27" i="77"/>
  <c r="B28" i="77"/>
  <c r="D28" i="77"/>
  <c r="E28" i="77"/>
  <c r="B29" i="77"/>
  <c r="D29" i="77"/>
  <c r="E29" i="77"/>
  <c r="B30" i="77"/>
  <c r="D30" i="77"/>
  <c r="E30" i="77"/>
  <c r="B31" i="77"/>
  <c r="D31" i="77"/>
  <c r="E31" i="77"/>
  <c r="B32" i="77"/>
  <c r="D32" i="77"/>
  <c r="E32" i="77"/>
  <c r="B33" i="77"/>
  <c r="D33" i="77"/>
  <c r="E33" i="77"/>
  <c r="B34" i="77"/>
  <c r="D34" i="77"/>
  <c r="E34" i="77"/>
  <c r="B35" i="77"/>
  <c r="D35" i="77"/>
  <c r="E35" i="77"/>
  <c r="B36" i="77"/>
  <c r="D36" i="77"/>
  <c r="E36" i="77"/>
  <c r="B37" i="77"/>
  <c r="D37" i="77"/>
  <c r="E37" i="77"/>
  <c r="B38" i="77"/>
  <c r="D38" i="77"/>
  <c r="E38" i="77"/>
  <c r="B39" i="77"/>
  <c r="D39" i="77"/>
  <c r="E39" i="77"/>
  <c r="B40" i="77"/>
  <c r="D40" i="77"/>
  <c r="E40" i="77"/>
  <c r="B41" i="77"/>
  <c r="D41" i="77"/>
  <c r="E41" i="77"/>
  <c r="B42" i="77"/>
  <c r="D42" i="77"/>
  <c r="E42" i="77"/>
  <c r="B43" i="77"/>
  <c r="D43" i="77"/>
  <c r="E43" i="77"/>
  <c r="B44" i="77"/>
  <c r="D44" i="77"/>
  <c r="E44" i="77"/>
  <c r="B45" i="77"/>
  <c r="D45" i="77"/>
  <c r="E45" i="77"/>
  <c r="B46" i="77"/>
  <c r="D46" i="77"/>
  <c r="E46" i="77"/>
  <c r="B47" i="77"/>
  <c r="D47" i="77"/>
  <c r="E47" i="77"/>
  <c r="B48" i="77"/>
  <c r="D48" i="77"/>
  <c r="E48" i="77"/>
  <c r="B49" i="77"/>
  <c r="D49" i="77"/>
  <c r="E49" i="77"/>
  <c r="B50" i="77"/>
  <c r="D50" i="77"/>
  <c r="E50" i="77"/>
  <c r="B51" i="77"/>
  <c r="D51" i="77"/>
  <c r="E51" i="77"/>
  <c r="B52" i="77"/>
  <c r="D52" i="77"/>
  <c r="E52" i="77"/>
  <c r="B53" i="77"/>
  <c r="D53" i="77"/>
  <c r="E53" i="77"/>
  <c r="B54" i="77"/>
  <c r="D54" i="77"/>
  <c r="E54" i="77"/>
  <c r="B55" i="77"/>
  <c r="D55" i="77"/>
  <c r="E55" i="77"/>
  <c r="B56" i="77"/>
  <c r="D56" i="77"/>
  <c r="E56" i="77"/>
  <c r="B57" i="77"/>
  <c r="D57" i="77"/>
  <c r="E57" i="77"/>
  <c r="B58" i="77"/>
  <c r="D58" i="77"/>
  <c r="E58" i="77"/>
  <c r="B59" i="77"/>
  <c r="D59" i="77"/>
  <c r="E59" i="77"/>
  <c r="B60" i="77"/>
  <c r="D60" i="77"/>
  <c r="E60" i="77"/>
  <c r="B61" i="77"/>
  <c r="D61" i="77"/>
  <c r="E61" i="77"/>
  <c r="B62" i="77"/>
  <c r="D62" i="77"/>
  <c r="E62" i="77"/>
  <c r="B63" i="77"/>
  <c r="D63" i="77"/>
  <c r="E63" i="77"/>
  <c r="B64" i="77"/>
  <c r="D64" i="77"/>
  <c r="E64" i="77"/>
  <c r="B65" i="77"/>
  <c r="D65" i="77"/>
  <c r="E65" i="77"/>
  <c r="B66" i="77"/>
  <c r="D66" i="77"/>
  <c r="E66" i="77"/>
  <c r="B67" i="77"/>
  <c r="D67" i="77"/>
  <c r="E67" i="77"/>
  <c r="B68" i="77"/>
  <c r="D68" i="77"/>
  <c r="E68" i="77"/>
  <c r="B69" i="77"/>
  <c r="D69" i="77"/>
  <c r="E69" i="77"/>
  <c r="B70" i="77"/>
  <c r="D70" i="77"/>
  <c r="E70" i="77"/>
  <c r="B71" i="77"/>
  <c r="D71" i="77"/>
  <c r="E71" i="77"/>
  <c r="B72" i="77"/>
  <c r="D72" i="77"/>
  <c r="E72" i="77"/>
  <c r="B73" i="77"/>
  <c r="D73" i="77"/>
  <c r="E73" i="77"/>
  <c r="B74" i="77"/>
  <c r="D74" i="77"/>
  <c r="E74" i="77"/>
  <c r="B75" i="77"/>
  <c r="D75" i="77"/>
  <c r="E75" i="77"/>
  <c r="B76" i="77"/>
  <c r="D76" i="77"/>
  <c r="E76" i="77"/>
  <c r="B77" i="77"/>
  <c r="D77" i="77"/>
  <c r="E77" i="77"/>
  <c r="B78" i="77"/>
  <c r="D78" i="77"/>
  <c r="E78" i="77"/>
  <c r="B79" i="77"/>
  <c r="D79" i="77"/>
  <c r="E79" i="77"/>
  <c r="B80" i="77"/>
  <c r="D80" i="77"/>
  <c r="E80" i="77"/>
  <c r="B81" i="77"/>
  <c r="D81" i="77"/>
  <c r="E81" i="77"/>
  <c r="B82" i="77"/>
  <c r="D82" i="77"/>
  <c r="E82" i="77"/>
  <c r="B83" i="77"/>
  <c r="D83" i="77"/>
  <c r="E83" i="77"/>
  <c r="B84" i="77"/>
  <c r="D84" i="77"/>
  <c r="E84" i="77"/>
  <c r="B85" i="77"/>
  <c r="D85" i="77"/>
  <c r="E85" i="77"/>
  <c r="B86" i="77"/>
  <c r="D86" i="77"/>
  <c r="E86" i="77"/>
  <c r="B87" i="77"/>
  <c r="D87" i="77"/>
  <c r="E87" i="77"/>
  <c r="B88" i="77"/>
  <c r="D88" i="77"/>
  <c r="E88" i="77"/>
  <c r="B89" i="77"/>
  <c r="D89" i="77"/>
  <c r="E89" i="77"/>
  <c r="B90" i="77"/>
  <c r="D90" i="77"/>
  <c r="E90" i="77"/>
  <c r="B91" i="77"/>
  <c r="D91" i="77"/>
  <c r="E91" i="77"/>
  <c r="B92" i="77"/>
  <c r="D92" i="77"/>
  <c r="E92" i="77"/>
  <c r="B93" i="77"/>
  <c r="D93" i="77"/>
  <c r="E93" i="77"/>
  <c r="B94" i="77"/>
  <c r="D94" i="77"/>
  <c r="E94" i="77"/>
  <c r="B95" i="77"/>
  <c r="D95" i="77"/>
  <c r="E95" i="77"/>
  <c r="B96" i="77"/>
  <c r="D96" i="77"/>
  <c r="E96" i="77"/>
  <c r="B97" i="77"/>
  <c r="D97" i="77"/>
  <c r="E97" i="77"/>
  <c r="B98" i="77"/>
  <c r="D98" i="77"/>
  <c r="E98" i="77"/>
  <c r="B99" i="77"/>
  <c r="D99" i="77"/>
  <c r="E99" i="77"/>
  <c r="B100" i="77"/>
  <c r="D100" i="77"/>
  <c r="E100" i="77"/>
  <c r="B101" i="77"/>
  <c r="D101" i="77"/>
  <c r="E101" i="77"/>
  <c r="B102" i="77"/>
  <c r="D102" i="77"/>
  <c r="E102" i="77"/>
  <c r="B103" i="77"/>
  <c r="D103" i="77"/>
  <c r="E103" i="77"/>
  <c r="B104" i="77"/>
  <c r="D104" i="77"/>
  <c r="E104" i="77"/>
  <c r="B105" i="77"/>
  <c r="D105" i="77"/>
  <c r="E105" i="77"/>
  <c r="B106" i="77"/>
  <c r="D106" i="77"/>
  <c r="E106" i="77"/>
  <c r="B107" i="77"/>
  <c r="D107" i="77"/>
  <c r="E107" i="77"/>
  <c r="B108" i="77"/>
  <c r="D108" i="77"/>
  <c r="E108" i="77"/>
  <c r="B109" i="77"/>
  <c r="D109" i="77"/>
  <c r="E109" i="77"/>
  <c r="B110" i="77"/>
  <c r="D110" i="77"/>
  <c r="E110" i="77"/>
  <c r="B111" i="77"/>
  <c r="D111" i="77"/>
  <c r="E111" i="77"/>
  <c r="B112" i="77"/>
  <c r="D112" i="77"/>
  <c r="E112" i="77"/>
  <c r="B113" i="77"/>
  <c r="D113" i="77"/>
  <c r="E113" i="77"/>
  <c r="B114" i="77"/>
  <c r="D114" i="77"/>
  <c r="E114" i="77"/>
  <c r="B115" i="77"/>
  <c r="D115" i="77"/>
  <c r="E115" i="77"/>
  <c r="B116" i="77"/>
  <c r="D116" i="77"/>
  <c r="E116" i="77"/>
  <c r="B117" i="77"/>
  <c r="D117" i="77"/>
  <c r="E117" i="77"/>
  <c r="B118" i="77"/>
  <c r="D118" i="77"/>
  <c r="E118" i="77"/>
  <c r="B119" i="77"/>
  <c r="D119" i="77"/>
  <c r="E119" i="77"/>
  <c r="B120" i="77"/>
  <c r="D120" i="77"/>
  <c r="E120" i="77"/>
  <c r="B121" i="77"/>
  <c r="D121" i="77"/>
  <c r="E121" i="77"/>
  <c r="B122" i="77"/>
  <c r="D122" i="77"/>
  <c r="E122" i="77"/>
  <c r="B123" i="77"/>
  <c r="D123" i="77"/>
  <c r="E123" i="77"/>
  <c r="B124" i="77"/>
  <c r="D124" i="77"/>
  <c r="E124" i="77"/>
  <c r="B125" i="77"/>
  <c r="D125" i="77"/>
  <c r="E125" i="77"/>
  <c r="B126" i="77"/>
  <c r="D126" i="77"/>
  <c r="E126" i="77"/>
  <c r="B127" i="77"/>
  <c r="D127" i="77"/>
  <c r="E127" i="77"/>
  <c r="B128" i="77"/>
  <c r="D128" i="77"/>
  <c r="E128" i="77"/>
  <c r="B129" i="77"/>
  <c r="D129" i="77"/>
  <c r="E129" i="77"/>
  <c r="B130" i="77"/>
  <c r="D130" i="77"/>
  <c r="E130" i="77"/>
  <c r="B131" i="77"/>
  <c r="D131" i="77"/>
  <c r="E131" i="77"/>
  <c r="B132" i="77"/>
  <c r="D132" i="77"/>
  <c r="E132" i="77"/>
  <c r="B133" i="77"/>
  <c r="D133" i="77"/>
  <c r="E133" i="77"/>
  <c r="B134" i="77"/>
  <c r="D134" i="77"/>
  <c r="E134" i="77"/>
  <c r="B135" i="77"/>
  <c r="D135" i="77"/>
  <c r="E135" i="77"/>
  <c r="B136" i="77"/>
  <c r="D136" i="77"/>
  <c r="E136" i="77"/>
  <c r="B137" i="77"/>
  <c r="D137" i="77"/>
  <c r="E137" i="77"/>
  <c r="B138" i="77"/>
  <c r="D138" i="77"/>
  <c r="E138" i="77"/>
  <c r="B139" i="77"/>
  <c r="D139" i="77"/>
  <c r="E139" i="77"/>
  <c r="B140" i="77"/>
  <c r="D140" i="77"/>
  <c r="E140" i="77"/>
  <c r="B141" i="77"/>
  <c r="D141" i="77"/>
  <c r="E141" i="77"/>
  <c r="B142" i="77"/>
  <c r="D142" i="77"/>
  <c r="E142" i="77"/>
  <c r="B143" i="77"/>
  <c r="D143" i="77"/>
  <c r="E143" i="77"/>
  <c r="B144" i="77"/>
  <c r="D144" i="77"/>
  <c r="E144" i="77"/>
  <c r="B145" i="77"/>
  <c r="D145" i="77"/>
  <c r="E145" i="77"/>
  <c r="B146" i="77"/>
  <c r="D146" i="77"/>
  <c r="E146" i="77"/>
  <c r="B147" i="77"/>
  <c r="D147" i="77"/>
  <c r="E147" i="77"/>
  <c r="B148" i="77"/>
  <c r="D148" i="77"/>
  <c r="E148" i="77"/>
  <c r="B149" i="77"/>
  <c r="D149" i="77"/>
  <c r="E149" i="77"/>
  <c r="B150" i="77"/>
  <c r="D150" i="77"/>
  <c r="E150" i="77"/>
  <c r="B151" i="77"/>
  <c r="D151" i="77"/>
  <c r="E151" i="77"/>
  <c r="B152" i="77"/>
  <c r="D152" i="77"/>
  <c r="E152" i="77"/>
  <c r="B153" i="77"/>
  <c r="D153" i="77"/>
  <c r="E153" i="77"/>
  <c r="B154" i="77"/>
  <c r="D154" i="77"/>
  <c r="E154" i="77"/>
  <c r="B155" i="77"/>
  <c r="D155" i="77"/>
  <c r="E155" i="77"/>
  <c r="B156" i="77"/>
  <c r="D156" i="77"/>
  <c r="E156" i="77"/>
  <c r="B157" i="77"/>
  <c r="D157" i="77"/>
  <c r="E157" i="77"/>
  <c r="B158" i="77"/>
  <c r="D158" i="77"/>
  <c r="E158" i="77"/>
  <c r="B159" i="77"/>
  <c r="D159" i="77"/>
  <c r="E159" i="77"/>
  <c r="B160" i="77"/>
  <c r="D160" i="77"/>
  <c r="E160" i="77"/>
  <c r="B161" i="77"/>
  <c r="D161" i="77"/>
  <c r="E161" i="77"/>
  <c r="B162" i="77"/>
  <c r="D162" i="77"/>
  <c r="E162" i="77"/>
  <c r="B163" i="77"/>
  <c r="D163" i="77"/>
  <c r="E163" i="77"/>
  <c r="B164" i="77"/>
  <c r="D164" i="77"/>
  <c r="E164" i="77"/>
  <c r="B165" i="77"/>
  <c r="D165" i="77"/>
  <c r="E165" i="77"/>
  <c r="B166" i="77"/>
  <c r="D166" i="77"/>
  <c r="E166" i="77"/>
  <c r="B167" i="77"/>
  <c r="D167" i="77"/>
  <c r="E167" i="77"/>
  <c r="B168" i="77"/>
  <c r="D168" i="77"/>
  <c r="E168" i="77"/>
  <c r="B169" i="77"/>
  <c r="D169" i="77"/>
  <c r="E169" i="77"/>
  <c r="B170" i="77"/>
  <c r="D170" i="77"/>
  <c r="E170" i="77"/>
  <c r="B171" i="77"/>
  <c r="D171" i="77"/>
  <c r="E171" i="77"/>
  <c r="B172" i="77"/>
  <c r="D172" i="77"/>
  <c r="E172" i="77"/>
  <c r="B173" i="77"/>
  <c r="D173" i="77"/>
  <c r="E173" i="77"/>
  <c r="B174" i="77"/>
  <c r="D174" i="77"/>
  <c r="E174" i="77"/>
  <c r="B175" i="77"/>
  <c r="D175" i="77"/>
  <c r="E175" i="77"/>
  <c r="B176" i="77"/>
  <c r="D176" i="77"/>
  <c r="E176" i="77"/>
  <c r="B177" i="77"/>
  <c r="D177" i="77"/>
  <c r="E177" i="77"/>
  <c r="B178" i="77"/>
  <c r="D178" i="77"/>
  <c r="E178" i="77"/>
  <c r="B179" i="77"/>
  <c r="D179" i="77"/>
  <c r="E179" i="77"/>
  <c r="B180" i="77"/>
  <c r="D180" i="77"/>
  <c r="E180" i="77"/>
  <c r="B181" i="77"/>
  <c r="D181" i="77"/>
  <c r="E181" i="77"/>
  <c r="B182" i="77"/>
  <c r="D182" i="77"/>
  <c r="E182" i="77"/>
  <c r="B183" i="77"/>
  <c r="D183" i="77"/>
  <c r="E183" i="77"/>
  <c r="B184" i="77"/>
  <c r="D184" i="77"/>
  <c r="E184" i="77"/>
  <c r="B185" i="77"/>
  <c r="D185" i="77"/>
  <c r="E185" i="77"/>
  <c r="B186" i="77"/>
  <c r="D186" i="77"/>
  <c r="E186" i="77"/>
  <c r="B187" i="77"/>
  <c r="D187" i="77"/>
  <c r="E187" i="77"/>
  <c r="B188" i="77"/>
  <c r="D188" i="77"/>
  <c r="E188" i="77"/>
  <c r="B189" i="77"/>
  <c r="D189" i="77"/>
  <c r="E189" i="77"/>
  <c r="B190" i="77"/>
  <c r="D190" i="77"/>
  <c r="E190" i="77"/>
  <c r="B191" i="77"/>
  <c r="D191" i="77"/>
  <c r="E191" i="77"/>
  <c r="B192" i="77"/>
  <c r="D192" i="77"/>
  <c r="E192" i="77"/>
  <c r="B193" i="77"/>
  <c r="D193" i="77"/>
  <c r="E193" i="77"/>
  <c r="B194" i="77"/>
  <c r="D194" i="77"/>
  <c r="E194" i="77"/>
  <c r="B195" i="77"/>
  <c r="D195" i="77"/>
  <c r="E195" i="77"/>
  <c r="B196" i="77"/>
  <c r="D196" i="77"/>
  <c r="E196" i="77"/>
  <c r="B197" i="77"/>
  <c r="D197" i="77"/>
  <c r="E197" i="77"/>
  <c r="B198" i="77"/>
  <c r="D198" i="77"/>
  <c r="E198" i="77"/>
  <c r="B199" i="77"/>
  <c r="D199" i="77"/>
  <c r="E199" i="77"/>
  <c r="B200" i="77"/>
  <c r="D200" i="77"/>
  <c r="E200" i="77"/>
  <c r="B201" i="77"/>
  <c r="D201" i="77"/>
  <c r="E201" i="77"/>
  <c r="B202" i="77"/>
  <c r="D202" i="77"/>
  <c r="E202" i="77"/>
  <c r="B203" i="77"/>
  <c r="D203" i="77"/>
  <c r="E203" i="77"/>
  <c r="B204" i="77"/>
  <c r="D204" i="77"/>
  <c r="E204" i="77"/>
  <c r="B205" i="77"/>
  <c r="D205" i="77"/>
  <c r="E205" i="77"/>
  <c r="B206" i="77"/>
  <c r="D206" i="77"/>
  <c r="E206" i="77"/>
  <c r="B207" i="77"/>
  <c r="D207" i="77"/>
  <c r="E207" i="77"/>
  <c r="B208" i="77"/>
  <c r="D208" i="77"/>
  <c r="E208" i="77"/>
  <c r="B209" i="77"/>
  <c r="D209" i="77"/>
  <c r="E209" i="77"/>
  <c r="B210" i="77"/>
  <c r="D210" i="77"/>
  <c r="E210" i="77"/>
  <c r="B211" i="77"/>
  <c r="D211" i="77"/>
  <c r="E211" i="77"/>
  <c r="B212" i="77"/>
  <c r="D212" i="77"/>
  <c r="E212" i="77"/>
  <c r="B213" i="77"/>
  <c r="D213" i="77"/>
  <c r="E213" i="77"/>
  <c r="B214" i="77"/>
  <c r="D214" i="77"/>
  <c r="E214" i="77"/>
  <c r="B215" i="77"/>
  <c r="D215" i="77"/>
  <c r="E215" i="77"/>
  <c r="B216" i="77"/>
  <c r="D216" i="77"/>
  <c r="E216" i="77"/>
  <c r="B217" i="77"/>
  <c r="D217" i="77"/>
  <c r="E217" i="77"/>
  <c r="B218" i="77"/>
  <c r="D218" i="77"/>
  <c r="E218" i="77"/>
  <c r="B219" i="77"/>
  <c r="D219" i="77"/>
  <c r="E219" i="77"/>
  <c r="B220" i="77"/>
  <c r="D220" i="77"/>
  <c r="E220" i="77"/>
  <c r="B221" i="77"/>
  <c r="D221" i="77"/>
  <c r="E221" i="77"/>
  <c r="B222" i="77"/>
  <c r="BA222" i="77" s="1"/>
  <c r="D222" i="77"/>
  <c r="E222" i="77"/>
  <c r="B223" i="77"/>
  <c r="BA223" i="77" s="1"/>
  <c r="D223" i="77"/>
  <c r="E223" i="77"/>
  <c r="B224" i="77"/>
  <c r="D224" i="77"/>
  <c r="E224" i="77"/>
  <c r="B225" i="77"/>
  <c r="D225" i="77"/>
  <c r="E225" i="77"/>
  <c r="B226" i="77"/>
  <c r="D226" i="77"/>
  <c r="E226" i="77"/>
  <c r="B227" i="77"/>
  <c r="D227" i="77"/>
  <c r="E227" i="77"/>
  <c r="B228" i="77"/>
  <c r="D228" i="77"/>
  <c r="E228" i="77"/>
  <c r="B229" i="77"/>
  <c r="D229" i="77"/>
  <c r="E229" i="77"/>
  <c r="B230" i="77"/>
  <c r="D230" i="77"/>
  <c r="E230" i="77"/>
  <c r="B231" i="77"/>
  <c r="D231" i="77"/>
  <c r="E231" i="77"/>
  <c r="B232" i="77"/>
  <c r="D232" i="77"/>
  <c r="E232" i="77"/>
  <c r="B233" i="77"/>
  <c r="D233" i="77"/>
  <c r="E233" i="77"/>
  <c r="B234" i="77"/>
  <c r="D234" i="77"/>
  <c r="E234" i="77"/>
  <c r="B235" i="77"/>
  <c r="D235" i="77"/>
  <c r="E235" i="77"/>
  <c r="B236" i="77"/>
  <c r="D236" i="77"/>
  <c r="E236" i="77"/>
  <c r="B237" i="77"/>
  <c r="D237" i="77"/>
  <c r="E237" i="77"/>
  <c r="B238" i="77"/>
  <c r="D238" i="77"/>
  <c r="E238" i="77"/>
  <c r="B239" i="77"/>
  <c r="D239" i="77"/>
  <c r="E239" i="77"/>
  <c r="B240" i="77"/>
  <c r="D240" i="77"/>
  <c r="E240" i="77"/>
  <c r="B241" i="77"/>
  <c r="D241" i="77"/>
  <c r="E241" i="77"/>
  <c r="B242" i="77"/>
  <c r="D242" i="77"/>
  <c r="E242" i="77"/>
  <c r="B243" i="77"/>
  <c r="D243" i="77"/>
  <c r="E243" i="77"/>
  <c r="B244" i="77"/>
  <c r="D244" i="77"/>
  <c r="E244" i="77"/>
  <c r="B245" i="77"/>
  <c r="D245" i="77"/>
  <c r="E245" i="77"/>
  <c r="B246" i="77"/>
  <c r="D246" i="77"/>
  <c r="E246" i="77"/>
  <c r="B247" i="77"/>
  <c r="D247" i="77"/>
  <c r="E247" i="77"/>
  <c r="B248" i="77"/>
  <c r="D248" i="77"/>
  <c r="E248" i="77"/>
  <c r="B249" i="77"/>
  <c r="D249" i="77"/>
  <c r="E249" i="77"/>
  <c r="B250" i="77"/>
  <c r="D250" i="77"/>
  <c r="E250" i="77"/>
  <c r="B251" i="77"/>
  <c r="D251" i="77"/>
  <c r="E251" i="77"/>
  <c r="B252" i="77"/>
  <c r="D252" i="77"/>
  <c r="E252" i="77"/>
  <c r="B253" i="77"/>
  <c r="D253" i="77"/>
  <c r="E253" i="77"/>
  <c r="B254" i="77"/>
  <c r="D254" i="77"/>
  <c r="E254" i="77"/>
  <c r="B255" i="77"/>
  <c r="D255" i="77"/>
  <c r="E255" i="77"/>
  <c r="B256" i="77"/>
  <c r="D256" i="77"/>
  <c r="E256" i="77"/>
  <c r="B257" i="77"/>
  <c r="D257" i="77"/>
  <c r="E257" i="77"/>
  <c r="B258" i="77"/>
  <c r="D258" i="77"/>
  <c r="E258" i="77"/>
  <c r="B259" i="77"/>
  <c r="D259" i="77"/>
  <c r="E259" i="77"/>
  <c r="B260" i="77"/>
  <c r="D260" i="77"/>
  <c r="E260" i="77"/>
  <c r="B261" i="77"/>
  <c r="D261" i="77"/>
  <c r="E261" i="77"/>
  <c r="B262" i="77"/>
  <c r="D262" i="77"/>
  <c r="E262" i="77"/>
  <c r="B263" i="77"/>
  <c r="D263" i="77"/>
  <c r="E263" i="77"/>
  <c r="B264" i="77"/>
  <c r="D264" i="77"/>
  <c r="E264" i="77"/>
  <c r="B265" i="77"/>
  <c r="D265" i="77"/>
  <c r="E265" i="77"/>
  <c r="B266" i="77"/>
  <c r="D266" i="77"/>
  <c r="E266" i="77"/>
  <c r="B267" i="77"/>
  <c r="D267" i="77"/>
  <c r="E267" i="77"/>
  <c r="B268" i="77"/>
  <c r="D268" i="77"/>
  <c r="E268" i="77"/>
  <c r="B269" i="77"/>
  <c r="D269" i="77"/>
  <c r="E269" i="77"/>
  <c r="B270" i="77"/>
  <c r="D270" i="77"/>
  <c r="E270" i="77"/>
  <c r="B271" i="77"/>
  <c r="D271" i="77"/>
  <c r="E271" i="77"/>
  <c r="B272" i="77"/>
  <c r="D272" i="77"/>
  <c r="E272" i="77"/>
  <c r="B273" i="77"/>
  <c r="D273" i="77"/>
  <c r="E273" i="77"/>
  <c r="B274" i="77"/>
  <c r="D274" i="77"/>
  <c r="E274" i="77"/>
  <c r="B275" i="77"/>
  <c r="D275" i="77"/>
  <c r="E275" i="77"/>
  <c r="B276" i="77"/>
  <c r="D276" i="77"/>
  <c r="E276" i="77"/>
  <c r="B277" i="77"/>
  <c r="D277" i="77"/>
  <c r="E277" i="77"/>
  <c r="B278" i="77"/>
  <c r="D278" i="77"/>
  <c r="E278" i="77"/>
  <c r="B279" i="77"/>
  <c r="D279" i="77"/>
  <c r="E279" i="77"/>
  <c r="B280" i="77"/>
  <c r="D280" i="77"/>
  <c r="E280" i="77"/>
  <c r="B281" i="77"/>
  <c r="D281" i="77"/>
  <c r="E281" i="77"/>
  <c r="B282" i="77"/>
  <c r="D282" i="77"/>
  <c r="E282" i="77"/>
  <c r="B283" i="77"/>
  <c r="D283" i="77"/>
  <c r="E283" i="77"/>
  <c r="B284" i="77"/>
  <c r="D284" i="77"/>
  <c r="E284" i="77"/>
  <c r="B285" i="77"/>
  <c r="D285" i="77"/>
  <c r="E285" i="77"/>
  <c r="B286" i="77"/>
  <c r="D286" i="77"/>
  <c r="E286" i="77"/>
  <c r="B287" i="77"/>
  <c r="D287" i="77"/>
  <c r="E287" i="77"/>
  <c r="B288" i="77"/>
  <c r="D288" i="77"/>
  <c r="E288" i="77"/>
  <c r="B289" i="77"/>
  <c r="D289" i="77"/>
  <c r="E289" i="77"/>
  <c r="B290" i="77"/>
  <c r="D290" i="77"/>
  <c r="E290" i="77"/>
  <c r="B291" i="77"/>
  <c r="D291" i="77"/>
  <c r="E291" i="77"/>
  <c r="B292" i="77"/>
  <c r="D292" i="77"/>
  <c r="E292" i="77"/>
  <c r="B293" i="77"/>
  <c r="D293" i="77"/>
  <c r="E293" i="77"/>
  <c r="B294" i="77"/>
  <c r="D294" i="77"/>
  <c r="E294" i="77"/>
  <c r="B295" i="77"/>
  <c r="D295" i="77"/>
  <c r="E295" i="77"/>
  <c r="B296" i="77"/>
  <c r="D296" i="77"/>
  <c r="E296" i="77"/>
  <c r="B297" i="77"/>
  <c r="D297" i="77"/>
  <c r="E297" i="77"/>
  <c r="B298" i="77"/>
  <c r="D298" i="77"/>
  <c r="E298" i="77"/>
  <c r="B299" i="77"/>
  <c r="D299" i="77"/>
  <c r="E299" i="77"/>
  <c r="B300" i="77"/>
  <c r="D300" i="77"/>
  <c r="E300" i="77"/>
  <c r="B301" i="77"/>
  <c r="D301" i="77"/>
  <c r="E301" i="77"/>
  <c r="B302" i="77"/>
  <c r="D302" i="77"/>
  <c r="E302" i="77"/>
  <c r="B303" i="77"/>
  <c r="D303" i="77"/>
  <c r="E303" i="77"/>
  <c r="B304" i="77"/>
  <c r="D304" i="77"/>
  <c r="E304" i="77"/>
  <c r="B305" i="77"/>
  <c r="D305" i="77"/>
  <c r="E305" i="77"/>
  <c r="B306" i="77"/>
  <c r="D306" i="77"/>
  <c r="E306" i="77"/>
  <c r="B307" i="77"/>
  <c r="D307" i="77"/>
  <c r="E307" i="77"/>
  <c r="B308" i="77"/>
  <c r="D308" i="77"/>
  <c r="E308" i="77"/>
  <c r="B309" i="77"/>
  <c r="D309" i="77"/>
  <c r="E309" i="77"/>
  <c r="B310" i="77"/>
  <c r="D310" i="77"/>
  <c r="E310" i="77"/>
  <c r="B311" i="77"/>
  <c r="D311" i="77"/>
  <c r="E311" i="77"/>
  <c r="B312" i="77"/>
  <c r="D312" i="77"/>
  <c r="E312" i="77"/>
  <c r="B313" i="77"/>
  <c r="D313" i="77"/>
  <c r="E313" i="77"/>
  <c r="B314" i="77"/>
  <c r="D314" i="77"/>
  <c r="E314" i="77"/>
  <c r="B315" i="77"/>
  <c r="D315" i="77"/>
  <c r="E315" i="77"/>
  <c r="B316" i="77"/>
  <c r="D316" i="77"/>
  <c r="E316" i="77"/>
  <c r="B317" i="77"/>
  <c r="D317" i="77"/>
  <c r="E317" i="77"/>
  <c r="B318" i="77"/>
  <c r="D318" i="77"/>
  <c r="E318" i="77"/>
  <c r="B319" i="77"/>
  <c r="D319" i="77"/>
  <c r="E319" i="77"/>
  <c r="B320" i="77"/>
  <c r="D320" i="77"/>
  <c r="E320" i="77"/>
  <c r="B321" i="77"/>
  <c r="D321" i="77"/>
  <c r="E321" i="77"/>
  <c r="B322" i="77"/>
  <c r="D322" i="77"/>
  <c r="E322" i="77"/>
  <c r="B323" i="77"/>
  <c r="D323" i="77"/>
  <c r="E323" i="77"/>
  <c r="B324" i="77"/>
  <c r="D324" i="77"/>
  <c r="E324" i="77"/>
  <c r="B325" i="77"/>
  <c r="D325" i="77"/>
  <c r="E325" i="77"/>
  <c r="B326" i="77"/>
  <c r="D326" i="77"/>
  <c r="E326" i="77"/>
  <c r="B327" i="77"/>
  <c r="D327" i="77"/>
  <c r="E327" i="77"/>
  <c r="B328" i="77"/>
  <c r="D328" i="77"/>
  <c r="E328" i="77"/>
  <c r="B329" i="77"/>
  <c r="D329" i="77"/>
  <c r="E329" i="77"/>
  <c r="B330" i="77"/>
  <c r="D330" i="77"/>
  <c r="E330" i="77"/>
  <c r="B331" i="77"/>
  <c r="D331" i="77"/>
  <c r="E331" i="77"/>
  <c r="B332" i="77"/>
  <c r="D332" i="77"/>
  <c r="E332" i="77"/>
  <c r="B333" i="77"/>
  <c r="D333" i="77"/>
  <c r="E333" i="77"/>
  <c r="B334" i="77"/>
  <c r="D334" i="77"/>
  <c r="E334" i="77"/>
  <c r="B335" i="77"/>
  <c r="D335" i="77"/>
  <c r="E335" i="77"/>
  <c r="B336" i="77"/>
  <c r="D336" i="77"/>
  <c r="E336" i="77"/>
  <c r="B337" i="77"/>
  <c r="D337" i="77"/>
  <c r="E337" i="77"/>
  <c r="B338" i="77"/>
  <c r="D338" i="77"/>
  <c r="E338" i="77"/>
  <c r="B339" i="77"/>
  <c r="D339" i="77"/>
  <c r="E339" i="77"/>
  <c r="B340" i="77"/>
  <c r="D340" i="77"/>
  <c r="E340" i="77"/>
  <c r="B341" i="77"/>
  <c r="D341" i="77"/>
  <c r="E341" i="77"/>
  <c r="B342" i="77"/>
  <c r="D342" i="77"/>
  <c r="E342" i="77"/>
  <c r="B343" i="77"/>
  <c r="D343" i="77"/>
  <c r="E343" i="77"/>
  <c r="B344" i="77"/>
  <c r="D344" i="77"/>
  <c r="E344" i="77"/>
  <c r="B345" i="77"/>
  <c r="D345" i="77"/>
  <c r="E345" i="77"/>
  <c r="B346" i="77"/>
  <c r="D346" i="77"/>
  <c r="E346" i="77"/>
  <c r="B347" i="77"/>
  <c r="D347" i="77"/>
  <c r="E347" i="77"/>
  <c r="B348" i="77"/>
  <c r="D348" i="77"/>
  <c r="E348" i="77"/>
  <c r="B349" i="77"/>
  <c r="D349" i="77"/>
  <c r="E349" i="77"/>
  <c r="B350" i="77"/>
  <c r="D350" i="77"/>
  <c r="E350" i="77"/>
  <c r="B351" i="77"/>
  <c r="D351" i="77"/>
  <c r="E351" i="77"/>
  <c r="B352" i="77"/>
  <c r="D352" i="77"/>
  <c r="E352" i="77"/>
  <c r="B353" i="77"/>
  <c r="D353" i="77"/>
  <c r="E353" i="77"/>
  <c r="B354" i="77"/>
  <c r="D354" i="77"/>
  <c r="E354" i="77"/>
  <c r="B355" i="77"/>
  <c r="D355" i="77"/>
  <c r="E355" i="77"/>
  <c r="B356" i="77"/>
  <c r="D356" i="77"/>
  <c r="E356" i="77"/>
  <c r="B357" i="77"/>
  <c r="D357" i="77"/>
  <c r="E357" i="77"/>
  <c r="B358" i="77"/>
  <c r="D358" i="77"/>
  <c r="E358" i="77"/>
  <c r="B359" i="77"/>
  <c r="D359" i="77"/>
  <c r="E359" i="77"/>
  <c r="B360" i="77"/>
  <c r="D360" i="77"/>
  <c r="E360" i="77"/>
  <c r="B361" i="77"/>
  <c r="D361" i="77"/>
  <c r="E361" i="77"/>
  <c r="B362" i="77"/>
  <c r="D362" i="77"/>
  <c r="E362" i="77"/>
  <c r="B363" i="77"/>
  <c r="D363" i="77"/>
  <c r="E363" i="77"/>
  <c r="B364" i="77"/>
  <c r="D364" i="77"/>
  <c r="E364" i="77"/>
  <c r="B365" i="77"/>
  <c r="D365" i="77"/>
  <c r="E365" i="77"/>
  <c r="B366" i="77"/>
  <c r="D366" i="77"/>
  <c r="E366" i="77"/>
  <c r="B367" i="77"/>
  <c r="D367" i="77"/>
  <c r="E367" i="77"/>
  <c r="B368" i="77"/>
  <c r="D368" i="77"/>
  <c r="E368" i="77"/>
  <c r="B369" i="77"/>
  <c r="D369" i="77"/>
  <c r="E369" i="77"/>
  <c r="B370" i="77"/>
  <c r="D370" i="77"/>
  <c r="E370" i="77"/>
  <c r="B371" i="77"/>
  <c r="D371" i="77"/>
  <c r="E371" i="77"/>
  <c r="B372" i="77"/>
  <c r="D372" i="77"/>
  <c r="E372" i="77"/>
  <c r="B373" i="77"/>
  <c r="D373" i="77"/>
  <c r="E373" i="77"/>
  <c r="B374" i="77"/>
  <c r="D374" i="77"/>
  <c r="E374" i="77"/>
  <c r="B375" i="77"/>
  <c r="D375" i="77"/>
  <c r="E375" i="77"/>
  <c r="B376" i="77"/>
  <c r="D376" i="77"/>
  <c r="E376" i="77"/>
  <c r="B377" i="77"/>
  <c r="D377" i="77"/>
  <c r="E377" i="77"/>
  <c r="B378" i="77"/>
  <c r="D378" i="77"/>
  <c r="E378" i="77"/>
  <c r="B379" i="77"/>
  <c r="D379" i="77"/>
  <c r="E379" i="77"/>
  <c r="B380" i="77"/>
  <c r="D380" i="77"/>
  <c r="E380" i="77"/>
  <c r="B381" i="77"/>
  <c r="D381" i="77"/>
  <c r="E381" i="77"/>
  <c r="B382" i="77"/>
  <c r="D382" i="77"/>
  <c r="E382" i="77"/>
  <c r="B383" i="77"/>
  <c r="D383" i="77"/>
  <c r="E383" i="77"/>
  <c r="B384" i="77"/>
  <c r="D384" i="77"/>
  <c r="E384" i="77"/>
  <c r="B385" i="77"/>
  <c r="D385" i="77"/>
  <c r="E385" i="77"/>
  <c r="B386" i="77"/>
  <c r="D386" i="77"/>
  <c r="E386" i="77"/>
  <c r="B387" i="77"/>
  <c r="D387" i="77"/>
  <c r="E387" i="77"/>
  <c r="B388" i="77"/>
  <c r="D388" i="77"/>
  <c r="E388" i="77"/>
  <c r="B389" i="77"/>
  <c r="D389" i="77"/>
  <c r="E389" i="77"/>
  <c r="B390" i="77"/>
  <c r="D390" i="77"/>
  <c r="E390" i="77"/>
  <c r="B391" i="77"/>
  <c r="D391" i="77"/>
  <c r="E391" i="77"/>
  <c r="B392" i="77"/>
  <c r="D392" i="77"/>
  <c r="E392" i="77"/>
  <c r="B393" i="77"/>
  <c r="D393" i="77"/>
  <c r="E393" i="77"/>
  <c r="B394" i="77"/>
  <c r="D394" i="77"/>
  <c r="E394" i="77"/>
  <c r="B395" i="77"/>
  <c r="D395" i="77"/>
  <c r="E395" i="77"/>
  <c r="B396" i="77"/>
  <c r="D396" i="77"/>
  <c r="E396" i="77"/>
  <c r="B397" i="77"/>
  <c r="D397" i="77"/>
  <c r="E397" i="77"/>
  <c r="B398" i="77"/>
  <c r="D398" i="77"/>
  <c r="E398" i="77"/>
  <c r="B399" i="77"/>
  <c r="D399" i="77"/>
  <c r="E399" i="77"/>
  <c r="B400" i="77"/>
  <c r="D400" i="77"/>
  <c r="E400" i="77"/>
  <c r="B401" i="77"/>
  <c r="D401" i="77"/>
  <c r="E401" i="77"/>
  <c r="B402" i="77"/>
  <c r="D402" i="77"/>
  <c r="E402" i="77"/>
  <c r="B403" i="77"/>
  <c r="D403" i="77"/>
  <c r="E403" i="77"/>
  <c r="B404" i="77"/>
  <c r="D404" i="77"/>
  <c r="E404" i="77"/>
  <c r="B405" i="77"/>
  <c r="D405" i="77"/>
  <c r="E405" i="77"/>
  <c r="B406" i="77"/>
  <c r="D406" i="77"/>
  <c r="E406" i="77"/>
  <c r="B407" i="77"/>
  <c r="D407" i="77"/>
  <c r="E407" i="77"/>
  <c r="B408" i="77"/>
  <c r="D408" i="77"/>
  <c r="E408" i="77"/>
  <c r="B409" i="77"/>
  <c r="D409" i="77"/>
  <c r="E409" i="77"/>
  <c r="B410" i="77"/>
  <c r="D410" i="77"/>
  <c r="E410" i="77"/>
  <c r="B411" i="77"/>
  <c r="D411" i="77"/>
  <c r="E411" i="77"/>
  <c r="B412" i="77"/>
  <c r="D412" i="77"/>
  <c r="E412" i="77"/>
  <c r="B413" i="77"/>
  <c r="D413" i="77"/>
  <c r="E413" i="77"/>
  <c r="B414" i="77"/>
  <c r="D414" i="77"/>
  <c r="E414" i="77"/>
  <c r="B415" i="77"/>
  <c r="D415" i="77"/>
  <c r="E415" i="77"/>
  <c r="B416" i="77"/>
  <c r="D416" i="77"/>
  <c r="E416" i="77"/>
  <c r="B417" i="77"/>
  <c r="D417" i="77"/>
  <c r="E417" i="77"/>
  <c r="B418" i="77"/>
  <c r="D418" i="77"/>
  <c r="E418" i="77"/>
  <c r="B419" i="77"/>
  <c r="D419" i="77"/>
  <c r="E419" i="77"/>
  <c r="B420" i="77"/>
  <c r="D420" i="77"/>
  <c r="E420" i="77"/>
  <c r="B421" i="77"/>
  <c r="D421" i="77"/>
  <c r="E421" i="77"/>
  <c r="B422" i="77"/>
  <c r="D422" i="77"/>
  <c r="E422" i="77"/>
  <c r="B423" i="77"/>
  <c r="D423" i="77"/>
  <c r="E423" i="77"/>
  <c r="B424" i="77"/>
  <c r="D424" i="77"/>
  <c r="E424" i="77"/>
  <c r="B425" i="77"/>
  <c r="D425" i="77"/>
  <c r="E425" i="77"/>
  <c r="B426" i="77"/>
  <c r="D426" i="77"/>
  <c r="E426" i="77"/>
  <c r="B427" i="77"/>
  <c r="D427" i="77"/>
  <c r="E427" i="77"/>
  <c r="B428" i="77"/>
  <c r="D428" i="77"/>
  <c r="E428" i="77"/>
  <c r="B429" i="77"/>
  <c r="D429" i="77"/>
  <c r="E429" i="77"/>
  <c r="B430" i="77"/>
  <c r="D430" i="77"/>
  <c r="E430" i="77"/>
  <c r="B431" i="77"/>
  <c r="D431" i="77"/>
  <c r="E431" i="77"/>
  <c r="B432" i="77"/>
  <c r="D432" i="77"/>
  <c r="E432" i="77"/>
  <c r="B433" i="77"/>
  <c r="D433" i="77"/>
  <c r="E433" i="77"/>
  <c r="B434" i="77"/>
  <c r="D434" i="77"/>
  <c r="E434" i="77"/>
  <c r="B435" i="77"/>
  <c r="D435" i="77"/>
  <c r="E435" i="77"/>
  <c r="B436" i="77"/>
  <c r="D436" i="77"/>
  <c r="E436" i="77"/>
  <c r="B437" i="77"/>
  <c r="D437" i="77"/>
  <c r="E437" i="77"/>
  <c r="B438" i="77"/>
  <c r="D438" i="77"/>
  <c r="E438" i="77"/>
  <c r="B439" i="77"/>
  <c r="D439" i="77"/>
  <c r="E439" i="77"/>
  <c r="B440" i="77"/>
  <c r="D440" i="77"/>
  <c r="E440" i="77"/>
  <c r="B441" i="77"/>
  <c r="D441" i="77"/>
  <c r="E441" i="77"/>
  <c r="B442" i="77"/>
  <c r="D442" i="77"/>
  <c r="E442" i="77"/>
  <c r="B443" i="77"/>
  <c r="D443" i="77"/>
  <c r="E443" i="77"/>
  <c r="B444" i="77"/>
  <c r="D444" i="77"/>
  <c r="E444" i="77"/>
  <c r="B445" i="77"/>
  <c r="D445" i="77"/>
  <c r="E445" i="77"/>
  <c r="B446" i="77"/>
  <c r="D446" i="77"/>
  <c r="E446" i="77"/>
  <c r="B447" i="77"/>
  <c r="D447" i="77"/>
  <c r="E447" i="77"/>
  <c r="B448" i="77"/>
  <c r="D448" i="77"/>
  <c r="E448" i="77"/>
  <c r="B449" i="77"/>
  <c r="D449" i="77"/>
  <c r="E449" i="77"/>
  <c r="B450" i="77"/>
  <c r="D450" i="77"/>
  <c r="E450" i="77"/>
  <c r="B451" i="77"/>
  <c r="D451" i="77"/>
  <c r="E451" i="77"/>
  <c r="B452" i="77"/>
  <c r="D452" i="77"/>
  <c r="E452" i="77"/>
  <c r="B453" i="77"/>
  <c r="D453" i="77"/>
  <c r="E453" i="77"/>
  <c r="B454" i="77"/>
  <c r="D454" i="77"/>
  <c r="E454" i="77"/>
  <c r="B455" i="77"/>
  <c r="D455" i="77"/>
  <c r="E455" i="77"/>
  <c r="B456" i="77"/>
  <c r="D456" i="77"/>
  <c r="E456" i="77"/>
  <c r="B457" i="77"/>
  <c r="D457" i="77"/>
  <c r="E457" i="77"/>
  <c r="B458" i="77"/>
  <c r="D458" i="77"/>
  <c r="E458" i="77"/>
  <c r="B459" i="77"/>
  <c r="D459" i="77"/>
  <c r="E459" i="77"/>
  <c r="B460" i="77"/>
  <c r="D460" i="77"/>
  <c r="E460" i="77"/>
  <c r="B461" i="77"/>
  <c r="D461" i="77"/>
  <c r="E461" i="77"/>
  <c r="B462" i="77"/>
  <c r="D462" i="77"/>
  <c r="E462" i="77"/>
  <c r="B463" i="77"/>
  <c r="D463" i="77"/>
  <c r="E463" i="77"/>
  <c r="B464" i="77"/>
  <c r="D464" i="77"/>
  <c r="E464" i="77"/>
  <c r="B465" i="77"/>
  <c r="D465" i="77"/>
  <c r="E465" i="77"/>
  <c r="B466" i="77"/>
  <c r="D466" i="77"/>
  <c r="E466" i="77"/>
  <c r="B467" i="77"/>
  <c r="D467" i="77"/>
  <c r="E467" i="77"/>
  <c r="B468" i="77"/>
  <c r="D468" i="77"/>
  <c r="E468" i="77"/>
  <c r="B469" i="77"/>
  <c r="D469" i="77"/>
  <c r="E469" i="77"/>
  <c r="B470" i="77"/>
  <c r="D470" i="77"/>
  <c r="E470" i="77"/>
  <c r="B471" i="77"/>
  <c r="D471" i="77"/>
  <c r="E471" i="77"/>
  <c r="B472" i="77"/>
  <c r="D472" i="77"/>
  <c r="E472" i="77"/>
  <c r="B473" i="77"/>
  <c r="D473" i="77"/>
  <c r="E473" i="77"/>
  <c r="B474" i="77"/>
  <c r="D474" i="77"/>
  <c r="E474" i="77"/>
  <c r="B475" i="77"/>
  <c r="D475" i="77"/>
  <c r="E475" i="77"/>
  <c r="B476" i="77"/>
  <c r="D476" i="77"/>
  <c r="E476" i="77"/>
  <c r="B477" i="77"/>
  <c r="D477" i="77"/>
  <c r="E477" i="77"/>
  <c r="B478" i="77"/>
  <c r="D478" i="77"/>
  <c r="E478" i="77"/>
  <c r="B479" i="77"/>
  <c r="D479" i="77"/>
  <c r="E479" i="77"/>
  <c r="B480" i="77"/>
  <c r="D480" i="77"/>
  <c r="E480" i="77"/>
  <c r="B481" i="77"/>
  <c r="D481" i="77"/>
  <c r="E481" i="77"/>
  <c r="B482" i="77"/>
  <c r="D482" i="77"/>
  <c r="E482" i="77"/>
  <c r="B483" i="77"/>
  <c r="D483" i="77"/>
  <c r="E483" i="77"/>
  <c r="B484" i="77"/>
  <c r="D484" i="77"/>
  <c r="E484" i="77"/>
  <c r="B485" i="77"/>
  <c r="D485" i="77"/>
  <c r="E485" i="77"/>
  <c r="B486" i="77"/>
  <c r="D486" i="77"/>
  <c r="E486" i="77"/>
  <c r="B487" i="77"/>
  <c r="D487" i="77"/>
  <c r="E487" i="77"/>
  <c r="B488" i="77"/>
  <c r="D488" i="77"/>
  <c r="E488" i="77"/>
  <c r="B489" i="77"/>
  <c r="D489" i="77"/>
  <c r="E489" i="77"/>
  <c r="B490" i="77"/>
  <c r="D490" i="77"/>
  <c r="E490" i="77"/>
  <c r="B491" i="77"/>
  <c r="D491" i="77"/>
  <c r="E491" i="77"/>
  <c r="B492" i="77"/>
  <c r="D492" i="77"/>
  <c r="E492" i="77"/>
  <c r="B493" i="77"/>
  <c r="D493" i="77"/>
  <c r="E493" i="77"/>
  <c r="B494" i="77"/>
  <c r="D494" i="77"/>
  <c r="E494" i="77"/>
  <c r="B495" i="77"/>
  <c r="D495" i="77"/>
  <c r="E495" i="77"/>
  <c r="B496" i="77"/>
  <c r="D496" i="77"/>
  <c r="E496" i="77"/>
  <c r="B497" i="77"/>
  <c r="D497" i="77"/>
  <c r="E497" i="77"/>
  <c r="B498" i="77"/>
  <c r="D498" i="77"/>
  <c r="E498" i="77"/>
  <c r="B499" i="77"/>
  <c r="D499" i="77"/>
  <c r="E499" i="77"/>
  <c r="B500" i="77"/>
  <c r="D500" i="77"/>
  <c r="E500" i="77"/>
  <c r="B501" i="77"/>
  <c r="D501" i="77"/>
  <c r="E501" i="77"/>
  <c r="B502" i="77"/>
  <c r="D502" i="77"/>
  <c r="E502" i="77"/>
  <c r="B503" i="77"/>
  <c r="D503" i="77"/>
  <c r="E503" i="77"/>
  <c r="B504" i="77"/>
  <c r="D504" i="77"/>
  <c r="E504" i="77"/>
  <c r="B505" i="77"/>
  <c r="D505" i="77"/>
  <c r="E505" i="77"/>
  <c r="B506" i="77"/>
  <c r="D506" i="77"/>
  <c r="E506" i="77"/>
  <c r="B507" i="77"/>
  <c r="D507" i="77"/>
  <c r="E507" i="77"/>
  <c r="B508" i="77"/>
  <c r="D508" i="77"/>
  <c r="E508" i="77"/>
  <c r="B509" i="77"/>
  <c r="D509" i="77"/>
  <c r="E509" i="77"/>
  <c r="B510" i="77"/>
  <c r="D510" i="77"/>
  <c r="E510" i="77"/>
  <c r="B511" i="77"/>
  <c r="D511" i="77"/>
  <c r="E511" i="77"/>
  <c r="B512" i="77"/>
  <c r="D512" i="77"/>
  <c r="E512" i="77"/>
  <c r="B513" i="77"/>
  <c r="D513" i="77"/>
  <c r="E513" i="77"/>
  <c r="B514" i="77"/>
  <c r="D514" i="77"/>
  <c r="E514" i="77"/>
  <c r="B515" i="77"/>
  <c r="D515" i="77"/>
  <c r="E515" i="77"/>
  <c r="B516" i="77"/>
  <c r="D516" i="77"/>
  <c r="E516" i="77"/>
  <c r="B517" i="77"/>
  <c r="D517" i="77"/>
  <c r="E517" i="77"/>
  <c r="B518" i="77"/>
  <c r="D518" i="77"/>
  <c r="E518" i="77"/>
  <c r="B519" i="77"/>
  <c r="D519" i="77"/>
  <c r="E519" i="77"/>
  <c r="B520" i="77"/>
  <c r="D520" i="77"/>
  <c r="E520" i="77"/>
  <c r="B521" i="77"/>
  <c r="D521" i="77"/>
  <c r="E521" i="77"/>
  <c r="B522" i="77"/>
  <c r="D522" i="77"/>
  <c r="E522" i="77"/>
  <c r="B523" i="77"/>
  <c r="D523" i="77"/>
  <c r="E523" i="77"/>
  <c r="B524" i="77"/>
  <c r="D524" i="77"/>
  <c r="E524" i="77"/>
  <c r="B525" i="77"/>
  <c r="D525" i="77"/>
  <c r="E525" i="77"/>
  <c r="B526" i="77"/>
  <c r="D526" i="77"/>
  <c r="E526" i="77"/>
  <c r="B527" i="77"/>
  <c r="D527" i="77"/>
  <c r="E527" i="77"/>
  <c r="B528" i="77"/>
  <c r="D528" i="77"/>
  <c r="E528" i="77"/>
  <c r="B529" i="77"/>
  <c r="D529" i="77"/>
  <c r="E529" i="77"/>
  <c r="B530" i="77"/>
  <c r="D530" i="77"/>
  <c r="E530" i="77"/>
  <c r="B531" i="77"/>
  <c r="D531" i="77"/>
  <c r="E531" i="77"/>
  <c r="B532" i="77"/>
  <c r="D532" i="77"/>
  <c r="E532" i="77"/>
  <c r="B533" i="77"/>
  <c r="D533" i="77"/>
  <c r="E533" i="77"/>
  <c r="B534" i="77"/>
  <c r="D534" i="77"/>
  <c r="E534" i="77"/>
  <c r="B535" i="77"/>
  <c r="D535" i="77"/>
  <c r="E535" i="77"/>
  <c r="B536" i="77"/>
  <c r="D536" i="77"/>
  <c r="E536" i="77"/>
  <c r="B537" i="77"/>
  <c r="D537" i="77"/>
  <c r="E537" i="77"/>
  <c r="B538" i="77"/>
  <c r="D538" i="77"/>
  <c r="E538" i="77"/>
  <c r="B539" i="77"/>
  <c r="D539" i="77"/>
  <c r="E539" i="77"/>
  <c r="B540" i="77"/>
  <c r="D540" i="77"/>
  <c r="E540" i="77"/>
  <c r="B541" i="77"/>
  <c r="D541" i="77"/>
  <c r="E541" i="77"/>
  <c r="B542" i="77"/>
  <c r="D542" i="77"/>
  <c r="E542" i="77"/>
  <c r="B543" i="77"/>
  <c r="D543" i="77"/>
  <c r="E543" i="77"/>
  <c r="B544" i="77"/>
  <c r="D544" i="77"/>
  <c r="E544" i="77"/>
  <c r="B545" i="77"/>
  <c r="D545" i="77"/>
  <c r="E545" i="77"/>
  <c r="B546" i="77"/>
  <c r="D546" i="77"/>
  <c r="E546" i="77"/>
  <c r="B547" i="77"/>
  <c r="D547" i="77"/>
  <c r="E547" i="77"/>
  <c r="B548" i="77"/>
  <c r="D548" i="77"/>
  <c r="E548" i="77"/>
  <c r="B549" i="77"/>
  <c r="D549" i="77"/>
  <c r="E549" i="77"/>
  <c r="B550" i="77"/>
  <c r="D550" i="77"/>
  <c r="E550" i="77"/>
  <c r="B551" i="77"/>
  <c r="D551" i="77"/>
  <c r="E551" i="77"/>
  <c r="B552" i="77"/>
  <c r="D552" i="77"/>
  <c r="E552" i="77"/>
  <c r="B553" i="77"/>
  <c r="D553" i="77"/>
  <c r="E553" i="77"/>
  <c r="B554" i="77"/>
  <c r="D554" i="77"/>
  <c r="E554" i="77"/>
  <c r="B555" i="77"/>
  <c r="D555" i="77"/>
  <c r="E555" i="77"/>
  <c r="B556" i="77"/>
  <c r="D556" i="77"/>
  <c r="E556" i="77"/>
  <c r="B557" i="77"/>
  <c r="D557" i="77"/>
  <c r="E557" i="77"/>
  <c r="B558" i="77"/>
  <c r="D558" i="77"/>
  <c r="E558" i="77"/>
  <c r="B559" i="77"/>
  <c r="D559" i="77"/>
  <c r="E559" i="77"/>
  <c r="B560" i="77"/>
  <c r="D560" i="77"/>
  <c r="E560" i="77"/>
  <c r="B561" i="77"/>
  <c r="D561" i="77"/>
  <c r="E561" i="77"/>
  <c r="B562" i="77"/>
  <c r="D562" i="77"/>
  <c r="E562" i="77"/>
  <c r="B563" i="77"/>
  <c r="D563" i="77"/>
  <c r="E563" i="77"/>
  <c r="B564" i="77"/>
  <c r="D564" i="77"/>
  <c r="E564" i="77"/>
  <c r="B565" i="77"/>
  <c r="D565" i="77"/>
  <c r="E565" i="77"/>
  <c r="B566" i="77"/>
  <c r="D566" i="77"/>
  <c r="E566" i="77"/>
  <c r="B567" i="77"/>
  <c r="D567" i="77"/>
  <c r="E567" i="77"/>
  <c r="B568" i="77"/>
  <c r="D568" i="77"/>
  <c r="E568" i="77"/>
  <c r="B569" i="77"/>
  <c r="D569" i="77"/>
  <c r="E569" i="77"/>
  <c r="B570" i="77"/>
  <c r="D570" i="77"/>
  <c r="E570" i="77"/>
  <c r="B571" i="77"/>
  <c r="D571" i="77"/>
  <c r="E571" i="77"/>
  <c r="B572" i="77"/>
  <c r="D572" i="77"/>
  <c r="E572" i="77"/>
  <c r="B573" i="77"/>
  <c r="D573" i="77"/>
  <c r="E573" i="77"/>
  <c r="B574" i="77"/>
  <c r="D574" i="77"/>
  <c r="E574" i="77"/>
  <c r="B575" i="77"/>
  <c r="D575" i="77"/>
  <c r="E575" i="77"/>
  <c r="B576" i="77"/>
  <c r="D576" i="77"/>
  <c r="E576" i="77"/>
  <c r="B577" i="77"/>
  <c r="D577" i="77"/>
  <c r="E577" i="77"/>
  <c r="B578" i="77"/>
  <c r="D578" i="77"/>
  <c r="E578" i="77"/>
  <c r="B579" i="77"/>
  <c r="D579" i="77"/>
  <c r="E579" i="77"/>
  <c r="B580" i="77"/>
  <c r="D580" i="77"/>
  <c r="E580" i="77"/>
  <c r="B581" i="77"/>
  <c r="D581" i="77"/>
  <c r="E581" i="77"/>
  <c r="B582" i="77"/>
  <c r="D582" i="77"/>
  <c r="E582" i="77"/>
  <c r="B583" i="77"/>
  <c r="D583" i="77"/>
  <c r="E583" i="77"/>
  <c r="B584" i="77"/>
  <c r="D584" i="77"/>
  <c r="E584" i="77"/>
  <c r="B585" i="77"/>
  <c r="D585" i="77"/>
  <c r="E585" i="77"/>
  <c r="B586" i="77"/>
  <c r="D586" i="77"/>
  <c r="E586" i="77"/>
  <c r="B587" i="77"/>
  <c r="D587" i="77"/>
  <c r="E587" i="77"/>
  <c r="B588" i="77"/>
  <c r="D588" i="77"/>
  <c r="E588" i="77"/>
  <c r="B589" i="77"/>
  <c r="D589" i="77"/>
  <c r="E589" i="77"/>
  <c r="B590" i="77"/>
  <c r="D590" i="77"/>
  <c r="E590" i="77"/>
  <c r="B591" i="77"/>
  <c r="D591" i="77"/>
  <c r="E591" i="77"/>
  <c r="B592" i="77"/>
  <c r="D592" i="77"/>
  <c r="E592" i="77"/>
  <c r="B593" i="77"/>
  <c r="D593" i="77"/>
  <c r="E593" i="77"/>
  <c r="B594" i="77"/>
  <c r="D594" i="77"/>
  <c r="E594" i="77"/>
  <c r="B595" i="77"/>
  <c r="D595" i="77"/>
  <c r="E595" i="77"/>
  <c r="B596" i="77"/>
  <c r="D596" i="77"/>
  <c r="E596" i="77"/>
  <c r="B597" i="77"/>
  <c r="D597" i="77"/>
  <c r="E597" i="77"/>
  <c r="B598" i="77"/>
  <c r="D598" i="77"/>
  <c r="E598" i="77"/>
  <c r="B599" i="77"/>
  <c r="D599" i="77"/>
  <c r="E599" i="77"/>
  <c r="B600" i="77"/>
  <c r="D600" i="77"/>
  <c r="E600" i="77"/>
  <c r="B601" i="77"/>
  <c r="D601" i="77"/>
  <c r="E601" i="77"/>
  <c r="B602" i="77"/>
  <c r="D602" i="77"/>
  <c r="E602" i="77"/>
  <c r="B603" i="77"/>
  <c r="AX603" i="77" s="1"/>
  <c r="D603" i="77"/>
  <c r="E603" i="77"/>
  <c r="B604" i="77"/>
  <c r="AY604" i="77" s="1"/>
  <c r="D604" i="77"/>
  <c r="E604" i="77"/>
  <c r="B605" i="77"/>
  <c r="AX605" i="77" s="1"/>
  <c r="D605" i="77"/>
  <c r="E605" i="77"/>
  <c r="B606" i="77"/>
  <c r="AY606" i="77" s="1"/>
  <c r="D606" i="77"/>
  <c r="E606" i="77"/>
  <c r="B607" i="77"/>
  <c r="AX607" i="77" s="1"/>
  <c r="D607" i="77"/>
  <c r="E607" i="77"/>
  <c r="B608" i="77"/>
  <c r="AY608" i="77" s="1"/>
  <c r="D608" i="77"/>
  <c r="E608" i="77"/>
  <c r="B609" i="77"/>
  <c r="D609" i="77"/>
  <c r="E609" i="77"/>
  <c r="B610" i="77"/>
  <c r="D610" i="77"/>
  <c r="E610" i="77"/>
  <c r="B611" i="77"/>
  <c r="D611" i="77"/>
  <c r="E611" i="77"/>
  <c r="B612" i="77"/>
  <c r="D612" i="77"/>
  <c r="E612" i="77"/>
  <c r="B613" i="77"/>
  <c r="D613" i="77"/>
  <c r="E613" i="77"/>
  <c r="B614" i="77"/>
  <c r="D614" i="77"/>
  <c r="E614" i="77"/>
  <c r="B615" i="77"/>
  <c r="D615" i="77"/>
  <c r="E615" i="77"/>
  <c r="B616" i="77"/>
  <c r="D616" i="77"/>
  <c r="E616" i="77"/>
  <c r="B617" i="77"/>
  <c r="D617" i="77"/>
  <c r="E617" i="77"/>
  <c r="B618" i="77"/>
  <c r="D618" i="77"/>
  <c r="E618" i="77"/>
  <c r="B619" i="77"/>
  <c r="D619" i="77"/>
  <c r="E619" i="77"/>
  <c r="B620" i="77"/>
  <c r="D620" i="77"/>
  <c r="E620" i="77"/>
  <c r="B621" i="77"/>
  <c r="D621" i="77"/>
  <c r="E621" i="77"/>
  <c r="B622" i="77"/>
  <c r="D622" i="77"/>
  <c r="E622" i="77"/>
  <c r="B623" i="77"/>
  <c r="D623" i="77"/>
  <c r="E623" i="77"/>
  <c r="B624" i="77"/>
  <c r="D624" i="77"/>
  <c r="E624" i="77"/>
  <c r="B625" i="77"/>
  <c r="D625" i="77"/>
  <c r="E625" i="77"/>
  <c r="B626" i="77"/>
  <c r="D626" i="77"/>
  <c r="E626" i="77"/>
  <c r="B627" i="77"/>
  <c r="D627" i="77"/>
  <c r="E627" i="77"/>
  <c r="B628" i="77"/>
  <c r="D628" i="77"/>
  <c r="E628" i="77"/>
  <c r="B629" i="77"/>
  <c r="AY629" i="77" s="1"/>
  <c r="D629" i="77"/>
  <c r="E629" i="77"/>
  <c r="B630" i="77"/>
  <c r="D630" i="77"/>
  <c r="E630" i="77"/>
  <c r="B631" i="77"/>
  <c r="D631" i="77"/>
  <c r="E631" i="77"/>
  <c r="B632" i="77"/>
  <c r="D632" i="77"/>
  <c r="E632" i="77"/>
  <c r="B633" i="77"/>
  <c r="D633" i="77"/>
  <c r="E633" i="77"/>
  <c r="B634" i="77"/>
  <c r="D634" i="77"/>
  <c r="E634" i="77"/>
  <c r="B635" i="77"/>
  <c r="D635" i="77"/>
  <c r="E635" i="77"/>
  <c r="B636" i="77"/>
  <c r="D636" i="77"/>
  <c r="E636" i="77"/>
  <c r="B637" i="77"/>
  <c r="D637" i="77"/>
  <c r="E637" i="77"/>
  <c r="B638" i="77"/>
  <c r="D638" i="77"/>
  <c r="E638" i="77"/>
  <c r="B639" i="77"/>
  <c r="D639" i="77"/>
  <c r="E639" i="77"/>
  <c r="B640" i="77"/>
  <c r="D640" i="77"/>
  <c r="E640" i="77"/>
  <c r="B641" i="77"/>
  <c r="D641" i="77"/>
  <c r="E641" i="77"/>
  <c r="B642" i="77"/>
  <c r="D642" i="77"/>
  <c r="E642" i="77"/>
  <c r="B643" i="77"/>
  <c r="D643" i="77"/>
  <c r="E643" i="77"/>
  <c r="B644" i="77"/>
  <c r="D644" i="77"/>
  <c r="E644" i="77"/>
  <c r="B645" i="77"/>
  <c r="D645" i="77"/>
  <c r="E645" i="77"/>
  <c r="B646" i="77"/>
  <c r="D646" i="77"/>
  <c r="E646" i="77"/>
  <c r="B647" i="77"/>
  <c r="D647" i="77"/>
  <c r="E647" i="77"/>
  <c r="B648" i="77"/>
  <c r="D648" i="77"/>
  <c r="E648" i="77"/>
  <c r="B649" i="77"/>
  <c r="D649" i="77"/>
  <c r="E649" i="77"/>
  <c r="B650" i="77"/>
  <c r="D650" i="77"/>
  <c r="E650" i="77"/>
  <c r="B651" i="77"/>
  <c r="D651" i="77"/>
  <c r="E651" i="77"/>
  <c r="B652" i="77"/>
  <c r="D652" i="77"/>
  <c r="E652" i="77"/>
  <c r="B653" i="77"/>
  <c r="BA653" i="77" s="1"/>
  <c r="D653" i="77"/>
  <c r="E653" i="77"/>
  <c r="B654" i="77"/>
  <c r="AX654" i="77" s="1"/>
  <c r="D654" i="77"/>
  <c r="E654" i="77"/>
  <c r="B655" i="77"/>
  <c r="AY655" i="77" s="1"/>
  <c r="D655" i="77"/>
  <c r="E655" i="77"/>
  <c r="B656" i="77"/>
  <c r="AY656" i="77" s="1"/>
  <c r="D656" i="77"/>
  <c r="E656" i="77"/>
  <c r="B657" i="77"/>
  <c r="AY657" i="77" s="1"/>
  <c r="D657" i="77"/>
  <c r="E657" i="77"/>
  <c r="B658" i="77"/>
  <c r="D658" i="77"/>
  <c r="E658" i="77"/>
  <c r="B659" i="77"/>
  <c r="D659" i="77"/>
  <c r="E659" i="77"/>
  <c r="B660" i="77"/>
  <c r="D660" i="77"/>
  <c r="E660" i="77"/>
  <c r="B661" i="77"/>
  <c r="D661" i="77"/>
  <c r="E661" i="77"/>
  <c r="B662" i="77"/>
  <c r="D662" i="77"/>
  <c r="E662" i="77"/>
  <c r="B663" i="77"/>
  <c r="D663" i="77"/>
  <c r="E663" i="77"/>
  <c r="AV655" i="77"/>
  <c r="BL655" i="77"/>
  <c r="BJ655" i="77"/>
  <c r="BK655" i="77" s="1"/>
  <c r="BD655" i="77"/>
  <c r="BC655" i="77"/>
  <c r="BB655" i="77"/>
  <c r="AZ655" i="77"/>
  <c r="AW655" i="77"/>
  <c r="AU655" i="77"/>
  <c r="AT655" i="77"/>
  <c r="AS655" i="77"/>
  <c r="AP655" i="77"/>
  <c r="AQ655" i="77" s="1"/>
  <c r="AO655" i="77"/>
  <c r="AN655" i="77"/>
  <c r="AM655" i="77"/>
  <c r="AL655" i="77"/>
  <c r="AD655" i="77"/>
  <c r="AA655" i="77"/>
  <c r="W655" i="77"/>
  <c r="A655" i="77"/>
  <c r="BD654" i="77"/>
  <c r="BC654" i="77"/>
  <c r="BB654" i="77"/>
  <c r="AZ654" i="77"/>
  <c r="AW654" i="77"/>
  <c r="AV654" i="77"/>
  <c r="AU654" i="77"/>
  <c r="AT654" i="77"/>
  <c r="AS654" i="77"/>
  <c r="AP654" i="77"/>
  <c r="AQ654" i="77" s="1"/>
  <c r="AO654" i="77"/>
  <c r="AN654" i="77"/>
  <c r="AM654" i="77"/>
  <c r="AL654" i="77"/>
  <c r="BG654" i="77" s="1"/>
  <c r="BH654" i="77" s="1"/>
  <c r="AD654" i="77"/>
  <c r="AA654" i="77"/>
  <c r="W654" i="77"/>
  <c r="A654" i="77"/>
  <c r="BL653" i="77"/>
  <c r="BJ653" i="77"/>
  <c r="BK653" i="77" s="1"/>
  <c r="BD653" i="77"/>
  <c r="BC653" i="77"/>
  <c r="BB653" i="77"/>
  <c r="AZ653" i="77"/>
  <c r="AW653" i="77"/>
  <c r="AV653" i="77"/>
  <c r="AU653" i="77"/>
  <c r="AT653" i="77"/>
  <c r="AS653" i="77"/>
  <c r="AP653" i="77"/>
  <c r="AQ653" i="77" s="1"/>
  <c r="AO653" i="77"/>
  <c r="AN653" i="77"/>
  <c r="AM653" i="77"/>
  <c r="AL653" i="77"/>
  <c r="AD653" i="77"/>
  <c r="AA653" i="77"/>
  <c r="W653" i="77"/>
  <c r="A653" i="77"/>
  <c r="BD656" i="77"/>
  <c r="BC656" i="77"/>
  <c r="BB656" i="77"/>
  <c r="AZ656" i="77"/>
  <c r="AW656" i="77"/>
  <c r="AV656" i="77"/>
  <c r="AU656" i="77"/>
  <c r="AT656" i="77"/>
  <c r="AS656" i="77"/>
  <c r="AP656" i="77"/>
  <c r="AQ656" i="77" s="1"/>
  <c r="AO656" i="77"/>
  <c r="AN656" i="77"/>
  <c r="AM656" i="77"/>
  <c r="AL656" i="77"/>
  <c r="AD656" i="77"/>
  <c r="AA656" i="77"/>
  <c r="W656" i="77"/>
  <c r="A656" i="77"/>
  <c r="BL657" i="77"/>
  <c r="BJ657" i="77"/>
  <c r="BK657" i="77" s="1"/>
  <c r="BD657" i="77"/>
  <c r="BC657" i="77"/>
  <c r="BB657" i="77"/>
  <c r="AZ657" i="77"/>
  <c r="AW657" i="77"/>
  <c r="AV657" i="77"/>
  <c r="AU657" i="77"/>
  <c r="AT657" i="77"/>
  <c r="AS657" i="77"/>
  <c r="AP657" i="77"/>
  <c r="AQ657" i="77" s="1"/>
  <c r="AO657" i="77"/>
  <c r="AN657" i="77"/>
  <c r="AM657" i="77"/>
  <c r="AL657" i="77"/>
  <c r="AD657" i="77"/>
  <c r="AA657" i="77"/>
  <c r="W657" i="77"/>
  <c r="A657" i="77"/>
  <c r="BI629" i="77"/>
  <c r="BG629" i="77"/>
  <c r="BH629" i="77" s="1"/>
  <c r="BD629" i="77"/>
  <c r="BC629" i="77"/>
  <c r="BB629" i="77"/>
  <c r="AZ629" i="77"/>
  <c r="AW629" i="77"/>
  <c r="AV629" i="77"/>
  <c r="AU629" i="77"/>
  <c r="AT629" i="77"/>
  <c r="AS629" i="77"/>
  <c r="AP629" i="77"/>
  <c r="AQ629" i="77" s="1"/>
  <c r="AO629" i="77"/>
  <c r="AN629" i="77"/>
  <c r="AM629" i="77"/>
  <c r="AL629" i="77"/>
  <c r="AD629" i="77"/>
  <c r="AA629" i="77"/>
  <c r="W629" i="77"/>
  <c r="A629" i="77"/>
  <c r="BI608" i="77"/>
  <c r="BG608" i="77"/>
  <c r="BH608" i="77" s="1"/>
  <c r="BD608" i="77"/>
  <c r="BC608" i="77"/>
  <c r="BB608" i="77"/>
  <c r="AZ608" i="77"/>
  <c r="AW608" i="77"/>
  <c r="AV608" i="77"/>
  <c r="AU608" i="77"/>
  <c r="AT608" i="77"/>
  <c r="AS608" i="77"/>
  <c r="AP608" i="77"/>
  <c r="AQ608" i="77" s="1"/>
  <c r="AO608" i="77"/>
  <c r="AN608" i="77"/>
  <c r="AM608" i="77"/>
  <c r="AL608" i="77"/>
  <c r="AD608" i="77"/>
  <c r="AA608" i="77"/>
  <c r="W608" i="77"/>
  <c r="A608" i="77"/>
  <c r="BL607" i="77"/>
  <c r="BJ607" i="77"/>
  <c r="BK607" i="77" s="1"/>
  <c r="BD607" i="77"/>
  <c r="BC607" i="77"/>
  <c r="BB607" i="77"/>
  <c r="AZ607" i="77"/>
  <c r="AW607" i="77"/>
  <c r="AV607" i="77"/>
  <c r="AU607" i="77"/>
  <c r="AT607" i="77"/>
  <c r="AS607" i="77"/>
  <c r="AP607" i="77"/>
  <c r="AQ607" i="77" s="1"/>
  <c r="AO607" i="77"/>
  <c r="AN607" i="77"/>
  <c r="AM607" i="77"/>
  <c r="AL607" i="77"/>
  <c r="AD607" i="77"/>
  <c r="AA607" i="77"/>
  <c r="W607" i="77"/>
  <c r="A607" i="77"/>
  <c r="BI604" i="77"/>
  <c r="BG604" i="77"/>
  <c r="BH604" i="77" s="1"/>
  <c r="BD604" i="77"/>
  <c r="BC604" i="77"/>
  <c r="BB604" i="77"/>
  <c r="AZ604" i="77"/>
  <c r="AW604" i="77"/>
  <c r="AV604" i="77"/>
  <c r="AU604" i="77"/>
  <c r="AT604" i="77"/>
  <c r="AS604" i="77"/>
  <c r="AP604" i="77"/>
  <c r="AQ604" i="77" s="1"/>
  <c r="AO604" i="77"/>
  <c r="AN604" i="77"/>
  <c r="AM604" i="77"/>
  <c r="AL604" i="77"/>
  <c r="AD604" i="77"/>
  <c r="AA604" i="77"/>
  <c r="W604" i="77"/>
  <c r="A604" i="77"/>
  <c r="BL603" i="77"/>
  <c r="BJ603" i="77"/>
  <c r="BK603" i="77" s="1"/>
  <c r="BD603" i="77"/>
  <c r="BC603" i="77"/>
  <c r="BB603" i="77"/>
  <c r="AZ603" i="77"/>
  <c r="AW603" i="77"/>
  <c r="AV603" i="77"/>
  <c r="AU603" i="77"/>
  <c r="AT603" i="77"/>
  <c r="AS603" i="77"/>
  <c r="AP603" i="77"/>
  <c r="AQ603" i="77" s="1"/>
  <c r="AO603" i="77"/>
  <c r="AN603" i="77"/>
  <c r="AM603" i="77"/>
  <c r="AL603" i="77"/>
  <c r="AD603" i="77"/>
  <c r="AA603" i="77"/>
  <c r="W603" i="77"/>
  <c r="A603" i="77"/>
  <c r="BI606" i="77"/>
  <c r="BG606" i="77"/>
  <c r="BH606" i="77" s="1"/>
  <c r="BD606" i="77"/>
  <c r="BC606" i="77"/>
  <c r="BB606" i="77"/>
  <c r="AZ606" i="77"/>
  <c r="AW606" i="77"/>
  <c r="AV606" i="77"/>
  <c r="AU606" i="77"/>
  <c r="AT606" i="77"/>
  <c r="AS606" i="77"/>
  <c r="AP606" i="77"/>
  <c r="AQ606" i="77" s="1"/>
  <c r="AO606" i="77"/>
  <c r="AN606" i="77"/>
  <c r="AM606" i="77"/>
  <c r="AL606" i="77"/>
  <c r="AD606" i="77"/>
  <c r="AA606" i="77"/>
  <c r="W606" i="77"/>
  <c r="A606" i="77"/>
  <c r="BL605" i="77"/>
  <c r="BJ605" i="77"/>
  <c r="BK605" i="77" s="1"/>
  <c r="BD605" i="77"/>
  <c r="BC605" i="77"/>
  <c r="BB605" i="77"/>
  <c r="AZ605" i="77"/>
  <c r="AW605" i="77"/>
  <c r="AV605" i="77"/>
  <c r="AU605" i="77"/>
  <c r="AT605" i="77"/>
  <c r="AS605" i="77"/>
  <c r="AP605" i="77"/>
  <c r="AQ605" i="77" s="1"/>
  <c r="AO605" i="77"/>
  <c r="AN605" i="77"/>
  <c r="AM605" i="77"/>
  <c r="AL605" i="77"/>
  <c r="AD605" i="77"/>
  <c r="AA605" i="77"/>
  <c r="W605" i="77"/>
  <c r="A605" i="77"/>
  <c r="A222" i="77"/>
  <c r="W222" i="77"/>
  <c r="AA222" i="77"/>
  <c r="AD222" i="77"/>
  <c r="AL222" i="77"/>
  <c r="AM222" i="77"/>
  <c r="AN222" i="77"/>
  <c r="AO222" i="77"/>
  <c r="AP222" i="77"/>
  <c r="AQ222" i="77" s="1"/>
  <c r="AS222" i="77"/>
  <c r="AT222" i="77"/>
  <c r="AU222" i="77"/>
  <c r="AV222" i="77"/>
  <c r="AW222" i="77"/>
  <c r="AZ222" i="77"/>
  <c r="BC222" i="77"/>
  <c r="BD222" i="77"/>
  <c r="BG222" i="77"/>
  <c r="BH222" i="77" s="1"/>
  <c r="BI222" i="77"/>
  <c r="A223" i="77"/>
  <c r="W223" i="77"/>
  <c r="AA223" i="77"/>
  <c r="AD223" i="77"/>
  <c r="AL223" i="77"/>
  <c r="AM223" i="77"/>
  <c r="AN223" i="77"/>
  <c r="AO223" i="77"/>
  <c r="AP223" i="77"/>
  <c r="AQ223" i="77" s="1"/>
  <c r="AS223" i="77"/>
  <c r="AT223" i="77"/>
  <c r="AU223" i="77"/>
  <c r="AV223" i="77"/>
  <c r="AW223" i="77"/>
  <c r="AZ223" i="77"/>
  <c r="BB223" i="77"/>
  <c r="BD223" i="77"/>
  <c r="BG223" i="77"/>
  <c r="BH223" i="77" s="1"/>
  <c r="BI223" i="77"/>
  <c r="AR654" i="77" l="1"/>
  <c r="AR657" i="77"/>
  <c r="AR653" i="77"/>
  <c r="AF654" i="77"/>
  <c r="AE654" i="77" s="1"/>
  <c r="AR629" i="77"/>
  <c r="AR655" i="77"/>
  <c r="AF629" i="77"/>
  <c r="AE629" i="77" s="1"/>
  <c r="BJ656" i="77"/>
  <c r="BK656" i="77" s="1"/>
  <c r="AR656" i="77"/>
  <c r="AF655" i="77"/>
  <c r="AE655" i="77" s="1"/>
  <c r="AF656" i="77"/>
  <c r="AE656" i="77" s="1"/>
  <c r="AY654" i="77"/>
  <c r="BJ654" i="77"/>
  <c r="BK654" i="77" s="1"/>
  <c r="BG655" i="77"/>
  <c r="BH655" i="77" s="1"/>
  <c r="AF653" i="77"/>
  <c r="AE653" i="77" s="1"/>
  <c r="BG657" i="77"/>
  <c r="BH657" i="77" s="1"/>
  <c r="AY653" i="77"/>
  <c r="BA655" i="77"/>
  <c r="AX653" i="77"/>
  <c r="BG653" i="77"/>
  <c r="BH653" i="77" s="1"/>
  <c r="BG656" i="77"/>
  <c r="BH656" i="77" s="1"/>
  <c r="BA654" i="77"/>
  <c r="BI654" i="77" s="1"/>
  <c r="AX655" i="77"/>
  <c r="AF657" i="77"/>
  <c r="AE657" i="77" s="1"/>
  <c r="BJ629" i="77"/>
  <c r="BK629" i="77" s="1"/>
  <c r="BA656" i="77"/>
  <c r="AX656" i="77"/>
  <c r="BI656" i="77" s="1"/>
  <c r="BA657" i="77"/>
  <c r="BG605" i="77"/>
  <c r="BH605" i="77" s="1"/>
  <c r="BA629" i="77"/>
  <c r="AX657" i="77"/>
  <c r="AR608" i="77"/>
  <c r="AF608" i="77"/>
  <c r="AE608" i="77" s="1"/>
  <c r="BJ608" i="77"/>
  <c r="BK608" i="77" s="1"/>
  <c r="AX629" i="77"/>
  <c r="AR607" i="77"/>
  <c r="AF604" i="77"/>
  <c r="AE604" i="77" s="1"/>
  <c r="BG607" i="77"/>
  <c r="BH607" i="77" s="1"/>
  <c r="AY607" i="77"/>
  <c r="AR604" i="77"/>
  <c r="BA608" i="77"/>
  <c r="AF605" i="77"/>
  <c r="AE605" i="77" s="1"/>
  <c r="BJ606" i="77"/>
  <c r="BK606" i="77" s="1"/>
  <c r="AR603" i="77"/>
  <c r="AF607" i="77"/>
  <c r="AE607" i="77" s="1"/>
  <c r="BA603" i="77"/>
  <c r="AY605" i="77"/>
  <c r="AF606" i="77"/>
  <c r="AE606" i="77" s="1"/>
  <c r="AF603" i="77"/>
  <c r="AE603" i="77" s="1"/>
  <c r="BJ604" i="77"/>
  <c r="BK604" i="77" s="1"/>
  <c r="BA607" i="77"/>
  <c r="AX608" i="77"/>
  <c r="BA604" i="77"/>
  <c r="BG603" i="77"/>
  <c r="BH603" i="77" s="1"/>
  <c r="AY603" i="77"/>
  <c r="AR606" i="77"/>
  <c r="AR605" i="77"/>
  <c r="AX604" i="77"/>
  <c r="BA606" i="77"/>
  <c r="BJ223" i="77"/>
  <c r="BK223" i="77" s="1"/>
  <c r="AR222" i="77"/>
  <c r="BA605" i="77"/>
  <c r="AX606" i="77"/>
  <c r="AF223" i="77"/>
  <c r="AE223" i="77" s="1"/>
  <c r="AR223" i="77"/>
  <c r="AY222" i="77"/>
  <c r="BC223" i="77"/>
  <c r="AY223" i="77"/>
  <c r="AX223" i="77"/>
  <c r="BB222" i="77"/>
  <c r="AX222" i="77"/>
  <c r="AF222" i="77"/>
  <c r="AE222" i="77" s="1"/>
  <c r="BJ222" i="77"/>
  <c r="BK222" i="77" s="1"/>
  <c r="BL656" i="77" l="1"/>
  <c r="BE653" i="77"/>
  <c r="BI603" i="77"/>
  <c r="BI607" i="77"/>
  <c r="BL629" i="77"/>
  <c r="BI657" i="77"/>
  <c r="BI655" i="77"/>
  <c r="BI653" i="77"/>
  <c r="BL654" i="77"/>
  <c r="BE655" i="77"/>
  <c r="BE654" i="77"/>
  <c r="BE656" i="77"/>
  <c r="BE605" i="77"/>
  <c r="BE657" i="77"/>
  <c r="BE606" i="77"/>
  <c r="BE629" i="77"/>
  <c r="BL608" i="77"/>
  <c r="BL604" i="77"/>
  <c r="BL606" i="77"/>
  <c r="BE603" i="77"/>
  <c r="BE608" i="77"/>
  <c r="BE604" i="77"/>
  <c r="BI605" i="77"/>
  <c r="BE607" i="77"/>
  <c r="BL222" i="77"/>
  <c r="BL223" i="77"/>
  <c r="BE222" i="77"/>
  <c r="BE223" i="77"/>
  <c r="AA133" i="77" l="1"/>
  <c r="BL651" i="77" l="1"/>
  <c r="BJ651" i="77"/>
  <c r="BK651" i="77" s="1"/>
  <c r="BD651" i="77"/>
  <c r="BC651" i="77"/>
  <c r="BB651" i="77"/>
  <c r="AZ651" i="77"/>
  <c r="AW651" i="77"/>
  <c r="AU651" i="77"/>
  <c r="AT651" i="77"/>
  <c r="AS651" i="77"/>
  <c r="AP651" i="77"/>
  <c r="AQ651" i="77" s="1"/>
  <c r="AO651" i="77"/>
  <c r="AN651" i="77"/>
  <c r="AM651" i="77"/>
  <c r="AL651" i="77"/>
  <c r="AD651" i="77"/>
  <c r="AA651" i="77"/>
  <c r="AV651" i="77" s="1"/>
  <c r="W651" i="77"/>
  <c r="AY651" i="77"/>
  <c r="A651" i="77"/>
  <c r="BI661" i="77"/>
  <c r="BG661" i="77"/>
  <c r="BH661" i="77" s="1"/>
  <c r="BD661" i="77"/>
  <c r="BC661" i="77"/>
  <c r="BB661" i="77"/>
  <c r="AZ661" i="77"/>
  <c r="AW661" i="77"/>
  <c r="AV661" i="77"/>
  <c r="AU661" i="77"/>
  <c r="AT661" i="77"/>
  <c r="AS661" i="77"/>
  <c r="AP661" i="77"/>
  <c r="AQ661" i="77" s="1"/>
  <c r="AO661" i="77"/>
  <c r="AN661" i="77"/>
  <c r="AM661" i="77"/>
  <c r="AA661" i="77"/>
  <c r="AD661" i="77" s="1"/>
  <c r="AF661" i="77" s="1"/>
  <c r="AE661" i="77" s="1"/>
  <c r="W661" i="77"/>
  <c r="AY661" i="77"/>
  <c r="A661" i="77"/>
  <c r="BI635" i="77"/>
  <c r="BG635" i="77"/>
  <c r="BH635" i="77" s="1"/>
  <c r="BD635" i="77"/>
  <c r="BC635" i="77"/>
  <c r="BB635" i="77"/>
  <c r="AZ635" i="77"/>
  <c r="AW635" i="77"/>
  <c r="AV635" i="77"/>
  <c r="AU635" i="77"/>
  <c r="AT635" i="77"/>
  <c r="AS635" i="77"/>
  <c r="AP635" i="77"/>
  <c r="AQ635" i="77" s="1"/>
  <c r="AO635" i="77"/>
  <c r="AN635" i="77"/>
  <c r="AM635" i="77"/>
  <c r="AL635" i="77"/>
  <c r="AD635" i="77"/>
  <c r="AA635" i="77"/>
  <c r="W635" i="77"/>
  <c r="BI634" i="77"/>
  <c r="BG634" i="77"/>
  <c r="BH634" i="77" s="1"/>
  <c r="BD634" i="77"/>
  <c r="BC634" i="77"/>
  <c r="AZ634" i="77"/>
  <c r="AW634" i="77"/>
  <c r="AV634" i="77"/>
  <c r="AU634" i="77"/>
  <c r="AT634" i="77"/>
  <c r="AS634" i="77"/>
  <c r="AP634" i="77"/>
  <c r="AQ634" i="77" s="1"/>
  <c r="AO634" i="77"/>
  <c r="AN634" i="77"/>
  <c r="AM634" i="77"/>
  <c r="AL634" i="77"/>
  <c r="AD634" i="77"/>
  <c r="AA634" i="77"/>
  <c r="W634" i="77"/>
  <c r="BI633" i="77"/>
  <c r="BG633" i="77"/>
  <c r="BH633" i="77" s="1"/>
  <c r="BD633" i="77"/>
  <c r="BC633" i="77"/>
  <c r="AZ633" i="77"/>
  <c r="AW633" i="77"/>
  <c r="AV633" i="77"/>
  <c r="AU633" i="77"/>
  <c r="AT633" i="77"/>
  <c r="AS633" i="77"/>
  <c r="AP633" i="77"/>
  <c r="AQ633" i="77" s="1"/>
  <c r="AO633" i="77"/>
  <c r="AN633" i="77"/>
  <c r="AM633" i="77"/>
  <c r="AL633" i="77"/>
  <c r="AD633" i="77"/>
  <c r="AA633" i="77"/>
  <c r="W633" i="77"/>
  <c r="BI632" i="77"/>
  <c r="BG632" i="77"/>
  <c r="BH632" i="77" s="1"/>
  <c r="BD632" i="77"/>
  <c r="BC632" i="77"/>
  <c r="AZ632" i="77"/>
  <c r="AW632" i="77"/>
  <c r="AV632" i="77"/>
  <c r="AU632" i="77"/>
  <c r="AT632" i="77"/>
  <c r="AS632" i="77"/>
  <c r="AP632" i="77"/>
  <c r="AQ632" i="77" s="1"/>
  <c r="AO632" i="77"/>
  <c r="AN632" i="77"/>
  <c r="AM632" i="77"/>
  <c r="AL632" i="77"/>
  <c r="AD632" i="77"/>
  <c r="AA632" i="77"/>
  <c r="W632" i="77"/>
  <c r="BI631" i="77"/>
  <c r="BG631" i="77"/>
  <c r="BH631" i="77" s="1"/>
  <c r="BD631" i="77"/>
  <c r="BC631" i="77"/>
  <c r="AZ631" i="77"/>
  <c r="AW631" i="77"/>
  <c r="AV631" i="77"/>
  <c r="AU631" i="77"/>
  <c r="AT631" i="77"/>
  <c r="AS631" i="77"/>
  <c r="AP631" i="77"/>
  <c r="AQ631" i="77" s="1"/>
  <c r="AO631" i="77"/>
  <c r="AN631" i="77"/>
  <c r="AM631" i="77"/>
  <c r="AL631" i="77"/>
  <c r="AD631" i="77"/>
  <c r="AA631" i="77"/>
  <c r="W631" i="77"/>
  <c r="BD630" i="77"/>
  <c r="BC630" i="77"/>
  <c r="BB630" i="77"/>
  <c r="AZ630" i="77"/>
  <c r="AW630" i="77"/>
  <c r="AV630" i="77"/>
  <c r="AU630" i="77"/>
  <c r="AT630" i="77"/>
  <c r="AS630" i="77"/>
  <c r="AP630" i="77"/>
  <c r="AQ630" i="77" s="1"/>
  <c r="AO630" i="77"/>
  <c r="AN630" i="77"/>
  <c r="BJ630" i="77" s="1"/>
  <c r="BK630" i="77" s="1"/>
  <c r="AM630" i="77"/>
  <c r="AL630" i="77"/>
  <c r="AD630" i="77"/>
  <c r="AA630" i="77"/>
  <c r="W630" i="77"/>
  <c r="BL628" i="77"/>
  <c r="BJ628" i="77"/>
  <c r="BK628" i="77" s="1"/>
  <c r="BD628" i="77"/>
  <c r="BC628" i="77"/>
  <c r="BB628" i="77"/>
  <c r="AZ628" i="77"/>
  <c r="AW628" i="77"/>
  <c r="AV628" i="77"/>
  <c r="AU628" i="77"/>
  <c r="AT628" i="77"/>
  <c r="AS628" i="77"/>
  <c r="AP628" i="77"/>
  <c r="AQ628" i="77" s="1"/>
  <c r="AO628" i="77"/>
  <c r="AN628" i="77"/>
  <c r="AM628" i="77"/>
  <c r="AL628" i="77"/>
  <c r="AD628" i="77"/>
  <c r="AA628" i="77"/>
  <c r="W628" i="77"/>
  <c r="BD627" i="77"/>
  <c r="BC627" i="77"/>
  <c r="BB627" i="77"/>
  <c r="AZ627" i="77"/>
  <c r="AW627" i="77"/>
  <c r="AV627" i="77"/>
  <c r="AU627" i="77"/>
  <c r="AT627" i="77"/>
  <c r="AS627" i="77"/>
  <c r="AP627" i="77"/>
  <c r="AQ627" i="77" s="1"/>
  <c r="AO627" i="77"/>
  <c r="AN627" i="77"/>
  <c r="AM627" i="77"/>
  <c r="AL627" i="77"/>
  <c r="AD627" i="77"/>
  <c r="AA627" i="77"/>
  <c r="W627" i="77"/>
  <c r="BL626" i="77"/>
  <c r="BJ626" i="77"/>
  <c r="BK626" i="77" s="1"/>
  <c r="BD626" i="77"/>
  <c r="BC626" i="77"/>
  <c r="BB626" i="77"/>
  <c r="AZ626" i="77"/>
  <c r="AW626" i="77"/>
  <c r="AV626" i="77"/>
  <c r="AU626" i="77"/>
  <c r="AT626" i="77"/>
  <c r="AS626" i="77"/>
  <c r="AP626" i="77"/>
  <c r="AQ626" i="77" s="1"/>
  <c r="AO626" i="77"/>
  <c r="AN626" i="77"/>
  <c r="AM626" i="77"/>
  <c r="AL626" i="77"/>
  <c r="AD626" i="77"/>
  <c r="AA626" i="77"/>
  <c r="W626" i="77"/>
  <c r="BI625" i="77"/>
  <c r="BG625" i="77"/>
  <c r="BH625" i="77" s="1"/>
  <c r="BD625" i="77"/>
  <c r="BC625" i="77"/>
  <c r="BB625" i="77"/>
  <c r="AZ625" i="77"/>
  <c r="AW625" i="77"/>
  <c r="AV625" i="77"/>
  <c r="AU625" i="77"/>
  <c r="AT625" i="77"/>
  <c r="AS625" i="77"/>
  <c r="AP625" i="77"/>
  <c r="AQ625" i="77" s="1"/>
  <c r="AO625" i="77"/>
  <c r="AN625" i="77"/>
  <c r="AM625" i="77"/>
  <c r="AL625" i="77"/>
  <c r="AD625" i="77"/>
  <c r="AA625" i="77"/>
  <c r="W625" i="77"/>
  <c r="BL624" i="77"/>
  <c r="BJ624" i="77"/>
  <c r="BK624" i="77" s="1"/>
  <c r="BD624" i="77"/>
  <c r="BC624" i="77"/>
  <c r="BB624" i="77"/>
  <c r="AZ624" i="77"/>
  <c r="AW624" i="77"/>
  <c r="AV624" i="77"/>
  <c r="AU624" i="77"/>
  <c r="AT624" i="77"/>
  <c r="AS624" i="77"/>
  <c r="AP624" i="77"/>
  <c r="AQ624" i="77" s="1"/>
  <c r="AO624" i="77"/>
  <c r="AN624" i="77"/>
  <c r="AM624" i="77"/>
  <c r="AL624" i="77"/>
  <c r="AD624" i="77"/>
  <c r="AA624" i="77"/>
  <c r="W624" i="77"/>
  <c r="BI623" i="77"/>
  <c r="BG623" i="77"/>
  <c r="BH623" i="77" s="1"/>
  <c r="BD623" i="77"/>
  <c r="BC623" i="77"/>
  <c r="BB623" i="77"/>
  <c r="AZ623" i="77"/>
  <c r="AW623" i="77"/>
  <c r="AU623" i="77"/>
  <c r="AT623" i="77"/>
  <c r="AS623" i="77"/>
  <c r="AP623" i="77"/>
  <c r="AQ623" i="77" s="1"/>
  <c r="AO623" i="77"/>
  <c r="AN623" i="77"/>
  <c r="AM623" i="77"/>
  <c r="AL623" i="77"/>
  <c r="AD623" i="77"/>
  <c r="AA623" i="77"/>
  <c r="AV623" i="77" s="1"/>
  <c r="W623" i="77"/>
  <c r="BI622" i="77"/>
  <c r="BG622" i="77"/>
  <c r="BH622" i="77" s="1"/>
  <c r="BD622" i="77"/>
  <c r="BC622" i="77"/>
  <c r="BB622" i="77"/>
  <c r="AZ622" i="77"/>
  <c r="AW622" i="77"/>
  <c r="AU622" i="77"/>
  <c r="AT622" i="77"/>
  <c r="AS622" i="77"/>
  <c r="AP622" i="77"/>
  <c r="AQ622" i="77" s="1"/>
  <c r="AO622" i="77"/>
  <c r="AN622" i="77"/>
  <c r="AM622" i="77"/>
  <c r="AL622" i="77"/>
  <c r="AD622" i="77"/>
  <c r="AA622" i="77"/>
  <c r="AV622" i="77" s="1"/>
  <c r="W622" i="77"/>
  <c r="BI621" i="77"/>
  <c r="BG621" i="77"/>
  <c r="BH621" i="77" s="1"/>
  <c r="BD621" i="77"/>
  <c r="BC621" i="77"/>
  <c r="BB621" i="77"/>
  <c r="AZ621" i="77"/>
  <c r="AW621" i="77"/>
  <c r="AU621" i="77"/>
  <c r="AT621" i="77"/>
  <c r="AS621" i="77"/>
  <c r="AP621" i="77"/>
  <c r="AO621" i="77"/>
  <c r="AN621" i="77"/>
  <c r="AM621" i="77"/>
  <c r="AL621" i="77"/>
  <c r="AD621" i="77"/>
  <c r="AA621" i="77"/>
  <c r="AV621" i="77" s="1"/>
  <c r="W621" i="77"/>
  <c r="BI620" i="77"/>
  <c r="BG620" i="77"/>
  <c r="BH620" i="77" s="1"/>
  <c r="BD620" i="77"/>
  <c r="BC620" i="77"/>
  <c r="BB620" i="77"/>
  <c r="AZ620" i="77"/>
  <c r="AW620" i="77"/>
  <c r="AU620" i="77"/>
  <c r="AT620" i="77"/>
  <c r="AS620" i="77"/>
  <c r="AP620" i="77"/>
  <c r="AQ620" i="77" s="1"/>
  <c r="AO620" i="77"/>
  <c r="AN620" i="77"/>
  <c r="AM620" i="77"/>
  <c r="AL620" i="77"/>
  <c r="AD620" i="77"/>
  <c r="AA620" i="77"/>
  <c r="AV620" i="77" s="1"/>
  <c r="W620" i="77"/>
  <c r="BL619" i="77"/>
  <c r="BJ619" i="77"/>
  <c r="BK619" i="77" s="1"/>
  <c r="BD619" i="77"/>
  <c r="BC619" i="77"/>
  <c r="BB619" i="77"/>
  <c r="AZ619" i="77"/>
  <c r="AW619" i="77"/>
  <c r="AU619" i="77"/>
  <c r="AT619" i="77"/>
  <c r="AS619" i="77"/>
  <c r="AP619" i="77"/>
  <c r="AQ619" i="77" s="1"/>
  <c r="AO619" i="77"/>
  <c r="AN619" i="77"/>
  <c r="AM619" i="77"/>
  <c r="AL619" i="77"/>
  <c r="AD619" i="77"/>
  <c r="AA619" i="77"/>
  <c r="AV619" i="77" s="1"/>
  <c r="W619" i="77"/>
  <c r="BL618" i="77"/>
  <c r="BJ618" i="77"/>
  <c r="BK618" i="77" s="1"/>
  <c r="BD618" i="77"/>
  <c r="BC618" i="77"/>
  <c r="BB618" i="77"/>
  <c r="AZ618" i="77"/>
  <c r="AW618" i="77"/>
  <c r="AU618" i="77"/>
  <c r="AT618" i="77"/>
  <c r="AS618" i="77"/>
  <c r="AP618" i="77"/>
  <c r="AQ618" i="77" s="1"/>
  <c r="AO618" i="77"/>
  <c r="AN618" i="77"/>
  <c r="AM618" i="77"/>
  <c r="AL618" i="77"/>
  <c r="AD618" i="77"/>
  <c r="AA618" i="77"/>
  <c r="AV618" i="77" s="1"/>
  <c r="W618" i="77"/>
  <c r="BL617" i="77"/>
  <c r="BJ617" i="77"/>
  <c r="BK617" i="77" s="1"/>
  <c r="BD617" i="77"/>
  <c r="BC617" i="77"/>
  <c r="BB617" i="77"/>
  <c r="AZ617" i="77"/>
  <c r="AW617" i="77"/>
  <c r="AU617" i="77"/>
  <c r="AT617" i="77"/>
  <c r="AS617" i="77"/>
  <c r="AP617" i="77"/>
  <c r="AQ617" i="77" s="1"/>
  <c r="AO617" i="77"/>
  <c r="AN617" i="77"/>
  <c r="AM617" i="77"/>
  <c r="AL617" i="77"/>
  <c r="AD617" i="77"/>
  <c r="AA617" i="77"/>
  <c r="AV617" i="77" s="1"/>
  <c r="W617" i="77"/>
  <c r="BL616" i="77"/>
  <c r="BJ616" i="77"/>
  <c r="BK616" i="77" s="1"/>
  <c r="BD616" i="77"/>
  <c r="BC616" i="77"/>
  <c r="BB616" i="77"/>
  <c r="AZ616" i="77"/>
  <c r="AW616" i="77"/>
  <c r="AU616" i="77"/>
  <c r="AT616" i="77"/>
  <c r="AS616" i="77"/>
  <c r="AP616" i="77"/>
  <c r="AQ616" i="77" s="1"/>
  <c r="AO616" i="77"/>
  <c r="AN616" i="77"/>
  <c r="AM616" i="77"/>
  <c r="AL616" i="77"/>
  <c r="AD616" i="77"/>
  <c r="AA616" i="77"/>
  <c r="AV616" i="77" s="1"/>
  <c r="W616" i="77"/>
  <c r="BI615" i="77"/>
  <c r="BG615" i="77"/>
  <c r="BH615" i="77" s="1"/>
  <c r="BD615" i="77"/>
  <c r="BC615" i="77"/>
  <c r="BB615" i="77"/>
  <c r="AZ615" i="77"/>
  <c r="AW615" i="77"/>
  <c r="AU615" i="77"/>
  <c r="AT615" i="77"/>
  <c r="AS615" i="77"/>
  <c r="AP615" i="77"/>
  <c r="AQ615" i="77" s="1"/>
  <c r="AO615" i="77"/>
  <c r="AN615" i="77"/>
  <c r="AM615" i="77"/>
  <c r="AL615" i="77"/>
  <c r="AD615" i="77"/>
  <c r="AA615" i="77"/>
  <c r="AV615" i="77" s="1"/>
  <c r="W615" i="77"/>
  <c r="BL614" i="77"/>
  <c r="BJ614" i="77"/>
  <c r="BK614" i="77" s="1"/>
  <c r="BD614" i="77"/>
  <c r="BC614" i="77"/>
  <c r="BB614" i="77"/>
  <c r="AZ614" i="77"/>
  <c r="AW614" i="77"/>
  <c r="AU614" i="77"/>
  <c r="AT614" i="77"/>
  <c r="AS614" i="77"/>
  <c r="AP614" i="77"/>
  <c r="AQ614" i="77" s="1"/>
  <c r="AO614" i="77"/>
  <c r="AN614" i="77"/>
  <c r="AM614" i="77"/>
  <c r="AL614" i="77"/>
  <c r="AD614" i="77"/>
  <c r="AA614" i="77"/>
  <c r="AV614" i="77" s="1"/>
  <c r="W614" i="77"/>
  <c r="BD662" i="77"/>
  <c r="BC662" i="77"/>
  <c r="BB662" i="77"/>
  <c r="AZ662" i="77"/>
  <c r="AW662" i="77"/>
  <c r="AV662" i="77"/>
  <c r="AU662" i="77"/>
  <c r="AT662" i="77"/>
  <c r="AS662" i="77"/>
  <c r="AP662" i="77"/>
  <c r="AQ662" i="77" s="1"/>
  <c r="AO662" i="77"/>
  <c r="AN662" i="77"/>
  <c r="AL662" i="77"/>
  <c r="AA662" i="77"/>
  <c r="W662" i="77"/>
  <c r="AY662" i="77"/>
  <c r="A662" i="77"/>
  <c r="BI660" i="77"/>
  <c r="BG660" i="77"/>
  <c r="BH660" i="77" s="1"/>
  <c r="BD660" i="77"/>
  <c r="BB660" i="77"/>
  <c r="AZ660" i="77"/>
  <c r="AW660" i="77"/>
  <c r="AV660" i="77"/>
  <c r="AU660" i="77"/>
  <c r="AT660" i="77"/>
  <c r="AS660" i="77"/>
  <c r="AP660" i="77"/>
  <c r="AQ660" i="77" s="1"/>
  <c r="AO660" i="77"/>
  <c r="AN660" i="77"/>
  <c r="AM660" i="77"/>
  <c r="AL660" i="77"/>
  <c r="AD660" i="77"/>
  <c r="AA660" i="77"/>
  <c r="W660" i="77"/>
  <c r="AX660" i="77"/>
  <c r="A660" i="77"/>
  <c r="BI659" i="77"/>
  <c r="BG659" i="77"/>
  <c r="BH659" i="77" s="1"/>
  <c r="BD659" i="77"/>
  <c r="BC659" i="77"/>
  <c r="AZ659" i="77"/>
  <c r="AW659" i="77"/>
  <c r="AV659" i="77"/>
  <c r="AU659" i="77"/>
  <c r="AT659" i="77"/>
  <c r="AS659" i="77"/>
  <c r="AP659" i="77"/>
  <c r="AQ659" i="77" s="1"/>
  <c r="AO659" i="77"/>
  <c r="AN659" i="77"/>
  <c r="AM659" i="77"/>
  <c r="AL659" i="77"/>
  <c r="AD659" i="77"/>
  <c r="AA659" i="77"/>
  <c r="W659" i="77"/>
  <c r="BA659" i="77"/>
  <c r="A659" i="77"/>
  <c r="BD658" i="77"/>
  <c r="BC658" i="77"/>
  <c r="BB658" i="77"/>
  <c r="AZ658" i="77"/>
  <c r="AW658" i="77"/>
  <c r="AV658" i="77"/>
  <c r="AU658" i="77"/>
  <c r="AT658" i="77"/>
  <c r="AS658" i="77"/>
  <c r="AP658" i="77"/>
  <c r="AQ658" i="77" s="1"/>
  <c r="AO658" i="77"/>
  <c r="AN658" i="77"/>
  <c r="AM658" i="77"/>
  <c r="AL658" i="77"/>
  <c r="AD658" i="77"/>
  <c r="AA658" i="77"/>
  <c r="W658" i="77"/>
  <c r="AX658" i="77"/>
  <c r="A658" i="77"/>
  <c r="BI652" i="77"/>
  <c r="BG652" i="77"/>
  <c r="BH652" i="77" s="1"/>
  <c r="BD652" i="77"/>
  <c r="BC652" i="77"/>
  <c r="BB652" i="77"/>
  <c r="AZ652" i="77"/>
  <c r="AW652" i="77"/>
  <c r="AU652" i="77"/>
  <c r="AT652" i="77"/>
  <c r="AS652" i="77"/>
  <c r="AP652" i="77"/>
  <c r="AQ652" i="77" s="1"/>
  <c r="AO652" i="77"/>
  <c r="AN652" i="77"/>
  <c r="AM652" i="77"/>
  <c r="AL652" i="77"/>
  <c r="AD652" i="77"/>
  <c r="AA652" i="77"/>
  <c r="AV652" i="77" s="1"/>
  <c r="W652" i="77"/>
  <c r="BI650" i="77"/>
  <c r="BG650" i="77"/>
  <c r="BH650" i="77" s="1"/>
  <c r="BC650" i="77"/>
  <c r="BB650" i="77"/>
  <c r="AZ650" i="77"/>
  <c r="AW650" i="77"/>
  <c r="AV650" i="77"/>
  <c r="AU650" i="77"/>
  <c r="AT650" i="77"/>
  <c r="AS650" i="77"/>
  <c r="AP650" i="77"/>
  <c r="AQ650" i="77" s="1"/>
  <c r="AO650" i="77"/>
  <c r="AN650" i="77"/>
  <c r="AM650" i="77"/>
  <c r="AL650" i="77"/>
  <c r="AD650" i="77"/>
  <c r="AA650" i="77"/>
  <c r="BD650" i="77" s="1"/>
  <c r="W650" i="77"/>
  <c r="BI649" i="77"/>
  <c r="BG649" i="77"/>
  <c r="BH649" i="77" s="1"/>
  <c r="BC649" i="77"/>
  <c r="BB649" i="77"/>
  <c r="AZ649" i="77"/>
  <c r="AW649" i="77"/>
  <c r="AV649" i="77"/>
  <c r="AU649" i="77"/>
  <c r="AT649" i="77"/>
  <c r="AS649" i="77"/>
  <c r="AP649" i="77"/>
  <c r="AQ649" i="77" s="1"/>
  <c r="AO649" i="77"/>
  <c r="AN649" i="77"/>
  <c r="AM649" i="77"/>
  <c r="AL649" i="77"/>
  <c r="AD649" i="77"/>
  <c r="AA649" i="77"/>
  <c r="BD649" i="77" s="1"/>
  <c r="W649" i="77"/>
  <c r="BI648" i="77"/>
  <c r="BG648" i="77"/>
  <c r="BH648" i="77" s="1"/>
  <c r="BC648" i="77"/>
  <c r="BB648" i="77"/>
  <c r="AZ648" i="77"/>
  <c r="AW648" i="77"/>
  <c r="AV648" i="77"/>
  <c r="AU648" i="77"/>
  <c r="AT648" i="77"/>
  <c r="AS648" i="77"/>
  <c r="AP648" i="77"/>
  <c r="AQ648" i="77" s="1"/>
  <c r="AO648" i="77"/>
  <c r="AN648" i="77"/>
  <c r="AM648" i="77"/>
  <c r="AL648" i="77"/>
  <c r="AD648" i="77"/>
  <c r="AA648" i="77"/>
  <c r="BD648" i="77" s="1"/>
  <c r="W648" i="77"/>
  <c r="BI647" i="77"/>
  <c r="BG647" i="77"/>
  <c r="BH647" i="77" s="1"/>
  <c r="BC647" i="77"/>
  <c r="BB647" i="77"/>
  <c r="AZ647" i="77"/>
  <c r="AW647" i="77"/>
  <c r="AV647" i="77"/>
  <c r="AU647" i="77"/>
  <c r="AT647" i="77"/>
  <c r="AS647" i="77"/>
  <c r="AP647" i="77"/>
  <c r="AQ647" i="77" s="1"/>
  <c r="AO647" i="77"/>
  <c r="AN647" i="77"/>
  <c r="AM647" i="77"/>
  <c r="AL647" i="77"/>
  <c r="AD647" i="77"/>
  <c r="AA647" i="77"/>
  <c r="BD647" i="77" s="1"/>
  <c r="W647" i="77"/>
  <c r="BI646" i="77"/>
  <c r="BG646" i="77"/>
  <c r="BH646" i="77" s="1"/>
  <c r="BC646" i="77"/>
  <c r="BB646" i="77"/>
  <c r="AZ646" i="77"/>
  <c r="AW646" i="77"/>
  <c r="AV646" i="77"/>
  <c r="AU646" i="77"/>
  <c r="AT646" i="77"/>
  <c r="AS646" i="77"/>
  <c r="AP646" i="77"/>
  <c r="AQ646" i="77" s="1"/>
  <c r="AO646" i="77"/>
  <c r="AN646" i="77"/>
  <c r="AM646" i="77"/>
  <c r="AL646" i="77"/>
  <c r="AD646" i="77"/>
  <c r="AA646" i="77"/>
  <c r="BD646" i="77" s="1"/>
  <c r="W646" i="77"/>
  <c r="BI645" i="77"/>
  <c r="BG645" i="77"/>
  <c r="BH645" i="77" s="1"/>
  <c r="BC645" i="77"/>
  <c r="BB645" i="77"/>
  <c r="AZ645" i="77"/>
  <c r="AW645" i="77"/>
  <c r="AV645" i="77"/>
  <c r="AU645" i="77"/>
  <c r="AT645" i="77"/>
  <c r="AS645" i="77"/>
  <c r="AP645" i="77"/>
  <c r="AQ645" i="77" s="1"/>
  <c r="AO645" i="77"/>
  <c r="AN645" i="77"/>
  <c r="AM645" i="77"/>
  <c r="AL645" i="77"/>
  <c r="AD645" i="77"/>
  <c r="AA645" i="77"/>
  <c r="BD645" i="77" s="1"/>
  <c r="W645" i="77"/>
  <c r="BI644" i="77"/>
  <c r="BG644" i="77"/>
  <c r="BH644" i="77" s="1"/>
  <c r="BC644" i="77"/>
  <c r="BB644" i="77"/>
  <c r="AZ644" i="77"/>
  <c r="AW644" i="77"/>
  <c r="AV644" i="77"/>
  <c r="AU644" i="77"/>
  <c r="AT644" i="77"/>
  <c r="AS644" i="77"/>
  <c r="AP644" i="77"/>
  <c r="AQ644" i="77" s="1"/>
  <c r="AO644" i="77"/>
  <c r="AN644" i="77"/>
  <c r="AM644" i="77"/>
  <c r="AL644" i="77"/>
  <c r="AD644" i="77"/>
  <c r="AA644" i="77"/>
  <c r="BD644" i="77" s="1"/>
  <c r="W644" i="77"/>
  <c r="BI643" i="77"/>
  <c r="BG643" i="77"/>
  <c r="BH643" i="77" s="1"/>
  <c r="BC643" i="77"/>
  <c r="BB643" i="77"/>
  <c r="AZ643" i="77"/>
  <c r="AW643" i="77"/>
  <c r="AV643" i="77"/>
  <c r="AU643" i="77"/>
  <c r="AT643" i="77"/>
  <c r="AS643" i="77"/>
  <c r="AP643" i="77"/>
  <c r="AO643" i="77"/>
  <c r="AN643" i="77"/>
  <c r="AM643" i="77"/>
  <c r="AL643" i="77"/>
  <c r="AD643" i="77"/>
  <c r="AA643" i="77"/>
  <c r="W643" i="77"/>
  <c r="BI642" i="77"/>
  <c r="BG642" i="77"/>
  <c r="BH642" i="77" s="1"/>
  <c r="BD642" i="77"/>
  <c r="BB642" i="77"/>
  <c r="AZ642" i="77"/>
  <c r="AW642" i="77"/>
  <c r="AV642" i="77"/>
  <c r="AU642" i="77"/>
  <c r="AT642" i="77"/>
  <c r="AS642" i="77"/>
  <c r="AP642" i="77"/>
  <c r="AQ642" i="77" s="1"/>
  <c r="AO642" i="77"/>
  <c r="AN642" i="77"/>
  <c r="AM642" i="77"/>
  <c r="AL642" i="77"/>
  <c r="AD642" i="77"/>
  <c r="AA642" i="77"/>
  <c r="W642" i="77"/>
  <c r="BI641" i="77"/>
  <c r="BG641" i="77"/>
  <c r="BH641" i="77" s="1"/>
  <c r="BD641" i="77"/>
  <c r="BB641" i="77"/>
  <c r="AZ641" i="77"/>
  <c r="AW641" i="77"/>
  <c r="AV641" i="77"/>
  <c r="AU641" i="77"/>
  <c r="AT641" i="77"/>
  <c r="AS641" i="77"/>
  <c r="AP641" i="77"/>
  <c r="AQ641" i="77" s="1"/>
  <c r="AO641" i="77"/>
  <c r="AN641" i="77"/>
  <c r="AM641" i="77"/>
  <c r="AL641" i="77"/>
  <c r="AD641" i="77"/>
  <c r="AA641" i="77"/>
  <c r="W641" i="77"/>
  <c r="BI640" i="77"/>
  <c r="BG640" i="77"/>
  <c r="BH640" i="77" s="1"/>
  <c r="BD640" i="77"/>
  <c r="BB640" i="77"/>
  <c r="AZ640" i="77"/>
  <c r="AW640" i="77"/>
  <c r="AV640" i="77"/>
  <c r="AU640" i="77"/>
  <c r="AT640" i="77"/>
  <c r="AS640" i="77"/>
  <c r="AP640" i="77"/>
  <c r="AQ640" i="77" s="1"/>
  <c r="AO640" i="77"/>
  <c r="AN640" i="77"/>
  <c r="AM640" i="77"/>
  <c r="AL640" i="77"/>
  <c r="AD640" i="77"/>
  <c r="AA640" i="77"/>
  <c r="W640" i="77"/>
  <c r="BI639" i="77"/>
  <c r="BG639" i="77"/>
  <c r="BH639" i="77" s="1"/>
  <c r="BD639" i="77"/>
  <c r="BB639" i="77"/>
  <c r="AZ639" i="77"/>
  <c r="AW639" i="77"/>
  <c r="AV639" i="77"/>
  <c r="AU639" i="77"/>
  <c r="AT639" i="77"/>
  <c r="AS639" i="77"/>
  <c r="AP639" i="77"/>
  <c r="AQ639" i="77" s="1"/>
  <c r="AO639" i="77"/>
  <c r="AN639" i="77"/>
  <c r="AM639" i="77"/>
  <c r="AL639" i="77"/>
  <c r="AD639" i="77"/>
  <c r="AA639" i="77"/>
  <c r="W639" i="77"/>
  <c r="BI638" i="77"/>
  <c r="BG638" i="77"/>
  <c r="BH638" i="77" s="1"/>
  <c r="BD638" i="77"/>
  <c r="BC638" i="77"/>
  <c r="BB638" i="77"/>
  <c r="AZ638" i="77"/>
  <c r="AW638" i="77"/>
  <c r="AV638" i="77"/>
  <c r="AU638" i="77"/>
  <c r="AT638" i="77"/>
  <c r="AS638" i="77"/>
  <c r="AP638" i="77"/>
  <c r="AQ638" i="77" s="1"/>
  <c r="AO638" i="77"/>
  <c r="AN638" i="77"/>
  <c r="AM638" i="77"/>
  <c r="AL638" i="77"/>
  <c r="AD638" i="77"/>
  <c r="AA638" i="77"/>
  <c r="W638" i="77"/>
  <c r="BI637" i="77"/>
  <c r="BG637" i="77"/>
  <c r="BH637" i="77" s="1"/>
  <c r="BD637" i="77"/>
  <c r="BC637" i="77"/>
  <c r="BB637" i="77"/>
  <c r="AZ637" i="77"/>
  <c r="AW637" i="77"/>
  <c r="AV637" i="77"/>
  <c r="AU637" i="77"/>
  <c r="AT637" i="77"/>
  <c r="AS637" i="77"/>
  <c r="AP637" i="77"/>
  <c r="AQ637" i="77" s="1"/>
  <c r="AO637" i="77"/>
  <c r="AN637" i="77"/>
  <c r="AM637" i="77"/>
  <c r="AL637" i="77"/>
  <c r="AD637" i="77"/>
  <c r="AA637" i="77"/>
  <c r="W637" i="77"/>
  <c r="BI636" i="77"/>
  <c r="BG636" i="77"/>
  <c r="BH636" i="77" s="1"/>
  <c r="BD636" i="77"/>
  <c r="BC636" i="77"/>
  <c r="BB636" i="77"/>
  <c r="AZ636" i="77"/>
  <c r="AW636" i="77"/>
  <c r="AV636" i="77"/>
  <c r="AU636" i="77"/>
  <c r="AT636" i="77"/>
  <c r="AS636" i="77"/>
  <c r="AP636" i="77"/>
  <c r="AQ636" i="77" s="1"/>
  <c r="AO636" i="77"/>
  <c r="AN636" i="77"/>
  <c r="AM636" i="77"/>
  <c r="AL636" i="77"/>
  <c r="AD636" i="77"/>
  <c r="AA636" i="77"/>
  <c r="W636" i="77"/>
  <c r="BL610" i="77"/>
  <c r="BJ610" i="77"/>
  <c r="BK610" i="77" s="1"/>
  <c r="BD610" i="77"/>
  <c r="BC610" i="77"/>
  <c r="BB610" i="77"/>
  <c r="AZ610" i="77"/>
  <c r="AW610" i="77"/>
  <c r="AU610" i="77"/>
  <c r="AT610" i="77"/>
  <c r="AS610" i="77"/>
  <c r="AP610" i="77"/>
  <c r="AQ610" i="77" s="1"/>
  <c r="AO610" i="77"/>
  <c r="AN610" i="77"/>
  <c r="AM610" i="77"/>
  <c r="AL610" i="77"/>
  <c r="AD610" i="77"/>
  <c r="AA610" i="77"/>
  <c r="AV610" i="77" s="1"/>
  <c r="W610" i="77"/>
  <c r="BL609" i="77"/>
  <c r="BJ609" i="77"/>
  <c r="BK609" i="77" s="1"/>
  <c r="BD609" i="77"/>
  <c r="BC609" i="77"/>
  <c r="BB609" i="77"/>
  <c r="AZ609" i="77"/>
  <c r="AW609" i="77"/>
  <c r="AV609" i="77"/>
  <c r="AU609" i="77"/>
  <c r="AT609" i="77"/>
  <c r="AS609" i="77"/>
  <c r="AP609" i="77"/>
  <c r="AQ609" i="77" s="1"/>
  <c r="AO609" i="77"/>
  <c r="AN609" i="77"/>
  <c r="AM609" i="77"/>
  <c r="AL609" i="77"/>
  <c r="AD609" i="77"/>
  <c r="AA609" i="77"/>
  <c r="W609" i="77"/>
  <c r="BI602" i="77"/>
  <c r="BG602" i="77"/>
  <c r="BH602" i="77" s="1"/>
  <c r="BD602" i="77"/>
  <c r="BC602" i="77"/>
  <c r="BB602" i="77"/>
  <c r="AZ602" i="77"/>
  <c r="AW602" i="77"/>
  <c r="AU602" i="77"/>
  <c r="AT602" i="77"/>
  <c r="AS602" i="77"/>
  <c r="AP602" i="77"/>
  <c r="AQ602" i="77" s="1"/>
  <c r="AO602" i="77"/>
  <c r="AN602" i="77"/>
  <c r="AM602" i="77"/>
  <c r="AL602" i="77"/>
  <c r="AD602" i="77"/>
  <c r="AA602" i="77"/>
  <c r="AV602" i="77" s="1"/>
  <c r="W602" i="77"/>
  <c r="BL601" i="77"/>
  <c r="BJ601" i="77"/>
  <c r="BK601" i="77" s="1"/>
  <c r="BD601" i="77"/>
  <c r="BC601" i="77"/>
  <c r="BB601" i="77"/>
  <c r="AZ601" i="77"/>
  <c r="AW601" i="77"/>
  <c r="AU601" i="77"/>
  <c r="AT601" i="77"/>
  <c r="AS601" i="77"/>
  <c r="AP601" i="77"/>
  <c r="AQ601" i="77" s="1"/>
  <c r="AO601" i="77"/>
  <c r="AN601" i="77"/>
  <c r="AM601" i="77"/>
  <c r="AL601" i="77"/>
  <c r="AD601" i="77"/>
  <c r="AA601" i="77"/>
  <c r="AV601" i="77" s="1"/>
  <c r="W601" i="77"/>
  <c r="BI600" i="77"/>
  <c r="BG600" i="77"/>
  <c r="BH600" i="77" s="1"/>
  <c r="BD600" i="77"/>
  <c r="BB600" i="77"/>
  <c r="AZ600" i="77"/>
  <c r="AW600" i="77"/>
  <c r="AV600" i="77"/>
  <c r="AU600" i="77"/>
  <c r="AT600" i="77"/>
  <c r="AS600" i="77"/>
  <c r="AP600" i="77"/>
  <c r="AQ600" i="77" s="1"/>
  <c r="AO600" i="77"/>
  <c r="AN600" i="77"/>
  <c r="AM600" i="77"/>
  <c r="AL600" i="77"/>
  <c r="AD600" i="77"/>
  <c r="AA600" i="77"/>
  <c r="W600" i="77"/>
  <c r="BI599" i="77"/>
  <c r="BG599" i="77"/>
  <c r="BH599" i="77" s="1"/>
  <c r="BD599" i="77"/>
  <c r="BC599" i="77"/>
  <c r="AZ599" i="77"/>
  <c r="AW599" i="77"/>
  <c r="AV599" i="77"/>
  <c r="AU599" i="77"/>
  <c r="AT599" i="77"/>
  <c r="AS599" i="77"/>
  <c r="AP599" i="77"/>
  <c r="AQ599" i="77" s="1"/>
  <c r="AO599" i="77"/>
  <c r="AN599" i="77"/>
  <c r="AM599" i="77"/>
  <c r="AL599" i="77"/>
  <c r="AD599" i="77"/>
  <c r="AA599" i="77"/>
  <c r="W599" i="77"/>
  <c r="BI598" i="77"/>
  <c r="BG598" i="77"/>
  <c r="BH598" i="77" s="1"/>
  <c r="BD598" i="77"/>
  <c r="BC598" i="77"/>
  <c r="BB598" i="77"/>
  <c r="AZ598" i="77"/>
  <c r="AW598" i="77"/>
  <c r="AU598" i="77"/>
  <c r="AT598" i="77"/>
  <c r="AS598" i="77"/>
  <c r="AP598" i="77"/>
  <c r="AQ598" i="77" s="1"/>
  <c r="AO598" i="77"/>
  <c r="AN598" i="77"/>
  <c r="AM598" i="77"/>
  <c r="AL598" i="77"/>
  <c r="AD598" i="77"/>
  <c r="AA598" i="77"/>
  <c r="AV598" i="77" s="1"/>
  <c r="W598" i="77"/>
  <c r="BL597" i="77"/>
  <c r="BJ597" i="77"/>
  <c r="BK597" i="77" s="1"/>
  <c r="BD597" i="77"/>
  <c r="BC597" i="77"/>
  <c r="BB597" i="77"/>
  <c r="AZ597" i="77"/>
  <c r="AW597" i="77"/>
  <c r="AV597" i="77"/>
  <c r="AU597" i="77"/>
  <c r="AT597" i="77"/>
  <c r="AS597" i="77"/>
  <c r="AP597" i="77"/>
  <c r="AQ597" i="77" s="1"/>
  <c r="AO597" i="77"/>
  <c r="AN597" i="77"/>
  <c r="AM597" i="77"/>
  <c r="AL597" i="77"/>
  <c r="AD597" i="77"/>
  <c r="AA597" i="77"/>
  <c r="W597" i="77"/>
  <c r="BL596" i="77"/>
  <c r="BJ596" i="77"/>
  <c r="BK596" i="77" s="1"/>
  <c r="BD596" i="77"/>
  <c r="BC596" i="77"/>
  <c r="BB596" i="77"/>
  <c r="AZ596" i="77"/>
  <c r="AW596" i="77"/>
  <c r="AU596" i="77"/>
  <c r="AT596" i="77"/>
  <c r="AS596" i="77"/>
  <c r="AP596" i="77"/>
  <c r="AQ596" i="77" s="1"/>
  <c r="AO596" i="77"/>
  <c r="AN596" i="77"/>
  <c r="AM596" i="77"/>
  <c r="AL596" i="77"/>
  <c r="AD596" i="77"/>
  <c r="AA596" i="77"/>
  <c r="AV596" i="77" s="1"/>
  <c r="W596" i="77"/>
  <c r="BL595" i="77"/>
  <c r="BJ595" i="77"/>
  <c r="BK595" i="77" s="1"/>
  <c r="BD595" i="77"/>
  <c r="BC595" i="77"/>
  <c r="BB595" i="77"/>
  <c r="AZ595" i="77"/>
  <c r="AW595" i="77"/>
  <c r="AV595" i="77"/>
  <c r="AU595" i="77"/>
  <c r="AT595" i="77"/>
  <c r="AS595" i="77"/>
  <c r="AP595" i="77"/>
  <c r="AQ595" i="77" s="1"/>
  <c r="AO595" i="77"/>
  <c r="AN595" i="77"/>
  <c r="AM595" i="77"/>
  <c r="AL595" i="77"/>
  <c r="AD595" i="77"/>
  <c r="AA595" i="77"/>
  <c r="W595" i="77"/>
  <c r="BL594" i="77"/>
  <c r="BJ594" i="77"/>
  <c r="BK594" i="77" s="1"/>
  <c r="BD594" i="77"/>
  <c r="BC594" i="77"/>
  <c r="BB594" i="77"/>
  <c r="AZ594" i="77"/>
  <c r="AW594" i="77"/>
  <c r="AV594" i="77"/>
  <c r="AU594" i="77"/>
  <c r="AT594" i="77"/>
  <c r="AS594" i="77"/>
  <c r="AP594" i="77"/>
  <c r="AQ594" i="77" s="1"/>
  <c r="AO594" i="77"/>
  <c r="AN594" i="77"/>
  <c r="AM594" i="77"/>
  <c r="AL594" i="77"/>
  <c r="AD594" i="77"/>
  <c r="AA594" i="77"/>
  <c r="W594" i="77"/>
  <c r="BL593" i="77"/>
  <c r="BJ593" i="77"/>
  <c r="BK593" i="77" s="1"/>
  <c r="BD593" i="77"/>
  <c r="BC593" i="77"/>
  <c r="BB593" i="77"/>
  <c r="AZ593" i="77"/>
  <c r="AW593" i="77"/>
  <c r="AV593" i="77"/>
  <c r="AU593" i="77"/>
  <c r="AT593" i="77"/>
  <c r="AS593" i="77"/>
  <c r="AP593" i="77"/>
  <c r="AQ593" i="77" s="1"/>
  <c r="AO593" i="77"/>
  <c r="AN593" i="77"/>
  <c r="AM593" i="77"/>
  <c r="AL593" i="77"/>
  <c r="AD593" i="77"/>
  <c r="AA593" i="77"/>
  <c r="W593" i="77"/>
  <c r="BL592" i="77"/>
  <c r="BJ592" i="77"/>
  <c r="BK592" i="77" s="1"/>
  <c r="BD592" i="77"/>
  <c r="BC592" i="77"/>
  <c r="BB592" i="77"/>
  <c r="AZ592" i="77"/>
  <c r="AW592" i="77"/>
  <c r="AV592" i="77"/>
  <c r="AU592" i="77"/>
  <c r="AT592" i="77"/>
  <c r="AS592" i="77"/>
  <c r="AP592" i="77"/>
  <c r="AQ592" i="77" s="1"/>
  <c r="AO592" i="77"/>
  <c r="AN592" i="77"/>
  <c r="AM592" i="77"/>
  <c r="AL592" i="77"/>
  <c r="AD592" i="77"/>
  <c r="AA592" i="77"/>
  <c r="W592" i="77"/>
  <c r="BI591" i="77"/>
  <c r="BG591" i="77"/>
  <c r="BH591" i="77" s="1"/>
  <c r="BD591" i="77"/>
  <c r="BC591" i="77"/>
  <c r="BB591" i="77"/>
  <c r="AZ591" i="77"/>
  <c r="AW591" i="77"/>
  <c r="AU591" i="77"/>
  <c r="AT591" i="77"/>
  <c r="AS591" i="77"/>
  <c r="AP591" i="77"/>
  <c r="AQ591" i="77" s="1"/>
  <c r="AO591" i="77"/>
  <c r="AN591" i="77"/>
  <c r="AM591" i="77"/>
  <c r="AL591" i="77"/>
  <c r="AD591" i="77"/>
  <c r="AA591" i="77"/>
  <c r="AV591" i="77" s="1"/>
  <c r="W591" i="77"/>
  <c r="BI590" i="77"/>
  <c r="BG590" i="77"/>
  <c r="BH590" i="77" s="1"/>
  <c r="BD590" i="77"/>
  <c r="BC590" i="77"/>
  <c r="BB590" i="77"/>
  <c r="AZ590" i="77"/>
  <c r="AW590" i="77"/>
  <c r="AU590" i="77"/>
  <c r="AT590" i="77"/>
  <c r="AS590" i="77"/>
  <c r="AP590" i="77"/>
  <c r="AQ590" i="77" s="1"/>
  <c r="AO590" i="77"/>
  <c r="AN590" i="77"/>
  <c r="AM590" i="77"/>
  <c r="AL590" i="77"/>
  <c r="AD590" i="77"/>
  <c r="AA590" i="77"/>
  <c r="AV590" i="77" s="1"/>
  <c r="W590" i="77"/>
  <c r="BI589" i="77"/>
  <c r="BG589" i="77"/>
  <c r="BH589" i="77" s="1"/>
  <c r="BD589" i="77"/>
  <c r="BC589" i="77"/>
  <c r="BB589" i="77"/>
  <c r="AZ589" i="77"/>
  <c r="AW589" i="77"/>
  <c r="AU589" i="77"/>
  <c r="AT589" i="77"/>
  <c r="AS589" i="77"/>
  <c r="AP589" i="77"/>
  <c r="AQ589" i="77" s="1"/>
  <c r="AO589" i="77"/>
  <c r="AN589" i="77"/>
  <c r="AM589" i="77"/>
  <c r="AL589" i="77"/>
  <c r="AD589" i="77"/>
  <c r="AA589" i="77"/>
  <c r="AV589" i="77" s="1"/>
  <c r="W589" i="77"/>
  <c r="BL588" i="77"/>
  <c r="BJ588" i="77"/>
  <c r="BK588" i="77" s="1"/>
  <c r="BD588" i="77"/>
  <c r="BC588" i="77"/>
  <c r="BB588" i="77"/>
  <c r="AZ588" i="77"/>
  <c r="AW588" i="77"/>
  <c r="AU588" i="77"/>
  <c r="AT588" i="77"/>
  <c r="AS588" i="77"/>
  <c r="AP588" i="77"/>
  <c r="AQ588" i="77" s="1"/>
  <c r="AO588" i="77"/>
  <c r="AN588" i="77"/>
  <c r="AM588" i="77"/>
  <c r="AL588" i="77"/>
  <c r="AD588" i="77"/>
  <c r="AA588" i="77"/>
  <c r="AV588" i="77" s="1"/>
  <c r="W588" i="77"/>
  <c r="BL587" i="77"/>
  <c r="BJ587" i="77"/>
  <c r="BK587" i="77" s="1"/>
  <c r="BD587" i="77"/>
  <c r="BC587" i="77"/>
  <c r="BB587" i="77"/>
  <c r="AZ587" i="77"/>
  <c r="AW587" i="77"/>
  <c r="AU587" i="77"/>
  <c r="AT587" i="77"/>
  <c r="AS587" i="77"/>
  <c r="AP587" i="77"/>
  <c r="AQ587" i="77" s="1"/>
  <c r="AO587" i="77"/>
  <c r="AN587" i="77"/>
  <c r="AM587" i="77"/>
  <c r="AL587" i="77"/>
  <c r="AD587" i="77"/>
  <c r="AA587" i="77"/>
  <c r="W587" i="77"/>
  <c r="BL586" i="77"/>
  <c r="BJ586" i="77"/>
  <c r="BK586" i="77" s="1"/>
  <c r="BD586" i="77"/>
  <c r="BC586" i="77"/>
  <c r="BB586" i="77"/>
  <c r="AZ586" i="77"/>
  <c r="AW586" i="77"/>
  <c r="AU586" i="77"/>
  <c r="AT586" i="77"/>
  <c r="AS586" i="77"/>
  <c r="AP586" i="77"/>
  <c r="AQ586" i="77" s="1"/>
  <c r="AO586" i="77"/>
  <c r="AN586" i="77"/>
  <c r="AM586" i="77"/>
  <c r="AL586" i="77"/>
  <c r="AD586" i="77"/>
  <c r="AA586" i="77"/>
  <c r="AV586" i="77" s="1"/>
  <c r="W586" i="77"/>
  <c r="BL585" i="77"/>
  <c r="BJ585" i="77"/>
  <c r="BK585" i="77" s="1"/>
  <c r="BD585" i="77"/>
  <c r="BC585" i="77"/>
  <c r="BB585" i="77"/>
  <c r="AZ585" i="77"/>
  <c r="AW585" i="77"/>
  <c r="AV585" i="77"/>
  <c r="AU585" i="77"/>
  <c r="AT585" i="77"/>
  <c r="AS585" i="77"/>
  <c r="AP585" i="77"/>
  <c r="AQ585" i="77" s="1"/>
  <c r="AO585" i="77"/>
  <c r="AN585" i="77"/>
  <c r="AL585" i="77"/>
  <c r="AA585" i="77"/>
  <c r="W585" i="77"/>
  <c r="BL584" i="77"/>
  <c r="BJ584" i="77"/>
  <c r="BK584" i="77" s="1"/>
  <c r="BD584" i="77"/>
  <c r="BC584" i="77"/>
  <c r="BB584" i="77"/>
  <c r="AZ584" i="77"/>
  <c r="AW584" i="77"/>
  <c r="AV584" i="77"/>
  <c r="AU584" i="77"/>
  <c r="AT584" i="77"/>
  <c r="AS584" i="77"/>
  <c r="AN584" i="77"/>
  <c r="AM584" i="77"/>
  <c r="AA584" i="77"/>
  <c r="AO584" i="77" s="1"/>
  <c r="W584" i="77"/>
  <c r="BI583" i="77"/>
  <c r="BG583" i="77"/>
  <c r="BH583" i="77" s="1"/>
  <c r="BD583" i="77"/>
  <c r="BC583" i="77"/>
  <c r="BB583" i="77"/>
  <c r="AZ583" i="77"/>
  <c r="AW583" i="77"/>
  <c r="AV583" i="77"/>
  <c r="AU583" i="77"/>
  <c r="AT583" i="77"/>
  <c r="AS583" i="77"/>
  <c r="AN583" i="77"/>
  <c r="AL583" i="77"/>
  <c r="AA583" i="77"/>
  <c r="AP583" i="77" s="1"/>
  <c r="W583" i="77"/>
  <c r="BI582" i="77"/>
  <c r="BG582" i="77"/>
  <c r="BH582" i="77" s="1"/>
  <c r="BD582" i="77"/>
  <c r="BC582" i="77"/>
  <c r="BB582" i="77"/>
  <c r="AZ582" i="77"/>
  <c r="AW582" i="77"/>
  <c r="AV582" i="77"/>
  <c r="AU582" i="77"/>
  <c r="AT582" i="77"/>
  <c r="AS582" i="77"/>
  <c r="AP582" i="77"/>
  <c r="AQ582" i="77" s="1"/>
  <c r="AO582" i="77"/>
  <c r="AN582" i="77"/>
  <c r="AM582" i="77"/>
  <c r="AA582" i="77"/>
  <c r="AD582" i="77" s="1"/>
  <c r="AF582" i="77" s="1"/>
  <c r="AE582" i="77" s="1"/>
  <c r="W582" i="77"/>
  <c r="BI613" i="77"/>
  <c r="BG613" i="77"/>
  <c r="BH613" i="77" s="1"/>
  <c r="BD613" i="77"/>
  <c r="BC613" i="77"/>
  <c r="BB613" i="77"/>
  <c r="AZ613" i="77"/>
  <c r="AW613" i="77"/>
  <c r="AV613" i="77"/>
  <c r="AU613" i="77"/>
  <c r="AT613" i="77"/>
  <c r="AS613" i="77"/>
  <c r="AP613" i="77"/>
  <c r="AQ613" i="77" s="1"/>
  <c r="AO613" i="77"/>
  <c r="AN613" i="77"/>
  <c r="AM613" i="77"/>
  <c r="AL613" i="77"/>
  <c r="AD613" i="77"/>
  <c r="AA613" i="77"/>
  <c r="W613" i="77"/>
  <c r="BL612" i="77"/>
  <c r="BJ612" i="77"/>
  <c r="BK612" i="77" s="1"/>
  <c r="BD612" i="77"/>
  <c r="BC612" i="77"/>
  <c r="BB612" i="77"/>
  <c r="AZ612" i="77"/>
  <c r="AW612" i="77"/>
  <c r="AV612" i="77"/>
  <c r="AU612" i="77"/>
  <c r="AT612" i="77"/>
  <c r="AS612" i="77"/>
  <c r="AP612" i="77"/>
  <c r="AQ612" i="77" s="1"/>
  <c r="AO612" i="77"/>
  <c r="AN612" i="77"/>
  <c r="AM612" i="77"/>
  <c r="AL612" i="77"/>
  <c r="AD612" i="77"/>
  <c r="AA612" i="77"/>
  <c r="W612" i="77"/>
  <c r="BI611" i="77"/>
  <c r="BG611" i="77"/>
  <c r="BH611" i="77" s="1"/>
  <c r="BD611" i="77"/>
  <c r="BC611" i="77"/>
  <c r="BB611" i="77"/>
  <c r="AZ611" i="77"/>
  <c r="AW611" i="77"/>
  <c r="AU611" i="77"/>
  <c r="AT611" i="77"/>
  <c r="AS611" i="77"/>
  <c r="AP611" i="77"/>
  <c r="AQ611" i="77" s="1"/>
  <c r="AO611" i="77"/>
  <c r="AN611" i="77"/>
  <c r="AM611" i="77"/>
  <c r="AL611" i="77"/>
  <c r="AD611" i="77"/>
  <c r="AA611" i="77"/>
  <c r="AV611" i="77" s="1"/>
  <c r="W611" i="77"/>
  <c r="BL559" i="77"/>
  <c r="BL560" i="77"/>
  <c r="BL561" i="77"/>
  <c r="BL562" i="77"/>
  <c r="BL563" i="77"/>
  <c r="BL564" i="77"/>
  <c r="BL565" i="77"/>
  <c r="BL566" i="77"/>
  <c r="BL567" i="77"/>
  <c r="BL568" i="77"/>
  <c r="BL569" i="77"/>
  <c r="BL570" i="77"/>
  <c r="BL571" i="77"/>
  <c r="BJ559" i="77"/>
  <c r="BK559" i="77" s="1"/>
  <c r="BJ560" i="77"/>
  <c r="BK560" i="77" s="1"/>
  <c r="BJ561" i="77"/>
  <c r="BK561" i="77" s="1"/>
  <c r="BJ562" i="77"/>
  <c r="BK562" i="77" s="1"/>
  <c r="BJ563" i="77"/>
  <c r="BK563" i="77" s="1"/>
  <c r="BJ564" i="77"/>
  <c r="BK564" i="77" s="1"/>
  <c r="BJ565" i="77"/>
  <c r="BK565" i="77" s="1"/>
  <c r="BJ566" i="77"/>
  <c r="BK566" i="77" s="1"/>
  <c r="BJ567" i="77"/>
  <c r="BK567" i="77" s="1"/>
  <c r="BJ568" i="77"/>
  <c r="BK568" i="77" s="1"/>
  <c r="BJ569" i="77"/>
  <c r="BK569" i="77" s="1"/>
  <c r="BJ570" i="77"/>
  <c r="BK570" i="77" s="1"/>
  <c r="BJ571" i="77"/>
  <c r="BK571" i="77" s="1"/>
  <c r="BG572" i="77"/>
  <c r="BH572" i="77" s="1"/>
  <c r="BI572" i="77"/>
  <c r="BG573" i="77"/>
  <c r="BH573" i="77" s="1"/>
  <c r="BI573" i="77"/>
  <c r="BG574" i="77"/>
  <c r="BH574" i="77" s="1"/>
  <c r="BI574" i="77"/>
  <c r="BG575" i="77"/>
  <c r="BH575" i="77" s="1"/>
  <c r="BI575" i="77"/>
  <c r="AZ559" i="77"/>
  <c r="BB559" i="77"/>
  <c r="BC559" i="77"/>
  <c r="BD559" i="77"/>
  <c r="AZ560" i="77"/>
  <c r="BB560" i="77"/>
  <c r="BC560" i="77"/>
  <c r="BD560" i="77"/>
  <c r="AZ561" i="77"/>
  <c r="BB561" i="77"/>
  <c r="BC561" i="77"/>
  <c r="BD561" i="77"/>
  <c r="AZ562" i="77"/>
  <c r="BB562" i="77"/>
  <c r="BC562" i="77"/>
  <c r="BD562" i="77"/>
  <c r="AZ563" i="77"/>
  <c r="BB563" i="77"/>
  <c r="BC563" i="77"/>
  <c r="BD563" i="77"/>
  <c r="AZ564" i="77"/>
  <c r="BB564" i="77"/>
  <c r="BC564" i="77"/>
  <c r="BD564" i="77"/>
  <c r="AZ565" i="77"/>
  <c r="BB565" i="77"/>
  <c r="BC565" i="77"/>
  <c r="BD565" i="77"/>
  <c r="AZ566" i="77"/>
  <c r="BB566" i="77"/>
  <c r="BC566" i="77"/>
  <c r="BD566" i="77"/>
  <c r="AZ567" i="77"/>
  <c r="BB567" i="77"/>
  <c r="BC567" i="77"/>
  <c r="BD567" i="77"/>
  <c r="AZ568" i="77"/>
  <c r="BB568" i="77"/>
  <c r="BC568" i="77"/>
  <c r="BD568" i="77"/>
  <c r="AZ569" i="77"/>
  <c r="BB569" i="77"/>
  <c r="BC569" i="77"/>
  <c r="BD569" i="77"/>
  <c r="AZ570" i="77"/>
  <c r="BB570" i="77"/>
  <c r="BC570" i="77"/>
  <c r="BD570" i="77"/>
  <c r="AZ571" i="77"/>
  <c r="BB571" i="77"/>
  <c r="BC571" i="77"/>
  <c r="BD571" i="77"/>
  <c r="AZ572" i="77"/>
  <c r="BB572" i="77"/>
  <c r="BC572" i="77"/>
  <c r="BD572" i="77"/>
  <c r="AZ573" i="77"/>
  <c r="BB573" i="77"/>
  <c r="BC573" i="77"/>
  <c r="BD573" i="77"/>
  <c r="AZ574" i="77"/>
  <c r="BB574" i="77"/>
  <c r="BC574" i="77"/>
  <c r="BD574" i="77"/>
  <c r="AZ575" i="77"/>
  <c r="BB575" i="77"/>
  <c r="BC575" i="77"/>
  <c r="BD575" i="77"/>
  <c r="AU559" i="77"/>
  <c r="AV559" i="77"/>
  <c r="AW559" i="77"/>
  <c r="AU560" i="77"/>
  <c r="AV560" i="77"/>
  <c r="AW560" i="77"/>
  <c r="AU561" i="77"/>
  <c r="AV561" i="77"/>
  <c r="AW561" i="77"/>
  <c r="AU562" i="77"/>
  <c r="AV562" i="77"/>
  <c r="AW562" i="77"/>
  <c r="AU563" i="77"/>
  <c r="AV563" i="77"/>
  <c r="AW563" i="77"/>
  <c r="AU564" i="77"/>
  <c r="AW564" i="77"/>
  <c r="AU565" i="77"/>
  <c r="AW565" i="77"/>
  <c r="AU566" i="77"/>
  <c r="AW566" i="77"/>
  <c r="AU567" i="77"/>
  <c r="AW567" i="77"/>
  <c r="AU568" i="77"/>
  <c r="AW568" i="77"/>
  <c r="AU569" i="77"/>
  <c r="AW569" i="77"/>
  <c r="AU570" i="77"/>
  <c r="AW570" i="77"/>
  <c r="AU571" i="77"/>
  <c r="AW571" i="77"/>
  <c r="AU572" i="77"/>
  <c r="AW572" i="77"/>
  <c r="AU573" i="77"/>
  <c r="AW573" i="77"/>
  <c r="AU574" i="77"/>
  <c r="AW574" i="77"/>
  <c r="AU575" i="77"/>
  <c r="AW575" i="77"/>
  <c r="AT559" i="77"/>
  <c r="AT560" i="77"/>
  <c r="AT561" i="77"/>
  <c r="AT562" i="77"/>
  <c r="AT563" i="77"/>
  <c r="AT564" i="77"/>
  <c r="AT565" i="77"/>
  <c r="AT566" i="77"/>
  <c r="AT567" i="77"/>
  <c r="AT568" i="77"/>
  <c r="AT569" i="77"/>
  <c r="AT570" i="77"/>
  <c r="AT571" i="77"/>
  <c r="AT572" i="77"/>
  <c r="AT573" i="77"/>
  <c r="AT574" i="77"/>
  <c r="AT575" i="77"/>
  <c r="AS559" i="77"/>
  <c r="AS560" i="77"/>
  <c r="AS561" i="77"/>
  <c r="AS562" i="77"/>
  <c r="AS563" i="77"/>
  <c r="AS564" i="77"/>
  <c r="AS565" i="77"/>
  <c r="AS566" i="77"/>
  <c r="AS567" i="77"/>
  <c r="AS568" i="77"/>
  <c r="AS569" i="77"/>
  <c r="AS570" i="77"/>
  <c r="AS571" i="77"/>
  <c r="AS572" i="77"/>
  <c r="AS573" i="77"/>
  <c r="AS574" i="77"/>
  <c r="AS575" i="77"/>
  <c r="AP559" i="77"/>
  <c r="AQ559" i="77" s="1"/>
  <c r="AP560" i="77"/>
  <c r="AQ560" i="77" s="1"/>
  <c r="AP561" i="77"/>
  <c r="AQ561" i="77" s="1"/>
  <c r="AP562" i="77"/>
  <c r="AQ562" i="77" s="1"/>
  <c r="AP563" i="77"/>
  <c r="AQ563" i="77" s="1"/>
  <c r="AP564" i="77"/>
  <c r="AQ564" i="77" s="1"/>
  <c r="AP565" i="77"/>
  <c r="AQ565" i="77" s="1"/>
  <c r="AP566" i="77"/>
  <c r="AQ566" i="77" s="1"/>
  <c r="AP567" i="77"/>
  <c r="AQ567" i="77" s="1"/>
  <c r="AP568" i="77"/>
  <c r="AQ568" i="77" s="1"/>
  <c r="AP569" i="77"/>
  <c r="AQ569" i="77" s="1"/>
  <c r="AP570" i="77"/>
  <c r="AQ570" i="77" s="1"/>
  <c r="AP571" i="77"/>
  <c r="AQ571" i="77" s="1"/>
  <c r="AP572" i="77"/>
  <c r="AQ572" i="77" s="1"/>
  <c r="AP573" i="77"/>
  <c r="AQ573" i="77" s="1"/>
  <c r="AP574" i="77"/>
  <c r="AQ574" i="77" s="1"/>
  <c r="AP575" i="77"/>
  <c r="AQ575" i="77" s="1"/>
  <c r="AO559" i="77"/>
  <c r="AO560" i="77"/>
  <c r="AO561" i="77"/>
  <c r="AO562" i="77"/>
  <c r="AO563" i="77"/>
  <c r="AO564" i="77"/>
  <c r="AO565" i="77"/>
  <c r="AO566" i="77"/>
  <c r="AO567" i="77"/>
  <c r="AO568" i="77"/>
  <c r="AO569" i="77"/>
  <c r="AO570" i="77"/>
  <c r="AO571" i="77"/>
  <c r="AO572" i="77"/>
  <c r="AO573" i="77"/>
  <c r="AO574" i="77"/>
  <c r="AO575" i="77"/>
  <c r="AN559" i="77"/>
  <c r="AN560" i="77"/>
  <c r="AN561" i="77"/>
  <c r="AN562" i="77"/>
  <c r="AN563" i="77"/>
  <c r="AN564" i="77"/>
  <c r="AN565" i="77"/>
  <c r="AN566" i="77"/>
  <c r="AN567" i="77"/>
  <c r="AN568" i="77"/>
  <c r="AN569" i="77"/>
  <c r="AN570" i="77"/>
  <c r="AN571" i="77"/>
  <c r="AN572" i="77"/>
  <c r="AN573" i="77"/>
  <c r="AN574" i="77"/>
  <c r="AN575" i="77"/>
  <c r="AM559" i="77"/>
  <c r="AM560" i="77"/>
  <c r="AM561" i="77"/>
  <c r="AM562" i="77"/>
  <c r="AM563" i="77"/>
  <c r="AM564" i="77"/>
  <c r="AM565" i="77"/>
  <c r="AM566" i="77"/>
  <c r="AM567" i="77"/>
  <c r="AM568" i="77"/>
  <c r="AM569" i="77"/>
  <c r="AM570" i="77"/>
  <c r="AM571" i="77"/>
  <c r="AM572" i="77"/>
  <c r="AM573" i="77"/>
  <c r="AM574" i="77"/>
  <c r="AM575" i="77"/>
  <c r="AL559" i="77"/>
  <c r="AL560" i="77"/>
  <c r="AL561" i="77"/>
  <c r="AL562" i="77"/>
  <c r="AL563" i="77"/>
  <c r="AL564" i="77"/>
  <c r="AL565" i="77"/>
  <c r="AL566" i="77"/>
  <c r="AL567" i="77"/>
  <c r="AL568" i="77"/>
  <c r="AL569" i="77"/>
  <c r="AL570" i="77"/>
  <c r="AL571" i="77"/>
  <c r="AL572" i="77"/>
  <c r="AL573" i="77"/>
  <c r="AL574" i="77"/>
  <c r="AL575" i="77"/>
  <c r="AD559" i="77"/>
  <c r="AD560" i="77"/>
  <c r="AD561" i="77"/>
  <c r="AD562" i="77"/>
  <c r="AD563" i="77"/>
  <c r="AD564" i="77"/>
  <c r="AD565" i="77"/>
  <c r="AD566" i="77"/>
  <c r="AD567" i="77"/>
  <c r="AD568" i="77"/>
  <c r="AD569" i="77"/>
  <c r="AD570" i="77"/>
  <c r="AD571" i="77"/>
  <c r="AD572" i="77"/>
  <c r="AD573" i="77"/>
  <c r="AD574" i="77"/>
  <c r="AD575" i="77"/>
  <c r="AA559" i="77"/>
  <c r="AA560" i="77"/>
  <c r="AA561" i="77"/>
  <c r="AA562" i="77"/>
  <c r="AA563" i="77"/>
  <c r="AA564" i="77"/>
  <c r="AV564" i="77" s="1"/>
  <c r="AA565" i="77"/>
  <c r="AV565" i="77" s="1"/>
  <c r="AA566" i="77"/>
  <c r="AA567" i="77"/>
  <c r="AV567" i="77" s="1"/>
  <c r="AA568" i="77"/>
  <c r="AV568" i="77" s="1"/>
  <c r="AA569" i="77"/>
  <c r="AV569" i="77" s="1"/>
  <c r="AA570" i="77"/>
  <c r="AA571" i="77"/>
  <c r="AV571" i="77" s="1"/>
  <c r="AA572" i="77"/>
  <c r="AV572" i="77" s="1"/>
  <c r="AA573" i="77"/>
  <c r="AV573" i="77" s="1"/>
  <c r="AA574" i="77"/>
  <c r="AA575" i="77"/>
  <c r="AV575" i="77" s="1"/>
  <c r="AA558" i="77"/>
  <c r="W559" i="77"/>
  <c r="W560" i="77"/>
  <c r="W561" i="77"/>
  <c r="W562" i="77"/>
  <c r="W563" i="77"/>
  <c r="W564" i="77"/>
  <c r="W565" i="77"/>
  <c r="W566" i="77"/>
  <c r="W567" i="77"/>
  <c r="W568" i="77"/>
  <c r="W569" i="77"/>
  <c r="W570" i="77"/>
  <c r="W571" i="77"/>
  <c r="W572" i="77"/>
  <c r="W573" i="77"/>
  <c r="W574" i="77"/>
  <c r="W575" i="77"/>
  <c r="BJ659" i="77" l="1"/>
  <c r="BK659" i="77" s="1"/>
  <c r="BJ660" i="77"/>
  <c r="BK660" i="77" s="1"/>
  <c r="BJ658" i="77"/>
  <c r="BK658" i="77" s="1"/>
  <c r="BJ627" i="77"/>
  <c r="BK627" i="77" s="1"/>
  <c r="BG658" i="77"/>
  <c r="BH658" i="77" s="1"/>
  <c r="AD662" i="77"/>
  <c r="AF662" i="77" s="1"/>
  <c r="AE662" i="77" s="1"/>
  <c r="AM662" i="77" s="1"/>
  <c r="BG662" i="77" s="1"/>
  <c r="BH662" i="77" s="1"/>
  <c r="AR651" i="77"/>
  <c r="BJ652" i="77"/>
  <c r="BK652" i="77" s="1"/>
  <c r="AF651" i="77"/>
  <c r="AE651" i="77" s="1"/>
  <c r="BG651" i="77"/>
  <c r="BH651" i="77" s="1"/>
  <c r="AF625" i="77"/>
  <c r="AE625" i="77" s="1"/>
  <c r="AF630" i="77"/>
  <c r="AE630" i="77" s="1"/>
  <c r="AL661" i="77"/>
  <c r="BJ661" i="77" s="1"/>
  <c r="BK661" i="77" s="1"/>
  <c r="BJ625" i="77"/>
  <c r="BK625" i="77" s="1"/>
  <c r="BG630" i="77"/>
  <c r="BH630" i="77" s="1"/>
  <c r="AF637" i="77"/>
  <c r="AE637" i="77" s="1"/>
  <c r="AF643" i="77"/>
  <c r="AE643" i="77" s="1"/>
  <c r="BB659" i="77"/>
  <c r="BA651" i="77"/>
  <c r="AF617" i="77"/>
  <c r="AE617" i="77" s="1"/>
  <c r="AX651" i="77"/>
  <c r="BC660" i="77"/>
  <c r="AR660" i="77"/>
  <c r="AF634" i="77"/>
  <c r="AE634" i="77" s="1"/>
  <c r="BA661" i="77"/>
  <c r="BJ639" i="77"/>
  <c r="BK639" i="77" s="1"/>
  <c r="AF641" i="77"/>
  <c r="AE641" i="77" s="1"/>
  <c r="AF648" i="77"/>
  <c r="AE648" i="77" s="1"/>
  <c r="AF658" i="77"/>
  <c r="AE658" i="77" s="1"/>
  <c r="AF621" i="77"/>
  <c r="AE621" i="77" s="1"/>
  <c r="BJ634" i="77"/>
  <c r="BK634" i="77" s="1"/>
  <c r="AX661" i="77"/>
  <c r="BD643" i="77"/>
  <c r="AF659" i="77"/>
  <c r="AE659" i="77" s="1"/>
  <c r="AR662" i="77"/>
  <c r="BI662" i="77" s="1"/>
  <c r="BJ642" i="77"/>
  <c r="BK642" i="77" s="1"/>
  <c r="BJ648" i="77"/>
  <c r="BK648" i="77" s="1"/>
  <c r="AR658" i="77"/>
  <c r="BG619" i="77"/>
  <c r="BH619" i="77" s="1"/>
  <c r="BJ620" i="77"/>
  <c r="BK620" i="77" s="1"/>
  <c r="BG627" i="77"/>
  <c r="BH627" i="77" s="1"/>
  <c r="BG624" i="77"/>
  <c r="BH624" i="77" s="1"/>
  <c r="BJ633" i="77"/>
  <c r="BK633" i="77" s="1"/>
  <c r="AY660" i="77"/>
  <c r="BJ638" i="77"/>
  <c r="BK638" i="77" s="1"/>
  <c r="BJ647" i="77"/>
  <c r="BK647" i="77" s="1"/>
  <c r="BG616" i="77"/>
  <c r="BH616" i="77" s="1"/>
  <c r="BJ643" i="77"/>
  <c r="BK643" i="77" s="1"/>
  <c r="BJ621" i="77"/>
  <c r="BK621" i="77" s="1"/>
  <c r="BJ644" i="77"/>
  <c r="BK644" i="77" s="1"/>
  <c r="BG614" i="77"/>
  <c r="BH614" i="77" s="1"/>
  <c r="AF615" i="77"/>
  <c r="AE615" i="77" s="1"/>
  <c r="AF619" i="77"/>
  <c r="AE619" i="77" s="1"/>
  <c r="AF623" i="77"/>
  <c r="AE623" i="77" s="1"/>
  <c r="AF627" i="77"/>
  <c r="AE627" i="77" s="1"/>
  <c r="AF632" i="77"/>
  <c r="AE632" i="77" s="1"/>
  <c r="AF636" i="77"/>
  <c r="AE636" i="77" s="1"/>
  <c r="BJ637" i="77"/>
  <c r="BK637" i="77" s="1"/>
  <c r="BJ641" i="77"/>
  <c r="BK641" i="77" s="1"/>
  <c r="AF644" i="77"/>
  <c r="AE644" i="77" s="1"/>
  <c r="AF645" i="77"/>
  <c r="AE645" i="77" s="1"/>
  <c r="BJ646" i="77"/>
  <c r="BK646" i="77" s="1"/>
  <c r="AF649" i="77"/>
  <c r="AE649" i="77" s="1"/>
  <c r="BJ650" i="77"/>
  <c r="BK650" i="77" s="1"/>
  <c r="AF614" i="77"/>
  <c r="AE614" i="77" s="1"/>
  <c r="BJ615" i="77"/>
  <c r="BK615" i="77" s="1"/>
  <c r="BG617" i="77"/>
  <c r="BH617" i="77" s="1"/>
  <c r="AF618" i="77"/>
  <c r="AE618" i="77" s="1"/>
  <c r="AF622" i="77"/>
  <c r="AE622" i="77" s="1"/>
  <c r="BJ623" i="77"/>
  <c r="BK623" i="77" s="1"/>
  <c r="AF626" i="77"/>
  <c r="AE626" i="77" s="1"/>
  <c r="BG628" i="77"/>
  <c r="BH628" i="77" s="1"/>
  <c r="AF631" i="77"/>
  <c r="AE631" i="77" s="1"/>
  <c r="BJ632" i="77"/>
  <c r="BK632" i="77" s="1"/>
  <c r="AF635" i="77"/>
  <c r="AE635" i="77" s="1"/>
  <c r="BJ636" i="77"/>
  <c r="BK636" i="77" s="1"/>
  <c r="BJ640" i="77"/>
  <c r="BK640" i="77" s="1"/>
  <c r="BJ645" i="77"/>
  <c r="BK645" i="77" s="1"/>
  <c r="AF647" i="77"/>
  <c r="AE647" i="77" s="1"/>
  <c r="BJ649" i="77"/>
  <c r="BK649" i="77" s="1"/>
  <c r="BG618" i="77"/>
  <c r="BH618" i="77" s="1"/>
  <c r="BJ622" i="77"/>
  <c r="BK622" i="77" s="1"/>
  <c r="BG626" i="77"/>
  <c r="BH626" i="77" s="1"/>
  <c r="BJ631" i="77"/>
  <c r="BK631" i="77" s="1"/>
  <c r="BJ635" i="77"/>
  <c r="BK635" i="77" s="1"/>
  <c r="AQ643" i="77"/>
  <c r="AQ621" i="77"/>
  <c r="AF638" i="77"/>
  <c r="AE638" i="77" s="1"/>
  <c r="AF640" i="77"/>
  <c r="AE640" i="77" s="1"/>
  <c r="AF650" i="77"/>
  <c r="AE650" i="77" s="1"/>
  <c r="AF616" i="77"/>
  <c r="AE616" i="77" s="1"/>
  <c r="AF620" i="77"/>
  <c r="AE620" i="77" s="1"/>
  <c r="AF624" i="77"/>
  <c r="AE624" i="77" s="1"/>
  <c r="AF628" i="77"/>
  <c r="AE628" i="77" s="1"/>
  <c r="AF633" i="77"/>
  <c r="AE633" i="77" s="1"/>
  <c r="BA662" i="77"/>
  <c r="AY658" i="77"/>
  <c r="AF639" i="77"/>
  <c r="AE639" i="77" s="1"/>
  <c r="AF646" i="77"/>
  <c r="AE646" i="77" s="1"/>
  <c r="BA660" i="77"/>
  <c r="BG596" i="77"/>
  <c r="BH596" i="77" s="1"/>
  <c r="AF642" i="77"/>
  <c r="AE642" i="77" s="1"/>
  <c r="AF652" i="77"/>
  <c r="AE652" i="77" s="1"/>
  <c r="BA658" i="77"/>
  <c r="AR659" i="77"/>
  <c r="AF660" i="77"/>
  <c r="AE660" i="77" s="1"/>
  <c r="AX659" i="77"/>
  <c r="AY659" i="77"/>
  <c r="BG597" i="77"/>
  <c r="BH597" i="77" s="1"/>
  <c r="BJ600" i="77"/>
  <c r="BK600" i="77" s="1"/>
  <c r="BG601" i="77"/>
  <c r="BH601" i="77" s="1"/>
  <c r="BJ602" i="77"/>
  <c r="BK602" i="77" s="1"/>
  <c r="BG609" i="77"/>
  <c r="BH609" i="77" s="1"/>
  <c r="AX662" i="77"/>
  <c r="BJ599" i="77"/>
  <c r="BK599" i="77" s="1"/>
  <c r="BJ598" i="77"/>
  <c r="BK598" i="77" s="1"/>
  <c r="AF610" i="77"/>
  <c r="AE610" i="77" s="1"/>
  <c r="BJ611" i="77"/>
  <c r="BK611" i="77" s="1"/>
  <c r="BG612" i="77"/>
  <c r="BH612" i="77" s="1"/>
  <c r="AP584" i="77"/>
  <c r="AQ584" i="77" s="1"/>
  <c r="AF574" i="77"/>
  <c r="AE574" i="77" s="1"/>
  <c r="AF570" i="77"/>
  <c r="AE570" i="77" s="1"/>
  <c r="AF566" i="77"/>
  <c r="AE566" i="77" s="1"/>
  <c r="AF562" i="77"/>
  <c r="AE562" i="77" s="1"/>
  <c r="AD584" i="77"/>
  <c r="AF584" i="77" s="1"/>
  <c r="AE584" i="77" s="1"/>
  <c r="AF598" i="77"/>
  <c r="AE598" i="77" s="1"/>
  <c r="AF602" i="77"/>
  <c r="AE602" i="77" s="1"/>
  <c r="AO583" i="77"/>
  <c r="AF590" i="77"/>
  <c r="AE590" i="77" s="1"/>
  <c r="AF596" i="77"/>
  <c r="AE596" i="77" s="1"/>
  <c r="AF601" i="77"/>
  <c r="AE601" i="77" s="1"/>
  <c r="AF613" i="77"/>
  <c r="AE613" i="77" s="1"/>
  <c r="BG586" i="77"/>
  <c r="BH586" i="77" s="1"/>
  <c r="AF589" i="77"/>
  <c r="AE589" i="77" s="1"/>
  <c r="BJ590" i="77"/>
  <c r="BK590" i="77" s="1"/>
  <c r="BJ613" i="77"/>
  <c r="BK613" i="77" s="1"/>
  <c r="BG595" i="77"/>
  <c r="BH595" i="77" s="1"/>
  <c r="AF597" i="77"/>
  <c r="AE597" i="77" s="1"/>
  <c r="BG610" i="77"/>
  <c r="BH610" i="77" s="1"/>
  <c r="AF599" i="77"/>
  <c r="AE599" i="77" s="1"/>
  <c r="BG569" i="77"/>
  <c r="BH569" i="77" s="1"/>
  <c r="BG561" i="77"/>
  <c r="BH561" i="77" s="1"/>
  <c r="AF612" i="77"/>
  <c r="AE612" i="77" s="1"/>
  <c r="BG588" i="77"/>
  <c r="BH588" i="77" s="1"/>
  <c r="AF611" i="77"/>
  <c r="AE611" i="77" s="1"/>
  <c r="AF587" i="77"/>
  <c r="AE587" i="77" s="1"/>
  <c r="BJ591" i="77"/>
  <c r="BK591" i="77" s="1"/>
  <c r="BG592" i="77"/>
  <c r="BH592" i="77" s="1"/>
  <c r="BG594" i="77"/>
  <c r="BH594" i="77" s="1"/>
  <c r="AF600" i="77"/>
  <c r="AE600" i="77" s="1"/>
  <c r="AF609" i="77"/>
  <c r="AE609" i="77" s="1"/>
  <c r="AF594" i="77"/>
  <c r="AE594" i="77" s="1"/>
  <c r="AF586" i="77"/>
  <c r="AE586" i="77" s="1"/>
  <c r="BG587" i="77"/>
  <c r="BH587" i="77" s="1"/>
  <c r="AV587" i="77"/>
  <c r="BJ589" i="77"/>
  <c r="BK589" i="77" s="1"/>
  <c r="AF591" i="77"/>
  <c r="AE591" i="77" s="1"/>
  <c r="AF593" i="77"/>
  <c r="AE593" i="77" s="1"/>
  <c r="BG593" i="77"/>
  <c r="BH593" i="77" s="1"/>
  <c r="AF595" i="77"/>
  <c r="AE595" i="77" s="1"/>
  <c r="AF588" i="77"/>
  <c r="AE588" i="77" s="1"/>
  <c r="AF592" i="77"/>
  <c r="AE592" i="77" s="1"/>
  <c r="AF573" i="77"/>
  <c r="AE573" i="77" s="1"/>
  <c r="BJ574" i="77"/>
  <c r="BK574" i="77" s="1"/>
  <c r="BG570" i="77"/>
  <c r="BH570" i="77" s="1"/>
  <c r="BG566" i="77"/>
  <c r="BH566" i="77" s="1"/>
  <c r="AF560" i="77"/>
  <c r="AE560" i="77" s="1"/>
  <c r="AF569" i="77"/>
  <c r="AE569" i="77" s="1"/>
  <c r="AF561" i="77"/>
  <c r="AE561" i="77" s="1"/>
  <c r="AF565" i="77"/>
  <c r="AE565" i="77" s="1"/>
  <c r="BG568" i="77"/>
  <c r="BH568" i="77" s="1"/>
  <c r="BG560" i="77"/>
  <c r="BH560" i="77" s="1"/>
  <c r="AF572" i="77"/>
  <c r="AE572" i="77" s="1"/>
  <c r="AF564" i="77"/>
  <c r="AE564" i="77" s="1"/>
  <c r="BJ575" i="77"/>
  <c r="BK575" i="77" s="1"/>
  <c r="BG571" i="77"/>
  <c r="BH571" i="77" s="1"/>
  <c r="BG567" i="77"/>
  <c r="BH567" i="77" s="1"/>
  <c r="BG563" i="77"/>
  <c r="BH563" i="77" s="1"/>
  <c r="BG559" i="77"/>
  <c r="BH559" i="77" s="1"/>
  <c r="BJ572" i="77"/>
  <c r="BK572" i="77" s="1"/>
  <c r="BG564" i="77"/>
  <c r="BH564" i="77" s="1"/>
  <c r="AF563" i="77"/>
  <c r="AE563" i="77" s="1"/>
  <c r="AF559" i="77"/>
  <c r="AE559" i="77" s="1"/>
  <c r="AF568" i="77"/>
  <c r="AE568" i="77" s="1"/>
  <c r="BJ573" i="77"/>
  <c r="BK573" i="77" s="1"/>
  <c r="BG565" i="77"/>
  <c r="BH565" i="77" s="1"/>
  <c r="AV574" i="77"/>
  <c r="AV566" i="77"/>
  <c r="BG562" i="77"/>
  <c r="BH562" i="77" s="1"/>
  <c r="AV570" i="77"/>
  <c r="AF575" i="77"/>
  <c r="AE575" i="77" s="1"/>
  <c r="AF571" i="77"/>
  <c r="AE571" i="77" s="1"/>
  <c r="AF567" i="77"/>
  <c r="AE567" i="77" s="1"/>
  <c r="BL659" i="77" l="1"/>
  <c r="BL660" i="77"/>
  <c r="BL658" i="77"/>
  <c r="BI658" i="77"/>
  <c r="AR661" i="77"/>
  <c r="BE661" i="77" s="1"/>
  <c r="BE651" i="77"/>
  <c r="BI651" i="77"/>
  <c r="BJ662" i="77"/>
  <c r="BK662" i="77" s="1"/>
  <c r="BE660" i="77"/>
  <c r="BL662" i="77"/>
  <c r="BE662" i="77"/>
  <c r="BE658" i="77"/>
  <c r="BE659" i="77"/>
  <c r="BL661" i="77" l="1"/>
  <c r="AA519" i="77" l="1"/>
  <c r="AA518" i="77"/>
  <c r="AA517" i="77"/>
  <c r="BL338" i="77"/>
  <c r="BJ338" i="77"/>
  <c r="BK338" i="77" s="1"/>
  <c r="BD338" i="77"/>
  <c r="BC338" i="77"/>
  <c r="BB338" i="77"/>
  <c r="AZ338" i="77"/>
  <c r="AW338" i="77"/>
  <c r="AV338" i="77"/>
  <c r="AU338" i="77"/>
  <c r="AT338" i="77"/>
  <c r="AS338" i="77"/>
  <c r="AM338" i="77"/>
  <c r="AL338" i="77"/>
  <c r="AD338" i="77"/>
  <c r="AA338" i="77"/>
  <c r="AP338" i="77" s="1"/>
  <c r="AQ338" i="77" s="1"/>
  <c r="W338" i="77"/>
  <c r="BL337" i="77"/>
  <c r="BJ337" i="77"/>
  <c r="BK337" i="77" s="1"/>
  <c r="BD337" i="77"/>
  <c r="BC337" i="77"/>
  <c r="BB337" i="77"/>
  <c r="AZ337" i="77"/>
  <c r="AW337" i="77"/>
  <c r="AV337" i="77"/>
  <c r="AU337" i="77"/>
  <c r="AT337" i="77"/>
  <c r="AS337" i="77"/>
  <c r="AM337" i="77"/>
  <c r="AL337" i="77"/>
  <c r="AD337" i="77"/>
  <c r="AA337" i="77"/>
  <c r="AP337" i="77" s="1"/>
  <c r="AQ337" i="77" s="1"/>
  <c r="W337" i="77"/>
  <c r="BI202" i="77"/>
  <c r="BG202" i="77"/>
  <c r="BH202" i="77" s="1"/>
  <c r="BD202" i="77"/>
  <c r="BC202" i="77"/>
  <c r="BB202" i="77"/>
  <c r="AZ202" i="77"/>
  <c r="AW202" i="77"/>
  <c r="AV202" i="77"/>
  <c r="AU202" i="77"/>
  <c r="AT202" i="77"/>
  <c r="AS202" i="77"/>
  <c r="AP202" i="77"/>
  <c r="AQ202" i="77" s="1"/>
  <c r="AO202" i="77"/>
  <c r="AM202" i="77"/>
  <c r="AL202" i="77"/>
  <c r="AD202" i="77"/>
  <c r="AA202" i="77"/>
  <c r="W202" i="77"/>
  <c r="BL188" i="77"/>
  <c r="BJ188" i="77"/>
  <c r="BK188" i="77" s="1"/>
  <c r="BD188" i="77"/>
  <c r="BC188" i="77"/>
  <c r="BB188" i="77"/>
  <c r="AZ188" i="77"/>
  <c r="AW188" i="77"/>
  <c r="AV188" i="77"/>
  <c r="AU188" i="77"/>
  <c r="AT188" i="77"/>
  <c r="AS188" i="77"/>
  <c r="AM188" i="77"/>
  <c r="AL188" i="77"/>
  <c r="AD188" i="77"/>
  <c r="AA188" i="77"/>
  <c r="AP188" i="77" s="1"/>
  <c r="AQ188" i="77" s="1"/>
  <c r="W188" i="77"/>
  <c r="BL165" i="77"/>
  <c r="BJ165" i="77"/>
  <c r="BK165" i="77" s="1"/>
  <c r="BD165" i="77"/>
  <c r="BC165" i="77"/>
  <c r="BB165" i="77"/>
  <c r="AZ165" i="77"/>
  <c r="AW165" i="77"/>
  <c r="AV165" i="77"/>
  <c r="AU165" i="77"/>
  <c r="AT165" i="77"/>
  <c r="AS165" i="77"/>
  <c r="AP165" i="77"/>
  <c r="AQ165" i="77" s="1"/>
  <c r="AO165" i="77"/>
  <c r="AM165" i="77"/>
  <c r="AL165" i="77"/>
  <c r="AD165" i="77"/>
  <c r="AA165" i="77"/>
  <c r="W165" i="77"/>
  <c r="BL141" i="77"/>
  <c r="BJ141" i="77"/>
  <c r="BK141" i="77" s="1"/>
  <c r="BD141" i="77"/>
  <c r="BC141" i="77"/>
  <c r="BB141" i="77"/>
  <c r="AZ141" i="77"/>
  <c r="AW141" i="77"/>
  <c r="AV141" i="77"/>
  <c r="AU141" i="77"/>
  <c r="AT141" i="77"/>
  <c r="AS141" i="77"/>
  <c r="AP141" i="77"/>
  <c r="AQ141" i="77" s="1"/>
  <c r="AO141" i="77"/>
  <c r="AN141" i="77"/>
  <c r="AL141" i="77"/>
  <c r="AA141" i="77"/>
  <c r="W141" i="77"/>
  <c r="BI145" i="77"/>
  <c r="BG145" i="77"/>
  <c r="BH145" i="77" s="1"/>
  <c r="BD145" i="77"/>
  <c r="BC145" i="77"/>
  <c r="BB145" i="77"/>
  <c r="AZ145" i="77"/>
  <c r="AW145" i="77"/>
  <c r="AV145" i="77"/>
  <c r="AU145" i="77"/>
  <c r="AT145" i="77"/>
  <c r="AS145" i="77"/>
  <c r="AP145" i="77"/>
  <c r="AQ145" i="77" s="1"/>
  <c r="AO145" i="77"/>
  <c r="AN145" i="77"/>
  <c r="AL145" i="77"/>
  <c r="AA145" i="77"/>
  <c r="W145" i="77"/>
  <c r="BI144" i="77"/>
  <c r="BG144" i="77"/>
  <c r="BH144" i="77" s="1"/>
  <c r="BD144" i="77"/>
  <c r="BC144" i="77"/>
  <c r="BB144" i="77"/>
  <c r="AZ144" i="77"/>
  <c r="AW144" i="77"/>
  <c r="AV144" i="77"/>
  <c r="AU144" i="77"/>
  <c r="AT144" i="77"/>
  <c r="AS144" i="77"/>
  <c r="AP144" i="77"/>
  <c r="AQ144" i="77" s="1"/>
  <c r="AO144" i="77"/>
  <c r="AN144" i="77"/>
  <c r="AL144" i="77"/>
  <c r="AA144" i="77"/>
  <c r="W144" i="77"/>
  <c r="BL140" i="77"/>
  <c r="BJ140" i="77"/>
  <c r="BK140" i="77" s="1"/>
  <c r="BD140" i="77"/>
  <c r="BC140" i="77"/>
  <c r="BB140" i="77"/>
  <c r="AZ140" i="77"/>
  <c r="AW140" i="77"/>
  <c r="AV140" i="77"/>
  <c r="AU140" i="77"/>
  <c r="AT140" i="77"/>
  <c r="AS140" i="77"/>
  <c r="AP140" i="77"/>
  <c r="AQ140" i="77" s="1"/>
  <c r="AO140" i="77"/>
  <c r="AN140" i="77"/>
  <c r="AL140" i="77"/>
  <c r="AA140" i="77"/>
  <c r="W140" i="77"/>
  <c r="W142" i="77"/>
  <c r="AA142" i="77"/>
  <c r="AL142" i="77"/>
  <c r="AN142" i="77"/>
  <c r="AO142" i="77"/>
  <c r="AP142" i="77"/>
  <c r="AQ142" i="77" s="1"/>
  <c r="AS142" i="77"/>
  <c r="AT142" i="77"/>
  <c r="AU142" i="77"/>
  <c r="AV142" i="77"/>
  <c r="AW142" i="77"/>
  <c r="AZ142" i="77"/>
  <c r="BB142" i="77"/>
  <c r="BC142" i="77"/>
  <c r="BD142" i="77"/>
  <c r="BL299" i="77"/>
  <c r="BJ299" i="77"/>
  <c r="BK299" i="77" s="1"/>
  <c r="BD299" i="77"/>
  <c r="BC299" i="77"/>
  <c r="BB299" i="77"/>
  <c r="AZ299" i="77"/>
  <c r="AW299" i="77"/>
  <c r="AV299" i="77"/>
  <c r="AU299" i="77"/>
  <c r="AT299" i="77"/>
  <c r="AS299" i="77"/>
  <c r="AM299" i="77"/>
  <c r="AL299" i="77"/>
  <c r="AD299" i="77"/>
  <c r="AA299" i="77"/>
  <c r="AP299" i="77" s="1"/>
  <c r="W299" i="77"/>
  <c r="BL298" i="77"/>
  <c r="BJ298" i="77"/>
  <c r="BK298" i="77" s="1"/>
  <c r="BD298" i="77"/>
  <c r="BC298" i="77"/>
  <c r="BB298" i="77"/>
  <c r="AZ298" i="77"/>
  <c r="AW298" i="77"/>
  <c r="AV298" i="77"/>
  <c r="AU298" i="77"/>
  <c r="AT298" i="77"/>
  <c r="AS298" i="77"/>
  <c r="AM298" i="77"/>
  <c r="AL298" i="77"/>
  <c r="AD298" i="77"/>
  <c r="AA298" i="77"/>
  <c r="AP298" i="77" s="1"/>
  <c r="W298" i="77"/>
  <c r="BL276" i="77"/>
  <c r="BJ276" i="77"/>
  <c r="BK276" i="77" s="1"/>
  <c r="BD276" i="77"/>
  <c r="BC276" i="77"/>
  <c r="BB276" i="77"/>
  <c r="AZ276" i="77"/>
  <c r="AW276" i="77"/>
  <c r="AV276" i="77"/>
  <c r="AU276" i="77"/>
  <c r="AT276" i="77"/>
  <c r="AS276" i="77"/>
  <c r="AM276" i="77"/>
  <c r="AL276" i="77"/>
  <c r="AD276" i="77"/>
  <c r="AA276" i="77"/>
  <c r="AP276" i="77" s="1"/>
  <c r="AQ276" i="77" s="1"/>
  <c r="W276" i="77"/>
  <c r="BL275" i="77"/>
  <c r="BJ275" i="77"/>
  <c r="BK275" i="77" s="1"/>
  <c r="BD275" i="77"/>
  <c r="BC275" i="77"/>
  <c r="BB275" i="77"/>
  <c r="AZ275" i="77"/>
  <c r="AW275" i="77"/>
  <c r="AV275" i="77"/>
  <c r="AU275" i="77"/>
  <c r="AT275" i="77"/>
  <c r="AS275" i="77"/>
  <c r="AM275" i="77"/>
  <c r="AL275" i="77"/>
  <c r="AD275" i="77"/>
  <c r="AA275" i="77"/>
  <c r="AP275" i="77" s="1"/>
  <c r="AQ275" i="77" s="1"/>
  <c r="W275" i="77"/>
  <c r="BL283" i="77"/>
  <c r="BJ283" i="77"/>
  <c r="BK283" i="77" s="1"/>
  <c r="BD283" i="77"/>
  <c r="BC283" i="77"/>
  <c r="BB283" i="77"/>
  <c r="AZ283" i="77"/>
  <c r="AW283" i="77"/>
  <c r="AV283" i="77"/>
  <c r="AU283" i="77"/>
  <c r="AT283" i="77"/>
  <c r="AS283" i="77"/>
  <c r="AP283" i="77"/>
  <c r="AQ283" i="77" s="1"/>
  <c r="AO283" i="77"/>
  <c r="AM283" i="77"/>
  <c r="AL283" i="77"/>
  <c r="AD283" i="77"/>
  <c r="AA283" i="77"/>
  <c r="W283" i="77"/>
  <c r="BL282" i="77"/>
  <c r="BJ282" i="77"/>
  <c r="BK282" i="77" s="1"/>
  <c r="BD282" i="77"/>
  <c r="BC282" i="77"/>
  <c r="BB282" i="77"/>
  <c r="AZ282" i="77"/>
  <c r="AW282" i="77"/>
  <c r="AV282" i="77"/>
  <c r="AU282" i="77"/>
  <c r="AT282" i="77"/>
  <c r="AS282" i="77"/>
  <c r="AP282" i="77"/>
  <c r="AQ282" i="77" s="1"/>
  <c r="AO282" i="77"/>
  <c r="AM282" i="77"/>
  <c r="AL282" i="77"/>
  <c r="AD282" i="77"/>
  <c r="AA282" i="77"/>
  <c r="W282" i="77"/>
  <c r="BL261" i="77"/>
  <c r="BJ261" i="77"/>
  <c r="BK261" i="77" s="1"/>
  <c r="BD261" i="77"/>
  <c r="BC261" i="77"/>
  <c r="BB261" i="77"/>
  <c r="AZ261" i="77"/>
  <c r="AW261" i="77"/>
  <c r="AV261" i="77"/>
  <c r="AU261" i="77"/>
  <c r="AT261" i="77"/>
  <c r="AS261" i="77"/>
  <c r="AM261" i="77"/>
  <c r="AL261" i="77"/>
  <c r="AD261" i="77"/>
  <c r="AA261" i="77"/>
  <c r="AP261" i="77" s="1"/>
  <c r="AQ261" i="77" s="1"/>
  <c r="W261" i="77"/>
  <c r="BL260" i="77"/>
  <c r="BJ260" i="77"/>
  <c r="BK260" i="77" s="1"/>
  <c r="BD260" i="77"/>
  <c r="BC260" i="77"/>
  <c r="BB260" i="77"/>
  <c r="AZ260" i="77"/>
  <c r="AW260" i="77"/>
  <c r="AV260" i="77"/>
  <c r="AU260" i="77"/>
  <c r="AT260" i="77"/>
  <c r="AS260" i="77"/>
  <c r="AM260" i="77"/>
  <c r="AL260" i="77"/>
  <c r="AD260" i="77"/>
  <c r="AA260" i="77"/>
  <c r="AP260" i="77" s="1"/>
  <c r="AQ260" i="77" s="1"/>
  <c r="W260" i="77"/>
  <c r="BL290" i="77"/>
  <c r="BJ290" i="77"/>
  <c r="BK290" i="77" s="1"/>
  <c r="BD290" i="77"/>
  <c r="BC290" i="77"/>
  <c r="BB290" i="77"/>
  <c r="AZ290" i="77"/>
  <c r="AW290" i="77"/>
  <c r="AV290" i="77"/>
  <c r="AU290" i="77"/>
  <c r="AT290" i="77"/>
  <c r="AS290" i="77"/>
  <c r="AP290" i="77"/>
  <c r="AQ290" i="77" s="1"/>
  <c r="AO290" i="77"/>
  <c r="AM290" i="77"/>
  <c r="AL290" i="77"/>
  <c r="AD290" i="77"/>
  <c r="AA290" i="77"/>
  <c r="W290" i="77"/>
  <c r="BL289" i="77"/>
  <c r="BJ289" i="77"/>
  <c r="BK289" i="77" s="1"/>
  <c r="BD289" i="77"/>
  <c r="BC289" i="77"/>
  <c r="BB289" i="77"/>
  <c r="AZ289" i="77"/>
  <c r="AW289" i="77"/>
  <c r="AV289" i="77"/>
  <c r="AU289" i="77"/>
  <c r="AT289" i="77"/>
  <c r="AS289" i="77"/>
  <c r="AP289" i="77"/>
  <c r="AQ289" i="77" s="1"/>
  <c r="AO289" i="77"/>
  <c r="AM289" i="77"/>
  <c r="AL289" i="77"/>
  <c r="AD289" i="77"/>
  <c r="AA289" i="77"/>
  <c r="W289" i="77"/>
  <c r="AF202" i="77" l="1"/>
  <c r="AE202" i="77" s="1"/>
  <c r="AN202" i="77" s="1"/>
  <c r="BJ202" i="77" s="1"/>
  <c r="BK202" i="77" s="1"/>
  <c r="AF337" i="77"/>
  <c r="AE337" i="77" s="1"/>
  <c r="AN337" i="77" s="1"/>
  <c r="BG337" i="77" s="1"/>
  <c r="BH337" i="77" s="1"/>
  <c r="AO337" i="77"/>
  <c r="AF338" i="77"/>
  <c r="AE338" i="77" s="1"/>
  <c r="AN338" i="77" s="1"/>
  <c r="BG338" i="77" s="1"/>
  <c r="BH338" i="77" s="1"/>
  <c r="AO338" i="77"/>
  <c r="AF188" i="77"/>
  <c r="AE188" i="77" s="1"/>
  <c r="AN188" i="77" s="1"/>
  <c r="BG188" i="77" s="1"/>
  <c r="BH188" i="77" s="1"/>
  <c r="AO188" i="77"/>
  <c r="AF165" i="77"/>
  <c r="AE165" i="77" s="1"/>
  <c r="AN165" i="77" s="1"/>
  <c r="BG165" i="77" s="1"/>
  <c r="BH165" i="77" s="1"/>
  <c r="AO298" i="77"/>
  <c r="AF298" i="77"/>
  <c r="AE298" i="77" s="1"/>
  <c r="AN298" i="77" s="1"/>
  <c r="BG298" i="77" s="1"/>
  <c r="BH298" i="77" s="1"/>
  <c r="AO299" i="77"/>
  <c r="AF299" i="77"/>
  <c r="AE299" i="77" s="1"/>
  <c r="AN299" i="77" s="1"/>
  <c r="BG299" i="77" s="1"/>
  <c r="BH299" i="77" s="1"/>
  <c r="AQ299" i="77"/>
  <c r="AQ298" i="77"/>
  <c r="AF276" i="77"/>
  <c r="AE276" i="77" s="1"/>
  <c r="AN276" i="77" s="1"/>
  <c r="BG276" i="77" s="1"/>
  <c r="BH276" i="77" s="1"/>
  <c r="AO276" i="77"/>
  <c r="AF275" i="77"/>
  <c r="AE275" i="77" s="1"/>
  <c r="AN275" i="77" s="1"/>
  <c r="BG275" i="77" s="1"/>
  <c r="BH275" i="77" s="1"/>
  <c r="AO275" i="77"/>
  <c r="AF260" i="77"/>
  <c r="AE260" i="77" s="1"/>
  <c r="AN260" i="77" s="1"/>
  <c r="BG260" i="77" s="1"/>
  <c r="BH260" i="77" s="1"/>
  <c r="AF283" i="77"/>
  <c r="AE283" i="77" s="1"/>
  <c r="AN283" i="77" s="1"/>
  <c r="BG283" i="77" s="1"/>
  <c r="BH283" i="77" s="1"/>
  <c r="AF282" i="77"/>
  <c r="AE282" i="77" s="1"/>
  <c r="AN282" i="77" s="1"/>
  <c r="BG282" i="77" s="1"/>
  <c r="BH282" i="77" s="1"/>
  <c r="AO260" i="77"/>
  <c r="AF261" i="77"/>
  <c r="AE261" i="77" s="1"/>
  <c r="AN261" i="77" s="1"/>
  <c r="BG261" i="77" s="1"/>
  <c r="BH261" i="77" s="1"/>
  <c r="AO261" i="77"/>
  <c r="AF289" i="77"/>
  <c r="AE289" i="77" s="1"/>
  <c r="AN289" i="77" s="1"/>
  <c r="BG289" i="77" s="1"/>
  <c r="BH289" i="77" s="1"/>
  <c r="AF290" i="77"/>
  <c r="AE290" i="77" s="1"/>
  <c r="AN290" i="77" s="1"/>
  <c r="BG290" i="77" s="1"/>
  <c r="BH290" i="77" s="1"/>
  <c r="BD507" i="77" l="1"/>
  <c r="BC507" i="77"/>
  <c r="BB507" i="77"/>
  <c r="AZ507" i="77"/>
  <c r="AW507" i="77"/>
  <c r="AT507" i="77"/>
  <c r="AS507" i="77"/>
  <c r="AP507" i="77"/>
  <c r="AQ507" i="77" s="1"/>
  <c r="AO507" i="77"/>
  <c r="AN507" i="77"/>
  <c r="AM507" i="77"/>
  <c r="AL507" i="77"/>
  <c r="BG507" i="77" s="1"/>
  <c r="BH507" i="77" s="1"/>
  <c r="AD507" i="77"/>
  <c r="AA507" i="77"/>
  <c r="AU507" i="77" s="1"/>
  <c r="W507" i="77"/>
  <c r="AF507" i="77" l="1"/>
  <c r="AE507" i="77" s="1"/>
  <c r="BJ507" i="77"/>
  <c r="BK507" i="77" s="1"/>
  <c r="AV507" i="77"/>
  <c r="BD453" i="77" l="1"/>
  <c r="BC453" i="77"/>
  <c r="BB453" i="77"/>
  <c r="AZ453" i="77"/>
  <c r="AW453" i="77"/>
  <c r="AV453" i="77"/>
  <c r="AU453" i="77"/>
  <c r="AT453" i="77"/>
  <c r="AS453" i="77"/>
  <c r="AN453" i="77"/>
  <c r="AL453" i="77"/>
  <c r="AA453" i="77"/>
  <c r="AP453" i="77" s="1"/>
  <c r="W453" i="77"/>
  <c r="BD452" i="77"/>
  <c r="BC452" i="77"/>
  <c r="BB452" i="77"/>
  <c r="AZ452" i="77"/>
  <c r="AW452" i="77"/>
  <c r="AV452" i="77"/>
  <c r="AU452" i="77"/>
  <c r="AT452" i="77"/>
  <c r="AS452" i="77"/>
  <c r="AP452" i="77"/>
  <c r="AQ452" i="77" s="1"/>
  <c r="AO452" i="77"/>
  <c r="AN452" i="77"/>
  <c r="AM452" i="77"/>
  <c r="AA452" i="77"/>
  <c r="AD452" i="77" s="1"/>
  <c r="AF452" i="77" s="1"/>
  <c r="AE452" i="77" s="1"/>
  <c r="W452" i="77"/>
  <c r="BL451" i="77"/>
  <c r="BJ451" i="77"/>
  <c r="BK451" i="77" s="1"/>
  <c r="BD451" i="77"/>
  <c r="BC451" i="77"/>
  <c r="BB451" i="77"/>
  <c r="AZ451" i="77"/>
  <c r="AW451" i="77"/>
  <c r="AV451" i="77"/>
  <c r="AU451" i="77"/>
  <c r="AT451" i="77"/>
  <c r="AS451" i="77"/>
  <c r="AN451" i="77"/>
  <c r="AL451" i="77"/>
  <c r="AA451" i="77"/>
  <c r="AP451" i="77" s="1"/>
  <c r="W451" i="77"/>
  <c r="BL450" i="77"/>
  <c r="BJ450" i="77"/>
  <c r="BK450" i="77" s="1"/>
  <c r="BD450" i="77"/>
  <c r="BC450" i="77"/>
  <c r="BB450" i="77"/>
  <c r="AZ450" i="77"/>
  <c r="AW450" i="77"/>
  <c r="AV450" i="77"/>
  <c r="AU450" i="77"/>
  <c r="AT450" i="77"/>
  <c r="AS450" i="77"/>
  <c r="AP450" i="77"/>
  <c r="AQ450" i="77" s="1"/>
  <c r="AO450" i="77"/>
  <c r="AN450" i="77"/>
  <c r="AM450" i="77"/>
  <c r="AA450" i="77"/>
  <c r="AD450" i="77" s="1"/>
  <c r="AF450" i="77" s="1"/>
  <c r="AE450" i="77" s="1"/>
  <c r="W450" i="77"/>
  <c r="AO453" i="77" l="1"/>
  <c r="AO451" i="77"/>
  <c r="BG453" i="77" l="1"/>
  <c r="BH453" i="77" s="1"/>
  <c r="BG452" i="77"/>
  <c r="BH452" i="77" s="1"/>
  <c r="BI453" i="77" l="1"/>
  <c r="W442" i="77" l="1"/>
  <c r="AA442" i="77"/>
  <c r="AD442" i="77" s="1"/>
  <c r="AF442" i="77" s="1"/>
  <c r="AE442" i="77" s="1"/>
  <c r="AM442" i="77"/>
  <c r="AN442" i="77"/>
  <c r="AO442" i="77"/>
  <c r="AP442" i="77"/>
  <c r="AQ442" i="77" s="1"/>
  <c r="AS442" i="77"/>
  <c r="AT442" i="77"/>
  <c r="AU442" i="77"/>
  <c r="AV442" i="77"/>
  <c r="AW442" i="77"/>
  <c r="AZ442" i="77"/>
  <c r="BB442" i="77"/>
  <c r="BC442" i="77"/>
  <c r="BD442" i="77"/>
  <c r="BJ442" i="77"/>
  <c r="BK442" i="77" s="1"/>
  <c r="BL442" i="77"/>
  <c r="W443" i="77"/>
  <c r="AA443" i="77"/>
  <c r="AO443" i="77" s="1"/>
  <c r="AD443" i="77"/>
  <c r="AL443" i="77"/>
  <c r="AM443" i="77"/>
  <c r="AP443" i="77"/>
  <c r="AQ443" i="77" s="1"/>
  <c r="AS443" i="77"/>
  <c r="AT443" i="77"/>
  <c r="AU443" i="77"/>
  <c r="AV443" i="77"/>
  <c r="AW443" i="77"/>
  <c r="AZ443" i="77"/>
  <c r="BB443" i="77"/>
  <c r="BC443" i="77"/>
  <c r="BD443" i="77"/>
  <c r="BJ443" i="77"/>
  <c r="BK443" i="77" s="1"/>
  <c r="BL443" i="77"/>
  <c r="W444" i="77"/>
  <c r="AA444" i="77"/>
  <c r="AD444" i="77"/>
  <c r="AL444" i="77"/>
  <c r="AM444" i="77"/>
  <c r="AP444" i="77"/>
  <c r="AQ444" i="77" s="1"/>
  <c r="AS444" i="77"/>
  <c r="AT444" i="77"/>
  <c r="AU444" i="77"/>
  <c r="AV444" i="77"/>
  <c r="AW444" i="77"/>
  <c r="AZ444" i="77"/>
  <c r="BB444" i="77"/>
  <c r="BC444" i="77"/>
  <c r="BD444" i="77"/>
  <c r="BJ444" i="77"/>
  <c r="BK444" i="77" s="1"/>
  <c r="BL444" i="77"/>
  <c r="W445" i="77"/>
  <c r="AA445" i="77"/>
  <c r="AD445" i="77" s="1"/>
  <c r="AM445" i="77"/>
  <c r="AN445" i="77"/>
  <c r="AS445" i="77"/>
  <c r="AT445" i="77"/>
  <c r="AU445" i="77"/>
  <c r="AV445" i="77"/>
  <c r="AW445" i="77"/>
  <c r="AZ445" i="77"/>
  <c r="BB445" i="77"/>
  <c r="BC445" i="77"/>
  <c r="BD445" i="77"/>
  <c r="BG445" i="77"/>
  <c r="BH445" i="77" s="1"/>
  <c r="BI445" i="77"/>
  <c r="W446" i="77"/>
  <c r="AA446" i="77"/>
  <c r="AD446" i="77"/>
  <c r="AL446" i="77"/>
  <c r="AM446" i="77"/>
  <c r="AO446" i="77"/>
  <c r="AP446" i="77"/>
  <c r="AQ446" i="77" s="1"/>
  <c r="AS446" i="77"/>
  <c r="AT446" i="77"/>
  <c r="AU446" i="77"/>
  <c r="AV446" i="77"/>
  <c r="AW446" i="77"/>
  <c r="AZ446" i="77"/>
  <c r="BB446" i="77"/>
  <c r="BC446" i="77"/>
  <c r="BD446" i="77"/>
  <c r="BG446" i="77"/>
  <c r="BH446" i="77" s="1"/>
  <c r="BI446" i="77"/>
  <c r="W447" i="77"/>
  <c r="AA447" i="77"/>
  <c r="AD447" i="77"/>
  <c r="AL447" i="77"/>
  <c r="AM447" i="77"/>
  <c r="AO447" i="77"/>
  <c r="AP447" i="77"/>
  <c r="AQ447" i="77" s="1"/>
  <c r="AS447" i="77"/>
  <c r="AT447" i="77"/>
  <c r="AU447" i="77"/>
  <c r="AV447" i="77"/>
  <c r="AW447" i="77"/>
  <c r="AZ447" i="77"/>
  <c r="BB447" i="77"/>
  <c r="BC447" i="77"/>
  <c r="BD447" i="77"/>
  <c r="BG447" i="77"/>
  <c r="BH447" i="77" s="1"/>
  <c r="BI447" i="77"/>
  <c r="BI357" i="77"/>
  <c r="BG357" i="77"/>
  <c r="BH357" i="77" s="1"/>
  <c r="BD357" i="77"/>
  <c r="BC357" i="77"/>
  <c r="BB357" i="77"/>
  <c r="AZ357" i="77"/>
  <c r="AW357" i="77"/>
  <c r="AV357" i="77"/>
  <c r="AU357" i="77"/>
  <c r="AT357" i="77"/>
  <c r="AS357" i="77"/>
  <c r="AM357" i="77"/>
  <c r="AL357" i="77"/>
  <c r="AD357" i="77"/>
  <c r="AA357" i="77"/>
  <c r="AP357" i="77" s="1"/>
  <c r="AQ357" i="77" s="1"/>
  <c r="W357" i="77"/>
  <c r="BI355" i="77"/>
  <c r="BG355" i="77"/>
  <c r="BH355" i="77" s="1"/>
  <c r="BD355" i="77"/>
  <c r="BC355" i="77"/>
  <c r="BB355" i="77"/>
  <c r="AZ355" i="77"/>
  <c r="AW355" i="77"/>
  <c r="AV355" i="77"/>
  <c r="AU355" i="77"/>
  <c r="AT355" i="77"/>
  <c r="AS355" i="77"/>
  <c r="AM355" i="77"/>
  <c r="AL355" i="77"/>
  <c r="AD355" i="77"/>
  <c r="AA355" i="77"/>
  <c r="AP355" i="77" s="1"/>
  <c r="AQ355" i="77" s="1"/>
  <c r="W355" i="77"/>
  <c r="BI353" i="77"/>
  <c r="BG353" i="77"/>
  <c r="BH353" i="77" s="1"/>
  <c r="BD353" i="77"/>
  <c r="BC353" i="77"/>
  <c r="BB353" i="77"/>
  <c r="AZ353" i="77"/>
  <c r="AW353" i="77"/>
  <c r="AV353" i="77"/>
  <c r="AU353" i="77"/>
  <c r="AT353" i="77"/>
  <c r="AS353" i="77"/>
  <c r="AM353" i="77"/>
  <c r="AL353" i="77"/>
  <c r="AD353" i="77"/>
  <c r="AA353" i="77"/>
  <c r="AP353" i="77" s="1"/>
  <c r="AQ353" i="77" s="1"/>
  <c r="W353" i="77"/>
  <c r="AF447" i="77" l="1"/>
  <c r="AE447" i="77" s="1"/>
  <c r="AN447" i="77" s="1"/>
  <c r="BJ447" i="77" s="1"/>
  <c r="BK447" i="77" s="1"/>
  <c r="AF446" i="77"/>
  <c r="AE446" i="77" s="1"/>
  <c r="AN446" i="77" s="1"/>
  <c r="AF443" i="77"/>
  <c r="AE443" i="77" s="1"/>
  <c r="AN443" i="77" s="1"/>
  <c r="BG443" i="77" s="1"/>
  <c r="BH443" i="77" s="1"/>
  <c r="AF444" i="77"/>
  <c r="AE444" i="77" s="1"/>
  <c r="AN444" i="77" s="1"/>
  <c r="BG444" i="77" s="1"/>
  <c r="BH444" i="77" s="1"/>
  <c r="AP445" i="77"/>
  <c r="AQ445" i="77" s="1"/>
  <c r="AF445" i="77"/>
  <c r="AE445" i="77" s="1"/>
  <c r="AO444" i="77"/>
  <c r="AO445" i="77"/>
  <c r="AF353" i="77"/>
  <c r="AE353" i="77" s="1"/>
  <c r="AN353" i="77" s="1"/>
  <c r="BJ353" i="77" s="1"/>
  <c r="BK353" i="77" s="1"/>
  <c r="AF357" i="77"/>
  <c r="AE357" i="77" s="1"/>
  <c r="AN357" i="77" s="1"/>
  <c r="BJ357" i="77" s="1"/>
  <c r="BK357" i="77" s="1"/>
  <c r="AO357" i="77"/>
  <c r="AF355" i="77"/>
  <c r="AE355" i="77" s="1"/>
  <c r="AN355" i="77" s="1"/>
  <c r="BJ355" i="77" s="1"/>
  <c r="BK355" i="77" s="1"/>
  <c r="AO355" i="77"/>
  <c r="AO353" i="77"/>
  <c r="BJ446" i="77" l="1"/>
  <c r="BK446" i="77" s="1"/>
  <c r="BL316" i="77" l="1"/>
  <c r="BJ316" i="77"/>
  <c r="BK316" i="77" s="1"/>
  <c r="BD316" i="77"/>
  <c r="BC316" i="77"/>
  <c r="BB316" i="77"/>
  <c r="AZ316" i="77"/>
  <c r="AW316" i="77"/>
  <c r="AV316" i="77"/>
  <c r="AU316" i="77"/>
  <c r="AT316" i="77"/>
  <c r="AS316" i="77"/>
  <c r="AP316" i="77"/>
  <c r="AQ316" i="77" s="1"/>
  <c r="AO316" i="77"/>
  <c r="AN316" i="77"/>
  <c r="AL316" i="77"/>
  <c r="AA316" i="77"/>
  <c r="W316" i="77"/>
  <c r="BL315" i="77"/>
  <c r="BJ315" i="77"/>
  <c r="BK315" i="77" s="1"/>
  <c r="BD315" i="77"/>
  <c r="BC315" i="77"/>
  <c r="BB315" i="77"/>
  <c r="AZ315" i="77"/>
  <c r="AW315" i="77"/>
  <c r="AV315" i="77"/>
  <c r="AU315" i="77"/>
  <c r="AT315" i="77"/>
  <c r="AS315" i="77"/>
  <c r="AP315" i="77"/>
  <c r="AQ315" i="77" s="1"/>
  <c r="AO315" i="77"/>
  <c r="AN315" i="77"/>
  <c r="AM315" i="77"/>
  <c r="AA315" i="77"/>
  <c r="AD315" i="77" s="1"/>
  <c r="W315" i="77"/>
  <c r="BD317" i="77"/>
  <c r="BC317" i="77"/>
  <c r="BB317" i="77"/>
  <c r="AZ317" i="77"/>
  <c r="AW317" i="77"/>
  <c r="AV317" i="77"/>
  <c r="AU317" i="77"/>
  <c r="AT317" i="77"/>
  <c r="AS317" i="77"/>
  <c r="AP317" i="77"/>
  <c r="AQ317" i="77" s="1"/>
  <c r="AO317" i="77"/>
  <c r="AN317" i="77"/>
  <c r="AM317" i="77"/>
  <c r="AA317" i="77"/>
  <c r="W317" i="77"/>
  <c r="W304" i="77"/>
  <c r="AA304" i="77"/>
  <c r="AD304" i="77" s="1"/>
  <c r="AF304" i="77" s="1"/>
  <c r="AE304" i="77" s="1"/>
  <c r="AM304" i="77"/>
  <c r="AN304" i="77"/>
  <c r="AO304" i="77"/>
  <c r="AS304" i="77"/>
  <c r="AT304" i="77"/>
  <c r="AU304" i="77"/>
  <c r="AV304" i="77"/>
  <c r="AW304" i="77"/>
  <c r="AZ304" i="77"/>
  <c r="BB304" i="77"/>
  <c r="BC304" i="77"/>
  <c r="BD304" i="77"/>
  <c r="BJ304" i="77"/>
  <c r="BK304" i="77" s="1"/>
  <c r="BL304" i="77"/>
  <c r="W305" i="77"/>
  <c r="AA305" i="77"/>
  <c r="AL305" i="77"/>
  <c r="AN305" i="77"/>
  <c r="AO305" i="77"/>
  <c r="AP305" i="77"/>
  <c r="AQ305" i="77" s="1"/>
  <c r="AS305" i="77"/>
  <c r="AT305" i="77"/>
  <c r="AU305" i="77"/>
  <c r="AV305" i="77"/>
  <c r="AW305" i="77"/>
  <c r="AZ305" i="77"/>
  <c r="BB305" i="77"/>
  <c r="BC305" i="77"/>
  <c r="BD305" i="77"/>
  <c r="BJ305" i="77"/>
  <c r="BK305" i="77" s="1"/>
  <c r="BL305" i="77"/>
  <c r="W306" i="77"/>
  <c r="AA306" i="77"/>
  <c r="AL306" i="77"/>
  <c r="AN306" i="77"/>
  <c r="AO306" i="77"/>
  <c r="AP306" i="77"/>
  <c r="AQ306" i="77" s="1"/>
  <c r="AS306" i="77"/>
  <c r="AT306" i="77"/>
  <c r="AU306" i="77"/>
  <c r="AV306" i="77"/>
  <c r="AW306" i="77"/>
  <c r="AZ306" i="77"/>
  <c r="BB306" i="77"/>
  <c r="BC306" i="77"/>
  <c r="BD306" i="77"/>
  <c r="BJ306" i="77"/>
  <c r="BK306" i="77" s="1"/>
  <c r="BL306" i="77"/>
  <c r="AP304" i="77" l="1"/>
  <c r="AQ304" i="77" s="1"/>
  <c r="AF315" i="77"/>
  <c r="AE315" i="77" s="1"/>
  <c r="AD317" i="77"/>
  <c r="AF317" i="77" s="1"/>
  <c r="AE317" i="77" s="1"/>
  <c r="BG317" i="77" l="1"/>
  <c r="BH317" i="77" s="1"/>
  <c r="BI317" i="77" l="1"/>
  <c r="BI242" i="77"/>
  <c r="BG242" i="77"/>
  <c r="BH242" i="77" s="1"/>
  <c r="BD242" i="77"/>
  <c r="BC242" i="77"/>
  <c r="BB242" i="77"/>
  <c r="AZ242" i="77"/>
  <c r="AW242" i="77"/>
  <c r="AV242" i="77"/>
  <c r="AU242" i="77"/>
  <c r="AT242" i="77"/>
  <c r="AS242" i="77"/>
  <c r="AM242" i="77"/>
  <c r="AL242" i="77"/>
  <c r="AD242" i="77"/>
  <c r="AA242" i="77"/>
  <c r="AP242" i="77" s="1"/>
  <c r="AQ242" i="77" s="1"/>
  <c r="W242" i="77"/>
  <c r="BL235" i="77"/>
  <c r="BJ235" i="77"/>
  <c r="BK235" i="77" s="1"/>
  <c r="BD235" i="77"/>
  <c r="BC235" i="77"/>
  <c r="BB235" i="77"/>
  <c r="AZ235" i="77"/>
  <c r="AW235" i="77"/>
  <c r="AV235" i="77"/>
  <c r="AU235" i="77"/>
  <c r="AT235" i="77"/>
  <c r="AS235" i="77"/>
  <c r="AO235" i="77"/>
  <c r="AM235" i="77"/>
  <c r="AL235" i="77"/>
  <c r="AD235" i="77"/>
  <c r="AA235" i="77"/>
  <c r="AP235" i="77" s="1"/>
  <c r="W235" i="77"/>
  <c r="BL232" i="77"/>
  <c r="BJ232" i="77"/>
  <c r="BK232" i="77" s="1"/>
  <c r="BD232" i="77"/>
  <c r="BC232" i="77"/>
  <c r="BB232" i="77"/>
  <c r="AZ232" i="77"/>
  <c r="AW232" i="77"/>
  <c r="AV232" i="77"/>
  <c r="AU232" i="77"/>
  <c r="AT232" i="77"/>
  <c r="AS232" i="77"/>
  <c r="AP232" i="77"/>
  <c r="AQ232" i="77" s="1"/>
  <c r="AO232" i="77"/>
  <c r="AM232" i="77"/>
  <c r="AL232" i="77"/>
  <c r="AD232" i="77"/>
  <c r="AA232" i="77"/>
  <c r="W232" i="77"/>
  <c r="BL228" i="77"/>
  <c r="BJ228" i="77"/>
  <c r="BK228" i="77" s="1"/>
  <c r="BD228" i="77"/>
  <c r="BC228" i="77"/>
  <c r="BB228" i="77"/>
  <c r="AZ228" i="77"/>
  <c r="AW228" i="77"/>
  <c r="AV228" i="77"/>
  <c r="AU228" i="77"/>
  <c r="AT228" i="77"/>
  <c r="AS228" i="77"/>
  <c r="AP228" i="77"/>
  <c r="AQ228" i="77" s="1"/>
  <c r="AO228" i="77"/>
  <c r="AM228" i="77"/>
  <c r="AL228" i="77"/>
  <c r="AD228" i="77"/>
  <c r="AA228" i="77"/>
  <c r="W228" i="77"/>
  <c r="BL212" i="77"/>
  <c r="BJ212" i="77"/>
  <c r="BK212" i="77" s="1"/>
  <c r="BD212" i="77"/>
  <c r="BC212" i="77"/>
  <c r="BB212" i="77"/>
  <c r="AZ212" i="77"/>
  <c r="AW212" i="77"/>
  <c r="AV212" i="77"/>
  <c r="AU212" i="77"/>
  <c r="AT212" i="77"/>
  <c r="AS212" i="77"/>
  <c r="AM212" i="77"/>
  <c r="AL212" i="77"/>
  <c r="AD212" i="77"/>
  <c r="AA212" i="77"/>
  <c r="AP212" i="77" s="1"/>
  <c r="W212" i="77"/>
  <c r="BL229" i="77"/>
  <c r="BJ229" i="77"/>
  <c r="BK229" i="77" s="1"/>
  <c r="BD229" i="77"/>
  <c r="BC229" i="77"/>
  <c r="BB229" i="77"/>
  <c r="AZ229" i="77"/>
  <c r="AW229" i="77"/>
  <c r="AV229" i="77"/>
  <c r="AU229" i="77"/>
  <c r="AT229" i="77"/>
  <c r="AS229" i="77"/>
  <c r="AP229" i="77"/>
  <c r="AQ229" i="77" s="1"/>
  <c r="AO229" i="77"/>
  <c r="AM229" i="77"/>
  <c r="AL229" i="77"/>
  <c r="AD229" i="77"/>
  <c r="AA229" i="77"/>
  <c r="W229" i="77"/>
  <c r="BL227" i="77"/>
  <c r="BJ227" i="77"/>
  <c r="BK227" i="77" s="1"/>
  <c r="BD227" i="77"/>
  <c r="BC227" i="77"/>
  <c r="BB227" i="77"/>
  <c r="AZ227" i="77"/>
  <c r="AW227" i="77"/>
  <c r="AV227" i="77"/>
  <c r="AU227" i="77"/>
  <c r="AT227" i="77"/>
  <c r="AS227" i="77"/>
  <c r="AP227" i="77"/>
  <c r="AQ227" i="77" s="1"/>
  <c r="AO227" i="77"/>
  <c r="AM227" i="77"/>
  <c r="AL227" i="77"/>
  <c r="AD227" i="77"/>
  <c r="AA227" i="77"/>
  <c r="W227" i="77"/>
  <c r="BL226" i="77"/>
  <c r="BJ226" i="77"/>
  <c r="BK226" i="77" s="1"/>
  <c r="BD226" i="77"/>
  <c r="BC226" i="77"/>
  <c r="BB226" i="77"/>
  <c r="AZ226" i="77"/>
  <c r="AW226" i="77"/>
  <c r="AV226" i="77"/>
  <c r="AU226" i="77"/>
  <c r="AT226" i="77"/>
  <c r="AS226" i="77"/>
  <c r="AN226" i="77"/>
  <c r="AM226" i="77"/>
  <c r="AA226" i="77"/>
  <c r="AO226" i="77" s="1"/>
  <c r="W226" i="77"/>
  <c r="AO242" i="77" l="1"/>
  <c r="AF242" i="77"/>
  <c r="AE242" i="77" s="1"/>
  <c r="AN242" i="77" s="1"/>
  <c r="BJ242" i="77" s="1"/>
  <c r="BK242" i="77" s="1"/>
  <c r="AF235" i="77"/>
  <c r="AE235" i="77" s="1"/>
  <c r="AN235" i="77" s="1"/>
  <c r="BG235" i="77" s="1"/>
  <c r="BH235" i="77" s="1"/>
  <c r="AQ235" i="77"/>
  <c r="AF232" i="77"/>
  <c r="AE232" i="77" s="1"/>
  <c r="AN232" i="77" s="1"/>
  <c r="BG232" i="77" s="1"/>
  <c r="BH232" i="77" s="1"/>
  <c r="AF228" i="77"/>
  <c r="AE228" i="77" s="1"/>
  <c r="AN228" i="77" s="1"/>
  <c r="BG228" i="77" s="1"/>
  <c r="BH228" i="77" s="1"/>
  <c r="AF212" i="77"/>
  <c r="AE212" i="77" s="1"/>
  <c r="AN212" i="77" s="1"/>
  <c r="BG212" i="77" s="1"/>
  <c r="BH212" i="77" s="1"/>
  <c r="AO212" i="77"/>
  <c r="AQ212" i="77"/>
  <c r="AF229" i="77"/>
  <c r="AE229" i="77" s="1"/>
  <c r="AN229" i="77" s="1"/>
  <c r="BG229" i="77" s="1"/>
  <c r="BH229" i="77" s="1"/>
  <c r="AF227" i="77"/>
  <c r="AE227" i="77" s="1"/>
  <c r="AN227" i="77" s="1"/>
  <c r="BG227" i="77" s="1"/>
  <c r="BH227" i="77" s="1"/>
  <c r="AD226" i="77"/>
  <c r="AF226" i="77" s="1"/>
  <c r="AE226" i="77" s="1"/>
  <c r="AP226" i="77"/>
  <c r="AQ226" i="77" s="1"/>
  <c r="BL150" i="77" l="1"/>
  <c r="BJ150" i="77"/>
  <c r="BK150" i="77" s="1"/>
  <c r="BD150" i="77"/>
  <c r="BC150" i="77"/>
  <c r="BB150" i="77"/>
  <c r="AZ150" i="77"/>
  <c r="AW150" i="77"/>
  <c r="AV150" i="77"/>
  <c r="AU150" i="77"/>
  <c r="AT150" i="77"/>
  <c r="AS150" i="77"/>
  <c r="AN150" i="77"/>
  <c r="AL150" i="77"/>
  <c r="AA150" i="77"/>
  <c r="AP150" i="77" s="1"/>
  <c r="W150" i="77"/>
  <c r="BL149" i="77"/>
  <c r="BJ149" i="77"/>
  <c r="BK149" i="77" s="1"/>
  <c r="BD149" i="77"/>
  <c r="BC149" i="77"/>
  <c r="BB149" i="77"/>
  <c r="AZ149" i="77"/>
  <c r="AW149" i="77"/>
  <c r="AV149" i="77"/>
  <c r="AU149" i="77"/>
  <c r="AT149" i="77"/>
  <c r="AS149" i="77"/>
  <c r="AN149" i="77"/>
  <c r="AL149" i="77"/>
  <c r="AA149" i="77"/>
  <c r="AP149" i="77" s="1"/>
  <c r="W149" i="77"/>
  <c r="BL148" i="77"/>
  <c r="BJ148" i="77"/>
  <c r="BK148" i="77" s="1"/>
  <c r="BD148" i="77"/>
  <c r="BC148" i="77"/>
  <c r="BB148" i="77"/>
  <c r="AZ148" i="77"/>
  <c r="AW148" i="77"/>
  <c r="AV148" i="77"/>
  <c r="AU148" i="77"/>
  <c r="AT148" i="77"/>
  <c r="AS148" i="77"/>
  <c r="AN148" i="77"/>
  <c r="AL148" i="77"/>
  <c r="AA148" i="77"/>
  <c r="AP148" i="77" s="1"/>
  <c r="W148" i="77"/>
  <c r="AA147" i="77"/>
  <c r="AO148" i="77" l="1"/>
  <c r="AO150" i="77"/>
  <c r="AO149" i="77"/>
  <c r="BI146" i="77" l="1"/>
  <c r="BG146" i="77"/>
  <c r="BH146" i="77" s="1"/>
  <c r="BD146" i="77"/>
  <c r="BC146" i="77"/>
  <c r="BB146" i="77"/>
  <c r="AZ146" i="77"/>
  <c r="AW146" i="77"/>
  <c r="AV146" i="77"/>
  <c r="AU146" i="77"/>
  <c r="AT146" i="77"/>
  <c r="AS146" i="77"/>
  <c r="AP146" i="77"/>
  <c r="AQ146" i="77" s="1"/>
  <c r="AO146" i="77"/>
  <c r="AN146" i="77"/>
  <c r="AL146" i="77"/>
  <c r="AA146" i="77"/>
  <c r="W146" i="77"/>
  <c r="BL142" i="77"/>
  <c r="BJ142" i="77"/>
  <c r="BK142" i="77" s="1"/>
  <c r="BD143" i="77"/>
  <c r="BC143" i="77"/>
  <c r="BB143" i="77"/>
  <c r="AZ143" i="77"/>
  <c r="AW143" i="77"/>
  <c r="AV143" i="77"/>
  <c r="AU143" i="77"/>
  <c r="AT143" i="77"/>
  <c r="AS143" i="77"/>
  <c r="AP143" i="77"/>
  <c r="AQ143" i="77" s="1"/>
  <c r="AN143" i="77"/>
  <c r="AM143" i="77"/>
  <c r="AA143" i="77"/>
  <c r="AO143" i="77" s="1"/>
  <c r="W143" i="77"/>
  <c r="BL139" i="77"/>
  <c r="BJ139" i="77"/>
  <c r="BK139" i="77" s="1"/>
  <c r="BD139" i="77"/>
  <c r="BC139" i="77"/>
  <c r="BB139" i="77"/>
  <c r="AZ139" i="77"/>
  <c r="AW139" i="77"/>
  <c r="AV139" i="77"/>
  <c r="AU139" i="77"/>
  <c r="AT139" i="77"/>
  <c r="AS139" i="77"/>
  <c r="AP139" i="77"/>
  <c r="AQ139" i="77" s="1"/>
  <c r="AN139" i="77"/>
  <c r="AM139" i="77"/>
  <c r="AA139" i="77"/>
  <c r="AO139" i="77" s="1"/>
  <c r="W139" i="77"/>
  <c r="AD143" i="77" l="1"/>
  <c r="AF143" i="77" s="1"/>
  <c r="AE143" i="77" s="1"/>
  <c r="AD139" i="77"/>
  <c r="AF139" i="77" s="1"/>
  <c r="AE139" i="77" s="1"/>
  <c r="BG143" i="77" l="1"/>
  <c r="BH143" i="77" s="1"/>
  <c r="BL105" i="77"/>
  <c r="BJ105" i="77"/>
  <c r="BK105" i="77" s="1"/>
  <c r="BD105" i="77"/>
  <c r="BC105" i="77"/>
  <c r="BB105" i="77"/>
  <c r="AZ105" i="77"/>
  <c r="AW105" i="77"/>
  <c r="AV105" i="77"/>
  <c r="AU105" i="77"/>
  <c r="AT105" i="77"/>
  <c r="AS105" i="77"/>
  <c r="AP105" i="77"/>
  <c r="AQ105" i="77" s="1"/>
  <c r="AO105" i="77"/>
  <c r="AM105" i="77"/>
  <c r="AL105" i="77"/>
  <c r="AD105" i="77"/>
  <c r="AA105" i="77"/>
  <c r="W105" i="77"/>
  <c r="W102" i="77"/>
  <c r="AA102" i="77"/>
  <c r="AP102" i="77" s="1"/>
  <c r="AQ102" i="77" s="1"/>
  <c r="AD102" i="77"/>
  <c r="AL102" i="77"/>
  <c r="AM102" i="77"/>
  <c r="AO102" i="77"/>
  <c r="AS102" i="77"/>
  <c r="AT102" i="77"/>
  <c r="AU102" i="77"/>
  <c r="AV102" i="77"/>
  <c r="AW102" i="77"/>
  <c r="AZ102" i="77"/>
  <c r="BB102" i="77"/>
  <c r="BC102" i="77"/>
  <c r="BD102" i="77"/>
  <c r="BJ102" i="77"/>
  <c r="BK102" i="77" s="1"/>
  <c r="BL102" i="77"/>
  <c r="BL101" i="77"/>
  <c r="BJ101" i="77"/>
  <c r="BK101" i="77" s="1"/>
  <c r="BD101" i="77"/>
  <c r="BC101" i="77"/>
  <c r="BB101" i="77"/>
  <c r="AZ101" i="77"/>
  <c r="AW101" i="77"/>
  <c r="AV101" i="77"/>
  <c r="AU101" i="77"/>
  <c r="AT101" i="77"/>
  <c r="AS101" i="77"/>
  <c r="AO101" i="77"/>
  <c r="AM101" i="77"/>
  <c r="AL101" i="77"/>
  <c r="AD101" i="77"/>
  <c r="AA101" i="77"/>
  <c r="AP101" i="77" s="1"/>
  <c r="W101" i="77"/>
  <c r="BL122" i="77"/>
  <c r="BJ122" i="77"/>
  <c r="BK122" i="77" s="1"/>
  <c r="BD122" i="77"/>
  <c r="BC122" i="77"/>
  <c r="BB122" i="77"/>
  <c r="AZ122" i="77"/>
  <c r="AW122" i="77"/>
  <c r="AV122" i="77"/>
  <c r="AU122" i="77"/>
  <c r="AT122" i="77"/>
  <c r="AS122" i="77"/>
  <c r="AO122" i="77"/>
  <c r="AM122" i="77"/>
  <c r="AL122" i="77"/>
  <c r="AD122" i="77"/>
  <c r="AA122" i="77"/>
  <c r="AP122" i="77" s="1"/>
  <c r="W122" i="77"/>
  <c r="BI109" i="77"/>
  <c r="BG109" i="77"/>
  <c r="BH109" i="77" s="1"/>
  <c r="BD109" i="77"/>
  <c r="BC109" i="77"/>
  <c r="BB109" i="77"/>
  <c r="AZ109" i="77"/>
  <c r="AW109" i="77"/>
  <c r="AV109" i="77"/>
  <c r="AU109" i="77"/>
  <c r="AT109" i="77"/>
  <c r="AS109" i="77"/>
  <c r="AM109" i="77"/>
  <c r="AL109" i="77"/>
  <c r="AD109" i="77"/>
  <c r="AA109" i="77"/>
  <c r="AP109" i="77" s="1"/>
  <c r="AQ109" i="77" s="1"/>
  <c r="W109" i="77"/>
  <c r="BI108" i="77"/>
  <c r="BG108" i="77"/>
  <c r="BH108" i="77" s="1"/>
  <c r="BD108" i="77"/>
  <c r="BC108" i="77"/>
  <c r="BB108" i="77"/>
  <c r="AZ108" i="77"/>
  <c r="AW108" i="77"/>
  <c r="AV108" i="77"/>
  <c r="AU108" i="77"/>
  <c r="AT108" i="77"/>
  <c r="AS108" i="77"/>
  <c r="AM108" i="77"/>
  <c r="AL108" i="77"/>
  <c r="AD108" i="77"/>
  <c r="AA108" i="77"/>
  <c r="AP108" i="77" s="1"/>
  <c r="AQ108" i="77" s="1"/>
  <c r="W108" i="77"/>
  <c r="BI107" i="77"/>
  <c r="BG107" i="77"/>
  <c r="BH107" i="77" s="1"/>
  <c r="BD107" i="77"/>
  <c r="BC107" i="77"/>
  <c r="BB107" i="77"/>
  <c r="AZ107" i="77"/>
  <c r="AW107" i="77"/>
  <c r="AV107" i="77"/>
  <c r="AU107" i="77"/>
  <c r="AT107" i="77"/>
  <c r="AS107" i="77"/>
  <c r="AM107" i="77"/>
  <c r="AL107" i="77"/>
  <c r="AD107" i="77"/>
  <c r="AA107" i="77"/>
  <c r="AO107" i="77" s="1"/>
  <c r="W107" i="77"/>
  <c r="BL120" i="77"/>
  <c r="BJ120" i="77"/>
  <c r="BK120" i="77" s="1"/>
  <c r="BD120" i="77"/>
  <c r="BC120" i="77"/>
  <c r="BB120" i="77"/>
  <c r="AZ120" i="77"/>
  <c r="AW120" i="77"/>
  <c r="AV120" i="77"/>
  <c r="AU120" i="77"/>
  <c r="AT120" i="77"/>
  <c r="AS120" i="77"/>
  <c r="AP120" i="77"/>
  <c r="AQ120" i="77" s="1"/>
  <c r="AO120" i="77"/>
  <c r="AM120" i="77"/>
  <c r="AL120" i="77"/>
  <c r="AD120" i="77"/>
  <c r="AA120" i="77"/>
  <c r="W120" i="77"/>
  <c r="BI88" i="77"/>
  <c r="BG88" i="77"/>
  <c r="BH88" i="77" s="1"/>
  <c r="BD88" i="77"/>
  <c r="BC88" i="77"/>
  <c r="BB88" i="77"/>
  <c r="AZ88" i="77"/>
  <c r="AW88" i="77"/>
  <c r="AV88" i="77"/>
  <c r="AU88" i="77"/>
  <c r="AT88" i="77"/>
  <c r="AS88" i="77"/>
  <c r="AP88" i="77"/>
  <c r="AQ88" i="77" s="1"/>
  <c r="AO88" i="77"/>
  <c r="AM88" i="77"/>
  <c r="AL88" i="77"/>
  <c r="AD88" i="77"/>
  <c r="AA88" i="77"/>
  <c r="W88" i="77"/>
  <c r="BI87" i="77"/>
  <c r="BG87" i="77"/>
  <c r="BH87" i="77" s="1"/>
  <c r="BD87" i="77"/>
  <c r="BC87" i="77"/>
  <c r="BB87" i="77"/>
  <c r="AZ87" i="77"/>
  <c r="AW87" i="77"/>
  <c r="AV87" i="77"/>
  <c r="AU87" i="77"/>
  <c r="AT87" i="77"/>
  <c r="AS87" i="77"/>
  <c r="AP87" i="77"/>
  <c r="AQ87" i="77" s="1"/>
  <c r="AO87" i="77"/>
  <c r="AM87" i="77"/>
  <c r="AL87" i="77"/>
  <c r="AD87" i="77"/>
  <c r="AA87" i="77"/>
  <c r="W87" i="77"/>
  <c r="BI81" i="77"/>
  <c r="BG81" i="77"/>
  <c r="BH81" i="77" s="1"/>
  <c r="BD81" i="77"/>
  <c r="BC81" i="77"/>
  <c r="BB81" i="77"/>
  <c r="AZ81" i="77"/>
  <c r="AW81" i="77"/>
  <c r="AV81" i="77"/>
  <c r="AU81" i="77"/>
  <c r="AT81" i="77"/>
  <c r="AS81" i="77"/>
  <c r="AP81" i="77"/>
  <c r="AQ81" i="77" s="1"/>
  <c r="AO81" i="77"/>
  <c r="AM81" i="77"/>
  <c r="AL81" i="77"/>
  <c r="AD81" i="77"/>
  <c r="AA81" i="77"/>
  <c r="W81" i="77"/>
  <c r="BI80" i="77"/>
  <c r="BG80" i="77"/>
  <c r="BH80" i="77" s="1"/>
  <c r="BD80" i="77"/>
  <c r="BC80" i="77"/>
  <c r="BB80" i="77"/>
  <c r="AZ80" i="77"/>
  <c r="AW80" i="77"/>
  <c r="AV80" i="77"/>
  <c r="AU80" i="77"/>
  <c r="AT80" i="77"/>
  <c r="AS80" i="77"/>
  <c r="AP80" i="77"/>
  <c r="AQ80" i="77" s="1"/>
  <c r="AO80" i="77"/>
  <c r="AM80" i="77"/>
  <c r="AL80" i="77"/>
  <c r="AD80" i="77"/>
  <c r="AA80" i="77"/>
  <c r="W80" i="77"/>
  <c r="BL51" i="77"/>
  <c r="BJ51" i="77"/>
  <c r="BK51" i="77" s="1"/>
  <c r="BD51" i="77"/>
  <c r="BC51" i="77"/>
  <c r="BB51" i="77"/>
  <c r="AZ51" i="77"/>
  <c r="AW51" i="77"/>
  <c r="AV51" i="77"/>
  <c r="AU51" i="77"/>
  <c r="AT51" i="77"/>
  <c r="AS51" i="77"/>
  <c r="AM51" i="77"/>
  <c r="AL51" i="77"/>
  <c r="AD51" i="77"/>
  <c r="AA51" i="77"/>
  <c r="AP51" i="77" s="1"/>
  <c r="AQ51" i="77" s="1"/>
  <c r="W51" i="77"/>
  <c r="BL50" i="77"/>
  <c r="BJ50" i="77"/>
  <c r="BK50" i="77" s="1"/>
  <c r="BD50" i="77"/>
  <c r="BC50" i="77"/>
  <c r="BB50" i="77"/>
  <c r="AZ50" i="77"/>
  <c r="AW50" i="77"/>
  <c r="AV50" i="77"/>
  <c r="AU50" i="77"/>
  <c r="AT50" i="77"/>
  <c r="AS50" i="77"/>
  <c r="AM50" i="77"/>
  <c r="AL50" i="77"/>
  <c r="AD50" i="77"/>
  <c r="AA50" i="77"/>
  <c r="AP50" i="77" s="1"/>
  <c r="AQ50" i="77" s="1"/>
  <c r="W50" i="77"/>
  <c r="BL44" i="77"/>
  <c r="BJ44" i="77"/>
  <c r="BK44" i="77" s="1"/>
  <c r="BD44" i="77"/>
  <c r="BC44" i="77"/>
  <c r="BB44" i="77"/>
  <c r="AZ44" i="77"/>
  <c r="AW44" i="77"/>
  <c r="AV44" i="77"/>
  <c r="AU44" i="77"/>
  <c r="AT44" i="77"/>
  <c r="AS44" i="77"/>
  <c r="AP44" i="77"/>
  <c r="AQ44" i="77" s="1"/>
  <c r="AO44" i="77"/>
  <c r="AM44" i="77"/>
  <c r="AL44" i="77"/>
  <c r="AD44" i="77"/>
  <c r="AA44" i="77"/>
  <c r="W44" i="77"/>
  <c r="BL43" i="77"/>
  <c r="BJ43" i="77"/>
  <c r="BK43" i="77" s="1"/>
  <c r="BD43" i="77"/>
  <c r="BC43" i="77"/>
  <c r="BB43" i="77"/>
  <c r="AZ43" i="77"/>
  <c r="AW43" i="77"/>
  <c r="AV43" i="77"/>
  <c r="AU43" i="77"/>
  <c r="AT43" i="77"/>
  <c r="AS43" i="77"/>
  <c r="AP43" i="77"/>
  <c r="AQ43" i="77" s="1"/>
  <c r="AO43" i="77"/>
  <c r="AM43" i="77"/>
  <c r="AL43" i="77"/>
  <c r="AD43" i="77"/>
  <c r="AA43" i="77"/>
  <c r="W43" i="77"/>
  <c r="BL38" i="77"/>
  <c r="BJ38" i="77"/>
  <c r="BK38" i="77" s="1"/>
  <c r="BD38" i="77"/>
  <c r="BC38" i="77"/>
  <c r="BB38" i="77"/>
  <c r="AZ38" i="77"/>
  <c r="AW38" i="77"/>
  <c r="AV38" i="77"/>
  <c r="AU38" i="77"/>
  <c r="AT38" i="77"/>
  <c r="AS38" i="77"/>
  <c r="AN38" i="77"/>
  <c r="AL38" i="77"/>
  <c r="AA38" i="77"/>
  <c r="AP38" i="77" s="1"/>
  <c r="W38" i="77"/>
  <c r="BL33" i="77"/>
  <c r="BJ33" i="77"/>
  <c r="BK33" i="77" s="1"/>
  <c r="BD33" i="77"/>
  <c r="BC33" i="77"/>
  <c r="BB33" i="77"/>
  <c r="AZ33" i="77"/>
  <c r="AW33" i="77"/>
  <c r="AV33" i="77"/>
  <c r="AU33" i="77"/>
  <c r="AT33" i="77"/>
  <c r="AS33" i="77"/>
  <c r="AP33" i="77"/>
  <c r="AQ33" i="77" s="1"/>
  <c r="AO33" i="77"/>
  <c r="AM33" i="77"/>
  <c r="AL33" i="77"/>
  <c r="AD33" i="77"/>
  <c r="AA33" i="77"/>
  <c r="W33" i="77"/>
  <c r="BL32" i="77"/>
  <c r="BJ32" i="77"/>
  <c r="BK32" i="77" s="1"/>
  <c r="BD32" i="77"/>
  <c r="BC32" i="77"/>
  <c r="BB32" i="77"/>
  <c r="AZ32" i="77"/>
  <c r="AW32" i="77"/>
  <c r="AV32" i="77"/>
  <c r="AU32" i="77"/>
  <c r="AT32" i="77"/>
  <c r="AS32" i="77"/>
  <c r="AP32" i="77"/>
  <c r="AQ32" i="77" s="1"/>
  <c r="AO32" i="77"/>
  <c r="AM32" i="77"/>
  <c r="AL32" i="77"/>
  <c r="AD32" i="77"/>
  <c r="AA32" i="77"/>
  <c r="W32" i="77"/>
  <c r="BL7" i="77"/>
  <c r="BL8" i="77"/>
  <c r="BL9" i="77"/>
  <c r="BL10" i="77"/>
  <c r="BL11" i="77"/>
  <c r="BL12" i="77"/>
  <c r="BL13" i="77"/>
  <c r="BL18" i="77"/>
  <c r="BL19" i="77"/>
  <c r="BL20" i="77"/>
  <c r="BL21" i="77"/>
  <c r="BL22" i="77"/>
  <c r="BL23" i="77"/>
  <c r="BL24" i="77"/>
  <c r="BL25" i="77"/>
  <c r="BL26" i="77"/>
  <c r="BL27" i="77"/>
  <c r="BL28" i="77"/>
  <c r="BL29" i="77"/>
  <c r="BL30" i="77"/>
  <c r="BL31" i="77"/>
  <c r="BL34" i="77"/>
  <c r="BL35" i="77"/>
  <c r="BL36" i="77"/>
  <c r="BL37" i="77"/>
  <c r="BL39" i="77"/>
  <c r="BL40" i="77"/>
  <c r="BL41" i="77"/>
  <c r="BL42" i="77"/>
  <c r="BL45" i="77"/>
  <c r="BL46" i="77"/>
  <c r="BL47" i="77"/>
  <c r="BL48" i="77"/>
  <c r="BL49" i="77"/>
  <c r="BL52" i="77"/>
  <c r="BL53" i="77"/>
  <c r="BL54" i="77"/>
  <c r="BL55" i="77"/>
  <c r="BL56" i="77"/>
  <c r="BL57" i="77"/>
  <c r="BL58" i="77"/>
  <c r="BL59" i="77"/>
  <c r="BL60" i="77"/>
  <c r="BL61" i="77"/>
  <c r="BL62" i="77"/>
  <c r="BL63" i="77"/>
  <c r="BL64" i="77"/>
  <c r="BL65" i="77"/>
  <c r="BL66" i="77"/>
  <c r="BL67" i="77"/>
  <c r="BL68" i="77"/>
  <c r="BL69" i="77"/>
  <c r="BL99" i="77"/>
  <c r="BL100" i="77"/>
  <c r="BL103" i="77"/>
  <c r="BL104" i="77"/>
  <c r="BL106" i="77"/>
  <c r="BL113" i="77"/>
  <c r="BL114" i="77"/>
  <c r="BL115" i="77"/>
  <c r="BL116" i="77"/>
  <c r="BL119" i="77"/>
  <c r="BL121" i="77"/>
  <c r="BL123" i="77"/>
  <c r="BL125" i="77"/>
  <c r="BL126" i="77"/>
  <c r="BL130" i="77"/>
  <c r="BL131" i="77"/>
  <c r="BL147" i="77"/>
  <c r="BL151" i="77"/>
  <c r="BL152" i="77"/>
  <c r="BL153" i="77"/>
  <c r="BL154" i="77"/>
  <c r="BL155" i="77"/>
  <c r="BL156" i="77"/>
  <c r="BL157" i="77"/>
  <c r="BL158" i="77"/>
  <c r="BL159" i="77"/>
  <c r="BL160" i="77"/>
  <c r="BL161" i="77"/>
  <c r="BL162" i="77"/>
  <c r="BL163" i="77"/>
  <c r="BL164" i="77"/>
  <c r="BL166" i="77"/>
  <c r="BL178" i="77"/>
  <c r="BL179" i="77"/>
  <c r="BL180" i="77"/>
  <c r="BL181" i="77"/>
  <c r="BL182" i="77"/>
  <c r="BL183" i="77"/>
  <c r="BL184" i="77"/>
  <c r="BL185" i="77"/>
  <c r="BL186" i="77"/>
  <c r="BL187" i="77"/>
  <c r="BL189" i="77"/>
  <c r="BL190" i="77"/>
  <c r="BL210" i="77"/>
  <c r="BL211" i="77"/>
  <c r="BL213" i="77"/>
  <c r="BL214" i="77"/>
  <c r="BL215" i="77"/>
  <c r="BL216" i="77"/>
  <c r="BL217" i="77"/>
  <c r="BL220" i="77"/>
  <c r="BL221" i="77"/>
  <c r="BL230" i="77"/>
  <c r="BL231" i="77"/>
  <c r="BL233" i="77"/>
  <c r="BL234" i="77"/>
  <c r="BL236" i="77"/>
  <c r="BL237" i="77"/>
  <c r="BL238" i="77"/>
  <c r="BL239" i="77"/>
  <c r="BL240" i="77"/>
  <c r="BL243" i="77"/>
  <c r="BL244" i="77"/>
  <c r="BL245" i="77"/>
  <c r="BL246" i="77"/>
  <c r="BL249" i="77"/>
  <c r="BL250" i="77"/>
  <c r="BL251" i="77"/>
  <c r="BL257" i="77"/>
  <c r="BL258" i="77"/>
  <c r="BL259" i="77"/>
  <c r="BL262" i="77"/>
  <c r="BL263" i="77"/>
  <c r="BL264" i="77"/>
  <c r="BL265" i="77"/>
  <c r="BL272" i="77"/>
  <c r="BL273" i="77"/>
  <c r="BL274" i="77"/>
  <c r="BL277" i="77"/>
  <c r="BL278" i="77"/>
  <c r="BL279" i="77"/>
  <c r="BL280" i="77"/>
  <c r="BL281" i="77"/>
  <c r="BL284" i="77"/>
  <c r="BL285" i="77"/>
  <c r="BL286" i="77"/>
  <c r="BL287" i="77"/>
  <c r="BL288" i="77"/>
  <c r="BL291" i="77"/>
  <c r="BL292" i="77"/>
  <c r="BL293" i="77"/>
  <c r="BL294" i="77"/>
  <c r="BL295" i="77"/>
  <c r="BL296" i="77"/>
  <c r="BL297" i="77"/>
  <c r="BL300" i="77"/>
  <c r="BL301" i="77"/>
  <c r="BL302" i="77"/>
  <c r="BL303" i="77"/>
  <c r="BL307" i="77"/>
  <c r="BL308" i="77"/>
  <c r="BL309" i="77"/>
  <c r="BL310" i="77"/>
  <c r="BL311" i="77"/>
  <c r="BL312" i="77"/>
  <c r="BL319" i="77"/>
  <c r="BL320" i="77"/>
  <c r="BL321" i="77"/>
  <c r="BL322" i="77"/>
  <c r="BL323" i="77"/>
  <c r="BL324" i="77"/>
  <c r="BL325" i="77"/>
  <c r="BL334" i="77"/>
  <c r="BL335" i="77"/>
  <c r="BL336" i="77"/>
  <c r="BL339" i="77"/>
  <c r="BL340" i="77"/>
  <c r="BL341" i="77"/>
  <c r="BL342" i="77"/>
  <c r="BL343" i="77"/>
  <c r="BL344" i="77"/>
  <c r="BL345" i="77"/>
  <c r="BL346" i="77"/>
  <c r="BL347" i="77"/>
  <c r="BL348" i="77"/>
  <c r="BL359" i="77"/>
  <c r="BL360" i="77"/>
  <c r="BL361" i="77"/>
  <c r="BL362" i="77"/>
  <c r="BL363" i="77"/>
  <c r="BL364" i="77"/>
  <c r="BL365" i="77"/>
  <c r="BL366" i="77"/>
  <c r="BL367" i="77"/>
  <c r="BL368" i="77"/>
  <c r="BL369" i="77"/>
  <c r="BL370" i="77"/>
  <c r="BL371" i="77"/>
  <c r="BL372" i="77"/>
  <c r="BL373" i="77"/>
  <c r="BL374" i="77"/>
  <c r="BL375" i="77"/>
  <c r="BL376" i="77"/>
  <c r="BL377" i="77"/>
  <c r="BL378" i="77"/>
  <c r="BL379" i="77"/>
  <c r="BL380" i="77"/>
  <c r="BL381" i="77"/>
  <c r="BL382" i="77"/>
  <c r="BL383" i="77"/>
  <c r="BL384" i="77"/>
  <c r="BL385" i="77"/>
  <c r="BL386" i="77"/>
  <c r="BL387" i="77"/>
  <c r="BL388" i="77"/>
  <c r="BL389" i="77"/>
  <c r="BL390" i="77"/>
  <c r="BL391" i="77"/>
  <c r="BL392" i="77"/>
  <c r="BL393" i="77"/>
  <c r="BL394" i="77"/>
  <c r="BL395" i="77"/>
  <c r="BL396" i="77"/>
  <c r="BL397" i="77"/>
  <c r="BL398" i="77"/>
  <c r="BL399" i="77"/>
  <c r="BL400" i="77"/>
  <c r="BL401" i="77"/>
  <c r="BL402" i="77"/>
  <c r="BL440" i="77"/>
  <c r="BL441" i="77"/>
  <c r="BL448" i="77"/>
  <c r="BL449" i="77"/>
  <c r="BL456" i="77"/>
  <c r="BL457" i="77"/>
  <c r="BL460" i="77"/>
  <c r="BL461" i="77"/>
  <c r="BL462" i="77"/>
  <c r="BL463" i="77"/>
  <c r="BL468" i="77"/>
  <c r="BL469" i="77"/>
  <c r="BL470" i="77"/>
  <c r="BL471" i="77"/>
  <c r="BL477" i="77"/>
  <c r="BL478" i="77"/>
  <c r="BL479" i="77"/>
  <c r="BL480" i="77"/>
  <c r="BL481" i="77"/>
  <c r="BL482" i="77"/>
  <c r="BL483" i="77"/>
  <c r="BL499" i="77"/>
  <c r="BL500" i="77"/>
  <c r="BL501" i="77"/>
  <c r="BL502" i="77"/>
  <c r="BL503" i="77"/>
  <c r="BL504" i="77"/>
  <c r="BL505" i="77"/>
  <c r="BL506" i="77"/>
  <c r="BL508" i="77"/>
  <c r="BL517" i="77"/>
  <c r="BL518" i="77"/>
  <c r="BL519" i="77"/>
  <c r="BL520" i="77"/>
  <c r="BL521" i="77"/>
  <c r="BL522" i="77"/>
  <c r="BL523" i="77"/>
  <c r="BL524" i="77"/>
  <c r="BL525" i="77"/>
  <c r="BL526" i="77"/>
  <c r="BL527" i="77"/>
  <c r="BL528" i="77"/>
  <c r="BL529" i="77"/>
  <c r="BL530" i="77"/>
  <c r="BL531" i="77"/>
  <c r="BL532" i="77"/>
  <c r="BL533" i="77"/>
  <c r="BL534" i="77"/>
  <c r="BL548" i="77"/>
  <c r="BL556" i="77"/>
  <c r="BL557" i="77"/>
  <c r="BL558" i="77"/>
  <c r="BL580" i="77"/>
  <c r="BL663" i="77"/>
  <c r="BJ7" i="77"/>
  <c r="BK7" i="77" s="1"/>
  <c r="BJ8" i="77"/>
  <c r="BK8" i="77" s="1"/>
  <c r="BJ9" i="77"/>
  <c r="BK9" i="77" s="1"/>
  <c r="BJ10" i="77"/>
  <c r="BK10" i="77" s="1"/>
  <c r="BJ11" i="77"/>
  <c r="BK11" i="77" s="1"/>
  <c r="BJ12" i="77"/>
  <c r="BK12" i="77" s="1"/>
  <c r="BJ13" i="77"/>
  <c r="BK13" i="77" s="1"/>
  <c r="BJ18" i="77"/>
  <c r="BK18" i="77" s="1"/>
  <c r="BJ19" i="77"/>
  <c r="BK19" i="77" s="1"/>
  <c r="BJ20" i="77"/>
  <c r="BK20" i="77" s="1"/>
  <c r="BJ21" i="77"/>
  <c r="BK21" i="77" s="1"/>
  <c r="BJ22" i="77"/>
  <c r="BK22" i="77" s="1"/>
  <c r="BJ23" i="77"/>
  <c r="BK23" i="77" s="1"/>
  <c r="BJ24" i="77"/>
  <c r="BK24" i="77" s="1"/>
  <c r="BJ25" i="77"/>
  <c r="BK25" i="77" s="1"/>
  <c r="BJ26" i="77"/>
  <c r="BK26" i="77" s="1"/>
  <c r="BJ27" i="77"/>
  <c r="BK27" i="77" s="1"/>
  <c r="BJ28" i="77"/>
  <c r="BK28" i="77" s="1"/>
  <c r="BJ29" i="77"/>
  <c r="BJ30" i="77"/>
  <c r="BK30" i="77" s="1"/>
  <c r="BJ31" i="77"/>
  <c r="BK31" i="77" s="1"/>
  <c r="BJ34" i="77"/>
  <c r="BK34" i="77" s="1"/>
  <c r="BJ35" i="77"/>
  <c r="BK35" i="77" s="1"/>
  <c r="BJ36" i="77"/>
  <c r="BK36" i="77" s="1"/>
  <c r="BJ37" i="77"/>
  <c r="BK37" i="77" s="1"/>
  <c r="BJ39" i="77"/>
  <c r="BK39" i="77" s="1"/>
  <c r="BJ40" i="77"/>
  <c r="BK40" i="77" s="1"/>
  <c r="BJ41" i="77"/>
  <c r="BK41" i="77" s="1"/>
  <c r="BJ42" i="77"/>
  <c r="BK42" i="77" s="1"/>
  <c r="BJ45" i="77"/>
  <c r="BK45" i="77" s="1"/>
  <c r="BJ46" i="77"/>
  <c r="BK46" i="77" s="1"/>
  <c r="BJ47" i="77"/>
  <c r="BK47" i="77" s="1"/>
  <c r="BJ48" i="77"/>
  <c r="BK48" i="77" s="1"/>
  <c r="BJ49" i="77"/>
  <c r="BK49" i="77" s="1"/>
  <c r="BJ52" i="77"/>
  <c r="BK52" i="77" s="1"/>
  <c r="BJ53" i="77"/>
  <c r="BK53" i="77" s="1"/>
  <c r="BJ54" i="77"/>
  <c r="BK54" i="77" s="1"/>
  <c r="BJ55" i="77"/>
  <c r="BK55" i="77" s="1"/>
  <c r="BJ56" i="77"/>
  <c r="BK56" i="77" s="1"/>
  <c r="BJ57" i="77"/>
  <c r="BK57" i="77" s="1"/>
  <c r="BJ58" i="77"/>
  <c r="BK58" i="77" s="1"/>
  <c r="BJ59" i="77"/>
  <c r="BK59" i="77" s="1"/>
  <c r="BJ60" i="77"/>
  <c r="BK60" i="77" s="1"/>
  <c r="BJ61" i="77"/>
  <c r="BK61" i="77" s="1"/>
  <c r="BJ62" i="77"/>
  <c r="BK62" i="77" s="1"/>
  <c r="BJ63" i="77"/>
  <c r="BK63" i="77" s="1"/>
  <c r="BJ64" i="77"/>
  <c r="BK64" i="77" s="1"/>
  <c r="BJ65" i="77"/>
  <c r="BK65" i="77" s="1"/>
  <c r="BJ66" i="77"/>
  <c r="BK66" i="77" s="1"/>
  <c r="BJ67" i="77"/>
  <c r="BK67" i="77" s="1"/>
  <c r="BJ68" i="77"/>
  <c r="BK68" i="77" s="1"/>
  <c r="BJ69" i="77"/>
  <c r="BK69" i="77" s="1"/>
  <c r="BJ99" i="77"/>
  <c r="BK99" i="77" s="1"/>
  <c r="BJ100" i="77"/>
  <c r="BK100" i="77" s="1"/>
  <c r="BJ103" i="77"/>
  <c r="BK103" i="77" s="1"/>
  <c r="BJ104" i="77"/>
  <c r="BK104" i="77" s="1"/>
  <c r="BJ106" i="77"/>
  <c r="BK106" i="77" s="1"/>
  <c r="BJ113" i="77"/>
  <c r="BK113" i="77" s="1"/>
  <c r="BJ114" i="77"/>
  <c r="BK114" i="77" s="1"/>
  <c r="BJ115" i="77"/>
  <c r="BK115" i="77" s="1"/>
  <c r="BJ116" i="77"/>
  <c r="BK116" i="77" s="1"/>
  <c r="BJ119" i="77"/>
  <c r="BK119" i="77" s="1"/>
  <c r="BJ121" i="77"/>
  <c r="BK121" i="77" s="1"/>
  <c r="BJ123" i="77"/>
  <c r="BK123" i="77" s="1"/>
  <c r="BJ125" i="77"/>
  <c r="BK125" i="77" s="1"/>
  <c r="BJ126" i="77"/>
  <c r="BK126" i="77" s="1"/>
  <c r="BJ130" i="77"/>
  <c r="BK130" i="77" s="1"/>
  <c r="BJ131" i="77"/>
  <c r="BK131" i="77" s="1"/>
  <c r="BJ147" i="77"/>
  <c r="BK147" i="77" s="1"/>
  <c r="BJ151" i="77"/>
  <c r="BK151" i="77" s="1"/>
  <c r="BJ152" i="77"/>
  <c r="BK152" i="77" s="1"/>
  <c r="BJ153" i="77"/>
  <c r="BK153" i="77" s="1"/>
  <c r="BJ154" i="77"/>
  <c r="BK154" i="77" s="1"/>
  <c r="BJ155" i="77"/>
  <c r="BK155" i="77" s="1"/>
  <c r="BJ156" i="77"/>
  <c r="BK156" i="77" s="1"/>
  <c r="BJ157" i="77"/>
  <c r="BK157" i="77" s="1"/>
  <c r="BJ158" i="77"/>
  <c r="BK158" i="77" s="1"/>
  <c r="BJ159" i="77"/>
  <c r="BK159" i="77" s="1"/>
  <c r="BJ160" i="77"/>
  <c r="BK160" i="77" s="1"/>
  <c r="BJ161" i="77"/>
  <c r="BK161" i="77" s="1"/>
  <c r="BJ162" i="77"/>
  <c r="BK162" i="77" s="1"/>
  <c r="BJ163" i="77"/>
  <c r="BK163" i="77" s="1"/>
  <c r="BJ164" i="77"/>
  <c r="BK164" i="77" s="1"/>
  <c r="BJ166" i="77"/>
  <c r="BK166" i="77" s="1"/>
  <c r="BJ178" i="77"/>
  <c r="BK178" i="77" s="1"/>
  <c r="BJ179" i="77"/>
  <c r="BK179" i="77" s="1"/>
  <c r="BJ180" i="77"/>
  <c r="BK180" i="77" s="1"/>
  <c r="BJ181" i="77"/>
  <c r="BK181" i="77" s="1"/>
  <c r="BJ182" i="77"/>
  <c r="BK182" i="77" s="1"/>
  <c r="BJ183" i="77"/>
  <c r="BK183" i="77" s="1"/>
  <c r="BJ184" i="77"/>
  <c r="BK184" i="77" s="1"/>
  <c r="BJ185" i="77"/>
  <c r="BK185" i="77" s="1"/>
  <c r="BJ186" i="77"/>
  <c r="BK186" i="77" s="1"/>
  <c r="BJ187" i="77"/>
  <c r="BK187" i="77" s="1"/>
  <c r="BJ189" i="77"/>
  <c r="BK189" i="77" s="1"/>
  <c r="BJ190" i="77"/>
  <c r="BK190" i="77" s="1"/>
  <c r="BJ210" i="77"/>
  <c r="BK210" i="77" s="1"/>
  <c r="BJ211" i="77"/>
  <c r="BK211" i="77" s="1"/>
  <c r="BJ213" i="77"/>
  <c r="BK213" i="77" s="1"/>
  <c r="BJ214" i="77"/>
  <c r="BK214" i="77" s="1"/>
  <c r="BJ215" i="77"/>
  <c r="BK215" i="77" s="1"/>
  <c r="BJ216" i="77"/>
  <c r="BK216" i="77" s="1"/>
  <c r="BJ217" i="77"/>
  <c r="BK217" i="77" s="1"/>
  <c r="BJ220" i="77"/>
  <c r="BK220" i="77" s="1"/>
  <c r="BJ221" i="77"/>
  <c r="BK221" i="77" s="1"/>
  <c r="BJ230" i="77"/>
  <c r="BK230" i="77" s="1"/>
  <c r="BJ231" i="77"/>
  <c r="BK231" i="77" s="1"/>
  <c r="BJ233" i="77"/>
  <c r="BK233" i="77" s="1"/>
  <c r="BJ234" i="77"/>
  <c r="BK234" i="77" s="1"/>
  <c r="BJ236" i="77"/>
  <c r="BK236" i="77" s="1"/>
  <c r="BJ237" i="77"/>
  <c r="BK237" i="77" s="1"/>
  <c r="BJ238" i="77"/>
  <c r="BK238" i="77" s="1"/>
  <c r="BJ239" i="77"/>
  <c r="BK239" i="77" s="1"/>
  <c r="BJ240" i="77"/>
  <c r="BK240" i="77" s="1"/>
  <c r="BJ243" i="77"/>
  <c r="BK243" i="77" s="1"/>
  <c r="BJ244" i="77"/>
  <c r="BK244" i="77" s="1"/>
  <c r="BJ245" i="77"/>
  <c r="BK245" i="77" s="1"/>
  <c r="BJ246" i="77"/>
  <c r="BK246" i="77" s="1"/>
  <c r="BJ249" i="77"/>
  <c r="BK249" i="77" s="1"/>
  <c r="BJ250" i="77"/>
  <c r="BK250" i="77" s="1"/>
  <c r="BJ251" i="77"/>
  <c r="BK251" i="77" s="1"/>
  <c r="BJ257" i="77"/>
  <c r="BK257" i="77" s="1"/>
  <c r="BJ258" i="77"/>
  <c r="BK258" i="77" s="1"/>
  <c r="BJ259" i="77"/>
  <c r="BK259" i="77" s="1"/>
  <c r="BJ262" i="77"/>
  <c r="BK262" i="77" s="1"/>
  <c r="BJ263" i="77"/>
  <c r="BK263" i="77" s="1"/>
  <c r="BJ264" i="77"/>
  <c r="BK264" i="77" s="1"/>
  <c r="BJ265" i="77"/>
  <c r="BK265" i="77" s="1"/>
  <c r="BJ272" i="77"/>
  <c r="BK272" i="77" s="1"/>
  <c r="BJ273" i="77"/>
  <c r="BK273" i="77" s="1"/>
  <c r="BJ274" i="77"/>
  <c r="BK274" i="77" s="1"/>
  <c r="BJ277" i="77"/>
  <c r="BK277" i="77" s="1"/>
  <c r="BJ278" i="77"/>
  <c r="BK278" i="77" s="1"/>
  <c r="BJ279" i="77"/>
  <c r="BK279" i="77" s="1"/>
  <c r="BJ280" i="77"/>
  <c r="BK280" i="77" s="1"/>
  <c r="BJ281" i="77"/>
  <c r="BK281" i="77" s="1"/>
  <c r="BJ284" i="77"/>
  <c r="BK284" i="77" s="1"/>
  <c r="BJ285" i="77"/>
  <c r="BK285" i="77" s="1"/>
  <c r="BJ286" i="77"/>
  <c r="BK286" i="77" s="1"/>
  <c r="BJ287" i="77"/>
  <c r="BK287" i="77" s="1"/>
  <c r="BJ288" i="77"/>
  <c r="BK288" i="77" s="1"/>
  <c r="BJ291" i="77"/>
  <c r="BK291" i="77" s="1"/>
  <c r="BJ292" i="77"/>
  <c r="BK292" i="77" s="1"/>
  <c r="BJ293" i="77"/>
  <c r="BK293" i="77" s="1"/>
  <c r="BJ294" i="77"/>
  <c r="BK294" i="77" s="1"/>
  <c r="BJ295" i="77"/>
  <c r="BK295" i="77" s="1"/>
  <c r="BJ296" i="77"/>
  <c r="BK296" i="77" s="1"/>
  <c r="BJ297" i="77"/>
  <c r="BK297" i="77" s="1"/>
  <c r="BJ300" i="77"/>
  <c r="BK300" i="77" s="1"/>
  <c r="BJ301" i="77"/>
  <c r="BK301" i="77" s="1"/>
  <c r="BJ302" i="77"/>
  <c r="BK302" i="77" s="1"/>
  <c r="BJ303" i="77"/>
  <c r="BK303" i="77" s="1"/>
  <c r="BJ307" i="77"/>
  <c r="BK307" i="77" s="1"/>
  <c r="BJ308" i="77"/>
  <c r="BK308" i="77" s="1"/>
  <c r="BJ309" i="77"/>
  <c r="BK309" i="77" s="1"/>
  <c r="BJ310" i="77"/>
  <c r="BK310" i="77" s="1"/>
  <c r="BJ311" i="77"/>
  <c r="BK311" i="77" s="1"/>
  <c r="BJ312" i="77"/>
  <c r="BK312" i="77" s="1"/>
  <c r="BJ319" i="77"/>
  <c r="BK319" i="77" s="1"/>
  <c r="BJ320" i="77"/>
  <c r="BK320" i="77" s="1"/>
  <c r="BJ321" i="77"/>
  <c r="BK321" i="77" s="1"/>
  <c r="BJ322" i="77"/>
  <c r="BK322" i="77" s="1"/>
  <c r="BJ323" i="77"/>
  <c r="BK323" i="77" s="1"/>
  <c r="BJ324" i="77"/>
  <c r="BK324" i="77" s="1"/>
  <c r="BJ325" i="77"/>
  <c r="BK325" i="77" s="1"/>
  <c r="BJ334" i="77"/>
  <c r="BK334" i="77" s="1"/>
  <c r="BJ335" i="77"/>
  <c r="BK335" i="77" s="1"/>
  <c r="BJ336" i="77"/>
  <c r="BK336" i="77" s="1"/>
  <c r="BJ339" i="77"/>
  <c r="BK339" i="77" s="1"/>
  <c r="BJ340" i="77"/>
  <c r="BK340" i="77" s="1"/>
  <c r="BJ341" i="77"/>
  <c r="BK341" i="77" s="1"/>
  <c r="BJ342" i="77"/>
  <c r="BK342" i="77" s="1"/>
  <c r="BJ343" i="77"/>
  <c r="BK343" i="77" s="1"/>
  <c r="BJ344" i="77"/>
  <c r="BK344" i="77" s="1"/>
  <c r="BJ345" i="77"/>
  <c r="BK345" i="77" s="1"/>
  <c r="BJ346" i="77"/>
  <c r="BK346" i="77" s="1"/>
  <c r="BJ347" i="77"/>
  <c r="BK347" i="77" s="1"/>
  <c r="BJ348" i="77"/>
  <c r="BK348" i="77" s="1"/>
  <c r="BJ359" i="77"/>
  <c r="BK359" i="77" s="1"/>
  <c r="BJ360" i="77"/>
  <c r="BK360" i="77" s="1"/>
  <c r="BJ361" i="77"/>
  <c r="BK361" i="77" s="1"/>
  <c r="BJ362" i="77"/>
  <c r="BK362" i="77" s="1"/>
  <c r="BJ363" i="77"/>
  <c r="BK363" i="77" s="1"/>
  <c r="BJ364" i="77"/>
  <c r="BK364" i="77" s="1"/>
  <c r="BJ365" i="77"/>
  <c r="BK365" i="77" s="1"/>
  <c r="BJ366" i="77"/>
  <c r="BK366" i="77" s="1"/>
  <c r="BJ367" i="77"/>
  <c r="BK367" i="77" s="1"/>
  <c r="BJ368" i="77"/>
  <c r="BK368" i="77" s="1"/>
  <c r="BJ369" i="77"/>
  <c r="BK369" i="77" s="1"/>
  <c r="BJ370" i="77"/>
  <c r="BK370" i="77" s="1"/>
  <c r="BJ371" i="77"/>
  <c r="BK371" i="77" s="1"/>
  <c r="BJ372" i="77"/>
  <c r="BK372" i="77" s="1"/>
  <c r="BJ373" i="77"/>
  <c r="BK373" i="77" s="1"/>
  <c r="BJ374" i="77"/>
  <c r="BK374" i="77" s="1"/>
  <c r="BJ375" i="77"/>
  <c r="BK375" i="77" s="1"/>
  <c r="BJ376" i="77"/>
  <c r="BK376" i="77" s="1"/>
  <c r="BJ377" i="77"/>
  <c r="BK377" i="77" s="1"/>
  <c r="BJ378" i="77"/>
  <c r="BK378" i="77" s="1"/>
  <c r="BJ379" i="77"/>
  <c r="BK379" i="77" s="1"/>
  <c r="BJ380" i="77"/>
  <c r="BK380" i="77" s="1"/>
  <c r="BJ381" i="77"/>
  <c r="BK381" i="77" s="1"/>
  <c r="BJ382" i="77"/>
  <c r="BK382" i="77" s="1"/>
  <c r="BJ383" i="77"/>
  <c r="BK383" i="77" s="1"/>
  <c r="BJ384" i="77"/>
  <c r="BK384" i="77" s="1"/>
  <c r="BJ385" i="77"/>
  <c r="BK385" i="77" s="1"/>
  <c r="BJ386" i="77"/>
  <c r="BK386" i="77" s="1"/>
  <c r="BJ387" i="77"/>
  <c r="BK387" i="77" s="1"/>
  <c r="BJ388" i="77"/>
  <c r="BK388" i="77" s="1"/>
  <c r="BJ389" i="77"/>
  <c r="BK389" i="77" s="1"/>
  <c r="BJ390" i="77"/>
  <c r="BK390" i="77" s="1"/>
  <c r="BJ391" i="77"/>
  <c r="BK391" i="77" s="1"/>
  <c r="BJ392" i="77"/>
  <c r="BK392" i="77" s="1"/>
  <c r="BJ393" i="77"/>
  <c r="BK393" i="77" s="1"/>
  <c r="BJ394" i="77"/>
  <c r="BK394" i="77" s="1"/>
  <c r="BJ395" i="77"/>
  <c r="BK395" i="77" s="1"/>
  <c r="BJ396" i="77"/>
  <c r="BK396" i="77" s="1"/>
  <c r="BJ397" i="77"/>
  <c r="BK397" i="77" s="1"/>
  <c r="BJ398" i="77"/>
  <c r="BK398" i="77" s="1"/>
  <c r="BJ399" i="77"/>
  <c r="BK399" i="77" s="1"/>
  <c r="BJ400" i="77"/>
  <c r="BK400" i="77" s="1"/>
  <c r="BJ401" i="77"/>
  <c r="BK401" i="77" s="1"/>
  <c r="BJ402" i="77"/>
  <c r="BK402" i="77" s="1"/>
  <c r="BJ440" i="77"/>
  <c r="BK440" i="77" s="1"/>
  <c r="BJ441" i="77"/>
  <c r="BK441" i="77" s="1"/>
  <c r="BJ448" i="77"/>
  <c r="BK448" i="77" s="1"/>
  <c r="BJ449" i="77"/>
  <c r="BK449" i="77" s="1"/>
  <c r="BJ456" i="77"/>
  <c r="BK456" i="77" s="1"/>
  <c r="BJ457" i="77"/>
  <c r="BK457" i="77" s="1"/>
  <c r="BJ460" i="77"/>
  <c r="BK460" i="77" s="1"/>
  <c r="BJ461" i="77"/>
  <c r="BK461" i="77" s="1"/>
  <c r="BJ462" i="77"/>
  <c r="BK462" i="77" s="1"/>
  <c r="BJ463" i="77"/>
  <c r="BK463" i="77" s="1"/>
  <c r="BJ468" i="77"/>
  <c r="BK468" i="77" s="1"/>
  <c r="BJ469" i="77"/>
  <c r="BK469" i="77" s="1"/>
  <c r="BJ470" i="77"/>
  <c r="BK470" i="77" s="1"/>
  <c r="BJ471" i="77"/>
  <c r="BK471" i="77" s="1"/>
  <c r="BJ477" i="77"/>
  <c r="BK477" i="77" s="1"/>
  <c r="BJ478" i="77"/>
  <c r="BK478" i="77" s="1"/>
  <c r="BJ479" i="77"/>
  <c r="BK479" i="77" s="1"/>
  <c r="BJ480" i="77"/>
  <c r="BK480" i="77" s="1"/>
  <c r="BJ481" i="77"/>
  <c r="BK481" i="77" s="1"/>
  <c r="BJ482" i="77"/>
  <c r="BK482" i="77" s="1"/>
  <c r="BJ483" i="77"/>
  <c r="BK483" i="77" s="1"/>
  <c r="BJ499" i="77"/>
  <c r="BK499" i="77" s="1"/>
  <c r="BJ500" i="77"/>
  <c r="BK500" i="77" s="1"/>
  <c r="BJ501" i="77"/>
  <c r="BK501" i="77" s="1"/>
  <c r="BJ502" i="77"/>
  <c r="BK502" i="77" s="1"/>
  <c r="BJ503" i="77"/>
  <c r="BK503" i="77" s="1"/>
  <c r="BJ504" i="77"/>
  <c r="BK504" i="77" s="1"/>
  <c r="BJ505" i="77"/>
  <c r="BK505" i="77" s="1"/>
  <c r="BJ506" i="77"/>
  <c r="BK506" i="77" s="1"/>
  <c r="BJ508" i="77"/>
  <c r="BK508" i="77" s="1"/>
  <c r="BJ517" i="77"/>
  <c r="BK517" i="77" s="1"/>
  <c r="BJ518" i="77"/>
  <c r="BK518" i="77" s="1"/>
  <c r="BJ519" i="77"/>
  <c r="BK519" i="77" s="1"/>
  <c r="BJ520" i="77"/>
  <c r="BK520" i="77" s="1"/>
  <c r="BJ521" i="77"/>
  <c r="BK521" i="77" s="1"/>
  <c r="BJ522" i="77"/>
  <c r="BK522" i="77" s="1"/>
  <c r="BJ523" i="77"/>
  <c r="BK523" i="77" s="1"/>
  <c r="BJ524" i="77"/>
  <c r="BK524" i="77" s="1"/>
  <c r="BJ525" i="77"/>
  <c r="BK525" i="77" s="1"/>
  <c r="BJ526" i="77"/>
  <c r="BK526" i="77" s="1"/>
  <c r="BJ527" i="77"/>
  <c r="BK527" i="77" s="1"/>
  <c r="BJ528" i="77"/>
  <c r="BK528" i="77" s="1"/>
  <c r="BJ529" i="77"/>
  <c r="BK529" i="77" s="1"/>
  <c r="BJ530" i="77"/>
  <c r="BK530" i="77" s="1"/>
  <c r="BJ531" i="77"/>
  <c r="BK531" i="77" s="1"/>
  <c r="BJ532" i="77"/>
  <c r="BK532" i="77" s="1"/>
  <c r="BJ533" i="77"/>
  <c r="BK533" i="77" s="1"/>
  <c r="BJ534" i="77"/>
  <c r="BK534" i="77" s="1"/>
  <c r="BJ548" i="77"/>
  <c r="BK548" i="77" s="1"/>
  <c r="BJ556" i="77"/>
  <c r="BK556" i="77" s="1"/>
  <c r="BJ557" i="77"/>
  <c r="BK557" i="77" s="1"/>
  <c r="BJ558" i="77"/>
  <c r="BK558" i="77" s="1"/>
  <c r="BJ580" i="77"/>
  <c r="BK580" i="77" s="1"/>
  <c r="BJ663" i="77"/>
  <c r="BK663" i="77" s="1"/>
  <c r="BI14" i="77"/>
  <c r="BI15" i="77"/>
  <c r="BI16" i="77"/>
  <c r="BI17" i="77"/>
  <c r="BI70" i="77"/>
  <c r="BI71" i="77"/>
  <c r="BI72" i="77"/>
  <c r="BI73" i="77"/>
  <c r="BI74" i="77"/>
  <c r="BI75" i="77"/>
  <c r="BI76" i="77"/>
  <c r="BI77" i="77"/>
  <c r="BI78" i="77"/>
  <c r="BI79" i="77"/>
  <c r="BI82" i="77"/>
  <c r="BI83" i="77"/>
  <c r="BI84" i="77"/>
  <c r="BI85" i="77"/>
  <c r="BI86" i="77"/>
  <c r="BI89" i="77"/>
  <c r="BI90" i="77"/>
  <c r="BI91" i="77"/>
  <c r="BI92" i="77"/>
  <c r="BI93" i="77"/>
  <c r="BI94" i="77"/>
  <c r="BI95" i="77"/>
  <c r="BI96" i="77"/>
  <c r="BI97" i="77"/>
  <c r="BI98" i="77"/>
  <c r="BI110" i="77"/>
  <c r="BI111" i="77"/>
  <c r="BI112" i="77"/>
  <c r="BI117" i="77"/>
  <c r="BI118" i="77"/>
  <c r="BI124" i="77"/>
  <c r="BI127" i="77"/>
  <c r="BI128" i="77"/>
  <c r="BI129" i="77"/>
  <c r="BI132" i="77"/>
  <c r="BI133" i="77"/>
  <c r="BI134" i="77"/>
  <c r="BI135" i="77"/>
  <c r="BI136" i="77"/>
  <c r="BI137" i="77"/>
  <c r="BI138" i="77"/>
  <c r="BI191" i="77"/>
  <c r="BI192" i="77"/>
  <c r="BI193" i="77"/>
  <c r="BI194" i="77"/>
  <c r="BI195" i="77"/>
  <c r="BI196" i="77"/>
  <c r="BI197" i="77"/>
  <c r="BI198" i="77"/>
  <c r="BI199" i="77"/>
  <c r="BI200" i="77"/>
  <c r="BI201" i="77"/>
  <c r="BI203" i="77"/>
  <c r="BI204" i="77"/>
  <c r="BI205" i="77"/>
  <c r="BI206" i="77"/>
  <c r="BI207" i="77"/>
  <c r="BI208" i="77"/>
  <c r="BI209" i="77"/>
  <c r="BI218" i="77"/>
  <c r="BI219" i="77"/>
  <c r="BI224" i="77"/>
  <c r="BI225" i="77"/>
  <c r="BI241" i="77"/>
  <c r="BI247" i="77"/>
  <c r="BI248" i="77"/>
  <c r="BI252" i="77"/>
  <c r="BI253" i="77"/>
  <c r="BI254" i="77"/>
  <c r="BI255" i="77"/>
  <c r="BI256" i="77"/>
  <c r="BI266" i="77"/>
  <c r="BI267" i="77"/>
  <c r="BI268" i="77"/>
  <c r="BI269" i="77"/>
  <c r="BI270" i="77"/>
  <c r="BI271" i="77"/>
  <c r="BI314" i="77"/>
  <c r="BI326" i="77"/>
  <c r="BI327" i="77"/>
  <c r="BI328" i="77"/>
  <c r="BI329" i="77"/>
  <c r="BI330" i="77"/>
  <c r="BI331" i="77"/>
  <c r="BI332" i="77"/>
  <c r="BI333" i="77"/>
  <c r="BI349" i="77"/>
  <c r="BI350" i="77"/>
  <c r="BI351" i="77"/>
  <c r="BI352" i="77"/>
  <c r="BI354" i="77"/>
  <c r="BI356" i="77"/>
  <c r="BI358" i="77"/>
  <c r="BI403" i="77"/>
  <c r="BI404" i="77"/>
  <c r="BI405" i="77"/>
  <c r="BI406" i="77"/>
  <c r="BI407" i="77"/>
  <c r="BI408" i="77"/>
  <c r="BI409" i="77"/>
  <c r="BI410" i="77"/>
  <c r="BI411" i="77"/>
  <c r="BI412" i="77"/>
  <c r="BI413" i="77"/>
  <c r="BI414" i="77"/>
  <c r="BI415" i="77"/>
  <c r="BI416" i="77"/>
  <c r="BI417" i="77"/>
  <c r="BI418" i="77"/>
  <c r="BI419" i="77"/>
  <c r="BI420" i="77"/>
  <c r="BI421" i="77"/>
  <c r="BI422" i="77"/>
  <c r="BI423" i="77"/>
  <c r="BI424" i="77"/>
  <c r="BI425" i="77"/>
  <c r="BI426" i="77"/>
  <c r="BI427" i="77"/>
  <c r="BI428" i="77"/>
  <c r="BI429" i="77"/>
  <c r="BI430" i="77"/>
  <c r="BI431" i="77"/>
  <c r="BI432" i="77"/>
  <c r="BI433" i="77"/>
  <c r="BI434" i="77"/>
  <c r="BI435" i="77"/>
  <c r="BI436" i="77"/>
  <c r="BI437" i="77"/>
  <c r="BI438" i="77"/>
  <c r="BI439" i="77"/>
  <c r="BI454" i="77"/>
  <c r="BI455" i="77"/>
  <c r="BI458" i="77"/>
  <c r="BI459" i="77"/>
  <c r="BI464" i="77"/>
  <c r="BI465" i="77"/>
  <c r="BI466" i="77"/>
  <c r="BI467" i="77"/>
  <c r="BI472" i="77"/>
  <c r="BI473" i="77"/>
  <c r="BI474" i="77"/>
  <c r="BI475" i="77"/>
  <c r="BI476" i="77"/>
  <c r="BI484" i="77"/>
  <c r="BI485" i="77"/>
  <c r="BI486" i="77"/>
  <c r="BI487" i="77"/>
  <c r="BI488" i="77"/>
  <c r="BI489" i="77"/>
  <c r="BI490" i="77"/>
  <c r="BI491" i="77"/>
  <c r="BI492" i="77"/>
  <c r="BI493" i="77"/>
  <c r="BI494" i="77"/>
  <c r="BI495" i="77"/>
  <c r="BI496" i="77"/>
  <c r="BI497" i="77"/>
  <c r="BI498" i="77"/>
  <c r="BI509" i="77"/>
  <c r="BI510" i="77"/>
  <c r="BI511" i="77"/>
  <c r="BI512" i="77"/>
  <c r="BI513" i="77"/>
  <c r="BI514" i="77"/>
  <c r="BI515" i="77"/>
  <c r="BI516" i="77"/>
  <c r="BI535" i="77"/>
  <c r="BI536" i="77"/>
  <c r="BI537" i="77"/>
  <c r="BI538" i="77"/>
  <c r="BI539" i="77"/>
  <c r="BI540" i="77"/>
  <c r="BI541" i="77"/>
  <c r="BI542" i="77"/>
  <c r="BI543" i="77"/>
  <c r="BI544" i="77"/>
  <c r="BI545" i="77"/>
  <c r="BI546" i="77"/>
  <c r="BI547" i="77"/>
  <c r="BI549" i="77"/>
  <c r="BI550" i="77"/>
  <c r="BI551" i="77"/>
  <c r="BI552" i="77"/>
  <c r="BI553" i="77"/>
  <c r="BI554" i="77"/>
  <c r="BI555" i="77"/>
  <c r="BI576" i="77"/>
  <c r="BI577" i="77"/>
  <c r="BI578" i="77"/>
  <c r="BI579" i="77"/>
  <c r="BI581" i="77"/>
  <c r="BI663" i="77"/>
  <c r="BG14" i="77"/>
  <c r="BH14" i="77" s="1"/>
  <c r="BG15" i="77"/>
  <c r="BH15" i="77" s="1"/>
  <c r="BG16" i="77"/>
  <c r="BH16" i="77" s="1"/>
  <c r="BG17" i="77"/>
  <c r="BH17" i="77" s="1"/>
  <c r="BG70" i="77"/>
  <c r="BH70" i="77" s="1"/>
  <c r="BG71" i="77"/>
  <c r="BH71" i="77" s="1"/>
  <c r="BG72" i="77"/>
  <c r="BH72" i="77" s="1"/>
  <c r="BG73" i="77"/>
  <c r="BH73" i="77" s="1"/>
  <c r="BG74" i="77"/>
  <c r="BH74" i="77" s="1"/>
  <c r="BG75" i="77"/>
  <c r="BH75" i="77" s="1"/>
  <c r="BG76" i="77"/>
  <c r="BH76" i="77" s="1"/>
  <c r="BG77" i="77"/>
  <c r="BH77" i="77" s="1"/>
  <c r="BG78" i="77"/>
  <c r="BH78" i="77" s="1"/>
  <c r="BG79" i="77"/>
  <c r="BH79" i="77" s="1"/>
  <c r="BG82" i="77"/>
  <c r="BH82" i="77" s="1"/>
  <c r="BG83" i="77"/>
  <c r="BH83" i="77" s="1"/>
  <c r="BG84" i="77"/>
  <c r="BH84" i="77" s="1"/>
  <c r="BG85" i="77"/>
  <c r="BH85" i="77" s="1"/>
  <c r="BG86" i="77"/>
  <c r="BH86" i="77" s="1"/>
  <c r="BG89" i="77"/>
  <c r="BH89" i="77" s="1"/>
  <c r="BG90" i="77"/>
  <c r="BH90" i="77" s="1"/>
  <c r="BG91" i="77"/>
  <c r="BH91" i="77" s="1"/>
  <c r="BG92" i="77"/>
  <c r="BH92" i="77" s="1"/>
  <c r="BG93" i="77"/>
  <c r="BH93" i="77" s="1"/>
  <c r="BG94" i="77"/>
  <c r="BH94" i="77" s="1"/>
  <c r="BG95" i="77"/>
  <c r="BH95" i="77" s="1"/>
  <c r="BG96" i="77"/>
  <c r="BH96" i="77" s="1"/>
  <c r="BG97" i="77"/>
  <c r="BH97" i="77" s="1"/>
  <c r="BG98" i="77"/>
  <c r="BH98" i="77" s="1"/>
  <c r="BG110" i="77"/>
  <c r="BH110" i="77" s="1"/>
  <c r="BG111" i="77"/>
  <c r="BH111" i="77" s="1"/>
  <c r="BG112" i="77"/>
  <c r="BH112" i="77" s="1"/>
  <c r="BG117" i="77"/>
  <c r="BH117" i="77" s="1"/>
  <c r="BG118" i="77"/>
  <c r="BH118" i="77" s="1"/>
  <c r="BG124" i="77"/>
  <c r="BH124" i="77" s="1"/>
  <c r="BG127" i="77"/>
  <c r="BH127" i="77" s="1"/>
  <c r="BG128" i="77"/>
  <c r="BH128" i="77" s="1"/>
  <c r="BG129" i="77"/>
  <c r="BH129" i="77" s="1"/>
  <c r="BG132" i="77"/>
  <c r="BH132" i="77" s="1"/>
  <c r="BG133" i="77"/>
  <c r="BH133" i="77" s="1"/>
  <c r="BG134" i="77"/>
  <c r="BH134" i="77" s="1"/>
  <c r="BG135" i="77"/>
  <c r="BH135" i="77" s="1"/>
  <c r="BG136" i="77"/>
  <c r="BH136" i="77" s="1"/>
  <c r="BG137" i="77"/>
  <c r="BH137" i="77" s="1"/>
  <c r="BG138" i="77"/>
  <c r="BH138" i="77" s="1"/>
  <c r="BG191" i="77"/>
  <c r="BH191" i="77" s="1"/>
  <c r="BG192" i="77"/>
  <c r="BH192" i="77" s="1"/>
  <c r="BG193" i="77"/>
  <c r="BH193" i="77" s="1"/>
  <c r="BG194" i="77"/>
  <c r="BH194" i="77" s="1"/>
  <c r="BG195" i="77"/>
  <c r="BH195" i="77" s="1"/>
  <c r="BG196" i="77"/>
  <c r="BH196" i="77" s="1"/>
  <c r="BG197" i="77"/>
  <c r="BH197" i="77" s="1"/>
  <c r="BG198" i="77"/>
  <c r="BH198" i="77" s="1"/>
  <c r="BG199" i="77"/>
  <c r="BH199" i="77" s="1"/>
  <c r="BG200" i="77"/>
  <c r="BH200" i="77" s="1"/>
  <c r="BG201" i="77"/>
  <c r="BH201" i="77" s="1"/>
  <c r="BG203" i="77"/>
  <c r="BH203" i="77" s="1"/>
  <c r="BG204" i="77"/>
  <c r="BH204" i="77" s="1"/>
  <c r="BG205" i="77"/>
  <c r="BH205" i="77" s="1"/>
  <c r="BG206" i="77"/>
  <c r="BH206" i="77" s="1"/>
  <c r="BG207" i="77"/>
  <c r="BH207" i="77" s="1"/>
  <c r="BG208" i="77"/>
  <c r="BH208" i="77" s="1"/>
  <c r="BG209" i="77"/>
  <c r="BH209" i="77" s="1"/>
  <c r="BG218" i="77"/>
  <c r="BH218" i="77" s="1"/>
  <c r="BG219" i="77"/>
  <c r="BH219" i="77" s="1"/>
  <c r="BG224" i="77"/>
  <c r="BH224" i="77" s="1"/>
  <c r="BG225" i="77"/>
  <c r="BH225" i="77" s="1"/>
  <c r="BG241" i="77"/>
  <c r="BH241" i="77" s="1"/>
  <c r="BG247" i="77"/>
  <c r="BH247" i="77" s="1"/>
  <c r="BG248" i="77"/>
  <c r="BH248" i="77" s="1"/>
  <c r="BG252" i="77"/>
  <c r="BH252" i="77" s="1"/>
  <c r="BG253" i="77"/>
  <c r="BH253" i="77" s="1"/>
  <c r="BG254" i="77"/>
  <c r="BH254" i="77" s="1"/>
  <c r="BG255" i="77"/>
  <c r="BH255" i="77" s="1"/>
  <c r="BG256" i="77"/>
  <c r="BH256" i="77" s="1"/>
  <c r="BG266" i="77"/>
  <c r="BH266" i="77" s="1"/>
  <c r="BG267" i="77"/>
  <c r="BH267" i="77" s="1"/>
  <c r="BG268" i="77"/>
  <c r="BH268" i="77" s="1"/>
  <c r="BG269" i="77"/>
  <c r="BH269" i="77" s="1"/>
  <c r="BG270" i="77"/>
  <c r="BH270" i="77" s="1"/>
  <c r="BG271" i="77"/>
  <c r="BH271" i="77" s="1"/>
  <c r="BG314" i="77"/>
  <c r="BH314" i="77" s="1"/>
  <c r="BG326" i="77"/>
  <c r="BH326" i="77" s="1"/>
  <c r="BG327" i="77"/>
  <c r="BH327" i="77" s="1"/>
  <c r="BG328" i="77"/>
  <c r="BH328" i="77" s="1"/>
  <c r="BG329" i="77"/>
  <c r="BH329" i="77" s="1"/>
  <c r="BG330" i="77"/>
  <c r="BH330" i="77" s="1"/>
  <c r="BG331" i="77"/>
  <c r="BH331" i="77" s="1"/>
  <c r="BG332" i="77"/>
  <c r="BH332" i="77" s="1"/>
  <c r="BG333" i="77"/>
  <c r="BH333" i="77" s="1"/>
  <c r="BG349" i="77"/>
  <c r="BH349" i="77" s="1"/>
  <c r="BG350" i="77"/>
  <c r="BH350" i="77" s="1"/>
  <c r="BG351" i="77"/>
  <c r="BH351" i="77" s="1"/>
  <c r="BG352" i="77"/>
  <c r="BH352" i="77" s="1"/>
  <c r="BG354" i="77"/>
  <c r="BH354" i="77" s="1"/>
  <c r="BG356" i="77"/>
  <c r="BH356" i="77" s="1"/>
  <c r="BG358" i="77"/>
  <c r="BH358" i="77" s="1"/>
  <c r="BG403" i="77"/>
  <c r="BH403" i="77" s="1"/>
  <c r="BG404" i="77"/>
  <c r="BH404" i="77" s="1"/>
  <c r="BG405" i="77"/>
  <c r="BH405" i="77" s="1"/>
  <c r="BG406" i="77"/>
  <c r="BH406" i="77" s="1"/>
  <c r="BG407" i="77"/>
  <c r="BH407" i="77" s="1"/>
  <c r="BG408" i="77"/>
  <c r="BH408" i="77" s="1"/>
  <c r="BG409" i="77"/>
  <c r="BH409" i="77" s="1"/>
  <c r="BG410" i="77"/>
  <c r="BH410" i="77" s="1"/>
  <c r="BG411" i="77"/>
  <c r="BH411" i="77" s="1"/>
  <c r="BG412" i="77"/>
  <c r="BH412" i="77" s="1"/>
  <c r="BG413" i="77"/>
  <c r="BH413" i="77" s="1"/>
  <c r="BG414" i="77"/>
  <c r="BH414" i="77" s="1"/>
  <c r="BG415" i="77"/>
  <c r="BH415" i="77" s="1"/>
  <c r="BG416" i="77"/>
  <c r="BH416" i="77" s="1"/>
  <c r="BG417" i="77"/>
  <c r="BH417" i="77" s="1"/>
  <c r="BG418" i="77"/>
  <c r="BH418" i="77" s="1"/>
  <c r="BG419" i="77"/>
  <c r="BH419" i="77" s="1"/>
  <c r="BG420" i="77"/>
  <c r="BH420" i="77" s="1"/>
  <c r="BG421" i="77"/>
  <c r="BH421" i="77" s="1"/>
  <c r="BG422" i="77"/>
  <c r="BH422" i="77" s="1"/>
  <c r="BG423" i="77"/>
  <c r="BH423" i="77" s="1"/>
  <c r="BG424" i="77"/>
  <c r="BH424" i="77" s="1"/>
  <c r="BG425" i="77"/>
  <c r="BH425" i="77" s="1"/>
  <c r="BG426" i="77"/>
  <c r="BH426" i="77" s="1"/>
  <c r="BG427" i="77"/>
  <c r="BH427" i="77" s="1"/>
  <c r="BG428" i="77"/>
  <c r="BH428" i="77" s="1"/>
  <c r="BG429" i="77"/>
  <c r="BH429" i="77" s="1"/>
  <c r="BG430" i="77"/>
  <c r="BH430" i="77" s="1"/>
  <c r="BG431" i="77"/>
  <c r="BH431" i="77" s="1"/>
  <c r="BG432" i="77"/>
  <c r="BH432" i="77" s="1"/>
  <c r="BG433" i="77"/>
  <c r="BH433" i="77" s="1"/>
  <c r="BG434" i="77"/>
  <c r="BH434" i="77" s="1"/>
  <c r="BG435" i="77"/>
  <c r="BH435" i="77" s="1"/>
  <c r="BG436" i="77"/>
  <c r="BH436" i="77" s="1"/>
  <c r="BG437" i="77"/>
  <c r="BH437" i="77" s="1"/>
  <c r="BG438" i="77"/>
  <c r="BH438" i="77" s="1"/>
  <c r="BG439" i="77"/>
  <c r="BH439" i="77" s="1"/>
  <c r="BG454" i="77"/>
  <c r="BH454" i="77" s="1"/>
  <c r="BG455" i="77"/>
  <c r="BH455" i="77" s="1"/>
  <c r="BG458" i="77"/>
  <c r="BH458" i="77" s="1"/>
  <c r="BG459" i="77"/>
  <c r="BH459" i="77" s="1"/>
  <c r="BG464" i="77"/>
  <c r="BH464" i="77" s="1"/>
  <c r="BG465" i="77"/>
  <c r="BH465" i="77" s="1"/>
  <c r="BG466" i="77"/>
  <c r="BH466" i="77" s="1"/>
  <c r="BG467" i="77"/>
  <c r="BH467" i="77" s="1"/>
  <c r="BG472" i="77"/>
  <c r="BH472" i="77" s="1"/>
  <c r="BG473" i="77"/>
  <c r="BH473" i="77" s="1"/>
  <c r="BG474" i="77"/>
  <c r="BH474" i="77" s="1"/>
  <c r="BG475" i="77"/>
  <c r="BH475" i="77" s="1"/>
  <c r="BG476" i="77"/>
  <c r="BH476" i="77" s="1"/>
  <c r="BG484" i="77"/>
  <c r="BH484" i="77" s="1"/>
  <c r="BG485" i="77"/>
  <c r="BH485" i="77" s="1"/>
  <c r="BG486" i="77"/>
  <c r="BH486" i="77" s="1"/>
  <c r="BG487" i="77"/>
  <c r="BH487" i="77" s="1"/>
  <c r="BG488" i="77"/>
  <c r="BH488" i="77" s="1"/>
  <c r="BG489" i="77"/>
  <c r="BH489" i="77" s="1"/>
  <c r="BG490" i="77"/>
  <c r="BH490" i="77" s="1"/>
  <c r="BG491" i="77"/>
  <c r="BH491" i="77" s="1"/>
  <c r="BG492" i="77"/>
  <c r="BH492" i="77" s="1"/>
  <c r="BG493" i="77"/>
  <c r="BH493" i="77" s="1"/>
  <c r="BG494" i="77"/>
  <c r="BH494" i="77" s="1"/>
  <c r="BG495" i="77"/>
  <c r="BH495" i="77" s="1"/>
  <c r="BG496" i="77"/>
  <c r="BH496" i="77" s="1"/>
  <c r="BG497" i="77"/>
  <c r="BH497" i="77" s="1"/>
  <c r="BG498" i="77"/>
  <c r="BH498" i="77" s="1"/>
  <c r="BG509" i="77"/>
  <c r="BH509" i="77" s="1"/>
  <c r="BG510" i="77"/>
  <c r="BH510" i="77" s="1"/>
  <c r="BG511" i="77"/>
  <c r="BH511" i="77" s="1"/>
  <c r="BG512" i="77"/>
  <c r="BH512" i="77" s="1"/>
  <c r="BG513" i="77"/>
  <c r="BH513" i="77" s="1"/>
  <c r="BG514" i="77"/>
  <c r="BH514" i="77" s="1"/>
  <c r="BG515" i="77"/>
  <c r="BH515" i="77" s="1"/>
  <c r="BG516" i="77"/>
  <c r="BH516" i="77" s="1"/>
  <c r="BG535" i="77"/>
  <c r="BH535" i="77" s="1"/>
  <c r="BG536" i="77"/>
  <c r="BH536" i="77" s="1"/>
  <c r="BG537" i="77"/>
  <c r="BH537" i="77" s="1"/>
  <c r="BG538" i="77"/>
  <c r="BH538" i="77" s="1"/>
  <c r="BG539" i="77"/>
  <c r="BH539" i="77" s="1"/>
  <c r="BG540" i="77"/>
  <c r="BH540" i="77" s="1"/>
  <c r="BG541" i="77"/>
  <c r="BH541" i="77" s="1"/>
  <c r="BG542" i="77"/>
  <c r="BH542" i="77" s="1"/>
  <c r="BG543" i="77"/>
  <c r="BH543" i="77" s="1"/>
  <c r="BG544" i="77"/>
  <c r="BH544" i="77" s="1"/>
  <c r="BG545" i="77"/>
  <c r="BH545" i="77" s="1"/>
  <c r="BG546" i="77"/>
  <c r="BH546" i="77" s="1"/>
  <c r="BG547" i="77"/>
  <c r="BH547" i="77" s="1"/>
  <c r="BG549" i="77"/>
  <c r="BH549" i="77" s="1"/>
  <c r="BG550" i="77"/>
  <c r="BH550" i="77" s="1"/>
  <c r="BG551" i="77"/>
  <c r="BH551" i="77" s="1"/>
  <c r="BG552" i="77"/>
  <c r="BH552" i="77" s="1"/>
  <c r="BG553" i="77"/>
  <c r="BH553" i="77" s="1"/>
  <c r="BG554" i="77"/>
  <c r="BH554" i="77" s="1"/>
  <c r="BG555" i="77"/>
  <c r="BH555" i="77" s="1"/>
  <c r="BG576" i="77"/>
  <c r="BH576" i="77" s="1"/>
  <c r="BG577" i="77"/>
  <c r="BH577" i="77" s="1"/>
  <c r="BG578" i="77"/>
  <c r="BH578" i="77" s="1"/>
  <c r="BG579" i="77"/>
  <c r="BH579" i="77" s="1"/>
  <c r="BG581" i="77"/>
  <c r="BH581" i="77" s="1"/>
  <c r="BG663" i="77"/>
  <c r="BH663" i="77" s="1"/>
  <c r="BD7" i="77"/>
  <c r="BD8" i="77"/>
  <c r="BD9" i="77"/>
  <c r="BD10" i="77"/>
  <c r="BD11" i="77"/>
  <c r="BD12" i="77"/>
  <c r="BD13" i="77"/>
  <c r="BD14" i="77"/>
  <c r="BD15" i="77"/>
  <c r="BD16" i="77"/>
  <c r="BD17" i="77"/>
  <c r="BD18" i="77"/>
  <c r="BD19" i="77"/>
  <c r="BD20" i="77"/>
  <c r="BD21" i="77"/>
  <c r="BD22" i="77"/>
  <c r="BD23" i="77"/>
  <c r="BD24" i="77"/>
  <c r="BD25" i="77"/>
  <c r="BD26" i="77"/>
  <c r="BD27" i="77"/>
  <c r="BD28" i="77"/>
  <c r="BD29" i="77"/>
  <c r="BD30" i="77"/>
  <c r="BD31" i="77"/>
  <c r="BD34" i="77"/>
  <c r="BD35" i="77"/>
  <c r="BD36" i="77"/>
  <c r="BD37" i="77"/>
  <c r="BD39" i="77"/>
  <c r="BD40" i="77"/>
  <c r="BD41" i="77"/>
  <c r="BD42" i="77"/>
  <c r="BD45" i="77"/>
  <c r="BD46" i="77"/>
  <c r="BD47" i="77"/>
  <c r="BD48" i="77"/>
  <c r="BD49" i="77"/>
  <c r="BD52" i="77"/>
  <c r="BD53" i="77"/>
  <c r="BD54" i="77"/>
  <c r="BD55" i="77"/>
  <c r="BD56" i="77"/>
  <c r="BD57" i="77"/>
  <c r="BD58" i="77"/>
  <c r="BD59" i="77"/>
  <c r="BD60" i="77"/>
  <c r="BD61" i="77"/>
  <c r="BD62" i="77"/>
  <c r="BD63" i="77"/>
  <c r="BD64" i="77"/>
  <c r="BD65" i="77"/>
  <c r="BD66" i="77"/>
  <c r="BD67" i="77"/>
  <c r="BD68" i="77"/>
  <c r="BD69" i="77"/>
  <c r="BD70" i="77"/>
  <c r="BD71" i="77"/>
  <c r="BD72" i="77"/>
  <c r="BD73" i="77"/>
  <c r="BD74" i="77"/>
  <c r="BD75" i="77"/>
  <c r="BD76" i="77"/>
  <c r="BD77" i="77"/>
  <c r="BD78" i="77"/>
  <c r="BD79" i="77"/>
  <c r="BD82" i="77"/>
  <c r="BD83" i="77"/>
  <c r="BD84" i="77"/>
  <c r="BD85" i="77"/>
  <c r="BD86" i="77"/>
  <c r="BD89" i="77"/>
  <c r="BD90" i="77"/>
  <c r="BD91" i="77"/>
  <c r="BD92" i="77"/>
  <c r="BD93" i="77"/>
  <c r="BD94" i="77"/>
  <c r="BD95" i="77"/>
  <c r="BD96" i="77"/>
  <c r="BD97" i="77"/>
  <c r="BD98" i="77"/>
  <c r="BD99" i="77"/>
  <c r="BD100" i="77"/>
  <c r="BD103" i="77"/>
  <c r="BD104" i="77"/>
  <c r="BD106" i="77"/>
  <c r="BD110" i="77"/>
  <c r="BD111" i="77"/>
  <c r="BD112" i="77"/>
  <c r="BD113" i="77"/>
  <c r="BD114" i="77"/>
  <c r="BD115" i="77"/>
  <c r="BD116" i="77"/>
  <c r="BD117" i="77"/>
  <c r="BD118" i="77"/>
  <c r="BD119" i="77"/>
  <c r="BD121" i="77"/>
  <c r="BD123" i="77"/>
  <c r="BD124" i="77"/>
  <c r="BD125" i="77"/>
  <c r="BD126" i="77"/>
  <c r="BD127" i="77"/>
  <c r="BD128" i="77"/>
  <c r="BD129" i="77"/>
  <c r="BD130" i="77"/>
  <c r="BD131" i="77"/>
  <c r="BD132" i="77"/>
  <c r="BD133" i="77"/>
  <c r="BD134" i="77"/>
  <c r="BD137" i="77"/>
  <c r="BD138" i="77"/>
  <c r="BD147" i="77"/>
  <c r="BD151" i="77"/>
  <c r="BD152" i="77"/>
  <c r="BD153" i="77"/>
  <c r="BD154" i="77"/>
  <c r="BD155" i="77"/>
  <c r="BD156" i="77"/>
  <c r="BD157" i="77"/>
  <c r="BD158" i="77"/>
  <c r="BD159" i="77"/>
  <c r="BD160" i="77"/>
  <c r="BD161" i="77"/>
  <c r="BD162" i="77"/>
  <c r="BD163" i="77"/>
  <c r="BD164" i="77"/>
  <c r="BD166" i="77"/>
  <c r="BD167" i="77"/>
  <c r="BD168" i="77"/>
  <c r="BD169" i="77"/>
  <c r="BD170" i="77"/>
  <c r="BD171" i="77"/>
  <c r="BD172" i="77"/>
  <c r="BD173" i="77"/>
  <c r="BD174" i="77"/>
  <c r="BD175" i="77"/>
  <c r="BD176" i="77"/>
  <c r="BD177" i="77"/>
  <c r="BD178" i="77"/>
  <c r="BD179" i="77"/>
  <c r="BD180" i="77"/>
  <c r="BD181" i="77"/>
  <c r="BD182" i="77"/>
  <c r="BD183" i="77"/>
  <c r="BD184" i="77"/>
  <c r="BD185" i="77"/>
  <c r="BD186" i="77"/>
  <c r="BD187" i="77"/>
  <c r="BD189" i="77"/>
  <c r="BD190" i="77"/>
  <c r="BD191" i="77"/>
  <c r="BD192" i="77"/>
  <c r="BD193" i="77"/>
  <c r="BD194" i="77"/>
  <c r="BD195" i="77"/>
  <c r="BD196" i="77"/>
  <c r="BD197" i="77"/>
  <c r="BD198" i="77"/>
  <c r="BD199" i="77"/>
  <c r="BD200" i="77"/>
  <c r="BD201" i="77"/>
  <c r="BD203" i="77"/>
  <c r="BD204" i="77"/>
  <c r="BD205" i="77"/>
  <c r="BD206" i="77"/>
  <c r="BD207" i="77"/>
  <c r="BD208" i="77"/>
  <c r="BD209" i="77"/>
  <c r="BD210" i="77"/>
  <c r="BD211" i="77"/>
  <c r="BD213" i="77"/>
  <c r="BD214" i="77"/>
  <c r="BD215" i="77"/>
  <c r="BD216" i="77"/>
  <c r="BD217" i="77"/>
  <c r="BD218" i="77"/>
  <c r="BD219" i="77"/>
  <c r="BD220" i="77"/>
  <c r="BD221" i="77"/>
  <c r="BD230" i="77"/>
  <c r="BD231" i="77"/>
  <c r="BD233" i="77"/>
  <c r="BD234" i="77"/>
  <c r="BD236" i="77"/>
  <c r="BD237" i="77"/>
  <c r="BD238" i="77"/>
  <c r="BD239" i="77"/>
  <c r="BD240" i="77"/>
  <c r="BD241" i="77"/>
  <c r="BD243" i="77"/>
  <c r="BD244" i="77"/>
  <c r="BD245" i="77"/>
  <c r="BD246" i="77"/>
  <c r="BD247" i="77"/>
  <c r="BD248" i="77"/>
  <c r="BD249" i="77"/>
  <c r="BD250" i="77"/>
  <c r="BD251" i="77"/>
  <c r="BD252" i="77"/>
  <c r="BD253" i="77"/>
  <c r="BD254" i="77"/>
  <c r="BD257" i="77"/>
  <c r="BD258" i="77"/>
  <c r="BD259" i="77"/>
  <c r="BD262" i="77"/>
  <c r="BD263" i="77"/>
  <c r="BD264" i="77"/>
  <c r="BD265" i="77"/>
  <c r="BD266" i="77"/>
  <c r="BD267" i="77"/>
  <c r="BD268" i="77"/>
  <c r="BD269" i="77"/>
  <c r="BD272" i="77"/>
  <c r="BD273" i="77"/>
  <c r="BD274" i="77"/>
  <c r="BD277" i="77"/>
  <c r="BD278" i="77"/>
  <c r="BD279" i="77"/>
  <c r="BD280" i="77"/>
  <c r="BD281" i="77"/>
  <c r="BD284" i="77"/>
  <c r="BD285" i="77"/>
  <c r="BD286" i="77"/>
  <c r="BD287" i="77"/>
  <c r="BD288" i="77"/>
  <c r="BD291" i="77"/>
  <c r="BD292" i="77"/>
  <c r="BD293" i="77"/>
  <c r="BD294" i="77"/>
  <c r="BD295" i="77"/>
  <c r="BD296" i="77"/>
  <c r="BD297" i="77"/>
  <c r="BD300" i="77"/>
  <c r="BD301" i="77"/>
  <c r="BD302" i="77"/>
  <c r="BD303" i="77"/>
  <c r="BD307" i="77"/>
  <c r="BD308" i="77"/>
  <c r="BD309" i="77"/>
  <c r="BD310" i="77"/>
  <c r="BD311" i="77"/>
  <c r="BD312" i="77"/>
  <c r="BD313" i="77"/>
  <c r="BD314" i="77"/>
  <c r="BD318" i="77"/>
  <c r="BD319" i="77"/>
  <c r="BD320" i="77"/>
  <c r="BD321" i="77"/>
  <c r="BD322" i="77"/>
  <c r="BD323" i="77"/>
  <c r="BD324" i="77"/>
  <c r="BD325" i="77"/>
  <c r="BD326" i="77"/>
  <c r="BD327" i="77"/>
  <c r="BD328" i="77"/>
  <c r="BD332" i="77"/>
  <c r="BD333" i="77"/>
  <c r="BD334" i="77"/>
  <c r="BD335" i="77"/>
  <c r="BD336" i="77"/>
  <c r="BD339" i="77"/>
  <c r="BD340" i="77"/>
  <c r="BD341" i="77"/>
  <c r="BD342" i="77"/>
  <c r="BD343" i="77"/>
  <c r="BD344" i="77"/>
  <c r="BD345" i="77"/>
  <c r="BD346" i="77"/>
  <c r="BD347" i="77"/>
  <c r="BD348" i="77"/>
  <c r="BD349" i="77"/>
  <c r="BD350" i="77"/>
  <c r="BD351" i="77"/>
  <c r="BD352" i="77"/>
  <c r="BD354" i="77"/>
  <c r="BD356" i="77"/>
  <c r="BD358" i="77"/>
  <c r="BD359" i="77"/>
  <c r="BD360" i="77"/>
  <c r="BD361" i="77"/>
  <c r="BD362" i="77"/>
  <c r="BD363" i="77"/>
  <c r="BD364" i="77"/>
  <c r="BD365" i="77"/>
  <c r="BD366" i="77"/>
  <c r="BD367" i="77"/>
  <c r="BD368" i="77"/>
  <c r="BD369" i="77"/>
  <c r="BD370" i="77"/>
  <c r="BD371" i="77"/>
  <c r="BD372" i="77"/>
  <c r="BD373" i="77"/>
  <c r="BD374" i="77"/>
  <c r="BD375" i="77"/>
  <c r="BD376" i="77"/>
  <c r="BD377" i="77"/>
  <c r="BD378" i="77"/>
  <c r="BD379" i="77"/>
  <c r="BD380" i="77"/>
  <c r="BD381" i="77"/>
  <c r="BD382" i="77"/>
  <c r="BD383" i="77"/>
  <c r="BD384" i="77"/>
  <c r="BD385" i="77"/>
  <c r="BD386" i="77"/>
  <c r="BD387" i="77"/>
  <c r="BD388" i="77"/>
  <c r="BD389" i="77"/>
  <c r="BD390" i="77"/>
  <c r="BD391" i="77"/>
  <c r="BD392" i="77"/>
  <c r="BD393" i="77"/>
  <c r="BD394" i="77"/>
  <c r="BD395" i="77"/>
  <c r="BD396" i="77"/>
  <c r="BD397" i="77"/>
  <c r="BD398" i="77"/>
  <c r="BD399" i="77"/>
  <c r="BD400" i="77"/>
  <c r="BD401" i="77"/>
  <c r="BD402" i="77"/>
  <c r="BD403" i="77"/>
  <c r="BD404" i="77"/>
  <c r="BD405" i="77"/>
  <c r="BD406" i="77"/>
  <c r="BD407" i="77"/>
  <c r="BD408" i="77"/>
  <c r="BD409" i="77"/>
  <c r="BD410" i="77"/>
  <c r="BD411" i="77"/>
  <c r="BD412" i="77"/>
  <c r="BD413" i="77"/>
  <c r="BD414" i="77"/>
  <c r="BD415" i="77"/>
  <c r="BD416" i="77"/>
  <c r="BD417" i="77"/>
  <c r="BD418" i="77"/>
  <c r="BD419" i="77"/>
  <c r="BD420" i="77"/>
  <c r="BD421" i="77"/>
  <c r="BD422" i="77"/>
  <c r="BD423" i="77"/>
  <c r="BD424" i="77"/>
  <c r="BD425" i="77"/>
  <c r="BD426" i="77"/>
  <c r="BD427" i="77"/>
  <c r="BD428" i="77"/>
  <c r="BD429" i="77"/>
  <c r="BD430" i="77"/>
  <c r="BD431" i="77"/>
  <c r="BD432" i="77"/>
  <c r="BD433" i="77"/>
  <c r="BD434" i="77"/>
  <c r="BD438" i="77"/>
  <c r="BD439" i="77"/>
  <c r="BD440" i="77"/>
  <c r="BD441" i="77"/>
  <c r="BD448" i="77"/>
  <c r="BD449" i="77"/>
  <c r="BD454" i="77"/>
  <c r="BD455" i="77"/>
  <c r="BD456" i="77"/>
  <c r="BD457" i="77"/>
  <c r="BD458" i="77"/>
  <c r="BD459" i="77"/>
  <c r="BD460" i="77"/>
  <c r="BD461" i="77"/>
  <c r="BD462" i="77"/>
  <c r="BD463" i="77"/>
  <c r="BD464" i="77"/>
  <c r="BD465" i="77"/>
  <c r="BD466" i="77"/>
  <c r="BD467" i="77"/>
  <c r="BD468" i="77"/>
  <c r="BD469" i="77"/>
  <c r="BD470" i="77"/>
  <c r="BD471" i="77"/>
  <c r="BD472" i="77"/>
  <c r="BD473" i="77"/>
  <c r="BD474" i="77"/>
  <c r="BD475" i="77"/>
  <c r="BD476" i="77"/>
  <c r="BD477" i="77"/>
  <c r="BD478" i="77"/>
  <c r="BD479" i="77"/>
  <c r="BD480" i="77"/>
  <c r="BD481" i="77"/>
  <c r="BD482" i="77"/>
  <c r="BD483" i="77"/>
  <c r="BD484" i="77"/>
  <c r="BD485" i="77"/>
  <c r="BD489" i="77"/>
  <c r="BD490" i="77"/>
  <c r="BD491" i="77"/>
  <c r="BD492" i="77"/>
  <c r="BD493" i="77"/>
  <c r="BD494" i="77"/>
  <c r="BD495" i="77"/>
  <c r="BD496" i="77"/>
  <c r="BD497" i="77"/>
  <c r="BD498" i="77"/>
  <c r="BD499" i="77"/>
  <c r="BD500" i="77"/>
  <c r="BD501" i="77"/>
  <c r="BD502" i="77"/>
  <c r="BD503" i="77"/>
  <c r="BD504" i="77"/>
  <c r="BD505" i="77"/>
  <c r="BD506" i="77"/>
  <c r="BD508" i="77"/>
  <c r="BD509" i="77"/>
  <c r="BD510" i="77"/>
  <c r="BD511" i="77"/>
  <c r="BD514" i="77"/>
  <c r="BD515" i="77"/>
  <c r="BD516" i="77"/>
  <c r="BD517" i="77"/>
  <c r="BD518" i="77"/>
  <c r="BD519" i="77"/>
  <c r="BD520" i="77"/>
  <c r="BD521" i="77"/>
  <c r="BD522" i="77"/>
  <c r="BD523" i="77"/>
  <c r="BD524" i="77"/>
  <c r="BD525" i="77"/>
  <c r="BD526" i="77"/>
  <c r="BD527" i="77"/>
  <c r="BD528" i="77"/>
  <c r="BD529" i="77"/>
  <c r="BD530" i="77"/>
  <c r="BD531" i="77"/>
  <c r="BD532" i="77"/>
  <c r="BD533" i="77"/>
  <c r="BD534" i="77"/>
  <c r="BD535" i="77"/>
  <c r="BD536" i="77"/>
  <c r="BD537" i="77"/>
  <c r="BD538" i="77"/>
  <c r="BD539" i="77"/>
  <c r="BD540" i="77"/>
  <c r="BD541" i="77"/>
  <c r="BD542" i="77"/>
  <c r="BD543" i="77"/>
  <c r="BD544" i="77"/>
  <c r="BD545" i="77"/>
  <c r="BD546" i="77"/>
  <c r="BD547" i="77"/>
  <c r="BD548" i="77"/>
  <c r="BD549" i="77"/>
  <c r="BD550" i="77"/>
  <c r="BD553" i="77"/>
  <c r="BD554" i="77"/>
  <c r="BD555" i="77"/>
  <c r="BD556" i="77"/>
  <c r="BD557" i="77"/>
  <c r="BD558" i="77"/>
  <c r="BD576" i="77"/>
  <c r="BD577" i="77"/>
  <c r="BD578" i="77"/>
  <c r="BD579" i="77"/>
  <c r="BD580" i="77"/>
  <c r="BD581" i="77"/>
  <c r="BD663" i="77"/>
  <c r="BC7" i="77"/>
  <c r="BC8" i="77"/>
  <c r="BC9" i="77"/>
  <c r="BC10" i="77"/>
  <c r="BC11" i="77"/>
  <c r="BC12" i="77"/>
  <c r="BC13" i="77"/>
  <c r="BC14" i="77"/>
  <c r="BC15" i="77"/>
  <c r="BC16" i="77"/>
  <c r="BC17" i="77"/>
  <c r="BC18" i="77"/>
  <c r="BC19" i="77"/>
  <c r="BC20" i="77"/>
  <c r="BC21" i="77"/>
  <c r="BC22" i="77"/>
  <c r="BC23" i="77"/>
  <c r="BC24" i="77"/>
  <c r="BC25" i="77"/>
  <c r="BC26" i="77"/>
  <c r="BC27" i="77"/>
  <c r="BC28" i="77"/>
  <c r="BC29" i="77"/>
  <c r="BC30" i="77"/>
  <c r="BC31" i="77"/>
  <c r="BC34" i="77"/>
  <c r="BC35" i="77"/>
  <c r="BC36" i="77"/>
  <c r="BC37" i="77"/>
  <c r="BC39" i="77"/>
  <c r="BC40" i="77"/>
  <c r="BC41" i="77"/>
  <c r="BC42" i="77"/>
  <c r="BC45" i="77"/>
  <c r="BC46" i="77"/>
  <c r="BC47" i="77"/>
  <c r="BC48" i="77"/>
  <c r="BC49" i="77"/>
  <c r="BC52" i="77"/>
  <c r="BC53" i="77"/>
  <c r="BC54" i="77"/>
  <c r="BC55" i="77"/>
  <c r="BC56" i="77"/>
  <c r="BC57" i="77"/>
  <c r="BC58" i="77"/>
  <c r="BC59" i="77"/>
  <c r="BC60" i="77"/>
  <c r="BC61" i="77"/>
  <c r="BC62" i="77"/>
  <c r="BC63" i="77"/>
  <c r="BC64" i="77"/>
  <c r="BC65" i="77"/>
  <c r="BC66" i="77"/>
  <c r="BC67" i="77"/>
  <c r="BC68" i="77"/>
  <c r="BC69" i="77"/>
  <c r="BC70" i="77"/>
  <c r="BC71" i="77"/>
  <c r="BC72" i="77"/>
  <c r="BC73" i="77"/>
  <c r="BC74" i="77"/>
  <c r="BC75" i="77"/>
  <c r="BC76" i="77"/>
  <c r="BC77" i="77"/>
  <c r="BC78" i="77"/>
  <c r="BC79" i="77"/>
  <c r="BC82" i="77"/>
  <c r="BC83" i="77"/>
  <c r="BC84" i="77"/>
  <c r="BC85" i="77"/>
  <c r="BC86" i="77"/>
  <c r="BC89" i="77"/>
  <c r="BC90" i="77"/>
  <c r="BC91" i="77"/>
  <c r="BC92" i="77"/>
  <c r="BC93" i="77"/>
  <c r="BC94" i="77"/>
  <c r="BC95" i="77"/>
  <c r="BC96" i="77"/>
  <c r="BC97" i="77"/>
  <c r="BC98" i="77"/>
  <c r="BC99" i="77"/>
  <c r="BC100" i="77"/>
  <c r="BC103" i="77"/>
  <c r="BC104" i="77"/>
  <c r="BC106" i="77"/>
  <c r="BC110" i="77"/>
  <c r="BC111" i="77"/>
  <c r="BC112" i="77"/>
  <c r="BC113" i="77"/>
  <c r="BC114" i="77"/>
  <c r="BC115" i="77"/>
  <c r="BC116" i="77"/>
  <c r="BC117" i="77"/>
  <c r="BC118" i="77"/>
  <c r="BC119" i="77"/>
  <c r="BC121" i="77"/>
  <c r="BC123" i="77"/>
  <c r="BC124" i="77"/>
  <c r="BC125" i="77"/>
  <c r="BC126" i="77"/>
  <c r="BC127" i="77"/>
  <c r="BC128" i="77"/>
  <c r="BC129" i="77"/>
  <c r="BC130" i="77"/>
  <c r="BC131" i="77"/>
  <c r="BC132" i="77"/>
  <c r="BC133" i="77"/>
  <c r="BC134" i="77"/>
  <c r="BC135" i="77"/>
  <c r="BC136" i="77"/>
  <c r="BC137" i="77"/>
  <c r="BC147" i="77"/>
  <c r="BC151" i="77"/>
  <c r="BC152" i="77"/>
  <c r="BC153" i="77"/>
  <c r="BC154" i="77"/>
  <c r="BC155" i="77"/>
  <c r="BC156" i="77"/>
  <c r="BC157" i="77"/>
  <c r="BC158" i="77"/>
  <c r="BC159" i="77"/>
  <c r="BC160" i="77"/>
  <c r="BC161" i="77"/>
  <c r="BC162" i="77"/>
  <c r="BC163" i="77"/>
  <c r="BC164" i="77"/>
  <c r="BC166" i="77"/>
  <c r="BC167" i="77"/>
  <c r="BC168" i="77"/>
  <c r="BC169" i="77"/>
  <c r="BC170" i="77"/>
  <c r="BC171" i="77"/>
  <c r="BC172" i="77"/>
  <c r="BC173" i="77"/>
  <c r="BC174" i="77"/>
  <c r="BC175" i="77"/>
  <c r="BC176" i="77"/>
  <c r="BC177" i="77"/>
  <c r="BC178" i="77"/>
  <c r="BC179" i="77"/>
  <c r="BC180" i="77"/>
  <c r="BC181" i="77"/>
  <c r="BC182" i="77"/>
  <c r="BC183" i="77"/>
  <c r="BC184" i="77"/>
  <c r="BC185" i="77"/>
  <c r="BC186" i="77"/>
  <c r="BC187" i="77"/>
  <c r="BC189" i="77"/>
  <c r="BC190" i="77"/>
  <c r="BC191" i="77"/>
  <c r="BC192" i="77"/>
  <c r="BC193" i="77"/>
  <c r="BC194" i="77"/>
  <c r="BC195" i="77"/>
  <c r="BC196" i="77"/>
  <c r="BC197" i="77"/>
  <c r="BC198" i="77"/>
  <c r="BC199" i="77"/>
  <c r="BC200" i="77"/>
  <c r="BC201" i="77"/>
  <c r="BC203" i="77"/>
  <c r="BC204" i="77"/>
  <c r="BC205" i="77"/>
  <c r="BC206" i="77"/>
  <c r="BC207" i="77"/>
  <c r="BC208" i="77"/>
  <c r="BC209" i="77"/>
  <c r="BC210" i="77"/>
  <c r="BC211" i="77"/>
  <c r="BC213" i="77"/>
  <c r="BC214" i="77"/>
  <c r="BC215" i="77"/>
  <c r="BC216" i="77"/>
  <c r="BC217" i="77"/>
  <c r="BC218" i="77"/>
  <c r="BC219" i="77"/>
  <c r="BC220" i="77"/>
  <c r="BC221" i="77"/>
  <c r="BC224" i="77"/>
  <c r="BC225" i="77"/>
  <c r="BC230" i="77"/>
  <c r="BC231" i="77"/>
  <c r="BC233" i="77"/>
  <c r="BC234" i="77"/>
  <c r="BC236" i="77"/>
  <c r="BC237" i="77"/>
  <c r="BC238" i="77"/>
  <c r="BC239" i="77"/>
  <c r="BC240" i="77"/>
  <c r="BC241" i="77"/>
  <c r="BC243" i="77"/>
  <c r="BC244" i="77"/>
  <c r="BC245" i="77"/>
  <c r="BC246" i="77"/>
  <c r="BC247" i="77"/>
  <c r="BC248" i="77"/>
  <c r="BC249" i="77"/>
  <c r="BC250" i="77"/>
  <c r="BC251" i="77"/>
  <c r="BC252" i="77"/>
  <c r="BC253" i="77"/>
  <c r="BC254" i="77"/>
  <c r="BC255" i="77"/>
  <c r="BC256" i="77"/>
  <c r="BC257" i="77"/>
  <c r="BC258" i="77"/>
  <c r="BC259" i="77"/>
  <c r="BC262" i="77"/>
  <c r="BC263" i="77"/>
  <c r="BC264" i="77"/>
  <c r="BC265" i="77"/>
  <c r="BC266" i="77"/>
  <c r="BC267" i="77"/>
  <c r="BC268" i="77"/>
  <c r="BC270" i="77"/>
  <c r="BC271" i="77"/>
  <c r="BC272" i="77"/>
  <c r="BC273" i="77"/>
  <c r="BC274" i="77"/>
  <c r="BC277" i="77"/>
  <c r="BC278" i="77"/>
  <c r="BC279" i="77"/>
  <c r="BC280" i="77"/>
  <c r="BC281" i="77"/>
  <c r="BC284" i="77"/>
  <c r="BC285" i="77"/>
  <c r="BC286" i="77"/>
  <c r="BC287" i="77"/>
  <c r="BC288" i="77"/>
  <c r="BC291" i="77"/>
  <c r="BC292" i="77"/>
  <c r="BC293" i="77"/>
  <c r="BC294" i="77"/>
  <c r="BC295" i="77"/>
  <c r="BC296" i="77"/>
  <c r="BC297" i="77"/>
  <c r="BC300" i="77"/>
  <c r="BC301" i="77"/>
  <c r="BC302" i="77"/>
  <c r="BC303" i="77"/>
  <c r="BC307" i="77"/>
  <c r="BC308" i="77"/>
  <c r="BC309" i="77"/>
  <c r="BC310" i="77"/>
  <c r="BC311" i="77"/>
  <c r="BC312" i="77"/>
  <c r="BC313" i="77"/>
  <c r="BC314" i="77"/>
  <c r="BC318" i="77"/>
  <c r="BC319" i="77"/>
  <c r="BC320" i="77"/>
  <c r="BC321" i="77"/>
  <c r="BC322" i="77"/>
  <c r="BC323" i="77"/>
  <c r="BC324" i="77"/>
  <c r="BC325" i="77"/>
  <c r="BC326" i="77"/>
  <c r="BC327" i="77"/>
  <c r="BC328" i="77"/>
  <c r="BC329" i="77"/>
  <c r="BC330" i="77"/>
  <c r="BC331" i="77"/>
  <c r="BC332" i="77"/>
  <c r="BC333" i="77"/>
  <c r="BC334" i="77"/>
  <c r="BC335" i="77"/>
  <c r="BC336" i="77"/>
  <c r="BC339" i="77"/>
  <c r="BC340" i="77"/>
  <c r="BC341" i="77"/>
  <c r="BC342" i="77"/>
  <c r="BC343" i="77"/>
  <c r="BC344" i="77"/>
  <c r="BC345" i="77"/>
  <c r="BC346" i="77"/>
  <c r="BC347" i="77"/>
  <c r="BC348" i="77"/>
  <c r="BC349" i="77"/>
  <c r="BC350" i="77"/>
  <c r="BC351" i="77"/>
  <c r="BC352" i="77"/>
  <c r="BC354" i="77"/>
  <c r="BC356" i="77"/>
  <c r="BC358" i="77"/>
  <c r="BC359" i="77"/>
  <c r="BC360" i="77"/>
  <c r="BC361" i="77"/>
  <c r="BC362" i="77"/>
  <c r="BC363" i="77"/>
  <c r="BC364" i="77"/>
  <c r="BC365" i="77"/>
  <c r="BC366" i="77"/>
  <c r="BC367" i="77"/>
  <c r="BC368" i="77"/>
  <c r="BC369" i="77"/>
  <c r="BC370" i="77"/>
  <c r="BC371" i="77"/>
  <c r="BC372" i="77"/>
  <c r="BC373" i="77"/>
  <c r="BC374" i="77"/>
  <c r="BC375" i="77"/>
  <c r="BC376" i="77"/>
  <c r="BC377" i="77"/>
  <c r="BC378" i="77"/>
  <c r="BC379" i="77"/>
  <c r="BC380" i="77"/>
  <c r="BC381" i="77"/>
  <c r="BC382" i="77"/>
  <c r="BC383" i="77"/>
  <c r="BC384" i="77"/>
  <c r="BC385" i="77"/>
  <c r="BC386" i="77"/>
  <c r="BC387" i="77"/>
  <c r="BC388" i="77"/>
  <c r="BC389" i="77"/>
  <c r="BC390" i="77"/>
  <c r="BC391" i="77"/>
  <c r="BC392" i="77"/>
  <c r="BC393" i="77"/>
  <c r="BC394" i="77"/>
  <c r="BC395" i="77"/>
  <c r="BC396" i="77"/>
  <c r="BC397" i="77"/>
  <c r="BC398" i="77"/>
  <c r="BC399" i="77"/>
  <c r="BC400" i="77"/>
  <c r="BC401" i="77"/>
  <c r="BC402" i="77"/>
  <c r="BC403" i="77"/>
  <c r="BC404" i="77"/>
  <c r="BC405" i="77"/>
  <c r="BC406" i="77"/>
  <c r="BC407" i="77"/>
  <c r="BC408" i="77"/>
  <c r="BC409" i="77"/>
  <c r="BC410" i="77"/>
  <c r="BC411" i="77"/>
  <c r="BC412" i="77"/>
  <c r="BC413" i="77"/>
  <c r="BC414" i="77"/>
  <c r="BC415" i="77"/>
  <c r="BC416" i="77"/>
  <c r="BC417" i="77"/>
  <c r="BC418" i="77"/>
  <c r="BC419" i="77"/>
  <c r="BC420" i="77"/>
  <c r="BC421" i="77"/>
  <c r="BC422" i="77"/>
  <c r="BC423" i="77"/>
  <c r="BC424" i="77"/>
  <c r="BC425" i="77"/>
  <c r="BC426" i="77"/>
  <c r="BC427" i="77"/>
  <c r="BC428" i="77"/>
  <c r="BC429" i="77"/>
  <c r="BC430" i="77"/>
  <c r="BC431" i="77"/>
  <c r="BC432" i="77"/>
  <c r="BC433" i="77"/>
  <c r="BC434" i="77"/>
  <c r="BC435" i="77"/>
  <c r="BC436" i="77"/>
  <c r="BC437" i="77"/>
  <c r="BC438" i="77"/>
  <c r="BC440" i="77"/>
  <c r="BC441" i="77"/>
  <c r="BC448" i="77"/>
  <c r="BC449" i="77"/>
  <c r="BC454" i="77"/>
  <c r="BC455" i="77"/>
  <c r="BC456" i="77"/>
  <c r="BC457" i="77"/>
  <c r="BC458" i="77"/>
  <c r="BC459" i="77"/>
  <c r="BC460" i="77"/>
  <c r="BC461" i="77"/>
  <c r="BC462" i="77"/>
  <c r="BC463" i="77"/>
  <c r="BC464" i="77"/>
  <c r="BC465" i="77"/>
  <c r="BC466" i="77"/>
  <c r="BC467" i="77"/>
  <c r="BC468" i="77"/>
  <c r="BC469" i="77"/>
  <c r="BC470" i="77"/>
  <c r="BC471" i="77"/>
  <c r="BC472" i="77"/>
  <c r="BC473" i="77"/>
  <c r="BC474" i="77"/>
  <c r="BC475" i="77"/>
  <c r="BC476" i="77"/>
  <c r="BC477" i="77"/>
  <c r="BC478" i="77"/>
  <c r="BC479" i="77"/>
  <c r="BC480" i="77"/>
  <c r="BC481" i="77"/>
  <c r="BC482" i="77"/>
  <c r="BC483" i="77"/>
  <c r="BC484" i="77"/>
  <c r="BC485" i="77"/>
  <c r="BC486" i="77"/>
  <c r="BC487" i="77"/>
  <c r="BC488" i="77"/>
  <c r="BC489" i="77"/>
  <c r="BC491" i="77"/>
  <c r="BC492" i="77"/>
  <c r="BC493" i="77"/>
  <c r="BC494" i="77"/>
  <c r="BC495" i="77"/>
  <c r="BC496" i="77"/>
  <c r="BC497" i="77"/>
  <c r="BC498" i="77"/>
  <c r="BC499" i="77"/>
  <c r="BC500" i="77"/>
  <c r="BC501" i="77"/>
  <c r="BC502" i="77"/>
  <c r="BC503" i="77"/>
  <c r="BC504" i="77"/>
  <c r="BC505" i="77"/>
  <c r="BC506" i="77"/>
  <c r="BC508" i="77"/>
  <c r="BC509" i="77"/>
  <c r="BC510" i="77"/>
  <c r="BC512" i="77"/>
  <c r="BC513" i="77"/>
  <c r="BC514" i="77"/>
  <c r="BC515" i="77"/>
  <c r="BC516" i="77"/>
  <c r="BC517" i="77"/>
  <c r="BC518" i="77"/>
  <c r="BC519" i="77"/>
  <c r="BC520" i="77"/>
  <c r="BC521" i="77"/>
  <c r="BC522" i="77"/>
  <c r="BC523" i="77"/>
  <c r="BC524" i="77"/>
  <c r="BC525" i="77"/>
  <c r="BC526" i="77"/>
  <c r="BC527" i="77"/>
  <c r="BC528" i="77"/>
  <c r="BC529" i="77"/>
  <c r="BC530" i="77"/>
  <c r="BC531" i="77"/>
  <c r="BC532" i="77"/>
  <c r="BC533" i="77"/>
  <c r="BC534" i="77"/>
  <c r="BC535" i="77"/>
  <c r="BC536" i="77"/>
  <c r="BC537" i="77"/>
  <c r="BC538" i="77"/>
  <c r="BC539" i="77"/>
  <c r="BC540" i="77"/>
  <c r="BC541" i="77"/>
  <c r="BC542" i="77"/>
  <c r="BC543" i="77"/>
  <c r="BC544" i="77"/>
  <c r="BC545" i="77"/>
  <c r="BC546" i="77"/>
  <c r="BC547" i="77"/>
  <c r="BC548" i="77"/>
  <c r="BC549" i="77"/>
  <c r="BC550" i="77"/>
  <c r="BC551" i="77"/>
  <c r="BC552" i="77"/>
  <c r="BC553" i="77"/>
  <c r="BC554" i="77"/>
  <c r="BC556" i="77"/>
  <c r="BC557" i="77"/>
  <c r="BC558" i="77"/>
  <c r="BC576" i="77"/>
  <c r="BC577" i="77"/>
  <c r="BC578" i="77"/>
  <c r="BC579" i="77"/>
  <c r="BC580" i="77"/>
  <c r="BC581" i="77"/>
  <c r="BC663" i="77"/>
  <c r="BB7" i="77"/>
  <c r="BB8" i="77"/>
  <c r="BB9" i="77"/>
  <c r="BB10" i="77"/>
  <c r="BB11" i="77"/>
  <c r="BB12" i="77"/>
  <c r="BB13" i="77"/>
  <c r="BB14" i="77"/>
  <c r="BB15" i="77"/>
  <c r="BB16" i="77"/>
  <c r="BB17" i="77"/>
  <c r="BB18" i="77"/>
  <c r="BB19" i="77"/>
  <c r="BB20" i="77"/>
  <c r="BB21" i="77"/>
  <c r="BB22" i="77"/>
  <c r="BB23" i="77"/>
  <c r="BB24" i="77"/>
  <c r="BB25" i="77"/>
  <c r="BB26" i="77"/>
  <c r="BB27" i="77"/>
  <c r="BB28" i="77"/>
  <c r="BB29" i="77"/>
  <c r="BB30" i="77"/>
  <c r="BB31" i="77"/>
  <c r="BB34" i="77"/>
  <c r="BB35" i="77"/>
  <c r="BB36" i="77"/>
  <c r="BB37" i="77"/>
  <c r="BB39" i="77"/>
  <c r="BB40" i="77"/>
  <c r="BB41" i="77"/>
  <c r="BB42" i="77"/>
  <c r="BB45" i="77"/>
  <c r="BB46" i="77"/>
  <c r="BB47" i="77"/>
  <c r="BB48" i="77"/>
  <c r="BB49" i="77"/>
  <c r="BB52" i="77"/>
  <c r="BB53" i="77"/>
  <c r="BB54" i="77"/>
  <c r="BB55" i="77"/>
  <c r="BB56" i="77"/>
  <c r="BB57" i="77"/>
  <c r="BB58" i="77"/>
  <c r="BB59" i="77"/>
  <c r="BB60" i="77"/>
  <c r="BB61" i="77"/>
  <c r="BB62" i="77"/>
  <c r="BB63" i="77"/>
  <c r="BB64" i="77"/>
  <c r="BB65" i="77"/>
  <c r="BB66" i="77"/>
  <c r="BB67" i="77"/>
  <c r="BB68" i="77"/>
  <c r="BB69" i="77"/>
  <c r="BB70" i="77"/>
  <c r="BB71" i="77"/>
  <c r="BB72" i="77"/>
  <c r="BB73" i="77"/>
  <c r="BB74" i="77"/>
  <c r="BB75" i="77"/>
  <c r="BB76" i="77"/>
  <c r="BB77" i="77"/>
  <c r="BB78" i="77"/>
  <c r="BB79" i="77"/>
  <c r="BB82" i="77"/>
  <c r="BB83" i="77"/>
  <c r="BB84" i="77"/>
  <c r="BB85" i="77"/>
  <c r="BB86" i="77"/>
  <c r="BB89" i="77"/>
  <c r="BB90" i="77"/>
  <c r="BB91" i="77"/>
  <c r="BB92" i="77"/>
  <c r="BB93" i="77"/>
  <c r="BB94" i="77"/>
  <c r="BB95" i="77"/>
  <c r="BB96" i="77"/>
  <c r="BB97" i="77"/>
  <c r="BB98" i="77"/>
  <c r="BB99" i="77"/>
  <c r="BB100" i="77"/>
  <c r="BB103" i="77"/>
  <c r="BB104" i="77"/>
  <c r="BB106" i="77"/>
  <c r="BB110" i="77"/>
  <c r="BB111" i="77"/>
  <c r="BB112" i="77"/>
  <c r="BB113" i="77"/>
  <c r="BB114" i="77"/>
  <c r="BB115" i="77"/>
  <c r="BB116" i="77"/>
  <c r="BB117" i="77"/>
  <c r="BB118" i="77"/>
  <c r="BB119" i="77"/>
  <c r="BB121" i="77"/>
  <c r="BB123" i="77"/>
  <c r="BB124" i="77"/>
  <c r="BB125" i="77"/>
  <c r="BB126" i="77"/>
  <c r="BB127" i="77"/>
  <c r="BB128" i="77"/>
  <c r="BB129" i="77"/>
  <c r="BB130" i="77"/>
  <c r="BB131" i="77"/>
  <c r="BB132" i="77"/>
  <c r="BB133" i="77"/>
  <c r="BB134" i="77"/>
  <c r="BB135" i="77"/>
  <c r="BB136" i="77"/>
  <c r="BB138" i="77"/>
  <c r="BB147" i="77"/>
  <c r="BB151" i="77"/>
  <c r="BB152" i="77"/>
  <c r="BB153" i="77"/>
  <c r="BB154" i="77"/>
  <c r="BB155" i="77"/>
  <c r="BB156" i="77"/>
  <c r="BB157" i="77"/>
  <c r="BB158" i="77"/>
  <c r="BB159" i="77"/>
  <c r="BB160" i="77"/>
  <c r="BB161" i="77"/>
  <c r="BB162" i="77"/>
  <c r="BB163" i="77"/>
  <c r="BB164" i="77"/>
  <c r="BB166" i="77"/>
  <c r="BB167" i="77"/>
  <c r="BB168" i="77"/>
  <c r="BB169" i="77"/>
  <c r="BB170" i="77"/>
  <c r="BB171" i="77"/>
  <c r="BB172" i="77"/>
  <c r="BB173" i="77"/>
  <c r="BB174" i="77"/>
  <c r="BB175" i="77"/>
  <c r="BB176" i="77"/>
  <c r="BB177" i="77"/>
  <c r="BB178" i="77"/>
  <c r="BB179" i="77"/>
  <c r="BB180" i="77"/>
  <c r="BB181" i="77"/>
  <c r="BB182" i="77"/>
  <c r="BB183" i="77"/>
  <c r="BB184" i="77"/>
  <c r="BB185" i="77"/>
  <c r="BB186" i="77"/>
  <c r="BB187" i="77"/>
  <c r="BB189" i="77"/>
  <c r="BB190" i="77"/>
  <c r="BB191" i="77"/>
  <c r="BB192" i="77"/>
  <c r="BB193" i="77"/>
  <c r="BB194" i="77"/>
  <c r="BB195" i="77"/>
  <c r="BB196" i="77"/>
  <c r="BB197" i="77"/>
  <c r="BB198" i="77"/>
  <c r="BB199" i="77"/>
  <c r="BB200" i="77"/>
  <c r="BB201" i="77"/>
  <c r="BB203" i="77"/>
  <c r="BB204" i="77"/>
  <c r="BB205" i="77"/>
  <c r="BB206" i="77"/>
  <c r="BB207" i="77"/>
  <c r="BB208" i="77"/>
  <c r="BB209" i="77"/>
  <c r="BB210" i="77"/>
  <c r="BB211" i="77"/>
  <c r="BB213" i="77"/>
  <c r="BB214" i="77"/>
  <c r="BB215" i="77"/>
  <c r="BB216" i="77"/>
  <c r="BB217" i="77"/>
  <c r="BB218" i="77"/>
  <c r="BB219" i="77"/>
  <c r="BB220" i="77"/>
  <c r="BB221" i="77"/>
  <c r="BB224" i="77"/>
  <c r="BB225" i="77"/>
  <c r="BB230" i="77"/>
  <c r="BB231" i="77"/>
  <c r="BB233" i="77"/>
  <c r="BB234" i="77"/>
  <c r="BB236" i="77"/>
  <c r="BB237" i="77"/>
  <c r="BB238" i="77"/>
  <c r="BB239" i="77"/>
  <c r="BB240" i="77"/>
  <c r="BB241" i="77"/>
  <c r="BB243" i="77"/>
  <c r="BB244" i="77"/>
  <c r="BB245" i="77"/>
  <c r="BB246" i="77"/>
  <c r="BB247" i="77"/>
  <c r="BB248" i="77"/>
  <c r="BB249" i="77"/>
  <c r="BB250" i="77"/>
  <c r="BB251" i="77"/>
  <c r="BB252" i="77"/>
  <c r="BB253" i="77"/>
  <c r="BB254" i="77"/>
  <c r="BB255" i="77"/>
  <c r="BB256" i="77"/>
  <c r="BB257" i="77"/>
  <c r="BB258" i="77"/>
  <c r="BB259" i="77"/>
  <c r="BB262" i="77"/>
  <c r="BB263" i="77"/>
  <c r="BB264" i="77"/>
  <c r="BB265" i="77"/>
  <c r="BB266" i="77"/>
  <c r="BB267" i="77"/>
  <c r="BB269" i="77"/>
  <c r="BB270" i="77"/>
  <c r="BB271" i="77"/>
  <c r="BB272" i="77"/>
  <c r="BB273" i="77"/>
  <c r="BB274" i="77"/>
  <c r="BB277" i="77"/>
  <c r="BB278" i="77"/>
  <c r="BB279" i="77"/>
  <c r="BB280" i="77"/>
  <c r="BB281" i="77"/>
  <c r="BB284" i="77"/>
  <c r="BB285" i="77"/>
  <c r="BB286" i="77"/>
  <c r="BB287" i="77"/>
  <c r="BB288" i="77"/>
  <c r="BB291" i="77"/>
  <c r="BB292" i="77"/>
  <c r="BB293" i="77"/>
  <c r="BB294" i="77"/>
  <c r="BB295" i="77"/>
  <c r="BB296" i="77"/>
  <c r="BB297" i="77"/>
  <c r="BB300" i="77"/>
  <c r="BB301" i="77"/>
  <c r="BB302" i="77"/>
  <c r="BB303" i="77"/>
  <c r="BB307" i="77"/>
  <c r="BB308" i="77"/>
  <c r="BB309" i="77"/>
  <c r="BB310" i="77"/>
  <c r="BB311" i="77"/>
  <c r="BB312" i="77"/>
  <c r="BB313" i="77"/>
  <c r="BB314" i="77"/>
  <c r="BB318" i="77"/>
  <c r="BB319" i="77"/>
  <c r="BB320" i="77"/>
  <c r="BB321" i="77"/>
  <c r="BB322" i="77"/>
  <c r="BB323" i="77"/>
  <c r="BB324" i="77"/>
  <c r="BB325" i="77"/>
  <c r="BB326" i="77"/>
  <c r="BB327" i="77"/>
  <c r="BB328" i="77"/>
  <c r="BB329" i="77"/>
  <c r="BB330" i="77"/>
  <c r="BB331" i="77"/>
  <c r="BB332" i="77"/>
  <c r="BB333" i="77"/>
  <c r="BB334" i="77"/>
  <c r="BB335" i="77"/>
  <c r="BB336" i="77"/>
  <c r="BB339" i="77"/>
  <c r="BB340" i="77"/>
  <c r="BB341" i="77"/>
  <c r="BB342" i="77"/>
  <c r="BB343" i="77"/>
  <c r="BB344" i="77"/>
  <c r="BB345" i="77"/>
  <c r="BB346" i="77"/>
  <c r="BB347" i="77"/>
  <c r="BB348" i="77"/>
  <c r="BB349" i="77"/>
  <c r="BB350" i="77"/>
  <c r="BB351" i="77"/>
  <c r="BB352" i="77"/>
  <c r="BB354" i="77"/>
  <c r="BB356" i="77"/>
  <c r="BB358" i="77"/>
  <c r="BB359" i="77"/>
  <c r="BB360" i="77"/>
  <c r="BB361" i="77"/>
  <c r="BB362" i="77"/>
  <c r="BB363" i="77"/>
  <c r="BB364" i="77"/>
  <c r="BB365" i="77"/>
  <c r="BB366" i="77"/>
  <c r="BB367" i="77"/>
  <c r="BB368" i="77"/>
  <c r="BB369" i="77"/>
  <c r="BB370" i="77"/>
  <c r="BB371" i="77"/>
  <c r="BB372" i="77"/>
  <c r="BB373" i="77"/>
  <c r="BB374" i="77"/>
  <c r="BB375" i="77"/>
  <c r="BB376" i="77"/>
  <c r="BB377" i="77"/>
  <c r="BB378" i="77"/>
  <c r="BB379" i="77"/>
  <c r="BB380" i="77"/>
  <c r="BB381" i="77"/>
  <c r="BB382" i="77"/>
  <c r="BB383" i="77"/>
  <c r="BB384" i="77"/>
  <c r="BB385" i="77"/>
  <c r="BB386" i="77"/>
  <c r="BB387" i="77"/>
  <c r="BB388" i="77"/>
  <c r="BB389" i="77"/>
  <c r="BB390" i="77"/>
  <c r="BB391" i="77"/>
  <c r="BB392" i="77"/>
  <c r="BB393" i="77"/>
  <c r="BB394" i="77"/>
  <c r="BB395" i="77"/>
  <c r="BB396" i="77"/>
  <c r="BB397" i="77"/>
  <c r="BB398" i="77"/>
  <c r="BB399" i="77"/>
  <c r="BB400" i="77"/>
  <c r="BB401" i="77"/>
  <c r="BB402" i="77"/>
  <c r="BB403" i="77"/>
  <c r="BB404" i="77"/>
  <c r="BB405" i="77"/>
  <c r="BB406" i="77"/>
  <c r="BB407" i="77"/>
  <c r="BB408" i="77"/>
  <c r="BB409" i="77"/>
  <c r="BB410" i="77"/>
  <c r="BB411" i="77"/>
  <c r="BB412" i="77"/>
  <c r="BB413" i="77"/>
  <c r="BB414" i="77"/>
  <c r="BB415" i="77"/>
  <c r="BB416" i="77"/>
  <c r="BB417" i="77"/>
  <c r="BB418" i="77"/>
  <c r="BB419" i="77"/>
  <c r="BB420" i="77"/>
  <c r="BB421" i="77"/>
  <c r="BB422" i="77"/>
  <c r="BB423" i="77"/>
  <c r="BB424" i="77"/>
  <c r="BB425" i="77"/>
  <c r="BB426" i="77"/>
  <c r="BB427" i="77"/>
  <c r="BB428" i="77"/>
  <c r="BB429" i="77"/>
  <c r="BB430" i="77"/>
  <c r="BB431" i="77"/>
  <c r="BB432" i="77"/>
  <c r="BB433" i="77"/>
  <c r="BB434" i="77"/>
  <c r="BB435" i="77"/>
  <c r="BB436" i="77"/>
  <c r="BB437" i="77"/>
  <c r="BB439" i="77"/>
  <c r="BB440" i="77"/>
  <c r="BB441" i="77"/>
  <c r="BB448" i="77"/>
  <c r="BB449" i="77"/>
  <c r="BB454" i="77"/>
  <c r="BB455" i="77"/>
  <c r="BB456" i="77"/>
  <c r="BB457" i="77"/>
  <c r="BB458" i="77"/>
  <c r="BB459" i="77"/>
  <c r="BB460" i="77"/>
  <c r="BB461" i="77"/>
  <c r="BB462" i="77"/>
  <c r="BB463" i="77"/>
  <c r="BB464" i="77"/>
  <c r="BB465" i="77"/>
  <c r="BB466" i="77"/>
  <c r="BB467" i="77"/>
  <c r="BB468" i="77"/>
  <c r="BB469" i="77"/>
  <c r="BB470" i="77"/>
  <c r="BB471" i="77"/>
  <c r="BB472" i="77"/>
  <c r="BB473" i="77"/>
  <c r="BB474" i="77"/>
  <c r="BB475" i="77"/>
  <c r="BB476" i="77"/>
  <c r="BB477" i="77"/>
  <c r="BB478" i="77"/>
  <c r="BB479" i="77"/>
  <c r="BB480" i="77"/>
  <c r="BB481" i="77"/>
  <c r="BB482" i="77"/>
  <c r="BB483" i="77"/>
  <c r="BB484" i="77"/>
  <c r="BB485" i="77"/>
  <c r="BB486" i="77"/>
  <c r="BB487" i="77"/>
  <c r="BB488" i="77"/>
  <c r="BB490" i="77"/>
  <c r="BB491" i="77"/>
  <c r="BB492" i="77"/>
  <c r="BB493" i="77"/>
  <c r="BB494" i="77"/>
  <c r="BB495" i="77"/>
  <c r="BB496" i="77"/>
  <c r="BB497" i="77"/>
  <c r="BB498" i="77"/>
  <c r="BB499" i="77"/>
  <c r="BB500" i="77"/>
  <c r="BB501" i="77"/>
  <c r="BB502" i="77"/>
  <c r="BB503" i="77"/>
  <c r="BB504" i="77"/>
  <c r="BB505" i="77"/>
  <c r="BB506" i="77"/>
  <c r="BB508" i="77"/>
  <c r="BB509" i="77"/>
  <c r="BB511" i="77"/>
  <c r="BB512" i="77"/>
  <c r="BB513" i="77"/>
  <c r="BB514" i="77"/>
  <c r="BB515" i="77"/>
  <c r="BB516" i="77"/>
  <c r="BB517" i="77"/>
  <c r="BB518" i="77"/>
  <c r="BB519" i="77"/>
  <c r="BB520" i="77"/>
  <c r="BB521" i="77"/>
  <c r="BB522" i="77"/>
  <c r="BB523" i="77"/>
  <c r="BB524" i="77"/>
  <c r="BB525" i="77"/>
  <c r="BB526" i="77"/>
  <c r="BB527" i="77"/>
  <c r="BB528" i="77"/>
  <c r="BB529" i="77"/>
  <c r="BB530" i="77"/>
  <c r="BB531" i="77"/>
  <c r="BB532" i="77"/>
  <c r="BB533" i="77"/>
  <c r="BB534" i="77"/>
  <c r="BB535" i="77"/>
  <c r="BB536" i="77"/>
  <c r="BB537" i="77"/>
  <c r="BB538" i="77"/>
  <c r="BB539" i="77"/>
  <c r="BB540" i="77"/>
  <c r="BB541" i="77"/>
  <c r="BB542" i="77"/>
  <c r="BB543" i="77"/>
  <c r="BB544" i="77"/>
  <c r="BB545" i="77"/>
  <c r="BB546" i="77"/>
  <c r="BB547" i="77"/>
  <c r="BB548" i="77"/>
  <c r="BB549" i="77"/>
  <c r="BB550" i="77"/>
  <c r="BB551" i="77"/>
  <c r="BB552" i="77"/>
  <c r="BB555" i="77"/>
  <c r="BB556" i="77"/>
  <c r="BB557" i="77"/>
  <c r="BB558" i="77"/>
  <c r="BB576" i="77"/>
  <c r="BB577" i="77"/>
  <c r="BB578" i="77"/>
  <c r="BB579" i="77"/>
  <c r="BB580" i="77"/>
  <c r="BB581" i="77"/>
  <c r="BB663" i="77"/>
  <c r="AZ7" i="77"/>
  <c r="AZ8" i="77"/>
  <c r="AZ9" i="77"/>
  <c r="AZ10" i="77"/>
  <c r="AZ11" i="77"/>
  <c r="AZ12" i="77"/>
  <c r="AZ13" i="77"/>
  <c r="AZ14" i="77"/>
  <c r="AZ15" i="77"/>
  <c r="AZ16" i="77"/>
  <c r="AZ17" i="77"/>
  <c r="AZ18" i="77"/>
  <c r="AZ19" i="77"/>
  <c r="AZ20" i="77"/>
  <c r="AZ21" i="77"/>
  <c r="AZ22" i="77"/>
  <c r="AZ23" i="77"/>
  <c r="AZ24" i="77"/>
  <c r="AZ25" i="77"/>
  <c r="AZ26" i="77"/>
  <c r="AZ27" i="77"/>
  <c r="AZ28" i="77"/>
  <c r="AZ29" i="77"/>
  <c r="AZ30" i="77"/>
  <c r="AZ31" i="77"/>
  <c r="AZ34" i="77"/>
  <c r="AZ35" i="77"/>
  <c r="AZ36" i="77"/>
  <c r="AZ37" i="77"/>
  <c r="AZ39" i="77"/>
  <c r="AZ40" i="77"/>
  <c r="AZ41" i="77"/>
  <c r="AZ42" i="77"/>
  <c r="AZ45" i="77"/>
  <c r="AZ46" i="77"/>
  <c r="AZ47" i="77"/>
  <c r="AZ48" i="77"/>
  <c r="AZ49" i="77"/>
  <c r="AZ52" i="77"/>
  <c r="AZ53" i="77"/>
  <c r="AZ54" i="77"/>
  <c r="AZ55" i="77"/>
  <c r="AZ56" i="77"/>
  <c r="AZ57" i="77"/>
  <c r="AZ58" i="77"/>
  <c r="AZ59" i="77"/>
  <c r="AZ60" i="77"/>
  <c r="AZ61" i="77"/>
  <c r="AZ62" i="77"/>
  <c r="AZ63" i="77"/>
  <c r="AZ64" i="77"/>
  <c r="AZ65" i="77"/>
  <c r="AZ66" i="77"/>
  <c r="AZ67" i="77"/>
  <c r="AZ68" i="77"/>
  <c r="AZ69" i="77"/>
  <c r="AZ70" i="77"/>
  <c r="AZ71" i="77"/>
  <c r="AZ72" i="77"/>
  <c r="AZ73" i="77"/>
  <c r="AZ74" i="77"/>
  <c r="AZ75" i="77"/>
  <c r="AZ76" i="77"/>
  <c r="AZ77" i="77"/>
  <c r="AZ78" i="77"/>
  <c r="AZ79" i="77"/>
  <c r="AZ82" i="77"/>
  <c r="AZ83" i="77"/>
  <c r="AZ84" i="77"/>
  <c r="AZ85" i="77"/>
  <c r="AZ86" i="77"/>
  <c r="AZ89" i="77"/>
  <c r="AZ90" i="77"/>
  <c r="AZ91" i="77"/>
  <c r="AZ92" i="77"/>
  <c r="AZ93" i="77"/>
  <c r="AZ94" i="77"/>
  <c r="AZ95" i="77"/>
  <c r="AZ96" i="77"/>
  <c r="AZ97" i="77"/>
  <c r="AZ98" i="77"/>
  <c r="AZ99" i="77"/>
  <c r="AZ100" i="77"/>
  <c r="AZ103" i="77"/>
  <c r="AZ104" i="77"/>
  <c r="AZ106" i="77"/>
  <c r="AZ110" i="77"/>
  <c r="AZ111" i="77"/>
  <c r="AZ112" i="77"/>
  <c r="AZ113" i="77"/>
  <c r="AZ114" i="77"/>
  <c r="AZ115" i="77"/>
  <c r="AZ116" i="77"/>
  <c r="AZ117" i="77"/>
  <c r="AZ118" i="77"/>
  <c r="AZ119" i="77"/>
  <c r="AZ121" i="77"/>
  <c r="AZ123" i="77"/>
  <c r="AZ124" i="77"/>
  <c r="AZ125" i="77"/>
  <c r="AZ126" i="77"/>
  <c r="AZ127" i="77"/>
  <c r="AZ128" i="77"/>
  <c r="AZ129" i="77"/>
  <c r="AZ130" i="77"/>
  <c r="AZ131" i="77"/>
  <c r="AZ132" i="77"/>
  <c r="AZ133" i="77"/>
  <c r="AZ134" i="77"/>
  <c r="AZ135" i="77"/>
  <c r="AZ136" i="77"/>
  <c r="AZ137" i="77"/>
  <c r="AZ138" i="77"/>
  <c r="AZ147" i="77"/>
  <c r="AZ151" i="77"/>
  <c r="AZ152" i="77"/>
  <c r="AZ153" i="77"/>
  <c r="AZ154" i="77"/>
  <c r="AZ155" i="77"/>
  <c r="AZ156" i="77"/>
  <c r="AZ157" i="77"/>
  <c r="AZ158" i="77"/>
  <c r="AZ159" i="77"/>
  <c r="AZ160" i="77"/>
  <c r="AZ161" i="77"/>
  <c r="AZ162" i="77"/>
  <c r="AZ163" i="77"/>
  <c r="AZ164" i="77"/>
  <c r="AZ166" i="77"/>
  <c r="AZ167" i="77"/>
  <c r="AZ168" i="77"/>
  <c r="AZ169" i="77"/>
  <c r="AZ170" i="77"/>
  <c r="AZ171" i="77"/>
  <c r="AZ172" i="77"/>
  <c r="AZ173" i="77"/>
  <c r="AZ174" i="77"/>
  <c r="AZ175" i="77"/>
  <c r="AZ176" i="77"/>
  <c r="AZ177" i="77"/>
  <c r="AZ178" i="77"/>
  <c r="AZ179" i="77"/>
  <c r="AZ180" i="77"/>
  <c r="AZ181" i="77"/>
  <c r="AZ182" i="77"/>
  <c r="AZ183" i="77"/>
  <c r="AZ184" i="77"/>
  <c r="AZ185" i="77"/>
  <c r="AZ186" i="77"/>
  <c r="AZ187" i="77"/>
  <c r="AZ189" i="77"/>
  <c r="AZ190" i="77"/>
  <c r="AZ191" i="77"/>
  <c r="AZ192" i="77"/>
  <c r="AZ193" i="77"/>
  <c r="AZ194" i="77"/>
  <c r="AZ195" i="77"/>
  <c r="AZ196" i="77"/>
  <c r="AZ197" i="77"/>
  <c r="AZ198" i="77"/>
  <c r="AZ199" i="77"/>
  <c r="AZ200" i="77"/>
  <c r="AZ201" i="77"/>
  <c r="AZ203" i="77"/>
  <c r="AZ204" i="77"/>
  <c r="AZ205" i="77"/>
  <c r="AZ206" i="77"/>
  <c r="AZ207" i="77"/>
  <c r="AZ208" i="77"/>
  <c r="AZ209" i="77"/>
  <c r="AZ210" i="77"/>
  <c r="AZ211" i="77"/>
  <c r="AZ213" i="77"/>
  <c r="AZ214" i="77"/>
  <c r="AZ215" i="77"/>
  <c r="AZ216" i="77"/>
  <c r="AZ217" i="77"/>
  <c r="AZ218" i="77"/>
  <c r="AZ219" i="77"/>
  <c r="AZ220" i="77"/>
  <c r="AZ221" i="77"/>
  <c r="AZ224" i="77"/>
  <c r="AZ225" i="77"/>
  <c r="AZ230" i="77"/>
  <c r="AZ231" i="77"/>
  <c r="AZ233" i="77"/>
  <c r="AZ234" i="77"/>
  <c r="AZ236" i="77"/>
  <c r="AZ237" i="77"/>
  <c r="AZ238" i="77"/>
  <c r="AZ239" i="77"/>
  <c r="AZ240" i="77"/>
  <c r="AZ241" i="77"/>
  <c r="AZ243" i="77"/>
  <c r="AZ244" i="77"/>
  <c r="AZ245" i="77"/>
  <c r="AZ246" i="77"/>
  <c r="AZ247" i="77"/>
  <c r="AZ248" i="77"/>
  <c r="AZ249" i="77"/>
  <c r="AZ250" i="77"/>
  <c r="AZ251" i="77"/>
  <c r="AZ252" i="77"/>
  <c r="AZ253" i="77"/>
  <c r="AZ254" i="77"/>
  <c r="AZ255" i="77"/>
  <c r="AZ256" i="77"/>
  <c r="AZ257" i="77"/>
  <c r="AZ258" i="77"/>
  <c r="AZ259" i="77"/>
  <c r="AZ262" i="77"/>
  <c r="AZ263" i="77"/>
  <c r="AZ264" i="77"/>
  <c r="AZ265" i="77"/>
  <c r="AZ266" i="77"/>
  <c r="AZ267" i="77"/>
  <c r="AZ268" i="77"/>
  <c r="AZ269" i="77"/>
  <c r="AZ270" i="77"/>
  <c r="AZ271" i="77"/>
  <c r="AZ272" i="77"/>
  <c r="AZ273" i="77"/>
  <c r="AZ274" i="77"/>
  <c r="AZ277" i="77"/>
  <c r="AZ278" i="77"/>
  <c r="AZ279" i="77"/>
  <c r="AZ280" i="77"/>
  <c r="AZ281" i="77"/>
  <c r="AZ284" i="77"/>
  <c r="AZ285" i="77"/>
  <c r="AZ286" i="77"/>
  <c r="AZ287" i="77"/>
  <c r="AZ288" i="77"/>
  <c r="AZ291" i="77"/>
  <c r="AZ292" i="77"/>
  <c r="AZ293" i="77"/>
  <c r="AZ294" i="77"/>
  <c r="AZ295" i="77"/>
  <c r="AZ296" i="77"/>
  <c r="AZ297" i="77"/>
  <c r="AZ300" i="77"/>
  <c r="AZ301" i="77"/>
  <c r="AZ302" i="77"/>
  <c r="AZ303" i="77"/>
  <c r="AZ307" i="77"/>
  <c r="AZ308" i="77"/>
  <c r="AZ309" i="77"/>
  <c r="AZ310" i="77"/>
  <c r="AZ311" i="77"/>
  <c r="AZ312" i="77"/>
  <c r="AZ313" i="77"/>
  <c r="AZ314" i="77"/>
  <c r="AZ318" i="77"/>
  <c r="AZ319" i="77"/>
  <c r="AZ320" i="77"/>
  <c r="AZ321" i="77"/>
  <c r="AZ322" i="77"/>
  <c r="AZ323" i="77"/>
  <c r="AZ324" i="77"/>
  <c r="AZ325" i="77"/>
  <c r="AZ326" i="77"/>
  <c r="AZ327" i="77"/>
  <c r="AZ328" i="77"/>
  <c r="AZ329" i="77"/>
  <c r="AZ330" i="77"/>
  <c r="AZ331" i="77"/>
  <c r="AZ332" i="77"/>
  <c r="AZ333" i="77"/>
  <c r="AZ334" i="77"/>
  <c r="AZ335" i="77"/>
  <c r="AZ336" i="77"/>
  <c r="AZ339" i="77"/>
  <c r="AZ340" i="77"/>
  <c r="AZ341" i="77"/>
  <c r="AZ342" i="77"/>
  <c r="AZ343" i="77"/>
  <c r="AZ344" i="77"/>
  <c r="AZ345" i="77"/>
  <c r="AZ346" i="77"/>
  <c r="AZ347" i="77"/>
  <c r="AZ348" i="77"/>
  <c r="AZ349" i="77"/>
  <c r="AZ350" i="77"/>
  <c r="AZ351" i="77"/>
  <c r="AZ352" i="77"/>
  <c r="AZ354" i="77"/>
  <c r="AZ356" i="77"/>
  <c r="AZ358" i="77"/>
  <c r="AZ359" i="77"/>
  <c r="AZ360" i="77"/>
  <c r="AZ361" i="77"/>
  <c r="AZ362" i="77"/>
  <c r="AZ363" i="77"/>
  <c r="AZ364" i="77"/>
  <c r="AZ365" i="77"/>
  <c r="AZ366" i="77"/>
  <c r="AZ367" i="77"/>
  <c r="AZ368" i="77"/>
  <c r="AZ369" i="77"/>
  <c r="AZ370" i="77"/>
  <c r="AZ371" i="77"/>
  <c r="AZ372" i="77"/>
  <c r="AZ373" i="77"/>
  <c r="AZ374" i="77"/>
  <c r="AZ375" i="77"/>
  <c r="AZ376" i="77"/>
  <c r="AZ377" i="77"/>
  <c r="AZ378" i="77"/>
  <c r="AZ379" i="77"/>
  <c r="AZ380" i="77"/>
  <c r="AZ381" i="77"/>
  <c r="AZ382" i="77"/>
  <c r="AZ383" i="77"/>
  <c r="AZ384" i="77"/>
  <c r="AZ385" i="77"/>
  <c r="AZ386" i="77"/>
  <c r="AZ387" i="77"/>
  <c r="AZ388" i="77"/>
  <c r="AZ389" i="77"/>
  <c r="AZ390" i="77"/>
  <c r="AZ391" i="77"/>
  <c r="AZ392" i="77"/>
  <c r="AZ393" i="77"/>
  <c r="AZ394" i="77"/>
  <c r="AZ395" i="77"/>
  <c r="AZ396" i="77"/>
  <c r="AZ397" i="77"/>
  <c r="AZ398" i="77"/>
  <c r="AZ399" i="77"/>
  <c r="AZ400" i="77"/>
  <c r="AZ401" i="77"/>
  <c r="AZ402" i="77"/>
  <c r="AZ403" i="77"/>
  <c r="AZ404" i="77"/>
  <c r="AZ405" i="77"/>
  <c r="AZ406" i="77"/>
  <c r="AZ407" i="77"/>
  <c r="AZ408" i="77"/>
  <c r="AZ409" i="77"/>
  <c r="AZ410" i="77"/>
  <c r="AZ411" i="77"/>
  <c r="AZ412" i="77"/>
  <c r="AZ413" i="77"/>
  <c r="AZ414" i="77"/>
  <c r="AZ415" i="77"/>
  <c r="AZ416" i="77"/>
  <c r="AZ417" i="77"/>
  <c r="AZ418" i="77"/>
  <c r="AZ419" i="77"/>
  <c r="AZ420" i="77"/>
  <c r="AZ421" i="77"/>
  <c r="AZ422" i="77"/>
  <c r="AZ423" i="77"/>
  <c r="AZ424" i="77"/>
  <c r="AZ425" i="77"/>
  <c r="AZ426" i="77"/>
  <c r="AZ427" i="77"/>
  <c r="AZ428" i="77"/>
  <c r="AZ429" i="77"/>
  <c r="AZ430" i="77"/>
  <c r="AZ431" i="77"/>
  <c r="AZ432" i="77"/>
  <c r="AZ433" i="77"/>
  <c r="AZ434" i="77"/>
  <c r="AZ435" i="77"/>
  <c r="AZ436" i="77"/>
  <c r="AZ437" i="77"/>
  <c r="AZ438" i="77"/>
  <c r="AZ439" i="77"/>
  <c r="AZ440" i="77"/>
  <c r="AZ441" i="77"/>
  <c r="AZ448" i="77"/>
  <c r="AZ449" i="77"/>
  <c r="AZ454" i="77"/>
  <c r="AZ455" i="77"/>
  <c r="AZ456" i="77"/>
  <c r="AZ457" i="77"/>
  <c r="AZ458" i="77"/>
  <c r="AZ459" i="77"/>
  <c r="AZ460" i="77"/>
  <c r="AZ461" i="77"/>
  <c r="AZ462" i="77"/>
  <c r="AZ463" i="77"/>
  <c r="AZ464" i="77"/>
  <c r="AZ465" i="77"/>
  <c r="AZ466" i="77"/>
  <c r="AZ467" i="77"/>
  <c r="AZ468" i="77"/>
  <c r="AZ469" i="77"/>
  <c r="AZ470" i="77"/>
  <c r="AZ471" i="77"/>
  <c r="AZ472" i="77"/>
  <c r="AZ473" i="77"/>
  <c r="AZ474" i="77"/>
  <c r="AZ475" i="77"/>
  <c r="AZ476" i="77"/>
  <c r="AZ477" i="77"/>
  <c r="AZ478" i="77"/>
  <c r="AZ479" i="77"/>
  <c r="AZ480" i="77"/>
  <c r="AZ481" i="77"/>
  <c r="AZ482" i="77"/>
  <c r="AZ483" i="77"/>
  <c r="AZ484" i="77"/>
  <c r="AZ485" i="77"/>
  <c r="AZ486" i="77"/>
  <c r="AZ487" i="77"/>
  <c r="AZ488" i="77"/>
  <c r="AZ489" i="77"/>
  <c r="AZ490" i="77"/>
  <c r="AZ491" i="77"/>
  <c r="AZ492" i="77"/>
  <c r="AZ493" i="77"/>
  <c r="AZ494" i="77"/>
  <c r="AZ495" i="77"/>
  <c r="AZ496" i="77"/>
  <c r="AZ497" i="77"/>
  <c r="AZ498" i="77"/>
  <c r="AZ499" i="77"/>
  <c r="AZ500" i="77"/>
  <c r="AZ501" i="77"/>
  <c r="AZ502" i="77"/>
  <c r="AZ503" i="77"/>
  <c r="AZ504" i="77"/>
  <c r="AZ505" i="77"/>
  <c r="AZ506" i="77"/>
  <c r="AZ508" i="77"/>
  <c r="AZ509" i="77"/>
  <c r="AZ510" i="77"/>
  <c r="AZ511" i="77"/>
  <c r="AZ512" i="77"/>
  <c r="AZ513" i="77"/>
  <c r="AZ514" i="77"/>
  <c r="AZ515" i="77"/>
  <c r="AZ516" i="77"/>
  <c r="AZ517" i="77"/>
  <c r="AZ518" i="77"/>
  <c r="AZ519" i="77"/>
  <c r="AZ520" i="77"/>
  <c r="AZ521" i="77"/>
  <c r="AZ522" i="77"/>
  <c r="AZ523" i="77"/>
  <c r="AZ524" i="77"/>
  <c r="AZ525" i="77"/>
  <c r="AZ526" i="77"/>
  <c r="AZ527" i="77"/>
  <c r="AZ528" i="77"/>
  <c r="AZ529" i="77"/>
  <c r="AZ530" i="77"/>
  <c r="AZ531" i="77"/>
  <c r="AZ532" i="77"/>
  <c r="AZ533" i="77"/>
  <c r="AZ534" i="77"/>
  <c r="AZ535" i="77"/>
  <c r="AZ536" i="77"/>
  <c r="AZ537" i="77"/>
  <c r="AZ538" i="77"/>
  <c r="AZ539" i="77"/>
  <c r="AZ540" i="77"/>
  <c r="AZ541" i="77"/>
  <c r="AZ542" i="77"/>
  <c r="AZ543" i="77"/>
  <c r="AZ544" i="77"/>
  <c r="AZ545" i="77"/>
  <c r="AZ546" i="77"/>
  <c r="AZ547" i="77"/>
  <c r="AZ548" i="77"/>
  <c r="AZ549" i="77"/>
  <c r="AZ550" i="77"/>
  <c r="AZ551" i="77"/>
  <c r="AZ552" i="77"/>
  <c r="AZ553" i="77"/>
  <c r="AZ554" i="77"/>
  <c r="AZ555" i="77"/>
  <c r="AZ556" i="77"/>
  <c r="AZ557" i="77"/>
  <c r="AZ558" i="77"/>
  <c r="AZ576" i="77"/>
  <c r="AZ577" i="77"/>
  <c r="AZ578" i="77"/>
  <c r="AZ579" i="77"/>
  <c r="AZ580" i="77"/>
  <c r="AZ581" i="77"/>
  <c r="AZ663" i="77"/>
  <c r="AW7" i="77"/>
  <c r="AW8" i="77"/>
  <c r="AW9" i="77"/>
  <c r="AW10" i="77"/>
  <c r="AW11" i="77"/>
  <c r="AW12" i="77"/>
  <c r="AW13" i="77"/>
  <c r="AW14" i="77"/>
  <c r="AW15" i="77"/>
  <c r="AW16" i="77"/>
  <c r="AW17" i="77"/>
  <c r="AW18" i="77"/>
  <c r="AW19" i="77"/>
  <c r="AW20" i="77"/>
  <c r="AW21" i="77"/>
  <c r="AW22" i="77"/>
  <c r="AW23" i="77"/>
  <c r="AW24" i="77"/>
  <c r="AW25" i="77"/>
  <c r="AW26" i="77"/>
  <c r="AW27" i="77"/>
  <c r="AW28" i="77"/>
  <c r="AW29" i="77"/>
  <c r="AW30" i="77"/>
  <c r="AW31" i="77"/>
  <c r="AW34" i="77"/>
  <c r="AW35" i="77"/>
  <c r="AW36" i="77"/>
  <c r="AW37" i="77"/>
  <c r="AW39" i="77"/>
  <c r="AW40" i="77"/>
  <c r="AW41" i="77"/>
  <c r="AW42" i="77"/>
  <c r="AW45" i="77"/>
  <c r="AW46" i="77"/>
  <c r="AW47" i="77"/>
  <c r="AW48" i="77"/>
  <c r="AW49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4" i="77"/>
  <c r="AW65" i="77"/>
  <c r="AW66" i="77"/>
  <c r="AW67" i="77"/>
  <c r="AW68" i="77"/>
  <c r="AW69" i="77"/>
  <c r="AW70" i="77"/>
  <c r="AW71" i="77"/>
  <c r="AW72" i="77"/>
  <c r="AW73" i="77"/>
  <c r="AW74" i="77"/>
  <c r="AW75" i="77"/>
  <c r="AW76" i="77"/>
  <c r="AW77" i="77"/>
  <c r="AW78" i="77"/>
  <c r="AW79" i="77"/>
  <c r="AW82" i="77"/>
  <c r="AW83" i="77"/>
  <c r="AW84" i="77"/>
  <c r="AW85" i="77"/>
  <c r="AW86" i="77"/>
  <c r="AW89" i="77"/>
  <c r="AW90" i="77"/>
  <c r="AW91" i="77"/>
  <c r="AW92" i="77"/>
  <c r="AW93" i="77"/>
  <c r="AW94" i="77"/>
  <c r="AW95" i="77"/>
  <c r="AW96" i="77"/>
  <c r="AW97" i="77"/>
  <c r="AW98" i="77"/>
  <c r="AW99" i="77"/>
  <c r="AW100" i="77"/>
  <c r="AW103" i="77"/>
  <c r="AW104" i="77"/>
  <c r="AW106" i="77"/>
  <c r="AW110" i="77"/>
  <c r="AW111" i="77"/>
  <c r="AW112" i="77"/>
  <c r="AW113" i="77"/>
  <c r="AW114" i="77"/>
  <c r="AW115" i="77"/>
  <c r="AW116" i="77"/>
  <c r="AW117" i="77"/>
  <c r="AW118" i="77"/>
  <c r="AW119" i="77"/>
  <c r="AW121" i="77"/>
  <c r="AW123" i="77"/>
  <c r="AW124" i="77"/>
  <c r="AW125" i="77"/>
  <c r="AW126" i="77"/>
  <c r="AW127" i="77"/>
  <c r="AW128" i="77"/>
  <c r="AW129" i="77"/>
  <c r="AW130" i="77"/>
  <c r="AW131" i="77"/>
  <c r="AW132" i="77"/>
  <c r="AW133" i="77"/>
  <c r="AW134" i="77"/>
  <c r="AW135" i="77"/>
  <c r="AW136" i="77"/>
  <c r="AW137" i="77"/>
  <c r="AW138" i="77"/>
  <c r="AW147" i="77"/>
  <c r="AW151" i="77"/>
  <c r="AW152" i="77"/>
  <c r="AW153" i="77"/>
  <c r="AW154" i="77"/>
  <c r="AW155" i="77"/>
  <c r="AW156" i="77"/>
  <c r="AW157" i="77"/>
  <c r="AW158" i="77"/>
  <c r="AW159" i="77"/>
  <c r="AW160" i="77"/>
  <c r="AW161" i="77"/>
  <c r="AW162" i="77"/>
  <c r="AW163" i="77"/>
  <c r="AW164" i="77"/>
  <c r="AW166" i="77"/>
  <c r="AW167" i="77"/>
  <c r="AW168" i="77"/>
  <c r="AW169" i="77"/>
  <c r="AW170" i="77"/>
  <c r="AW171" i="77"/>
  <c r="AW172" i="77"/>
  <c r="AW173" i="77"/>
  <c r="AW174" i="77"/>
  <c r="AW175" i="77"/>
  <c r="AW176" i="77"/>
  <c r="AW177" i="77"/>
  <c r="AW178" i="77"/>
  <c r="AW179" i="77"/>
  <c r="AW180" i="77"/>
  <c r="AW181" i="77"/>
  <c r="AW182" i="77"/>
  <c r="AW183" i="77"/>
  <c r="AW184" i="77"/>
  <c r="AW185" i="77"/>
  <c r="AW186" i="77"/>
  <c r="AW187" i="77"/>
  <c r="AW189" i="77"/>
  <c r="AW190" i="77"/>
  <c r="AW191" i="77"/>
  <c r="AW192" i="77"/>
  <c r="AW193" i="77"/>
  <c r="AW194" i="77"/>
  <c r="AW195" i="77"/>
  <c r="AW196" i="77"/>
  <c r="AW197" i="77"/>
  <c r="AW198" i="77"/>
  <c r="AW199" i="77"/>
  <c r="AW200" i="77"/>
  <c r="AW201" i="77"/>
  <c r="AW203" i="77"/>
  <c r="AW204" i="77"/>
  <c r="AW205" i="77"/>
  <c r="AW206" i="77"/>
  <c r="AW207" i="77"/>
  <c r="AW208" i="77"/>
  <c r="AW209" i="77"/>
  <c r="AW210" i="77"/>
  <c r="AW211" i="77"/>
  <c r="AW213" i="77"/>
  <c r="AW214" i="77"/>
  <c r="AW215" i="77"/>
  <c r="AW216" i="77"/>
  <c r="AW217" i="77"/>
  <c r="AW218" i="77"/>
  <c r="AW219" i="77"/>
  <c r="AW220" i="77"/>
  <c r="AW221" i="77"/>
  <c r="AW224" i="77"/>
  <c r="AW225" i="77"/>
  <c r="AW230" i="77"/>
  <c r="AW231" i="77"/>
  <c r="AW233" i="77"/>
  <c r="AW234" i="77"/>
  <c r="AW236" i="77"/>
  <c r="AW237" i="77"/>
  <c r="AW238" i="77"/>
  <c r="AW239" i="77"/>
  <c r="AW240" i="77"/>
  <c r="AW241" i="77"/>
  <c r="AW243" i="77"/>
  <c r="AW244" i="77"/>
  <c r="AW245" i="77"/>
  <c r="AW246" i="77"/>
  <c r="AW247" i="77"/>
  <c r="AW248" i="77"/>
  <c r="AW249" i="77"/>
  <c r="AW250" i="77"/>
  <c r="AW251" i="77"/>
  <c r="AW252" i="77"/>
  <c r="AW253" i="77"/>
  <c r="AW254" i="77"/>
  <c r="AW255" i="77"/>
  <c r="AW256" i="77"/>
  <c r="AW257" i="77"/>
  <c r="AW258" i="77"/>
  <c r="AW259" i="77"/>
  <c r="AW262" i="77"/>
  <c r="AW263" i="77"/>
  <c r="AW264" i="77"/>
  <c r="AW265" i="77"/>
  <c r="AW266" i="77"/>
  <c r="AW267" i="77"/>
  <c r="AW268" i="77"/>
  <c r="AW269" i="77"/>
  <c r="AW270" i="77"/>
  <c r="AW271" i="77"/>
  <c r="AW272" i="77"/>
  <c r="AW273" i="77"/>
  <c r="AW274" i="77"/>
  <c r="AW277" i="77"/>
  <c r="AW278" i="77"/>
  <c r="AW279" i="77"/>
  <c r="AW280" i="77"/>
  <c r="AW281" i="77"/>
  <c r="AW284" i="77"/>
  <c r="AW285" i="77"/>
  <c r="AW286" i="77"/>
  <c r="AW287" i="77"/>
  <c r="AW288" i="77"/>
  <c r="AW291" i="77"/>
  <c r="AW292" i="77"/>
  <c r="AW293" i="77"/>
  <c r="AW294" i="77"/>
  <c r="AW295" i="77"/>
  <c r="AW296" i="77"/>
  <c r="AW297" i="77"/>
  <c r="AW300" i="77"/>
  <c r="AW301" i="77"/>
  <c r="AW302" i="77"/>
  <c r="AW303" i="77"/>
  <c r="AW307" i="77"/>
  <c r="AW308" i="77"/>
  <c r="AW309" i="77"/>
  <c r="AW310" i="77"/>
  <c r="AW311" i="77"/>
  <c r="AW312" i="77"/>
  <c r="AW313" i="77"/>
  <c r="AW314" i="77"/>
  <c r="AW318" i="77"/>
  <c r="AW319" i="77"/>
  <c r="AW320" i="77"/>
  <c r="AW321" i="77"/>
  <c r="AW322" i="77"/>
  <c r="AW323" i="77"/>
  <c r="AW324" i="77"/>
  <c r="AW325" i="77"/>
  <c r="AW326" i="77"/>
  <c r="AW327" i="77"/>
  <c r="AW328" i="77"/>
  <c r="AW329" i="77"/>
  <c r="AW330" i="77"/>
  <c r="AW331" i="77"/>
  <c r="AW332" i="77"/>
  <c r="AW333" i="77"/>
  <c r="AW334" i="77"/>
  <c r="AW335" i="77"/>
  <c r="AW336" i="77"/>
  <c r="AW339" i="77"/>
  <c r="AW340" i="77"/>
  <c r="AW341" i="77"/>
  <c r="AW342" i="77"/>
  <c r="AW343" i="77"/>
  <c r="AW344" i="77"/>
  <c r="AW345" i="77"/>
  <c r="AW346" i="77"/>
  <c r="AW347" i="77"/>
  <c r="AW348" i="77"/>
  <c r="AW349" i="77"/>
  <c r="AW350" i="77"/>
  <c r="AW351" i="77"/>
  <c r="AW352" i="77"/>
  <c r="AW354" i="77"/>
  <c r="AW356" i="77"/>
  <c r="AW358" i="77"/>
  <c r="AW359" i="77"/>
  <c r="AW360" i="77"/>
  <c r="AW361" i="77"/>
  <c r="AW362" i="77"/>
  <c r="AW363" i="77"/>
  <c r="AW364" i="77"/>
  <c r="AW365" i="77"/>
  <c r="AW366" i="77"/>
  <c r="AW367" i="77"/>
  <c r="AW368" i="77"/>
  <c r="AW369" i="77"/>
  <c r="AW370" i="77"/>
  <c r="AW371" i="77"/>
  <c r="AW372" i="77"/>
  <c r="AW373" i="77"/>
  <c r="AW374" i="77"/>
  <c r="AW375" i="77"/>
  <c r="AW376" i="77"/>
  <c r="AW377" i="77"/>
  <c r="AW378" i="77"/>
  <c r="AW379" i="77"/>
  <c r="AW380" i="77"/>
  <c r="AW381" i="77"/>
  <c r="AW382" i="77"/>
  <c r="AW383" i="77"/>
  <c r="AW384" i="77"/>
  <c r="AW385" i="77"/>
  <c r="AW386" i="77"/>
  <c r="AW387" i="77"/>
  <c r="AW388" i="77"/>
  <c r="AW389" i="77"/>
  <c r="AW390" i="77"/>
  <c r="AW391" i="77"/>
  <c r="AW392" i="77"/>
  <c r="AW393" i="77"/>
  <c r="AW394" i="77"/>
  <c r="AW395" i="77"/>
  <c r="AW396" i="77"/>
  <c r="AW397" i="77"/>
  <c r="AW398" i="77"/>
  <c r="AW399" i="77"/>
  <c r="AW400" i="77"/>
  <c r="AW401" i="77"/>
  <c r="AW402" i="77"/>
  <c r="AW403" i="77"/>
  <c r="AW404" i="77"/>
  <c r="AW405" i="77"/>
  <c r="AW406" i="77"/>
  <c r="AW407" i="77"/>
  <c r="AW408" i="77"/>
  <c r="AW409" i="77"/>
  <c r="AW410" i="77"/>
  <c r="AW411" i="77"/>
  <c r="AW412" i="77"/>
  <c r="AW413" i="77"/>
  <c r="AW414" i="77"/>
  <c r="AW415" i="77"/>
  <c r="AW416" i="77"/>
  <c r="AW417" i="77"/>
  <c r="AW418" i="77"/>
  <c r="AW419" i="77"/>
  <c r="AW420" i="77"/>
  <c r="AW421" i="77"/>
  <c r="AW422" i="77"/>
  <c r="AW423" i="77"/>
  <c r="AW424" i="77"/>
  <c r="AW425" i="77"/>
  <c r="AW426" i="77"/>
  <c r="AW427" i="77"/>
  <c r="AW428" i="77"/>
  <c r="AW429" i="77"/>
  <c r="AW430" i="77"/>
  <c r="AW431" i="77"/>
  <c r="AW432" i="77"/>
  <c r="AW433" i="77"/>
  <c r="AW434" i="77"/>
  <c r="AW435" i="77"/>
  <c r="AW436" i="77"/>
  <c r="AW437" i="77"/>
  <c r="AW438" i="77"/>
  <c r="AW439" i="77"/>
  <c r="AW440" i="77"/>
  <c r="AW441" i="77"/>
  <c r="AW448" i="77"/>
  <c r="AW449" i="77"/>
  <c r="AW454" i="77"/>
  <c r="AW455" i="77"/>
  <c r="AW456" i="77"/>
  <c r="AW457" i="77"/>
  <c r="AW458" i="77"/>
  <c r="AW459" i="77"/>
  <c r="AW460" i="77"/>
  <c r="AW461" i="77"/>
  <c r="AW462" i="77"/>
  <c r="AW463" i="77"/>
  <c r="AW464" i="77"/>
  <c r="AW465" i="77"/>
  <c r="AW466" i="77"/>
  <c r="AW467" i="77"/>
  <c r="AW468" i="77"/>
  <c r="AW469" i="77"/>
  <c r="AW470" i="77"/>
  <c r="AW471" i="77"/>
  <c r="AW472" i="77"/>
  <c r="AW473" i="77"/>
  <c r="AW474" i="77"/>
  <c r="AW475" i="77"/>
  <c r="AW476" i="77"/>
  <c r="AW477" i="77"/>
  <c r="AW478" i="77"/>
  <c r="AW479" i="77"/>
  <c r="AW480" i="77"/>
  <c r="AW481" i="77"/>
  <c r="AW482" i="77"/>
  <c r="AW483" i="77"/>
  <c r="AW484" i="77"/>
  <c r="AW485" i="77"/>
  <c r="AW486" i="77"/>
  <c r="AW487" i="77"/>
  <c r="AW488" i="77"/>
  <c r="AW489" i="77"/>
  <c r="AW490" i="77"/>
  <c r="AW491" i="77"/>
  <c r="AW492" i="77"/>
  <c r="AW493" i="77"/>
  <c r="AW494" i="77"/>
  <c r="AW495" i="77"/>
  <c r="AW496" i="77"/>
  <c r="AW497" i="77"/>
  <c r="AW498" i="77"/>
  <c r="AW499" i="77"/>
  <c r="AW500" i="77"/>
  <c r="AW501" i="77"/>
  <c r="AW502" i="77"/>
  <c r="AW503" i="77"/>
  <c r="AW504" i="77"/>
  <c r="AW505" i="77"/>
  <c r="AW506" i="77"/>
  <c r="AW508" i="77"/>
  <c r="AW509" i="77"/>
  <c r="AW510" i="77"/>
  <c r="AW511" i="77"/>
  <c r="AW512" i="77"/>
  <c r="AW513" i="77"/>
  <c r="AW514" i="77"/>
  <c r="AW515" i="77"/>
  <c r="AW516" i="77"/>
  <c r="AW517" i="77"/>
  <c r="AW518" i="77"/>
  <c r="AW519" i="77"/>
  <c r="AW520" i="77"/>
  <c r="AW521" i="77"/>
  <c r="AW522" i="77"/>
  <c r="AW523" i="77"/>
  <c r="AW524" i="77"/>
  <c r="AW525" i="77"/>
  <c r="AW526" i="77"/>
  <c r="AW527" i="77"/>
  <c r="AW528" i="77"/>
  <c r="AW529" i="77"/>
  <c r="AW530" i="77"/>
  <c r="AW531" i="77"/>
  <c r="AW532" i="77"/>
  <c r="AW533" i="77"/>
  <c r="AW534" i="77"/>
  <c r="AW535" i="77"/>
  <c r="AW536" i="77"/>
  <c r="AW537" i="77"/>
  <c r="AW538" i="77"/>
  <c r="AW539" i="77"/>
  <c r="AW540" i="77"/>
  <c r="AW541" i="77"/>
  <c r="AW542" i="77"/>
  <c r="AW543" i="77"/>
  <c r="AW544" i="77"/>
  <c r="AW545" i="77"/>
  <c r="AW546" i="77"/>
  <c r="AW547" i="77"/>
  <c r="AW548" i="77"/>
  <c r="AW549" i="77"/>
  <c r="AW550" i="77"/>
  <c r="AW551" i="77"/>
  <c r="AW552" i="77"/>
  <c r="AW553" i="77"/>
  <c r="AW554" i="77"/>
  <c r="AW555" i="77"/>
  <c r="AW556" i="77"/>
  <c r="AW557" i="77"/>
  <c r="AW558" i="77"/>
  <c r="AW576" i="77"/>
  <c r="AW577" i="77"/>
  <c r="AW578" i="77"/>
  <c r="AW579" i="77"/>
  <c r="AW580" i="77"/>
  <c r="AW581" i="77"/>
  <c r="AW663" i="77"/>
  <c r="AV7" i="77"/>
  <c r="AV8" i="77"/>
  <c r="AV9" i="77"/>
  <c r="AV10" i="77"/>
  <c r="AV11" i="77"/>
  <c r="AV12" i="77"/>
  <c r="AV13" i="77"/>
  <c r="AV14" i="77"/>
  <c r="AV15" i="77"/>
  <c r="AV16" i="77"/>
  <c r="AV17" i="77"/>
  <c r="AV18" i="77"/>
  <c r="AV19" i="77"/>
  <c r="AV20" i="77"/>
  <c r="AV21" i="77"/>
  <c r="AV22" i="77"/>
  <c r="AV23" i="77"/>
  <c r="AV24" i="77"/>
  <c r="AV25" i="77"/>
  <c r="AV26" i="77"/>
  <c r="AV27" i="77"/>
  <c r="AV28" i="77"/>
  <c r="AV29" i="77"/>
  <c r="AV30" i="77"/>
  <c r="AV31" i="77"/>
  <c r="AV34" i="77"/>
  <c r="AV35" i="77"/>
  <c r="AV36" i="77"/>
  <c r="AV37" i="77"/>
  <c r="AV39" i="77"/>
  <c r="AV40" i="77"/>
  <c r="AV41" i="77"/>
  <c r="AV42" i="77"/>
  <c r="AV45" i="77"/>
  <c r="AV46" i="77"/>
  <c r="AV47" i="77"/>
  <c r="AV48" i="77"/>
  <c r="AV49" i="77"/>
  <c r="AV52" i="77"/>
  <c r="AV53" i="77"/>
  <c r="AV54" i="77"/>
  <c r="AV55" i="77"/>
  <c r="AV56" i="77"/>
  <c r="AV57" i="77"/>
  <c r="AV58" i="77"/>
  <c r="AV59" i="77"/>
  <c r="AV60" i="77"/>
  <c r="AV61" i="77"/>
  <c r="AV62" i="77"/>
  <c r="AV63" i="77"/>
  <c r="AV64" i="77"/>
  <c r="AV65" i="77"/>
  <c r="AV66" i="77"/>
  <c r="AV67" i="77"/>
  <c r="AV68" i="77"/>
  <c r="AV69" i="77"/>
  <c r="AV70" i="77"/>
  <c r="AV71" i="77"/>
  <c r="AV72" i="77"/>
  <c r="AV73" i="77"/>
  <c r="AV74" i="77"/>
  <c r="AV75" i="77"/>
  <c r="AV76" i="77"/>
  <c r="AV77" i="77"/>
  <c r="AV78" i="77"/>
  <c r="AV79" i="77"/>
  <c r="AV82" i="77"/>
  <c r="AV83" i="77"/>
  <c r="AV84" i="77"/>
  <c r="AV85" i="77"/>
  <c r="AV86" i="77"/>
  <c r="AV89" i="77"/>
  <c r="AV90" i="77"/>
  <c r="AV91" i="77"/>
  <c r="AV92" i="77"/>
  <c r="AV93" i="77"/>
  <c r="AV94" i="77"/>
  <c r="AV95" i="77"/>
  <c r="AV96" i="77"/>
  <c r="AV97" i="77"/>
  <c r="AV98" i="77"/>
  <c r="AV99" i="77"/>
  <c r="AV100" i="77"/>
  <c r="AV103" i="77"/>
  <c r="AV104" i="77"/>
  <c r="AV106" i="77"/>
  <c r="AV110" i="77"/>
  <c r="AV111" i="77"/>
  <c r="AV112" i="77"/>
  <c r="AV113" i="77"/>
  <c r="AV114" i="77"/>
  <c r="AV115" i="77"/>
  <c r="AV116" i="77"/>
  <c r="AV117" i="77"/>
  <c r="AV118" i="77"/>
  <c r="AV119" i="77"/>
  <c r="AV121" i="77"/>
  <c r="AV123" i="77"/>
  <c r="AV124" i="77"/>
  <c r="AV125" i="77"/>
  <c r="AV126" i="77"/>
  <c r="AV127" i="77"/>
  <c r="AV128" i="77"/>
  <c r="AV129" i="77"/>
  <c r="AV130" i="77"/>
  <c r="AV131" i="77"/>
  <c r="AV132" i="77"/>
  <c r="AV133" i="77"/>
  <c r="AV135" i="77"/>
  <c r="AV136" i="77"/>
  <c r="AV137" i="77"/>
  <c r="AV138" i="77"/>
  <c r="AV147" i="77"/>
  <c r="AV151" i="77"/>
  <c r="AV152" i="77"/>
  <c r="AV153" i="77"/>
  <c r="AV154" i="77"/>
  <c r="AV155" i="77"/>
  <c r="AV156" i="77"/>
  <c r="AV157" i="77"/>
  <c r="AV158" i="77"/>
  <c r="AV159" i="77"/>
  <c r="AV160" i="77"/>
  <c r="AV161" i="77"/>
  <c r="AV162" i="77"/>
  <c r="AV163" i="77"/>
  <c r="AV164" i="77"/>
  <c r="AV166" i="77"/>
  <c r="AV167" i="77"/>
  <c r="AV168" i="77"/>
  <c r="AV169" i="77"/>
  <c r="AV170" i="77"/>
  <c r="AV171" i="77"/>
  <c r="AV172" i="77"/>
  <c r="AV173" i="77"/>
  <c r="AV174" i="77"/>
  <c r="AV175" i="77"/>
  <c r="AV176" i="77"/>
  <c r="AV177" i="77"/>
  <c r="AV178" i="77"/>
  <c r="AV179" i="77"/>
  <c r="AV180" i="77"/>
  <c r="AV181" i="77"/>
  <c r="AV182" i="77"/>
  <c r="AV183" i="77"/>
  <c r="AV184" i="77"/>
  <c r="AV185" i="77"/>
  <c r="AV186" i="77"/>
  <c r="AV187" i="77"/>
  <c r="AV189" i="77"/>
  <c r="AV190" i="77"/>
  <c r="AV191" i="77"/>
  <c r="AV192" i="77"/>
  <c r="AV193" i="77"/>
  <c r="AV194" i="77"/>
  <c r="AV195" i="77"/>
  <c r="AV196" i="77"/>
  <c r="AV197" i="77"/>
  <c r="AV198" i="77"/>
  <c r="AV199" i="77"/>
  <c r="AV200" i="77"/>
  <c r="AV201" i="77"/>
  <c r="AV203" i="77"/>
  <c r="AV204" i="77"/>
  <c r="AV205" i="77"/>
  <c r="AV206" i="77"/>
  <c r="AV207" i="77"/>
  <c r="AV208" i="77"/>
  <c r="AV209" i="77"/>
  <c r="AV210" i="77"/>
  <c r="AV211" i="77"/>
  <c r="AV213" i="77"/>
  <c r="AV214" i="77"/>
  <c r="AV215" i="77"/>
  <c r="AV216" i="77"/>
  <c r="AV217" i="77"/>
  <c r="AV218" i="77"/>
  <c r="AV219" i="77"/>
  <c r="AV220" i="77"/>
  <c r="AV221" i="77"/>
  <c r="AV224" i="77"/>
  <c r="AV225" i="77"/>
  <c r="AV230" i="77"/>
  <c r="AV231" i="77"/>
  <c r="AV233" i="77"/>
  <c r="AV234" i="77"/>
  <c r="AV236" i="77"/>
  <c r="AV237" i="77"/>
  <c r="AV238" i="77"/>
  <c r="AV239" i="77"/>
  <c r="AV240" i="77"/>
  <c r="AV241" i="77"/>
  <c r="AV243" i="77"/>
  <c r="AV244" i="77"/>
  <c r="AV245" i="77"/>
  <c r="AV246" i="77"/>
  <c r="AV247" i="77"/>
  <c r="AV248" i="77"/>
  <c r="AV249" i="77"/>
  <c r="AV250" i="77"/>
  <c r="AV251" i="77"/>
  <c r="AV252" i="77"/>
  <c r="AV253" i="77"/>
  <c r="AV255" i="77"/>
  <c r="AV256" i="77"/>
  <c r="AV257" i="77"/>
  <c r="AV258" i="77"/>
  <c r="AV259" i="77"/>
  <c r="AV262" i="77"/>
  <c r="AV263" i="77"/>
  <c r="AV264" i="77"/>
  <c r="AV265" i="77"/>
  <c r="AV266" i="77"/>
  <c r="AV268" i="77"/>
  <c r="AV269" i="77"/>
  <c r="AV270" i="77"/>
  <c r="AV271" i="77"/>
  <c r="AV272" i="77"/>
  <c r="AV273" i="77"/>
  <c r="AV274" i="77"/>
  <c r="AV277" i="77"/>
  <c r="AV278" i="77"/>
  <c r="AV279" i="77"/>
  <c r="AV280" i="77"/>
  <c r="AV281" i="77"/>
  <c r="AV284" i="77"/>
  <c r="AV285" i="77"/>
  <c r="AV286" i="77"/>
  <c r="AV287" i="77"/>
  <c r="AV288" i="77"/>
  <c r="AV291" i="77"/>
  <c r="AV292" i="77"/>
  <c r="AV293" i="77"/>
  <c r="AV294" i="77"/>
  <c r="AV295" i="77"/>
  <c r="AV296" i="77"/>
  <c r="AV297" i="77"/>
  <c r="AV300" i="77"/>
  <c r="AV301" i="77"/>
  <c r="AV302" i="77"/>
  <c r="AV303" i="77"/>
  <c r="AV307" i="77"/>
  <c r="AV308" i="77"/>
  <c r="AV309" i="77"/>
  <c r="AV310" i="77"/>
  <c r="AV311" i="77"/>
  <c r="AV312" i="77"/>
  <c r="AV313" i="77"/>
  <c r="AV314" i="77"/>
  <c r="AV318" i="77"/>
  <c r="AV319" i="77"/>
  <c r="AV320" i="77"/>
  <c r="AV321" i="77"/>
  <c r="AV322" i="77"/>
  <c r="AV323" i="77"/>
  <c r="AV324" i="77"/>
  <c r="AV325" i="77"/>
  <c r="AV326" i="77"/>
  <c r="AV327" i="77"/>
  <c r="AV328" i="77"/>
  <c r="AV329" i="77"/>
  <c r="AV330" i="77"/>
  <c r="AV331" i="77"/>
  <c r="AV332" i="77"/>
  <c r="AV333" i="77"/>
  <c r="AV334" i="77"/>
  <c r="AV335" i="77"/>
  <c r="AV336" i="77"/>
  <c r="AV339" i="77"/>
  <c r="AV340" i="77"/>
  <c r="AV341" i="77"/>
  <c r="AV342" i="77"/>
  <c r="AV343" i="77"/>
  <c r="AV344" i="77"/>
  <c r="AV345" i="77"/>
  <c r="AV346" i="77"/>
  <c r="AV347" i="77"/>
  <c r="AV348" i="77"/>
  <c r="AV349" i="77"/>
  <c r="AV350" i="77"/>
  <c r="AV351" i="77"/>
  <c r="AV352" i="77"/>
  <c r="AV354" i="77"/>
  <c r="AV356" i="77"/>
  <c r="AV358" i="77"/>
  <c r="AV359" i="77"/>
  <c r="AV360" i="77"/>
  <c r="AV361" i="77"/>
  <c r="AV362" i="77"/>
  <c r="AV363" i="77"/>
  <c r="AV364" i="77"/>
  <c r="AV365" i="77"/>
  <c r="AV366" i="77"/>
  <c r="AV367" i="77"/>
  <c r="AV368" i="77"/>
  <c r="AV369" i="77"/>
  <c r="AV370" i="77"/>
  <c r="AV371" i="77"/>
  <c r="AV372" i="77"/>
  <c r="AV373" i="77"/>
  <c r="AV374" i="77"/>
  <c r="AV375" i="77"/>
  <c r="AV376" i="77"/>
  <c r="AV377" i="77"/>
  <c r="AV378" i="77"/>
  <c r="AV379" i="77"/>
  <c r="AV380" i="77"/>
  <c r="AV381" i="77"/>
  <c r="AV382" i="77"/>
  <c r="AV383" i="77"/>
  <c r="AV384" i="77"/>
  <c r="AV385" i="77"/>
  <c r="AV386" i="77"/>
  <c r="AV387" i="77"/>
  <c r="AV388" i="77"/>
  <c r="AV389" i="77"/>
  <c r="AV390" i="77"/>
  <c r="AV391" i="77"/>
  <c r="AV392" i="77"/>
  <c r="AV393" i="77"/>
  <c r="AV394" i="77"/>
  <c r="AV395" i="77"/>
  <c r="AV396" i="77"/>
  <c r="AV397" i="77"/>
  <c r="AV398" i="77"/>
  <c r="AV399" i="77"/>
  <c r="AV400" i="77"/>
  <c r="AV401" i="77"/>
  <c r="AV402" i="77"/>
  <c r="AV403" i="77"/>
  <c r="AV404" i="77"/>
  <c r="AV405" i="77"/>
  <c r="AV406" i="77"/>
  <c r="AV407" i="77"/>
  <c r="AV408" i="77"/>
  <c r="AV409" i="77"/>
  <c r="AV410" i="77"/>
  <c r="AV411" i="77"/>
  <c r="AV412" i="77"/>
  <c r="AV413" i="77"/>
  <c r="AV414" i="77"/>
  <c r="AV415" i="77"/>
  <c r="AV416" i="77"/>
  <c r="AV417" i="77"/>
  <c r="AV418" i="77"/>
  <c r="AV419" i="77"/>
  <c r="AV420" i="77"/>
  <c r="AV421" i="77"/>
  <c r="AV422" i="77"/>
  <c r="AV423" i="77"/>
  <c r="AV424" i="77"/>
  <c r="AV425" i="77"/>
  <c r="AV426" i="77"/>
  <c r="AV427" i="77"/>
  <c r="AV428" i="77"/>
  <c r="AV429" i="77"/>
  <c r="AV430" i="77"/>
  <c r="AV431" i="77"/>
  <c r="AV432" i="77"/>
  <c r="AV433" i="77"/>
  <c r="AV435" i="77"/>
  <c r="AV436" i="77"/>
  <c r="AV437" i="77"/>
  <c r="AV438" i="77"/>
  <c r="AV439" i="77"/>
  <c r="AV440" i="77"/>
  <c r="AV441" i="77"/>
  <c r="AV448" i="77"/>
  <c r="AV449" i="77"/>
  <c r="AV454" i="77"/>
  <c r="AV455" i="77"/>
  <c r="AV456" i="77"/>
  <c r="AV457" i="77"/>
  <c r="AV458" i="77"/>
  <c r="AV459" i="77"/>
  <c r="AV460" i="77"/>
  <c r="AV461" i="77"/>
  <c r="AV462" i="77"/>
  <c r="AV463" i="77"/>
  <c r="AV464" i="77"/>
  <c r="AV465" i="77"/>
  <c r="AV466" i="77"/>
  <c r="AV467" i="77"/>
  <c r="AV468" i="77"/>
  <c r="AV469" i="77"/>
  <c r="AV470" i="77"/>
  <c r="AV471" i="77"/>
  <c r="AV472" i="77"/>
  <c r="AV473" i="77"/>
  <c r="AV474" i="77"/>
  <c r="AV475" i="77"/>
  <c r="AV476" i="77"/>
  <c r="AV477" i="77"/>
  <c r="AV478" i="77"/>
  <c r="AV479" i="77"/>
  <c r="AV480" i="77"/>
  <c r="AV481" i="77"/>
  <c r="AV482" i="77"/>
  <c r="AV484" i="77"/>
  <c r="AV486" i="77"/>
  <c r="AV487" i="77"/>
  <c r="AV488" i="77"/>
  <c r="AV489" i="77"/>
  <c r="AV490" i="77"/>
  <c r="AV491" i="77"/>
  <c r="AV492" i="77"/>
  <c r="AV493" i="77"/>
  <c r="AV494" i="77"/>
  <c r="AV495" i="77"/>
  <c r="AV496" i="77"/>
  <c r="AV497" i="77"/>
  <c r="AV498" i="77"/>
  <c r="AV499" i="77"/>
  <c r="AV500" i="77"/>
  <c r="AV501" i="77"/>
  <c r="AV502" i="77"/>
  <c r="AV503" i="77"/>
  <c r="AV504" i="77"/>
  <c r="AV505" i="77"/>
  <c r="AV506" i="77"/>
  <c r="AV510" i="77"/>
  <c r="AV511" i="77"/>
  <c r="AV512" i="77"/>
  <c r="AV513" i="77"/>
  <c r="AV514" i="77"/>
  <c r="AV515" i="77"/>
  <c r="AV516" i="77"/>
  <c r="AV517" i="77"/>
  <c r="AV518" i="77"/>
  <c r="AV519" i="77"/>
  <c r="AV520" i="77"/>
  <c r="AV521" i="77"/>
  <c r="AV522" i="77"/>
  <c r="AV523" i="77"/>
  <c r="AV524" i="77"/>
  <c r="AV525" i="77"/>
  <c r="AV526" i="77"/>
  <c r="AV527" i="77"/>
  <c r="AV528" i="77"/>
  <c r="AV529" i="77"/>
  <c r="AV530" i="77"/>
  <c r="AV531" i="77"/>
  <c r="AV532" i="77"/>
  <c r="AV533" i="77"/>
  <c r="AV534" i="77"/>
  <c r="AV535" i="77"/>
  <c r="AV536" i="77"/>
  <c r="AV537" i="77"/>
  <c r="AV538" i="77"/>
  <c r="AV539" i="77"/>
  <c r="AV540" i="77"/>
  <c r="AV541" i="77"/>
  <c r="AV542" i="77"/>
  <c r="AV543" i="77"/>
  <c r="AV544" i="77"/>
  <c r="AV545" i="77"/>
  <c r="AV546" i="77"/>
  <c r="AV547" i="77"/>
  <c r="AV551" i="77"/>
  <c r="AV552" i="77"/>
  <c r="AV553" i="77"/>
  <c r="AV554" i="77"/>
  <c r="AV555" i="77"/>
  <c r="AV556" i="77"/>
  <c r="AV557" i="77"/>
  <c r="AV558" i="77"/>
  <c r="AV663" i="77"/>
  <c r="AU7" i="77"/>
  <c r="AU8" i="77"/>
  <c r="AU9" i="77"/>
  <c r="AU10" i="77"/>
  <c r="AU11" i="77"/>
  <c r="AU12" i="77"/>
  <c r="AU13" i="77"/>
  <c r="AU14" i="77"/>
  <c r="AU15" i="77"/>
  <c r="AU16" i="77"/>
  <c r="AU17" i="77"/>
  <c r="AU18" i="77"/>
  <c r="AU19" i="77"/>
  <c r="AU20" i="77"/>
  <c r="AU21" i="77"/>
  <c r="AU22" i="77"/>
  <c r="AU23" i="77"/>
  <c r="AU24" i="77"/>
  <c r="AU25" i="77"/>
  <c r="AU26" i="77"/>
  <c r="AU27" i="77"/>
  <c r="AU28" i="77"/>
  <c r="AU29" i="77"/>
  <c r="AU30" i="77"/>
  <c r="AU31" i="77"/>
  <c r="AU34" i="77"/>
  <c r="AU35" i="77"/>
  <c r="AU36" i="77"/>
  <c r="AU37" i="77"/>
  <c r="AU39" i="77"/>
  <c r="AU40" i="77"/>
  <c r="AU41" i="77"/>
  <c r="AU42" i="77"/>
  <c r="AU45" i="77"/>
  <c r="AU46" i="77"/>
  <c r="AU47" i="77"/>
  <c r="AU48" i="77"/>
  <c r="AU49" i="77"/>
  <c r="AU52" i="77"/>
  <c r="AU53" i="77"/>
  <c r="AU54" i="77"/>
  <c r="AU55" i="77"/>
  <c r="AU56" i="77"/>
  <c r="AU57" i="77"/>
  <c r="AU58" i="77"/>
  <c r="AU59" i="77"/>
  <c r="AU60" i="77"/>
  <c r="AU61" i="77"/>
  <c r="AU62" i="77"/>
  <c r="AU63" i="77"/>
  <c r="AU64" i="77"/>
  <c r="AU65" i="77"/>
  <c r="AU66" i="77"/>
  <c r="AU67" i="77"/>
  <c r="AU68" i="77"/>
  <c r="AU69" i="77"/>
  <c r="AU70" i="77"/>
  <c r="AU71" i="77"/>
  <c r="AU72" i="77"/>
  <c r="AU73" i="77"/>
  <c r="AU74" i="77"/>
  <c r="AU75" i="77"/>
  <c r="AU76" i="77"/>
  <c r="AU77" i="77"/>
  <c r="AU78" i="77"/>
  <c r="AU79" i="77"/>
  <c r="AU82" i="77"/>
  <c r="AU83" i="77"/>
  <c r="AU84" i="77"/>
  <c r="AU85" i="77"/>
  <c r="AU86" i="77"/>
  <c r="AU89" i="77"/>
  <c r="AU90" i="77"/>
  <c r="AU91" i="77"/>
  <c r="AU92" i="77"/>
  <c r="AU93" i="77"/>
  <c r="AU94" i="77"/>
  <c r="AU95" i="77"/>
  <c r="AU96" i="77"/>
  <c r="AU97" i="77"/>
  <c r="AU98" i="77"/>
  <c r="AU99" i="77"/>
  <c r="AU100" i="77"/>
  <c r="AU103" i="77"/>
  <c r="AU104" i="77"/>
  <c r="AU106" i="77"/>
  <c r="AU110" i="77"/>
  <c r="AU111" i="77"/>
  <c r="AU112" i="77"/>
  <c r="AU113" i="77"/>
  <c r="AU114" i="77"/>
  <c r="AU115" i="77"/>
  <c r="AU116" i="77"/>
  <c r="AU117" i="77"/>
  <c r="AU118" i="77"/>
  <c r="AU119" i="77"/>
  <c r="AU121" i="77"/>
  <c r="AU123" i="77"/>
  <c r="AU124" i="77"/>
  <c r="AU125" i="77"/>
  <c r="AU126" i="77"/>
  <c r="AU127" i="77"/>
  <c r="AU128" i="77"/>
  <c r="AU129" i="77"/>
  <c r="AU130" i="77"/>
  <c r="AU131" i="77"/>
  <c r="AU133" i="77"/>
  <c r="AU134" i="77"/>
  <c r="AU135" i="77"/>
  <c r="AU136" i="77"/>
  <c r="AU137" i="77"/>
  <c r="AU138" i="77"/>
  <c r="AU147" i="77"/>
  <c r="AU151" i="77"/>
  <c r="AU152" i="77"/>
  <c r="AU153" i="77"/>
  <c r="AU154" i="77"/>
  <c r="AU155" i="77"/>
  <c r="AU156" i="77"/>
  <c r="AU157" i="77"/>
  <c r="AU158" i="77"/>
  <c r="AU159" i="77"/>
  <c r="AU160" i="77"/>
  <c r="AU161" i="77"/>
  <c r="AU162" i="77"/>
  <c r="AU163" i="77"/>
  <c r="AU164" i="77"/>
  <c r="AU166" i="77"/>
  <c r="AU167" i="77"/>
  <c r="AU168" i="77"/>
  <c r="AU169" i="77"/>
  <c r="AU170" i="77"/>
  <c r="AU171" i="77"/>
  <c r="AU172" i="77"/>
  <c r="AU173" i="77"/>
  <c r="AU174" i="77"/>
  <c r="AU175" i="77"/>
  <c r="AU176" i="77"/>
  <c r="AU177" i="77"/>
  <c r="AU178" i="77"/>
  <c r="AU179" i="77"/>
  <c r="AU180" i="77"/>
  <c r="AU181" i="77"/>
  <c r="AU182" i="77"/>
  <c r="AU183" i="77"/>
  <c r="AU184" i="77"/>
  <c r="AU185" i="77"/>
  <c r="AU186" i="77"/>
  <c r="AU187" i="77"/>
  <c r="AU189" i="77"/>
  <c r="AU190" i="77"/>
  <c r="AU191" i="77"/>
  <c r="AU192" i="77"/>
  <c r="AU193" i="77"/>
  <c r="AU194" i="77"/>
  <c r="AU195" i="77"/>
  <c r="AU196" i="77"/>
  <c r="AU197" i="77"/>
  <c r="AU198" i="77"/>
  <c r="AU199" i="77"/>
  <c r="AU200" i="77"/>
  <c r="AU201" i="77"/>
  <c r="AU203" i="77"/>
  <c r="AU204" i="77"/>
  <c r="AU205" i="77"/>
  <c r="AU206" i="77"/>
  <c r="AU207" i="77"/>
  <c r="AU208" i="77"/>
  <c r="AU209" i="77"/>
  <c r="AU210" i="77"/>
  <c r="AU211" i="77"/>
  <c r="AU213" i="77"/>
  <c r="AU214" i="77"/>
  <c r="AU215" i="77"/>
  <c r="AU216" i="77"/>
  <c r="AU217" i="77"/>
  <c r="AU218" i="77"/>
  <c r="AU219" i="77"/>
  <c r="AU220" i="77"/>
  <c r="AU221" i="77"/>
  <c r="AU224" i="77"/>
  <c r="AU225" i="77"/>
  <c r="AU230" i="77"/>
  <c r="AU231" i="77"/>
  <c r="AU233" i="77"/>
  <c r="AU234" i="77"/>
  <c r="AU236" i="77"/>
  <c r="AU237" i="77"/>
  <c r="AU238" i="77"/>
  <c r="AU239" i="77"/>
  <c r="AU240" i="77"/>
  <c r="AU241" i="77"/>
  <c r="AU243" i="77"/>
  <c r="AU244" i="77"/>
  <c r="AU245" i="77"/>
  <c r="AU246" i="77"/>
  <c r="AU247" i="77"/>
  <c r="AU248" i="77"/>
  <c r="AU249" i="77"/>
  <c r="AU250" i="77"/>
  <c r="AU251" i="77"/>
  <c r="AU253" i="77"/>
  <c r="AU254" i="77"/>
  <c r="AU255" i="77"/>
  <c r="AU256" i="77"/>
  <c r="AU257" i="77"/>
  <c r="AU258" i="77"/>
  <c r="AU259" i="77"/>
  <c r="AU262" i="77"/>
  <c r="AU263" i="77"/>
  <c r="AU264" i="77"/>
  <c r="AU265" i="77"/>
  <c r="AU266" i="77"/>
  <c r="AU267" i="77"/>
  <c r="AU268" i="77"/>
  <c r="AU269" i="77"/>
  <c r="AU270" i="77"/>
  <c r="AU271" i="77"/>
  <c r="AU272" i="77"/>
  <c r="AU273" i="77"/>
  <c r="AU274" i="77"/>
  <c r="AU277" i="77"/>
  <c r="AU278" i="77"/>
  <c r="AU279" i="77"/>
  <c r="AU280" i="77"/>
  <c r="AU281" i="77"/>
  <c r="AU284" i="77"/>
  <c r="AU285" i="77"/>
  <c r="AU286" i="77"/>
  <c r="AU287" i="77"/>
  <c r="AU288" i="77"/>
  <c r="AU291" i="77"/>
  <c r="AU292" i="77"/>
  <c r="AU293" i="77"/>
  <c r="AU294" i="77"/>
  <c r="AU295" i="77"/>
  <c r="AU296" i="77"/>
  <c r="AU297" i="77"/>
  <c r="AU300" i="77"/>
  <c r="AU301" i="77"/>
  <c r="AU302" i="77"/>
  <c r="AU303" i="77"/>
  <c r="AU307" i="77"/>
  <c r="AU308" i="77"/>
  <c r="AU309" i="77"/>
  <c r="AU310" i="77"/>
  <c r="AU311" i="77"/>
  <c r="AU312" i="77"/>
  <c r="AU313" i="77"/>
  <c r="AU314" i="77"/>
  <c r="AU318" i="77"/>
  <c r="AU319" i="77"/>
  <c r="AU320" i="77"/>
  <c r="AU321" i="77"/>
  <c r="AU322" i="77"/>
  <c r="AU323" i="77"/>
  <c r="AU324" i="77"/>
  <c r="AU325" i="77"/>
  <c r="AU326" i="77"/>
  <c r="AU327" i="77"/>
  <c r="AU329" i="77"/>
  <c r="AU330" i="77"/>
  <c r="AU331" i="77"/>
  <c r="AU332" i="77"/>
  <c r="AU333" i="77"/>
  <c r="AU334" i="77"/>
  <c r="AU335" i="77"/>
  <c r="AU336" i="77"/>
  <c r="AU339" i="77"/>
  <c r="AU340" i="77"/>
  <c r="AU341" i="77"/>
  <c r="AU342" i="77"/>
  <c r="AU343" i="77"/>
  <c r="AU344" i="77"/>
  <c r="AU345" i="77"/>
  <c r="AU346" i="77"/>
  <c r="AU347" i="77"/>
  <c r="AU348" i="77"/>
  <c r="AU349" i="77"/>
  <c r="AU350" i="77"/>
  <c r="AU351" i="77"/>
  <c r="AU352" i="77"/>
  <c r="AU354" i="77"/>
  <c r="AU356" i="77"/>
  <c r="AU358" i="77"/>
  <c r="AU359" i="77"/>
  <c r="AU360" i="77"/>
  <c r="AU361" i="77"/>
  <c r="AU362" i="77"/>
  <c r="AU363" i="77"/>
  <c r="AU364" i="77"/>
  <c r="AU365" i="77"/>
  <c r="AU366" i="77"/>
  <c r="AU367" i="77"/>
  <c r="AU368" i="77"/>
  <c r="AU369" i="77"/>
  <c r="AU370" i="77"/>
  <c r="AU371" i="77"/>
  <c r="AU372" i="77"/>
  <c r="AU373" i="77"/>
  <c r="AU374" i="77"/>
  <c r="AU375" i="77"/>
  <c r="AU376" i="77"/>
  <c r="AU377" i="77"/>
  <c r="AU378" i="77"/>
  <c r="AU379" i="77"/>
  <c r="AU380" i="77"/>
  <c r="AU381" i="77"/>
  <c r="AU382" i="77"/>
  <c r="AU383" i="77"/>
  <c r="AU384" i="77"/>
  <c r="AU385" i="77"/>
  <c r="AU386" i="77"/>
  <c r="AU387" i="77"/>
  <c r="AU388" i="77"/>
  <c r="AU389" i="77"/>
  <c r="AU390" i="77"/>
  <c r="AU391" i="77"/>
  <c r="AU392" i="77"/>
  <c r="AU393" i="77"/>
  <c r="AU394" i="77"/>
  <c r="AU395" i="77"/>
  <c r="AU396" i="77"/>
  <c r="AU397" i="77"/>
  <c r="AU398" i="77"/>
  <c r="AU399" i="77"/>
  <c r="AU400" i="77"/>
  <c r="AU401" i="77"/>
  <c r="AU402" i="77"/>
  <c r="AU403" i="77"/>
  <c r="AU404" i="77"/>
  <c r="AU405" i="77"/>
  <c r="AU406" i="77"/>
  <c r="AU407" i="77"/>
  <c r="AU408" i="77"/>
  <c r="AU409" i="77"/>
  <c r="AU410" i="77"/>
  <c r="AU411" i="77"/>
  <c r="AU412" i="77"/>
  <c r="AU413" i="77"/>
  <c r="AU414" i="77"/>
  <c r="AU415" i="77"/>
  <c r="AU416" i="77"/>
  <c r="AU417" i="77"/>
  <c r="AU418" i="77"/>
  <c r="AU419" i="77"/>
  <c r="AU420" i="77"/>
  <c r="AU421" i="77"/>
  <c r="AU422" i="77"/>
  <c r="AU423" i="77"/>
  <c r="AU424" i="77"/>
  <c r="AU425" i="77"/>
  <c r="AU426" i="77"/>
  <c r="AU427" i="77"/>
  <c r="AU428" i="77"/>
  <c r="AU429" i="77"/>
  <c r="AU430" i="77"/>
  <c r="AU431" i="77"/>
  <c r="AU433" i="77"/>
  <c r="AU434" i="77"/>
  <c r="AU435" i="77"/>
  <c r="AU436" i="77"/>
  <c r="AU437" i="77"/>
  <c r="AU438" i="77"/>
  <c r="AU439" i="77"/>
  <c r="AU440" i="77"/>
  <c r="AU441" i="77"/>
  <c r="AU448" i="77"/>
  <c r="AU449" i="77"/>
  <c r="AU454" i="77"/>
  <c r="AU455" i="77"/>
  <c r="AU456" i="77"/>
  <c r="AU457" i="77"/>
  <c r="AU458" i="77"/>
  <c r="AU459" i="77"/>
  <c r="AU460" i="77"/>
  <c r="AU461" i="77"/>
  <c r="AU462" i="77"/>
  <c r="AU463" i="77"/>
  <c r="AU464" i="77"/>
  <c r="AU465" i="77"/>
  <c r="AU466" i="77"/>
  <c r="AU467" i="77"/>
  <c r="AU468" i="77"/>
  <c r="AU469" i="77"/>
  <c r="AU470" i="77"/>
  <c r="AU471" i="77"/>
  <c r="AU472" i="77"/>
  <c r="AU473" i="77"/>
  <c r="AU474" i="77"/>
  <c r="AU475" i="77"/>
  <c r="AU477" i="77"/>
  <c r="AU478" i="77"/>
  <c r="AU479" i="77"/>
  <c r="AU480" i="77"/>
  <c r="AU481" i="77"/>
  <c r="AU482" i="77"/>
  <c r="AU483" i="77"/>
  <c r="AU485" i="77"/>
  <c r="AU486" i="77"/>
  <c r="AU487" i="77"/>
  <c r="AU488" i="77"/>
  <c r="AU489" i="77"/>
  <c r="AU490" i="77"/>
  <c r="AU491" i="77"/>
  <c r="AU492" i="77"/>
  <c r="AU493" i="77"/>
  <c r="AU494" i="77"/>
  <c r="AU495" i="77"/>
  <c r="AU496" i="77"/>
  <c r="AU497" i="77"/>
  <c r="AU498" i="77"/>
  <c r="AU499" i="77"/>
  <c r="AU500" i="77"/>
  <c r="AU501" i="77"/>
  <c r="AU502" i="77"/>
  <c r="AU503" i="77"/>
  <c r="AU504" i="77"/>
  <c r="AU505" i="77"/>
  <c r="AU506" i="77"/>
  <c r="AU508" i="77"/>
  <c r="AU509" i="77"/>
  <c r="AU510" i="77"/>
  <c r="AU511" i="77"/>
  <c r="AU512" i="77"/>
  <c r="AU513" i="77"/>
  <c r="AU514" i="77"/>
  <c r="AU515" i="77"/>
  <c r="AU516" i="77"/>
  <c r="AU517" i="77"/>
  <c r="AU518" i="77"/>
  <c r="AU519" i="77"/>
  <c r="AU520" i="77"/>
  <c r="AU521" i="77"/>
  <c r="AU522" i="77"/>
  <c r="AU523" i="77"/>
  <c r="AU524" i="77"/>
  <c r="AU525" i="77"/>
  <c r="AU526" i="77"/>
  <c r="AU527" i="77"/>
  <c r="AU528" i="77"/>
  <c r="AU529" i="77"/>
  <c r="AU530" i="77"/>
  <c r="AU531" i="77"/>
  <c r="AU532" i="77"/>
  <c r="AU533" i="77"/>
  <c r="AU534" i="77"/>
  <c r="AU535" i="77"/>
  <c r="AU536" i="77"/>
  <c r="AU537" i="77"/>
  <c r="AU538" i="77"/>
  <c r="AU539" i="77"/>
  <c r="AU540" i="77"/>
  <c r="AU541" i="77"/>
  <c r="AU542" i="77"/>
  <c r="AU543" i="77"/>
  <c r="AU544" i="77"/>
  <c r="AU545" i="77"/>
  <c r="AU546" i="77"/>
  <c r="AU549" i="77"/>
  <c r="AU550" i="77"/>
  <c r="AU551" i="77"/>
  <c r="AU552" i="77"/>
  <c r="AU553" i="77"/>
  <c r="AU554" i="77"/>
  <c r="AU555" i="77"/>
  <c r="AU556" i="77"/>
  <c r="AU557" i="77"/>
  <c r="AU558" i="77"/>
  <c r="AU576" i="77"/>
  <c r="AU577" i="77"/>
  <c r="AU578" i="77"/>
  <c r="AU579" i="77"/>
  <c r="AU580" i="77"/>
  <c r="AU581" i="77"/>
  <c r="AU663" i="77"/>
  <c r="AT7" i="77"/>
  <c r="AT8" i="77"/>
  <c r="AT9" i="77"/>
  <c r="AT10" i="77"/>
  <c r="AT11" i="77"/>
  <c r="AT12" i="77"/>
  <c r="AT13" i="77"/>
  <c r="AT14" i="77"/>
  <c r="AT15" i="77"/>
  <c r="AT16" i="77"/>
  <c r="AT17" i="77"/>
  <c r="AT18" i="77"/>
  <c r="AT19" i="77"/>
  <c r="AT20" i="77"/>
  <c r="AT21" i="77"/>
  <c r="AT22" i="77"/>
  <c r="AT23" i="77"/>
  <c r="AT24" i="77"/>
  <c r="AT25" i="77"/>
  <c r="AT26" i="77"/>
  <c r="AT27" i="77"/>
  <c r="AT28" i="77"/>
  <c r="AT29" i="77"/>
  <c r="AT30" i="77"/>
  <c r="AT31" i="77"/>
  <c r="AT34" i="77"/>
  <c r="AT35" i="77"/>
  <c r="AT36" i="77"/>
  <c r="AT37" i="77"/>
  <c r="AT39" i="77"/>
  <c r="AT40" i="77"/>
  <c r="AT41" i="77"/>
  <c r="AT42" i="77"/>
  <c r="AT45" i="77"/>
  <c r="AT46" i="77"/>
  <c r="AT47" i="77"/>
  <c r="AT48" i="77"/>
  <c r="AT49" i="77"/>
  <c r="AT52" i="77"/>
  <c r="AT53" i="77"/>
  <c r="AT54" i="77"/>
  <c r="AT55" i="77"/>
  <c r="AT56" i="77"/>
  <c r="AT57" i="77"/>
  <c r="AT58" i="77"/>
  <c r="AT59" i="77"/>
  <c r="AT60" i="77"/>
  <c r="AT61" i="77"/>
  <c r="AT62" i="77"/>
  <c r="AT63" i="77"/>
  <c r="AT64" i="77"/>
  <c r="AT65" i="77"/>
  <c r="AT66" i="77"/>
  <c r="AT67" i="77"/>
  <c r="AT68" i="77"/>
  <c r="AT69" i="77"/>
  <c r="AT70" i="77"/>
  <c r="AT71" i="77"/>
  <c r="AT72" i="77"/>
  <c r="AT73" i="77"/>
  <c r="AT74" i="77"/>
  <c r="AT75" i="77"/>
  <c r="AT76" i="77"/>
  <c r="AT77" i="77"/>
  <c r="AT78" i="77"/>
  <c r="AT79" i="77"/>
  <c r="AT82" i="77"/>
  <c r="AT83" i="77"/>
  <c r="AT84" i="77"/>
  <c r="AT85" i="77"/>
  <c r="AT86" i="77"/>
  <c r="AT89" i="77"/>
  <c r="AT90" i="77"/>
  <c r="AT91" i="77"/>
  <c r="AT92" i="77"/>
  <c r="AT93" i="77"/>
  <c r="AT94" i="77"/>
  <c r="AT95" i="77"/>
  <c r="AT96" i="77"/>
  <c r="AT97" i="77"/>
  <c r="AT98" i="77"/>
  <c r="AT99" i="77"/>
  <c r="AT100" i="77"/>
  <c r="AT103" i="77"/>
  <c r="AT104" i="77"/>
  <c r="AT106" i="77"/>
  <c r="AT110" i="77"/>
  <c r="AT111" i="77"/>
  <c r="AT112" i="77"/>
  <c r="AT113" i="77"/>
  <c r="AT114" i="77"/>
  <c r="AT115" i="77"/>
  <c r="AT116" i="77"/>
  <c r="AT117" i="77"/>
  <c r="AT118" i="77"/>
  <c r="AT119" i="77"/>
  <c r="AT121" i="77"/>
  <c r="AT123" i="77"/>
  <c r="AT124" i="77"/>
  <c r="AT125" i="77"/>
  <c r="AT126" i="77"/>
  <c r="AT127" i="77"/>
  <c r="AT128" i="77"/>
  <c r="AT129" i="77"/>
  <c r="AT130" i="77"/>
  <c r="AT131" i="77"/>
  <c r="AT132" i="77"/>
  <c r="AT133" i="77"/>
  <c r="AT134" i="77"/>
  <c r="AT135" i="77"/>
  <c r="AT136" i="77"/>
  <c r="AT137" i="77"/>
  <c r="AT138" i="77"/>
  <c r="AT147" i="77"/>
  <c r="AT151" i="77"/>
  <c r="AT152" i="77"/>
  <c r="AT153" i="77"/>
  <c r="AT154" i="77"/>
  <c r="AT155" i="77"/>
  <c r="AT156" i="77"/>
  <c r="AT157" i="77"/>
  <c r="AT158" i="77"/>
  <c r="AT159" i="77"/>
  <c r="AT160" i="77"/>
  <c r="AT161" i="77"/>
  <c r="AT162" i="77"/>
  <c r="AT163" i="77"/>
  <c r="AT164" i="77"/>
  <c r="AT166" i="77"/>
  <c r="AT167" i="77"/>
  <c r="AT168" i="77"/>
  <c r="AT169" i="77"/>
  <c r="AT170" i="77"/>
  <c r="AT171" i="77"/>
  <c r="AT172" i="77"/>
  <c r="AT173" i="77"/>
  <c r="AT174" i="77"/>
  <c r="AT175" i="77"/>
  <c r="AT176" i="77"/>
  <c r="AT177" i="77"/>
  <c r="AT178" i="77"/>
  <c r="AT179" i="77"/>
  <c r="AT180" i="77"/>
  <c r="AT181" i="77"/>
  <c r="AT182" i="77"/>
  <c r="AT183" i="77"/>
  <c r="AT184" i="77"/>
  <c r="AT185" i="77"/>
  <c r="AT186" i="77"/>
  <c r="AT187" i="77"/>
  <c r="AT189" i="77"/>
  <c r="AT190" i="77"/>
  <c r="AT191" i="77"/>
  <c r="AT192" i="77"/>
  <c r="AT193" i="77"/>
  <c r="AT194" i="77"/>
  <c r="AT195" i="77"/>
  <c r="AT196" i="77"/>
  <c r="AT197" i="77"/>
  <c r="AT198" i="77"/>
  <c r="AT199" i="77"/>
  <c r="AT200" i="77"/>
  <c r="AT201" i="77"/>
  <c r="AT203" i="77"/>
  <c r="AT204" i="77"/>
  <c r="AT205" i="77"/>
  <c r="AT206" i="77"/>
  <c r="AT207" i="77"/>
  <c r="AT208" i="77"/>
  <c r="AT209" i="77"/>
  <c r="AT210" i="77"/>
  <c r="AT211" i="77"/>
  <c r="AT213" i="77"/>
  <c r="AT214" i="77"/>
  <c r="AT215" i="77"/>
  <c r="AT216" i="77"/>
  <c r="AT217" i="77"/>
  <c r="AT218" i="77"/>
  <c r="AT219" i="77"/>
  <c r="AT220" i="77"/>
  <c r="AT221" i="77"/>
  <c r="AT224" i="77"/>
  <c r="AT225" i="77"/>
  <c r="AT230" i="77"/>
  <c r="AT231" i="77"/>
  <c r="AT233" i="77"/>
  <c r="AT234" i="77"/>
  <c r="AT236" i="77"/>
  <c r="AT237" i="77"/>
  <c r="AT238" i="77"/>
  <c r="AT239" i="77"/>
  <c r="AT240" i="77"/>
  <c r="AT241" i="77"/>
  <c r="AT243" i="77"/>
  <c r="AT244" i="77"/>
  <c r="AT245" i="77"/>
  <c r="AT246" i="77"/>
  <c r="AT247" i="77"/>
  <c r="AT248" i="77"/>
  <c r="AT249" i="77"/>
  <c r="AT250" i="77"/>
  <c r="AT251" i="77"/>
  <c r="AT252" i="77"/>
  <c r="AT253" i="77"/>
  <c r="AT254" i="77"/>
  <c r="AT255" i="77"/>
  <c r="AT256" i="77"/>
  <c r="AT257" i="77"/>
  <c r="AT258" i="77"/>
  <c r="AT259" i="77"/>
  <c r="AT262" i="77"/>
  <c r="AT263" i="77"/>
  <c r="AT264" i="77"/>
  <c r="AT265" i="77"/>
  <c r="AT266" i="77"/>
  <c r="AT267" i="77"/>
  <c r="AT268" i="77"/>
  <c r="AT269" i="77"/>
  <c r="AT270" i="77"/>
  <c r="AT271" i="77"/>
  <c r="AT272" i="77"/>
  <c r="AT273" i="77"/>
  <c r="AT274" i="77"/>
  <c r="AT277" i="77"/>
  <c r="AT278" i="77"/>
  <c r="AT279" i="77"/>
  <c r="AT280" i="77"/>
  <c r="AT281" i="77"/>
  <c r="AT284" i="77"/>
  <c r="AT285" i="77"/>
  <c r="AT286" i="77"/>
  <c r="AT287" i="77"/>
  <c r="AT288" i="77"/>
  <c r="AT291" i="77"/>
  <c r="AT292" i="77"/>
  <c r="AT293" i="77"/>
  <c r="AT294" i="77"/>
  <c r="AT295" i="77"/>
  <c r="AT296" i="77"/>
  <c r="AT297" i="77"/>
  <c r="AT300" i="77"/>
  <c r="AT301" i="77"/>
  <c r="AT302" i="77"/>
  <c r="AT303" i="77"/>
  <c r="AT307" i="77"/>
  <c r="AT308" i="77"/>
  <c r="AT309" i="77"/>
  <c r="AT310" i="77"/>
  <c r="AT311" i="77"/>
  <c r="AT312" i="77"/>
  <c r="AT313" i="77"/>
  <c r="AT314" i="77"/>
  <c r="AT318" i="77"/>
  <c r="AT319" i="77"/>
  <c r="AT320" i="77"/>
  <c r="AT321" i="77"/>
  <c r="AT322" i="77"/>
  <c r="AT323" i="77"/>
  <c r="AT324" i="77"/>
  <c r="AT325" i="77"/>
  <c r="AT326" i="77"/>
  <c r="AT327" i="77"/>
  <c r="AT328" i="77"/>
  <c r="AT329" i="77"/>
  <c r="AT330" i="77"/>
  <c r="AT331" i="77"/>
  <c r="AT332" i="77"/>
  <c r="AT333" i="77"/>
  <c r="AT334" i="77"/>
  <c r="AT335" i="77"/>
  <c r="AT336" i="77"/>
  <c r="AT339" i="77"/>
  <c r="AT340" i="77"/>
  <c r="AT341" i="77"/>
  <c r="AT342" i="77"/>
  <c r="AT343" i="77"/>
  <c r="AT344" i="77"/>
  <c r="AT345" i="77"/>
  <c r="AT346" i="77"/>
  <c r="AT347" i="77"/>
  <c r="AT348" i="77"/>
  <c r="AT349" i="77"/>
  <c r="AT350" i="77"/>
  <c r="AT351" i="77"/>
  <c r="AT352" i="77"/>
  <c r="AT354" i="77"/>
  <c r="AT356" i="77"/>
  <c r="AT358" i="77"/>
  <c r="AT359" i="77"/>
  <c r="AT360" i="77"/>
  <c r="AT361" i="77"/>
  <c r="AT362" i="77"/>
  <c r="AT363" i="77"/>
  <c r="AT364" i="77"/>
  <c r="AT365" i="77"/>
  <c r="AT366" i="77"/>
  <c r="AT367" i="77"/>
  <c r="AT368" i="77"/>
  <c r="AT369" i="77"/>
  <c r="AT370" i="77"/>
  <c r="AT371" i="77"/>
  <c r="AT372" i="77"/>
  <c r="AT373" i="77"/>
  <c r="AT374" i="77"/>
  <c r="AT375" i="77"/>
  <c r="AT376" i="77"/>
  <c r="AT377" i="77"/>
  <c r="AT378" i="77"/>
  <c r="AT379" i="77"/>
  <c r="AT380" i="77"/>
  <c r="AT381" i="77"/>
  <c r="AT382" i="77"/>
  <c r="AT383" i="77"/>
  <c r="AT384" i="77"/>
  <c r="AT385" i="77"/>
  <c r="AT386" i="77"/>
  <c r="AT387" i="77"/>
  <c r="AT388" i="77"/>
  <c r="AT389" i="77"/>
  <c r="AT390" i="77"/>
  <c r="AT391" i="77"/>
  <c r="AT392" i="77"/>
  <c r="AT393" i="77"/>
  <c r="AT394" i="77"/>
  <c r="AT395" i="77"/>
  <c r="AT396" i="77"/>
  <c r="AT397" i="77"/>
  <c r="AT398" i="77"/>
  <c r="AT399" i="77"/>
  <c r="AT400" i="77"/>
  <c r="AT401" i="77"/>
  <c r="AT402" i="77"/>
  <c r="AT403" i="77"/>
  <c r="AT404" i="77"/>
  <c r="AT405" i="77"/>
  <c r="AT406" i="77"/>
  <c r="AT407" i="77"/>
  <c r="AT408" i="77"/>
  <c r="AT409" i="77"/>
  <c r="AT410" i="77"/>
  <c r="AT411" i="77"/>
  <c r="AT412" i="77"/>
  <c r="AT413" i="77"/>
  <c r="AT414" i="77"/>
  <c r="AT415" i="77"/>
  <c r="AT416" i="77"/>
  <c r="AT417" i="77"/>
  <c r="AT418" i="77"/>
  <c r="AT419" i="77"/>
  <c r="AT420" i="77"/>
  <c r="AT421" i="77"/>
  <c r="AT422" i="77"/>
  <c r="AT423" i="77"/>
  <c r="AT424" i="77"/>
  <c r="AT425" i="77"/>
  <c r="AT426" i="77"/>
  <c r="AT427" i="77"/>
  <c r="AT428" i="77"/>
  <c r="AT429" i="77"/>
  <c r="AT430" i="77"/>
  <c r="AT431" i="77"/>
  <c r="AT432" i="77"/>
  <c r="AT433" i="77"/>
  <c r="AT434" i="77"/>
  <c r="AT435" i="77"/>
  <c r="AT436" i="77"/>
  <c r="AT437" i="77"/>
  <c r="AT438" i="77"/>
  <c r="AT439" i="77"/>
  <c r="AT440" i="77"/>
  <c r="AT441" i="77"/>
  <c r="AT448" i="77"/>
  <c r="AT449" i="77"/>
  <c r="AT454" i="77"/>
  <c r="AT455" i="77"/>
  <c r="AT456" i="77"/>
  <c r="AT457" i="77"/>
  <c r="AT458" i="77"/>
  <c r="AT459" i="77"/>
  <c r="AT460" i="77"/>
  <c r="AT461" i="77"/>
  <c r="AT462" i="77"/>
  <c r="AT463" i="77"/>
  <c r="AT464" i="77"/>
  <c r="AT465" i="77"/>
  <c r="AT466" i="77"/>
  <c r="AT467" i="77"/>
  <c r="AT468" i="77"/>
  <c r="AT469" i="77"/>
  <c r="AT470" i="77"/>
  <c r="AT471" i="77"/>
  <c r="AT472" i="77"/>
  <c r="AT473" i="77"/>
  <c r="AT474" i="77"/>
  <c r="AT475" i="77"/>
  <c r="AT476" i="77"/>
  <c r="AT477" i="77"/>
  <c r="AT478" i="77"/>
  <c r="AT479" i="77"/>
  <c r="AT480" i="77"/>
  <c r="AT481" i="77"/>
  <c r="AT482" i="77"/>
  <c r="AT483" i="77"/>
  <c r="AT484" i="77"/>
  <c r="AT485" i="77"/>
  <c r="AT486" i="77"/>
  <c r="AT487" i="77"/>
  <c r="AT488" i="77"/>
  <c r="AT489" i="77"/>
  <c r="AT490" i="77"/>
  <c r="AT491" i="77"/>
  <c r="AT492" i="77"/>
  <c r="AT493" i="77"/>
  <c r="AT494" i="77"/>
  <c r="AT495" i="77"/>
  <c r="AT496" i="77"/>
  <c r="AT497" i="77"/>
  <c r="AT498" i="77"/>
  <c r="AT499" i="77"/>
  <c r="AT500" i="77"/>
  <c r="AT501" i="77"/>
  <c r="AT502" i="77"/>
  <c r="AT503" i="77"/>
  <c r="AT504" i="77"/>
  <c r="AT505" i="77"/>
  <c r="AT506" i="77"/>
  <c r="AT508" i="77"/>
  <c r="AT509" i="77"/>
  <c r="AT510" i="77"/>
  <c r="AT511" i="77"/>
  <c r="AT512" i="77"/>
  <c r="AT513" i="77"/>
  <c r="AT514" i="77"/>
  <c r="AT515" i="77"/>
  <c r="AT516" i="77"/>
  <c r="AT517" i="77"/>
  <c r="AT518" i="77"/>
  <c r="AT519" i="77"/>
  <c r="AT520" i="77"/>
  <c r="AT521" i="77"/>
  <c r="AT522" i="77"/>
  <c r="AT523" i="77"/>
  <c r="AT524" i="77"/>
  <c r="AT525" i="77"/>
  <c r="AT526" i="77"/>
  <c r="AT527" i="77"/>
  <c r="AT528" i="77"/>
  <c r="AT529" i="77"/>
  <c r="AT530" i="77"/>
  <c r="AT531" i="77"/>
  <c r="AT532" i="77"/>
  <c r="AT533" i="77"/>
  <c r="AT534" i="77"/>
  <c r="AT535" i="77"/>
  <c r="AT536" i="77"/>
  <c r="AT537" i="77"/>
  <c r="AT538" i="77"/>
  <c r="AT539" i="77"/>
  <c r="AT540" i="77"/>
  <c r="AT541" i="77"/>
  <c r="AT542" i="77"/>
  <c r="AT543" i="77"/>
  <c r="AT544" i="77"/>
  <c r="AT545" i="77"/>
  <c r="AT546" i="77"/>
  <c r="AT547" i="77"/>
  <c r="AT548" i="77"/>
  <c r="AT549" i="77"/>
  <c r="AT550" i="77"/>
  <c r="AT551" i="77"/>
  <c r="AT552" i="77"/>
  <c r="AT553" i="77"/>
  <c r="AT554" i="77"/>
  <c r="AT555" i="77"/>
  <c r="AT556" i="77"/>
  <c r="AT557" i="77"/>
  <c r="AT558" i="77"/>
  <c r="AT576" i="77"/>
  <c r="AT577" i="77"/>
  <c r="AT578" i="77"/>
  <c r="AT579" i="77"/>
  <c r="AT580" i="77"/>
  <c r="AT581" i="77"/>
  <c r="AT663" i="77"/>
  <c r="AS7" i="77"/>
  <c r="AS8" i="77"/>
  <c r="AS9" i="77"/>
  <c r="AS10" i="77"/>
  <c r="AS11" i="77"/>
  <c r="AS12" i="77"/>
  <c r="AS13" i="77"/>
  <c r="AS14" i="77"/>
  <c r="AS15" i="77"/>
  <c r="AS16" i="77"/>
  <c r="AS17" i="77"/>
  <c r="AS18" i="77"/>
  <c r="AS19" i="77"/>
  <c r="AS20" i="77"/>
  <c r="AS21" i="77"/>
  <c r="AS22" i="77"/>
  <c r="AS23" i="77"/>
  <c r="AS24" i="77"/>
  <c r="AS25" i="77"/>
  <c r="AS26" i="77"/>
  <c r="AS27" i="77"/>
  <c r="AS28" i="77"/>
  <c r="AS29" i="77"/>
  <c r="AS30" i="77"/>
  <c r="AS31" i="77"/>
  <c r="AS34" i="77"/>
  <c r="AS35" i="77"/>
  <c r="AS36" i="77"/>
  <c r="AS37" i="77"/>
  <c r="AS39" i="77"/>
  <c r="AS40" i="77"/>
  <c r="AS41" i="77"/>
  <c r="AS42" i="77"/>
  <c r="AS45" i="77"/>
  <c r="AS46" i="77"/>
  <c r="AS47" i="77"/>
  <c r="AS48" i="77"/>
  <c r="AS49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4" i="77"/>
  <c r="AS65" i="77"/>
  <c r="AS66" i="77"/>
  <c r="AS67" i="77"/>
  <c r="AS68" i="77"/>
  <c r="AS69" i="77"/>
  <c r="AS70" i="77"/>
  <c r="AS71" i="77"/>
  <c r="AS72" i="77"/>
  <c r="AS73" i="77"/>
  <c r="AS74" i="77"/>
  <c r="AS75" i="77"/>
  <c r="AS76" i="77"/>
  <c r="AS77" i="77"/>
  <c r="AS78" i="77"/>
  <c r="AS79" i="77"/>
  <c r="AS82" i="77"/>
  <c r="AS83" i="77"/>
  <c r="AS84" i="77"/>
  <c r="AS85" i="77"/>
  <c r="AS86" i="77"/>
  <c r="AS89" i="77"/>
  <c r="AS90" i="77"/>
  <c r="AS91" i="77"/>
  <c r="AS92" i="77"/>
  <c r="AS93" i="77"/>
  <c r="AS94" i="77"/>
  <c r="AS95" i="77"/>
  <c r="AS96" i="77"/>
  <c r="AS97" i="77"/>
  <c r="AS98" i="77"/>
  <c r="AS99" i="77"/>
  <c r="AS100" i="77"/>
  <c r="AS103" i="77"/>
  <c r="AS104" i="77"/>
  <c r="AS106" i="77"/>
  <c r="AS110" i="77"/>
  <c r="AS111" i="77"/>
  <c r="AS112" i="77"/>
  <c r="AS113" i="77"/>
  <c r="AS114" i="77"/>
  <c r="AS115" i="77"/>
  <c r="AS116" i="77"/>
  <c r="AS117" i="77"/>
  <c r="AS118" i="77"/>
  <c r="AS119" i="77"/>
  <c r="AS121" i="77"/>
  <c r="AS123" i="77"/>
  <c r="AS124" i="77"/>
  <c r="AS125" i="77"/>
  <c r="AS126" i="77"/>
  <c r="AS127" i="77"/>
  <c r="AS128" i="77"/>
  <c r="AS129" i="77"/>
  <c r="AS130" i="77"/>
  <c r="AS131" i="77"/>
  <c r="AS132" i="77"/>
  <c r="AS133" i="77"/>
  <c r="AS134" i="77"/>
  <c r="AS135" i="77"/>
  <c r="AS136" i="77"/>
  <c r="AS137" i="77"/>
  <c r="AS138" i="77"/>
  <c r="AS147" i="77"/>
  <c r="AS151" i="77"/>
  <c r="AS152" i="77"/>
  <c r="AS153" i="77"/>
  <c r="AS154" i="77"/>
  <c r="AS155" i="77"/>
  <c r="AS156" i="77"/>
  <c r="AS157" i="77"/>
  <c r="AS158" i="77"/>
  <c r="AS159" i="77"/>
  <c r="AS160" i="77"/>
  <c r="AS161" i="77"/>
  <c r="AS162" i="77"/>
  <c r="AS163" i="77"/>
  <c r="AS164" i="77"/>
  <c r="AS166" i="77"/>
  <c r="AS167" i="77"/>
  <c r="AS168" i="77"/>
  <c r="AS169" i="77"/>
  <c r="AS170" i="77"/>
  <c r="AS171" i="77"/>
  <c r="AS172" i="77"/>
  <c r="AS173" i="77"/>
  <c r="AS174" i="77"/>
  <c r="AS175" i="77"/>
  <c r="AS176" i="77"/>
  <c r="AS177" i="77"/>
  <c r="AS178" i="77"/>
  <c r="AS179" i="77"/>
  <c r="AS180" i="77"/>
  <c r="AS181" i="77"/>
  <c r="AS182" i="77"/>
  <c r="AS183" i="77"/>
  <c r="AS184" i="77"/>
  <c r="AS185" i="77"/>
  <c r="AS186" i="77"/>
  <c r="AS187" i="77"/>
  <c r="AS189" i="77"/>
  <c r="AS190" i="77"/>
  <c r="AS191" i="77"/>
  <c r="AS192" i="77"/>
  <c r="AS193" i="77"/>
  <c r="AS194" i="77"/>
  <c r="AS195" i="77"/>
  <c r="AS196" i="77"/>
  <c r="AS197" i="77"/>
  <c r="AS198" i="77"/>
  <c r="AS199" i="77"/>
  <c r="AS200" i="77"/>
  <c r="AS201" i="77"/>
  <c r="AS203" i="77"/>
  <c r="AS204" i="77"/>
  <c r="AS205" i="77"/>
  <c r="AS206" i="77"/>
  <c r="AS207" i="77"/>
  <c r="AS208" i="77"/>
  <c r="AS209" i="77"/>
  <c r="AS210" i="77"/>
  <c r="AS211" i="77"/>
  <c r="AS213" i="77"/>
  <c r="AS214" i="77"/>
  <c r="AS215" i="77"/>
  <c r="AS216" i="77"/>
  <c r="AS217" i="77"/>
  <c r="AS218" i="77"/>
  <c r="AS219" i="77"/>
  <c r="AS220" i="77"/>
  <c r="AS221" i="77"/>
  <c r="AS224" i="77"/>
  <c r="AS225" i="77"/>
  <c r="AS230" i="77"/>
  <c r="AS231" i="77"/>
  <c r="AS233" i="77"/>
  <c r="AS234" i="77"/>
  <c r="AS236" i="77"/>
  <c r="AS237" i="77"/>
  <c r="AS238" i="77"/>
  <c r="AS239" i="77"/>
  <c r="AS240" i="77"/>
  <c r="AS241" i="77"/>
  <c r="AS243" i="77"/>
  <c r="AS244" i="77"/>
  <c r="AS245" i="77"/>
  <c r="AS246" i="77"/>
  <c r="AS247" i="77"/>
  <c r="AS248" i="77"/>
  <c r="AS249" i="77"/>
  <c r="AS250" i="77"/>
  <c r="AS251" i="77"/>
  <c r="AS252" i="77"/>
  <c r="AS253" i="77"/>
  <c r="AS254" i="77"/>
  <c r="AS255" i="77"/>
  <c r="AS256" i="77"/>
  <c r="AS257" i="77"/>
  <c r="AS258" i="77"/>
  <c r="AS259" i="77"/>
  <c r="AS262" i="77"/>
  <c r="AS263" i="77"/>
  <c r="AS264" i="77"/>
  <c r="AS265" i="77"/>
  <c r="AS266" i="77"/>
  <c r="AS267" i="77"/>
  <c r="AS268" i="77"/>
  <c r="AS269" i="77"/>
  <c r="AS270" i="77"/>
  <c r="AS271" i="77"/>
  <c r="AS272" i="77"/>
  <c r="AS273" i="77"/>
  <c r="AS274" i="77"/>
  <c r="AS277" i="77"/>
  <c r="AS278" i="77"/>
  <c r="AS279" i="77"/>
  <c r="AS280" i="77"/>
  <c r="AS281" i="77"/>
  <c r="AS284" i="77"/>
  <c r="AS285" i="77"/>
  <c r="AS286" i="77"/>
  <c r="AS287" i="77"/>
  <c r="AS288" i="77"/>
  <c r="AS291" i="77"/>
  <c r="AS292" i="77"/>
  <c r="AS293" i="77"/>
  <c r="AS294" i="77"/>
  <c r="AS295" i="77"/>
  <c r="AS296" i="77"/>
  <c r="AS297" i="77"/>
  <c r="AS300" i="77"/>
  <c r="AS301" i="77"/>
  <c r="AS302" i="77"/>
  <c r="AS303" i="77"/>
  <c r="AS307" i="77"/>
  <c r="AS308" i="77"/>
  <c r="AS309" i="77"/>
  <c r="AS310" i="77"/>
  <c r="AS311" i="77"/>
  <c r="AS312" i="77"/>
  <c r="AS313" i="77"/>
  <c r="AS314" i="77"/>
  <c r="AS318" i="77"/>
  <c r="AS319" i="77"/>
  <c r="AS320" i="77"/>
  <c r="AS321" i="77"/>
  <c r="AS322" i="77"/>
  <c r="AS323" i="77"/>
  <c r="AS324" i="77"/>
  <c r="AS325" i="77"/>
  <c r="AS326" i="77"/>
  <c r="AS327" i="77"/>
  <c r="AS328" i="77"/>
  <c r="AS329" i="77"/>
  <c r="AS330" i="77"/>
  <c r="AS331" i="77"/>
  <c r="AS332" i="77"/>
  <c r="AS333" i="77"/>
  <c r="AS334" i="77"/>
  <c r="AS335" i="77"/>
  <c r="AS336" i="77"/>
  <c r="AS339" i="77"/>
  <c r="AS340" i="77"/>
  <c r="AS341" i="77"/>
  <c r="AS342" i="77"/>
  <c r="AS343" i="77"/>
  <c r="AS344" i="77"/>
  <c r="AS345" i="77"/>
  <c r="AS346" i="77"/>
  <c r="AS347" i="77"/>
  <c r="AS348" i="77"/>
  <c r="AS349" i="77"/>
  <c r="AS350" i="77"/>
  <c r="AS351" i="77"/>
  <c r="AS352" i="77"/>
  <c r="AS354" i="77"/>
  <c r="AS356" i="77"/>
  <c r="AS358" i="77"/>
  <c r="AS359" i="77"/>
  <c r="AS360" i="77"/>
  <c r="AS361" i="77"/>
  <c r="AS362" i="77"/>
  <c r="AS363" i="77"/>
  <c r="AS364" i="77"/>
  <c r="AS365" i="77"/>
  <c r="AS366" i="77"/>
  <c r="AS367" i="77"/>
  <c r="AS368" i="77"/>
  <c r="AS369" i="77"/>
  <c r="AS370" i="77"/>
  <c r="AS371" i="77"/>
  <c r="AS372" i="77"/>
  <c r="AS373" i="77"/>
  <c r="AS374" i="77"/>
  <c r="AS375" i="77"/>
  <c r="AS376" i="77"/>
  <c r="AS377" i="77"/>
  <c r="AS378" i="77"/>
  <c r="AS379" i="77"/>
  <c r="AS380" i="77"/>
  <c r="AS381" i="77"/>
  <c r="AS382" i="77"/>
  <c r="AS383" i="77"/>
  <c r="AS384" i="77"/>
  <c r="AS385" i="77"/>
  <c r="AS386" i="77"/>
  <c r="AS387" i="77"/>
  <c r="AS388" i="77"/>
  <c r="AS389" i="77"/>
  <c r="AS390" i="77"/>
  <c r="AS391" i="77"/>
  <c r="AS392" i="77"/>
  <c r="AS393" i="77"/>
  <c r="AS394" i="77"/>
  <c r="AS395" i="77"/>
  <c r="AS396" i="77"/>
  <c r="AS397" i="77"/>
  <c r="AS398" i="77"/>
  <c r="AS399" i="77"/>
  <c r="AS400" i="77"/>
  <c r="AS401" i="77"/>
  <c r="AS402" i="77"/>
  <c r="AS403" i="77"/>
  <c r="AS404" i="77"/>
  <c r="AS405" i="77"/>
  <c r="AS406" i="77"/>
  <c r="AS407" i="77"/>
  <c r="AS408" i="77"/>
  <c r="AS409" i="77"/>
  <c r="AS410" i="77"/>
  <c r="AS411" i="77"/>
  <c r="AS412" i="77"/>
  <c r="AS413" i="77"/>
  <c r="AS414" i="77"/>
  <c r="AS415" i="77"/>
  <c r="AS416" i="77"/>
  <c r="AS417" i="77"/>
  <c r="AS418" i="77"/>
  <c r="AS419" i="77"/>
  <c r="AS420" i="77"/>
  <c r="AS421" i="77"/>
  <c r="AS422" i="77"/>
  <c r="AS423" i="77"/>
  <c r="AS424" i="77"/>
  <c r="AS425" i="77"/>
  <c r="AS426" i="77"/>
  <c r="AS427" i="77"/>
  <c r="AS428" i="77"/>
  <c r="AS429" i="77"/>
  <c r="AS430" i="77"/>
  <c r="AS431" i="77"/>
  <c r="AS432" i="77"/>
  <c r="AS433" i="77"/>
  <c r="AS434" i="77"/>
  <c r="AS435" i="77"/>
  <c r="AS436" i="77"/>
  <c r="AS437" i="77"/>
  <c r="AS438" i="77"/>
  <c r="AS439" i="77"/>
  <c r="AS440" i="77"/>
  <c r="AS441" i="77"/>
  <c r="AS448" i="77"/>
  <c r="AS449" i="77"/>
  <c r="AS454" i="77"/>
  <c r="AS455" i="77"/>
  <c r="AS456" i="77"/>
  <c r="AS457" i="77"/>
  <c r="AS458" i="77"/>
  <c r="AS459" i="77"/>
  <c r="AS460" i="77"/>
  <c r="AS461" i="77"/>
  <c r="AS462" i="77"/>
  <c r="AS463" i="77"/>
  <c r="AS464" i="77"/>
  <c r="AS465" i="77"/>
  <c r="AS466" i="77"/>
  <c r="AS467" i="77"/>
  <c r="AS468" i="77"/>
  <c r="AS469" i="77"/>
  <c r="AS470" i="77"/>
  <c r="AS471" i="77"/>
  <c r="AS472" i="77"/>
  <c r="AS473" i="77"/>
  <c r="AS474" i="77"/>
  <c r="AS475" i="77"/>
  <c r="AS476" i="77"/>
  <c r="AS477" i="77"/>
  <c r="AS478" i="77"/>
  <c r="AS479" i="77"/>
  <c r="AS480" i="77"/>
  <c r="AS481" i="77"/>
  <c r="AS482" i="77"/>
  <c r="AS483" i="77"/>
  <c r="AS484" i="77"/>
  <c r="AS485" i="77"/>
  <c r="AS486" i="77"/>
  <c r="AS487" i="77"/>
  <c r="AS488" i="77"/>
  <c r="AS489" i="77"/>
  <c r="AS490" i="77"/>
  <c r="AS491" i="77"/>
  <c r="AS492" i="77"/>
  <c r="AS493" i="77"/>
  <c r="AS494" i="77"/>
  <c r="AS495" i="77"/>
  <c r="AS496" i="77"/>
  <c r="AS497" i="77"/>
  <c r="AS498" i="77"/>
  <c r="AS499" i="77"/>
  <c r="AS500" i="77"/>
  <c r="AS501" i="77"/>
  <c r="AS502" i="77"/>
  <c r="AS503" i="77"/>
  <c r="AS504" i="77"/>
  <c r="AS505" i="77"/>
  <c r="AS506" i="77"/>
  <c r="AS508" i="77"/>
  <c r="AS509" i="77"/>
  <c r="AS510" i="77"/>
  <c r="AS511" i="77"/>
  <c r="AS512" i="77"/>
  <c r="AS513" i="77"/>
  <c r="AS514" i="77"/>
  <c r="AS515" i="77"/>
  <c r="AS516" i="77"/>
  <c r="AS517" i="77"/>
  <c r="AS518" i="77"/>
  <c r="AS519" i="77"/>
  <c r="AS520" i="77"/>
  <c r="AS521" i="77"/>
  <c r="AS522" i="77"/>
  <c r="AS523" i="77"/>
  <c r="AS524" i="77"/>
  <c r="AS525" i="77"/>
  <c r="AS526" i="77"/>
  <c r="AS527" i="77"/>
  <c r="AS528" i="77"/>
  <c r="AS529" i="77"/>
  <c r="AS530" i="77"/>
  <c r="AS531" i="77"/>
  <c r="AS532" i="77"/>
  <c r="AS533" i="77"/>
  <c r="AS534" i="77"/>
  <c r="AS535" i="77"/>
  <c r="AS536" i="77"/>
  <c r="AS537" i="77"/>
  <c r="AS538" i="77"/>
  <c r="AS539" i="77"/>
  <c r="AS540" i="77"/>
  <c r="AS541" i="77"/>
  <c r="AS542" i="77"/>
  <c r="AS543" i="77"/>
  <c r="AS544" i="77"/>
  <c r="AS545" i="77"/>
  <c r="AS546" i="77"/>
  <c r="AS547" i="77"/>
  <c r="AS548" i="77"/>
  <c r="AS549" i="77"/>
  <c r="AS550" i="77"/>
  <c r="AS551" i="77"/>
  <c r="AS552" i="77"/>
  <c r="AS553" i="77"/>
  <c r="AS554" i="77"/>
  <c r="AS555" i="77"/>
  <c r="AS556" i="77"/>
  <c r="AS557" i="77"/>
  <c r="AS558" i="77"/>
  <c r="AS576" i="77"/>
  <c r="AS577" i="77"/>
  <c r="AS578" i="77"/>
  <c r="AS579" i="77"/>
  <c r="AS580" i="77"/>
  <c r="AS581" i="77"/>
  <c r="AS663" i="77"/>
  <c r="AP7" i="77"/>
  <c r="AQ7" i="77" s="1"/>
  <c r="AP8" i="77"/>
  <c r="AQ8" i="77" s="1"/>
  <c r="AP9" i="77"/>
  <c r="AQ9" i="77" s="1"/>
  <c r="AP11" i="77"/>
  <c r="AQ11" i="77" s="1"/>
  <c r="AP12" i="77"/>
  <c r="AQ12" i="77" s="1"/>
  <c r="AP13" i="77"/>
  <c r="AQ13" i="77" s="1"/>
  <c r="AP15" i="77"/>
  <c r="AQ15" i="77" s="1"/>
  <c r="AP16" i="77"/>
  <c r="AQ16" i="77" s="1"/>
  <c r="AP17" i="77"/>
  <c r="AQ17" i="77" s="1"/>
  <c r="AP18" i="77"/>
  <c r="AQ18" i="77" s="1"/>
  <c r="AP21" i="77"/>
  <c r="AQ21" i="77" s="1"/>
  <c r="AP22" i="77"/>
  <c r="AQ22" i="77" s="1"/>
  <c r="AP30" i="77"/>
  <c r="AQ30" i="77" s="1"/>
  <c r="AP31" i="77"/>
  <c r="AQ31" i="77" s="1"/>
  <c r="AP34" i="77"/>
  <c r="AQ34" i="77" s="1"/>
  <c r="AP35" i="77"/>
  <c r="AQ35" i="77" s="1"/>
  <c r="AP36" i="77"/>
  <c r="AQ36" i="77" s="1"/>
  <c r="AP41" i="77"/>
  <c r="AQ41" i="77" s="1"/>
  <c r="AP42" i="77"/>
  <c r="AQ42" i="77" s="1"/>
  <c r="AP45" i="77"/>
  <c r="AQ45" i="77" s="1"/>
  <c r="AP46" i="77"/>
  <c r="AQ46" i="77" s="1"/>
  <c r="AP47" i="77"/>
  <c r="AQ47" i="77" s="1"/>
  <c r="AP55" i="77"/>
  <c r="AQ55" i="77" s="1"/>
  <c r="AP56" i="77"/>
  <c r="AQ56" i="77" s="1"/>
  <c r="AP57" i="77"/>
  <c r="AQ57" i="77" s="1"/>
  <c r="AP59" i="77"/>
  <c r="AQ59" i="77" s="1"/>
  <c r="AP60" i="77"/>
  <c r="AQ60" i="77" s="1"/>
  <c r="AP61" i="77"/>
  <c r="AQ61" i="77" s="1"/>
  <c r="AP63" i="77"/>
  <c r="AQ63" i="77" s="1"/>
  <c r="AP64" i="77"/>
  <c r="AQ64" i="77" s="1"/>
  <c r="AP65" i="77"/>
  <c r="AQ65" i="77" s="1"/>
  <c r="AP67" i="77"/>
  <c r="AQ67" i="77" s="1"/>
  <c r="AP68" i="77"/>
  <c r="AQ68" i="77" s="1"/>
  <c r="AP69" i="77"/>
  <c r="AQ69" i="77" s="1"/>
  <c r="AP70" i="77"/>
  <c r="AQ70" i="77" s="1"/>
  <c r="AP78" i="77"/>
  <c r="AQ78" i="77" s="1"/>
  <c r="AP79" i="77"/>
  <c r="AQ79" i="77" s="1"/>
  <c r="AP82" i="77"/>
  <c r="AQ82" i="77" s="1"/>
  <c r="AP83" i="77"/>
  <c r="AQ83" i="77" s="1"/>
  <c r="AP85" i="77"/>
  <c r="AQ85" i="77" s="1"/>
  <c r="AP86" i="77"/>
  <c r="AQ86" i="77" s="1"/>
  <c r="AP89" i="77"/>
  <c r="AQ89" i="77" s="1"/>
  <c r="AP90" i="77"/>
  <c r="AQ90" i="77" s="1"/>
  <c r="AP92" i="77"/>
  <c r="AQ92" i="77" s="1"/>
  <c r="AP93" i="77"/>
  <c r="AQ93" i="77" s="1"/>
  <c r="AP94" i="77"/>
  <c r="AQ94" i="77" s="1"/>
  <c r="AP96" i="77"/>
  <c r="AQ96" i="77" s="1"/>
  <c r="AP97" i="77"/>
  <c r="AQ97" i="77" s="1"/>
  <c r="AP98" i="77"/>
  <c r="AQ98" i="77" s="1"/>
  <c r="AP99" i="77"/>
  <c r="AQ99" i="77" s="1"/>
  <c r="AP104" i="77"/>
  <c r="AQ104" i="77" s="1"/>
  <c r="AP106" i="77"/>
  <c r="AQ106" i="77" s="1"/>
  <c r="AP113" i="77"/>
  <c r="AQ113" i="77" s="1"/>
  <c r="AP115" i="77"/>
  <c r="AQ115" i="77" s="1"/>
  <c r="AP117" i="77"/>
  <c r="AQ117" i="77" s="1"/>
  <c r="AP121" i="77"/>
  <c r="AQ121" i="77" s="1"/>
  <c r="AP125" i="77"/>
  <c r="AQ125" i="77" s="1"/>
  <c r="AP127" i="77"/>
  <c r="AQ127" i="77" s="1"/>
  <c r="AP131" i="77"/>
  <c r="AQ131" i="77" s="1"/>
  <c r="AP132" i="77"/>
  <c r="AQ132" i="77" s="1"/>
  <c r="AP133" i="77"/>
  <c r="AQ133" i="77" s="1"/>
  <c r="AP134" i="77"/>
  <c r="AQ134" i="77" s="1"/>
  <c r="AP135" i="77"/>
  <c r="AQ135" i="77" s="1"/>
  <c r="AP136" i="77"/>
  <c r="AQ136" i="77" s="1"/>
  <c r="AP137" i="77"/>
  <c r="AQ137" i="77" s="1"/>
  <c r="AP138" i="77"/>
  <c r="AQ138" i="77" s="1"/>
  <c r="AP147" i="77"/>
  <c r="AQ147" i="77" s="1"/>
  <c r="AP155" i="77"/>
  <c r="AQ155" i="77" s="1"/>
  <c r="AP156" i="77"/>
  <c r="AQ156" i="77" s="1"/>
  <c r="AP157" i="77"/>
  <c r="AQ157" i="77" s="1"/>
  <c r="AP158" i="77"/>
  <c r="AQ158" i="77" s="1"/>
  <c r="AP159" i="77"/>
  <c r="AQ159" i="77" s="1"/>
  <c r="AP160" i="77"/>
  <c r="AQ160" i="77" s="1"/>
  <c r="AP161" i="77"/>
  <c r="AQ161" i="77" s="1"/>
  <c r="AP162" i="77"/>
  <c r="AQ162" i="77" s="1"/>
  <c r="AP163" i="77"/>
  <c r="AQ163" i="77" s="1"/>
  <c r="AP164" i="77"/>
  <c r="AQ164" i="77" s="1"/>
  <c r="AP166" i="77"/>
  <c r="AQ166" i="77" s="1"/>
  <c r="AP168" i="77"/>
  <c r="AQ168" i="77" s="1"/>
  <c r="AP169" i="77"/>
  <c r="AQ169" i="77" s="1"/>
  <c r="AP170" i="77"/>
  <c r="AQ170" i="77" s="1"/>
  <c r="AP171" i="77"/>
  <c r="AQ171" i="77" s="1"/>
  <c r="AP172" i="77"/>
  <c r="AQ172" i="77" s="1"/>
  <c r="AP173" i="77"/>
  <c r="AQ173" i="77" s="1"/>
  <c r="AP174" i="77"/>
  <c r="AQ174" i="77" s="1"/>
  <c r="AP175" i="77"/>
  <c r="AQ175" i="77" s="1"/>
  <c r="AP176" i="77"/>
  <c r="AQ176" i="77" s="1"/>
  <c r="AP177" i="77"/>
  <c r="AQ177" i="77" s="1"/>
  <c r="AP178" i="77"/>
  <c r="AQ178" i="77" s="1"/>
  <c r="AP192" i="77"/>
  <c r="AQ192" i="77" s="1"/>
  <c r="AP193" i="77"/>
  <c r="AQ193" i="77" s="1"/>
  <c r="AP194" i="77"/>
  <c r="AQ194" i="77" s="1"/>
  <c r="AP195" i="77"/>
  <c r="AQ195" i="77" s="1"/>
  <c r="AP196" i="77"/>
  <c r="AQ196" i="77" s="1"/>
  <c r="AP197" i="77"/>
  <c r="AQ197" i="77" s="1"/>
  <c r="AP198" i="77"/>
  <c r="AQ198" i="77" s="1"/>
  <c r="AP199" i="77"/>
  <c r="AQ199" i="77" s="1"/>
  <c r="AP200" i="77"/>
  <c r="AQ200" i="77" s="1"/>
  <c r="AP201" i="77"/>
  <c r="AQ201" i="77" s="1"/>
  <c r="AP203" i="77"/>
  <c r="AQ203" i="77" s="1"/>
  <c r="AP205" i="77"/>
  <c r="AQ205" i="77" s="1"/>
  <c r="AP206" i="77"/>
  <c r="AQ206" i="77" s="1"/>
  <c r="AP207" i="77"/>
  <c r="AQ207" i="77" s="1"/>
  <c r="AP208" i="77"/>
  <c r="AQ208" i="77" s="1"/>
  <c r="AP209" i="77"/>
  <c r="AQ209" i="77" s="1"/>
  <c r="AP210" i="77"/>
  <c r="AQ210" i="77" s="1"/>
  <c r="AP214" i="77"/>
  <c r="AQ214" i="77" s="1"/>
  <c r="AP217" i="77"/>
  <c r="AQ217" i="77" s="1"/>
  <c r="AP218" i="77"/>
  <c r="AQ218" i="77" s="1"/>
  <c r="AP221" i="77"/>
  <c r="AQ221" i="77" s="1"/>
  <c r="AP224" i="77"/>
  <c r="AQ224" i="77" s="1"/>
  <c r="AP225" i="77"/>
  <c r="AQ225" i="77" s="1"/>
  <c r="AP231" i="77"/>
  <c r="AQ231" i="77" s="1"/>
  <c r="AP233" i="77"/>
  <c r="AQ233" i="77" s="1"/>
  <c r="AP234" i="77"/>
  <c r="AQ234" i="77" s="1"/>
  <c r="AP237" i="77"/>
  <c r="AQ237" i="77" s="1"/>
  <c r="AP239" i="77"/>
  <c r="AQ239" i="77" s="1"/>
  <c r="AP241" i="77"/>
  <c r="AQ241" i="77" s="1"/>
  <c r="AP243" i="77"/>
  <c r="AQ243" i="77" s="1"/>
  <c r="AP245" i="77"/>
  <c r="AQ245" i="77" s="1"/>
  <c r="AP247" i="77"/>
  <c r="AQ247" i="77" s="1"/>
  <c r="AP250" i="77"/>
  <c r="AQ250" i="77" s="1"/>
  <c r="AP252" i="77"/>
  <c r="AQ252" i="77" s="1"/>
  <c r="AP253" i="77"/>
  <c r="AQ253" i="77" s="1"/>
  <c r="AP254" i="77"/>
  <c r="AQ254" i="77" s="1"/>
  <c r="AP255" i="77"/>
  <c r="AQ255" i="77" s="1"/>
  <c r="AP256" i="77"/>
  <c r="AQ256" i="77" s="1"/>
  <c r="AP257" i="77"/>
  <c r="AQ257" i="77" s="1"/>
  <c r="AP265" i="77"/>
  <c r="AQ265" i="77" s="1"/>
  <c r="AP266" i="77"/>
  <c r="AQ266" i="77" s="1"/>
  <c r="AP267" i="77"/>
  <c r="AQ267" i="77" s="1"/>
  <c r="AP268" i="77"/>
  <c r="AQ268" i="77" s="1"/>
  <c r="AP269" i="77"/>
  <c r="AQ269" i="77" s="1"/>
  <c r="AP270" i="77"/>
  <c r="AQ270" i="77" s="1"/>
  <c r="AP271" i="77"/>
  <c r="AQ271" i="77" s="1"/>
  <c r="AP272" i="77"/>
  <c r="AQ272" i="77" s="1"/>
  <c r="AP280" i="77"/>
  <c r="AQ280" i="77" s="1"/>
  <c r="AP281" i="77"/>
  <c r="AQ281" i="77" s="1"/>
  <c r="AP284" i="77"/>
  <c r="AQ284" i="77" s="1"/>
  <c r="AP285" i="77"/>
  <c r="AQ285" i="77" s="1"/>
  <c r="AP287" i="77"/>
  <c r="AQ287" i="77" s="1"/>
  <c r="AP288" i="77"/>
  <c r="AQ288" i="77" s="1"/>
  <c r="AP291" i="77"/>
  <c r="AQ291" i="77" s="1"/>
  <c r="AP292" i="77"/>
  <c r="AQ292" i="77" s="1"/>
  <c r="AP293" i="77"/>
  <c r="AQ293" i="77" s="1"/>
  <c r="AP300" i="77"/>
  <c r="AQ300" i="77" s="1"/>
  <c r="AP307" i="77"/>
  <c r="AQ307" i="77" s="1"/>
  <c r="AP309" i="77"/>
  <c r="AQ309" i="77" s="1"/>
  <c r="AP312" i="77"/>
  <c r="AQ312" i="77" s="1"/>
  <c r="AP314" i="77"/>
  <c r="AQ314" i="77" s="1"/>
  <c r="AP318" i="77"/>
  <c r="AQ318" i="77" s="1"/>
  <c r="AP320" i="77"/>
  <c r="AQ320" i="77" s="1"/>
  <c r="AP322" i="77"/>
  <c r="AQ322" i="77" s="1"/>
  <c r="AP323" i="77"/>
  <c r="AQ323" i="77" s="1"/>
  <c r="AP326" i="77"/>
  <c r="AQ326" i="77" s="1"/>
  <c r="AP328" i="77"/>
  <c r="AQ328" i="77" s="1"/>
  <c r="AP329" i="77"/>
  <c r="AQ329" i="77" s="1"/>
  <c r="AP330" i="77"/>
  <c r="AQ330" i="77" s="1"/>
  <c r="AP331" i="77"/>
  <c r="AQ331" i="77" s="1"/>
  <c r="AP334" i="77"/>
  <c r="AQ334" i="77" s="1"/>
  <c r="AP342" i="77"/>
  <c r="AQ342" i="77" s="1"/>
  <c r="AP343" i="77"/>
  <c r="AQ343" i="77" s="1"/>
  <c r="AP344" i="77"/>
  <c r="AQ344" i="77" s="1"/>
  <c r="AP346" i="77"/>
  <c r="AQ346" i="77" s="1"/>
  <c r="AP347" i="77"/>
  <c r="AQ347" i="77" s="1"/>
  <c r="AP348" i="77"/>
  <c r="AQ348" i="77" s="1"/>
  <c r="AP350" i="77"/>
  <c r="AQ350" i="77" s="1"/>
  <c r="AP351" i="77"/>
  <c r="AQ351" i="77" s="1"/>
  <c r="AP352" i="77"/>
  <c r="AQ352" i="77" s="1"/>
  <c r="AP360" i="77"/>
  <c r="AQ360" i="77" s="1"/>
  <c r="AP361" i="77"/>
  <c r="AQ361" i="77" s="1"/>
  <c r="AP362" i="77"/>
  <c r="AQ362" i="77" s="1"/>
  <c r="AP370" i="77"/>
  <c r="AQ370" i="77" s="1"/>
  <c r="AP371" i="77"/>
  <c r="AQ371" i="77" s="1"/>
  <c r="AP372" i="77"/>
  <c r="AQ372" i="77" s="1"/>
  <c r="AP378" i="77"/>
  <c r="AQ378" i="77" s="1"/>
  <c r="AP379" i="77"/>
  <c r="AQ379" i="77" s="1"/>
  <c r="AP380" i="77"/>
  <c r="AQ380" i="77" s="1"/>
  <c r="AP381" i="77"/>
  <c r="AQ381" i="77" s="1"/>
  <c r="AP382" i="77"/>
  <c r="AQ382" i="77" s="1"/>
  <c r="AP387" i="77"/>
  <c r="AQ387" i="77" s="1"/>
  <c r="AP389" i="77"/>
  <c r="AQ389" i="77" s="1"/>
  <c r="AP392" i="77"/>
  <c r="AQ392" i="77" s="1"/>
  <c r="AP393" i="77"/>
  <c r="AQ393" i="77" s="1"/>
  <c r="AP394" i="77"/>
  <c r="AQ394" i="77" s="1"/>
  <c r="AP398" i="77"/>
  <c r="AQ398" i="77" s="1"/>
  <c r="AP400" i="77"/>
  <c r="AQ400" i="77" s="1"/>
  <c r="AP401" i="77"/>
  <c r="AQ401" i="77" s="1"/>
  <c r="AP404" i="77"/>
  <c r="AQ404" i="77" s="1"/>
  <c r="AP405" i="77"/>
  <c r="AQ405" i="77" s="1"/>
  <c r="AP406" i="77"/>
  <c r="AQ406" i="77" s="1"/>
  <c r="AP407" i="77"/>
  <c r="AQ407" i="77" s="1"/>
  <c r="AP408" i="77"/>
  <c r="AQ408" i="77" s="1"/>
  <c r="AP409" i="77"/>
  <c r="AQ409" i="77" s="1"/>
  <c r="AP411" i="77"/>
  <c r="AQ411" i="77" s="1"/>
  <c r="AP412" i="77"/>
  <c r="AQ412" i="77" s="1"/>
  <c r="AP414" i="77"/>
  <c r="AQ414" i="77" s="1"/>
  <c r="AP415" i="77"/>
  <c r="AQ415" i="77" s="1"/>
  <c r="AP416" i="77"/>
  <c r="AQ416" i="77" s="1"/>
  <c r="AP417" i="77"/>
  <c r="AQ417" i="77" s="1"/>
  <c r="AP419" i="77"/>
  <c r="AQ419" i="77" s="1"/>
  <c r="AP420" i="77"/>
  <c r="AQ420" i="77" s="1"/>
  <c r="AP422" i="77"/>
  <c r="AQ422" i="77" s="1"/>
  <c r="AP423" i="77"/>
  <c r="AQ423" i="77" s="1"/>
  <c r="AP424" i="77"/>
  <c r="AQ424" i="77" s="1"/>
  <c r="AP425" i="77"/>
  <c r="AQ425" i="77" s="1"/>
  <c r="AP426" i="77"/>
  <c r="AQ426" i="77" s="1"/>
  <c r="AP429" i="77"/>
  <c r="AQ429" i="77" s="1"/>
  <c r="AP432" i="77"/>
  <c r="AQ432" i="77" s="1"/>
  <c r="AP433" i="77"/>
  <c r="AQ433" i="77" s="1"/>
  <c r="AP434" i="77"/>
  <c r="AQ434" i="77" s="1"/>
  <c r="AP435" i="77"/>
  <c r="AQ435" i="77" s="1"/>
  <c r="AP436" i="77"/>
  <c r="AQ436" i="77" s="1"/>
  <c r="AP437" i="77"/>
  <c r="AQ437" i="77" s="1"/>
  <c r="AP438" i="77"/>
  <c r="AQ438" i="77" s="1"/>
  <c r="AP439" i="77"/>
  <c r="AQ439" i="77" s="1"/>
  <c r="AP441" i="77"/>
  <c r="AQ441" i="77" s="1"/>
  <c r="AP448" i="77"/>
  <c r="AQ448" i="77" s="1"/>
  <c r="AP454" i="77"/>
  <c r="AQ454" i="77" s="1"/>
  <c r="AP457" i="77"/>
  <c r="AQ457" i="77" s="1"/>
  <c r="AP458" i="77"/>
  <c r="AQ458" i="77" s="1"/>
  <c r="AP461" i="77"/>
  <c r="AQ461" i="77" s="1"/>
  <c r="AP463" i="77"/>
  <c r="AQ463" i="77" s="1"/>
  <c r="AP465" i="77"/>
  <c r="AQ465" i="77" s="1"/>
  <c r="AP467" i="77"/>
  <c r="AQ467" i="77" s="1"/>
  <c r="AP469" i="77"/>
  <c r="AQ469" i="77" s="1"/>
  <c r="AP471" i="77"/>
  <c r="AQ471" i="77" s="1"/>
  <c r="AP473" i="77"/>
  <c r="AQ473" i="77" s="1"/>
  <c r="AP475" i="77"/>
  <c r="AQ475" i="77" s="1"/>
  <c r="AP476" i="77"/>
  <c r="AQ476" i="77" s="1"/>
  <c r="AP477" i="77"/>
  <c r="AQ477" i="77" s="1"/>
  <c r="AP478" i="77"/>
  <c r="AQ478" i="77" s="1"/>
  <c r="AP479" i="77"/>
  <c r="AQ479" i="77" s="1"/>
  <c r="AP480" i="77"/>
  <c r="AQ480" i="77" s="1"/>
  <c r="AP481" i="77"/>
  <c r="AQ481" i="77" s="1"/>
  <c r="AP482" i="77"/>
  <c r="AQ482" i="77" s="1"/>
  <c r="AP483" i="77"/>
  <c r="AQ483" i="77" s="1"/>
  <c r="AP484" i="77"/>
  <c r="AQ484" i="77" s="1"/>
  <c r="AP485" i="77"/>
  <c r="AQ485" i="77" s="1"/>
  <c r="AP486" i="77"/>
  <c r="AQ486" i="77" s="1"/>
  <c r="AP487" i="77"/>
  <c r="AQ487" i="77" s="1"/>
  <c r="AP488" i="77"/>
  <c r="AQ488" i="77" s="1"/>
  <c r="AP489" i="77"/>
  <c r="AQ489" i="77" s="1"/>
  <c r="AP490" i="77"/>
  <c r="AQ490" i="77" s="1"/>
  <c r="AP491" i="77"/>
  <c r="AQ491" i="77" s="1"/>
  <c r="AP493" i="77"/>
  <c r="AQ493" i="77" s="1"/>
  <c r="AP496" i="77"/>
  <c r="AQ496" i="77" s="1"/>
  <c r="AP498" i="77"/>
  <c r="AQ498" i="77" s="1"/>
  <c r="AP499" i="77"/>
  <c r="AQ499" i="77" s="1"/>
  <c r="AP502" i="77"/>
  <c r="AQ502" i="77" s="1"/>
  <c r="AP504" i="77"/>
  <c r="AQ504" i="77" s="1"/>
  <c r="AP505" i="77"/>
  <c r="AQ505" i="77" s="1"/>
  <c r="AP508" i="77"/>
  <c r="AQ508" i="77" s="1"/>
  <c r="AP509" i="77"/>
  <c r="AQ509" i="77" s="1"/>
  <c r="AP510" i="77"/>
  <c r="AQ510" i="77" s="1"/>
  <c r="AP511" i="77"/>
  <c r="AQ511" i="77" s="1"/>
  <c r="AP512" i="77"/>
  <c r="AQ512" i="77" s="1"/>
  <c r="AP513" i="77"/>
  <c r="AQ513" i="77" s="1"/>
  <c r="AP514" i="77"/>
  <c r="AQ514" i="77" s="1"/>
  <c r="AP517" i="77"/>
  <c r="AQ517" i="77" s="1"/>
  <c r="AP520" i="77"/>
  <c r="AQ520" i="77" s="1"/>
  <c r="AP527" i="77"/>
  <c r="AQ527" i="77" s="1"/>
  <c r="AP528" i="77"/>
  <c r="AQ528" i="77" s="1"/>
  <c r="AP529" i="77"/>
  <c r="AQ529" i="77" s="1"/>
  <c r="AP533" i="77"/>
  <c r="AQ533" i="77" s="1"/>
  <c r="AP534" i="77"/>
  <c r="AQ534" i="77" s="1"/>
  <c r="AP536" i="77"/>
  <c r="AQ536" i="77" s="1"/>
  <c r="AP537" i="77"/>
  <c r="AQ537" i="77" s="1"/>
  <c r="AP538" i="77"/>
  <c r="AQ538" i="77" s="1"/>
  <c r="AP542" i="77"/>
  <c r="AQ542" i="77" s="1"/>
  <c r="AP543" i="77"/>
  <c r="AQ543" i="77" s="1"/>
  <c r="AP545" i="77"/>
  <c r="AQ545" i="77" s="1"/>
  <c r="AP546" i="77"/>
  <c r="AQ546" i="77" s="1"/>
  <c r="AP547" i="77"/>
  <c r="AQ547" i="77" s="1"/>
  <c r="AP548" i="77"/>
  <c r="AQ548" i="77" s="1"/>
  <c r="AP549" i="77"/>
  <c r="AQ549" i="77" s="1"/>
  <c r="AP550" i="77"/>
  <c r="AQ550" i="77" s="1"/>
  <c r="AP551" i="77"/>
  <c r="AQ551" i="77" s="1"/>
  <c r="AP552" i="77"/>
  <c r="AQ552" i="77" s="1"/>
  <c r="AP553" i="77"/>
  <c r="AQ553" i="77" s="1"/>
  <c r="AP554" i="77"/>
  <c r="AQ554" i="77" s="1"/>
  <c r="AP555" i="77"/>
  <c r="AQ555" i="77" s="1"/>
  <c r="AP556" i="77"/>
  <c r="AQ556" i="77" s="1"/>
  <c r="AP557" i="77"/>
  <c r="AQ557" i="77" s="1"/>
  <c r="AP558" i="77"/>
  <c r="AQ558" i="77" s="1"/>
  <c r="AP576" i="77"/>
  <c r="AQ576" i="77" s="1"/>
  <c r="AP577" i="77"/>
  <c r="AQ577" i="77" s="1"/>
  <c r="AP578" i="77"/>
  <c r="AQ578" i="77" s="1"/>
  <c r="AP579" i="77"/>
  <c r="AQ579" i="77" s="1"/>
  <c r="AP580" i="77"/>
  <c r="AQ580" i="77" s="1"/>
  <c r="AP581" i="77"/>
  <c r="AQ581" i="77" s="1"/>
  <c r="AP663" i="77"/>
  <c r="AQ663" i="77" s="1"/>
  <c r="AO7" i="77"/>
  <c r="AO8" i="77"/>
  <c r="AO9" i="77"/>
  <c r="AO11" i="77"/>
  <c r="AO12" i="77"/>
  <c r="AO13" i="77"/>
  <c r="AO15" i="77"/>
  <c r="AO16" i="77"/>
  <c r="AO17" i="77"/>
  <c r="AO18" i="77"/>
  <c r="AO21" i="77"/>
  <c r="AO22" i="77"/>
  <c r="AO30" i="77"/>
  <c r="AO31" i="77"/>
  <c r="AO34" i="77"/>
  <c r="AO35" i="77"/>
  <c r="AO36" i="77"/>
  <c r="AO41" i="77"/>
  <c r="AO42" i="77"/>
  <c r="AO45" i="77"/>
  <c r="AO46" i="77"/>
  <c r="AO47" i="77"/>
  <c r="AO55" i="77"/>
  <c r="AO56" i="77"/>
  <c r="AO57" i="77"/>
  <c r="AO59" i="77"/>
  <c r="AO60" i="77"/>
  <c r="AO61" i="77"/>
  <c r="AO63" i="77"/>
  <c r="AO64" i="77"/>
  <c r="AO65" i="77"/>
  <c r="AO67" i="77"/>
  <c r="AO68" i="77"/>
  <c r="AO69" i="77"/>
  <c r="AO70" i="77"/>
  <c r="AO78" i="77"/>
  <c r="AO79" i="77"/>
  <c r="AO82" i="77"/>
  <c r="AO83" i="77"/>
  <c r="AO85" i="77"/>
  <c r="AO86" i="77"/>
  <c r="AO89" i="77"/>
  <c r="AO90" i="77"/>
  <c r="AO92" i="77"/>
  <c r="AO93" i="77"/>
  <c r="AO94" i="77"/>
  <c r="AO96" i="77"/>
  <c r="AO97" i="77"/>
  <c r="AO98" i="77"/>
  <c r="AO99" i="77"/>
  <c r="AO100" i="77"/>
  <c r="AO103" i="77"/>
  <c r="AO104" i="77"/>
  <c r="AO106" i="77"/>
  <c r="AO113" i="77"/>
  <c r="AO115" i="77"/>
  <c r="AO117" i="77"/>
  <c r="AO119" i="77"/>
  <c r="AO121" i="77"/>
  <c r="AO123" i="77"/>
  <c r="AO125" i="77"/>
  <c r="AO127" i="77"/>
  <c r="AO130" i="77"/>
  <c r="AO131" i="77"/>
  <c r="AO132" i="77"/>
  <c r="AO133" i="77"/>
  <c r="AO134" i="77"/>
  <c r="AO135" i="77"/>
  <c r="AO136" i="77"/>
  <c r="AO137" i="77"/>
  <c r="AO138" i="77"/>
  <c r="AO147" i="77"/>
  <c r="AO155" i="77"/>
  <c r="AO156" i="77"/>
  <c r="AO157" i="77"/>
  <c r="AO158" i="77"/>
  <c r="AO159" i="77"/>
  <c r="AO160" i="77"/>
  <c r="AO161" i="77"/>
  <c r="AO162" i="77"/>
  <c r="AO163" i="77"/>
  <c r="AO164" i="77"/>
  <c r="AO166" i="77"/>
  <c r="AO168" i="77"/>
  <c r="AO169" i="77"/>
  <c r="AO170" i="77"/>
  <c r="AO171" i="77"/>
  <c r="AO172" i="77"/>
  <c r="AO173" i="77"/>
  <c r="AO174" i="77"/>
  <c r="AO175" i="77"/>
  <c r="AO176" i="77"/>
  <c r="AO177" i="77"/>
  <c r="AO178" i="77"/>
  <c r="AO192" i="77"/>
  <c r="AO193" i="77"/>
  <c r="AO194" i="77"/>
  <c r="AO195" i="77"/>
  <c r="AO196" i="77"/>
  <c r="AO197" i="77"/>
  <c r="AO198" i="77"/>
  <c r="AO199" i="77"/>
  <c r="AO200" i="77"/>
  <c r="AO201" i="77"/>
  <c r="AO203" i="77"/>
  <c r="AO205" i="77"/>
  <c r="AO206" i="77"/>
  <c r="AO207" i="77"/>
  <c r="AO208" i="77"/>
  <c r="AO209" i="77"/>
  <c r="AO210" i="77"/>
  <c r="AO214" i="77"/>
  <c r="AO217" i="77"/>
  <c r="AO218" i="77"/>
  <c r="AO220" i="77"/>
  <c r="AO221" i="77"/>
  <c r="AO224" i="77"/>
  <c r="AO225" i="77"/>
  <c r="AO231" i="77"/>
  <c r="AO233" i="77"/>
  <c r="AO234" i="77"/>
  <c r="AO236" i="77"/>
  <c r="AO237" i="77"/>
  <c r="AO239" i="77"/>
  <c r="AO241" i="77"/>
  <c r="AO243" i="77"/>
  <c r="AO244" i="77"/>
  <c r="AO245" i="77"/>
  <c r="AO247" i="77"/>
  <c r="AO249" i="77"/>
  <c r="AO250" i="77"/>
  <c r="AO251" i="77"/>
  <c r="AO252" i="77"/>
  <c r="AO253" i="77"/>
  <c r="AO254" i="77"/>
  <c r="AO255" i="77"/>
  <c r="AO256" i="77"/>
  <c r="AO257" i="77"/>
  <c r="AO264" i="77"/>
  <c r="AO265" i="77"/>
  <c r="AO266" i="77"/>
  <c r="AO267" i="77"/>
  <c r="AO268" i="77"/>
  <c r="AO269" i="77"/>
  <c r="AO270" i="77"/>
  <c r="AO271" i="77"/>
  <c r="AO272" i="77"/>
  <c r="AO280" i="77"/>
  <c r="AO281" i="77"/>
  <c r="AO284" i="77"/>
  <c r="AO285" i="77"/>
  <c r="AO287" i="77"/>
  <c r="AO288" i="77"/>
  <c r="AO291" i="77"/>
  <c r="AO292" i="77"/>
  <c r="AO293" i="77"/>
  <c r="AO300" i="77"/>
  <c r="AO301" i="77"/>
  <c r="AO302" i="77"/>
  <c r="AO303" i="77"/>
  <c r="AO307" i="77"/>
  <c r="AO309" i="77"/>
  <c r="AO312" i="77"/>
  <c r="AO314" i="77"/>
  <c r="AO318" i="77"/>
  <c r="AO319" i="77"/>
  <c r="AO320" i="77"/>
  <c r="AO321" i="77"/>
  <c r="AO322" i="77"/>
  <c r="AO323" i="77"/>
  <c r="AO324" i="77"/>
  <c r="AO325" i="77"/>
  <c r="AO326" i="77"/>
  <c r="AO328" i="77"/>
  <c r="AO329" i="77"/>
  <c r="AO330" i="77"/>
  <c r="AO331" i="77"/>
  <c r="AO334" i="77"/>
  <c r="AO342" i="77"/>
  <c r="AO343" i="77"/>
  <c r="AO344" i="77"/>
  <c r="AO346" i="77"/>
  <c r="AO347" i="77"/>
  <c r="AO348" i="77"/>
  <c r="AO350" i="77"/>
  <c r="AO351" i="77"/>
  <c r="AO352" i="77"/>
  <c r="AO360" i="77"/>
  <c r="AO361" i="77"/>
  <c r="AO362" i="77"/>
  <c r="AO370" i="77"/>
  <c r="AO371" i="77"/>
  <c r="AO372" i="77"/>
  <c r="AO378" i="77"/>
  <c r="AO379" i="77"/>
  <c r="AO380" i="77"/>
  <c r="AO381" i="77"/>
  <c r="AO382" i="77"/>
  <c r="AO387" i="77"/>
  <c r="AO389" i="77"/>
  <c r="AO392" i="77"/>
  <c r="AO393" i="77"/>
  <c r="AO394" i="77"/>
  <c r="AO395" i="77"/>
  <c r="AO396" i="77"/>
  <c r="AO397" i="77"/>
  <c r="AO398" i="77"/>
  <c r="AO399" i="77"/>
  <c r="AO400" i="77"/>
  <c r="AO401" i="77"/>
  <c r="AO402" i="77"/>
  <c r="AO404" i="77"/>
  <c r="AO405" i="77"/>
  <c r="AO406" i="77"/>
  <c r="AO407" i="77"/>
  <c r="AO408" i="77"/>
  <c r="AO409" i="77"/>
  <c r="AO411" i="77"/>
  <c r="AO412" i="77"/>
  <c r="AO414" i="77"/>
  <c r="AO415" i="77"/>
  <c r="AO416" i="77"/>
  <c r="AO417" i="77"/>
  <c r="AO419" i="77"/>
  <c r="AO420" i="77"/>
  <c r="AO422" i="77"/>
  <c r="AO423" i="77"/>
  <c r="AO424" i="77"/>
  <c r="AO425" i="77"/>
  <c r="AO426" i="77"/>
  <c r="AO429" i="77"/>
  <c r="AO432" i="77"/>
  <c r="AO433" i="77"/>
  <c r="AO434" i="77"/>
  <c r="AO435" i="77"/>
  <c r="AO436" i="77"/>
  <c r="AO437" i="77"/>
  <c r="AO438" i="77"/>
  <c r="AO439" i="77"/>
  <c r="AO441" i="77"/>
  <c r="AO448" i="77"/>
  <c r="AO454" i="77"/>
  <c r="AO457" i="77"/>
  <c r="AO458" i="77"/>
  <c r="AO461" i="77"/>
  <c r="AO463" i="77"/>
  <c r="AO465" i="77"/>
  <c r="AO467" i="77"/>
  <c r="AO469" i="77"/>
  <c r="AO471" i="77"/>
  <c r="AO473" i="77"/>
  <c r="AO475" i="77"/>
  <c r="AO476" i="77"/>
  <c r="AO477" i="77"/>
  <c r="AO478" i="77"/>
  <c r="AO479" i="77"/>
  <c r="AO480" i="77"/>
  <c r="AO481" i="77"/>
  <c r="AO482" i="77"/>
  <c r="AO483" i="77"/>
  <c r="AO484" i="77"/>
  <c r="AO485" i="77"/>
  <c r="AO486" i="77"/>
  <c r="AO487" i="77"/>
  <c r="AO488" i="77"/>
  <c r="AO489" i="77"/>
  <c r="AO490" i="77"/>
  <c r="AO491" i="77"/>
  <c r="AO493" i="77"/>
  <c r="AO496" i="77"/>
  <c r="AO498" i="77"/>
  <c r="AO499" i="77"/>
  <c r="AO502" i="77"/>
  <c r="AO504" i="77"/>
  <c r="AO505" i="77"/>
  <c r="AO508" i="77"/>
  <c r="AO509" i="77"/>
  <c r="AO510" i="77"/>
  <c r="AO511" i="77"/>
  <c r="AO512" i="77"/>
  <c r="AO513" i="77"/>
  <c r="AO514" i="77"/>
  <c r="AO517" i="77"/>
  <c r="AO520" i="77"/>
  <c r="AO527" i="77"/>
  <c r="AO528" i="77"/>
  <c r="AO529" i="77"/>
  <c r="AO533" i="77"/>
  <c r="AO534" i="77"/>
  <c r="AO536" i="77"/>
  <c r="AO537" i="77"/>
  <c r="AO538" i="77"/>
  <c r="AO542" i="77"/>
  <c r="AO543" i="77"/>
  <c r="AO545" i="77"/>
  <c r="AO546" i="77"/>
  <c r="AO547" i="77"/>
  <c r="AO548" i="77"/>
  <c r="AO549" i="77"/>
  <c r="AO550" i="77"/>
  <c r="AO551" i="77"/>
  <c r="AO552" i="77"/>
  <c r="AO553" i="77"/>
  <c r="AO554" i="77"/>
  <c r="AO555" i="77"/>
  <c r="AO556" i="77"/>
  <c r="AO557" i="77"/>
  <c r="AO558" i="77"/>
  <c r="AO576" i="77"/>
  <c r="AO577" i="77"/>
  <c r="AO578" i="77"/>
  <c r="AO579" i="77"/>
  <c r="AO580" i="77"/>
  <c r="AO581" i="77"/>
  <c r="AO663" i="77"/>
  <c r="AN7" i="77"/>
  <c r="AN8" i="77"/>
  <c r="AN9" i="77"/>
  <c r="AN10" i="77"/>
  <c r="AN11" i="77"/>
  <c r="AN12" i="77"/>
  <c r="AN13" i="77"/>
  <c r="AN14" i="77"/>
  <c r="AN15" i="77"/>
  <c r="AN16" i="77"/>
  <c r="AN17" i="77"/>
  <c r="AN18" i="77"/>
  <c r="AN20" i="77"/>
  <c r="AN22" i="77"/>
  <c r="AN29" i="77"/>
  <c r="AN36" i="77"/>
  <c r="AN37" i="77"/>
  <c r="AN39" i="77"/>
  <c r="AN40" i="77"/>
  <c r="AN47" i="77"/>
  <c r="AN54" i="77"/>
  <c r="AN58" i="77"/>
  <c r="AN62" i="77"/>
  <c r="AN66" i="77"/>
  <c r="AN70" i="77"/>
  <c r="AN77" i="77"/>
  <c r="AN84" i="77"/>
  <c r="AN91" i="77"/>
  <c r="AN95" i="77"/>
  <c r="AN99" i="77"/>
  <c r="AN103" i="77"/>
  <c r="AN113" i="77"/>
  <c r="AN115" i="77"/>
  <c r="AN116" i="77"/>
  <c r="AN117" i="77"/>
  <c r="AN119" i="77"/>
  <c r="AN125" i="77"/>
  <c r="AN127" i="77"/>
  <c r="AN130" i="77"/>
  <c r="AN132" i="77"/>
  <c r="AN133" i="77"/>
  <c r="AN134" i="77"/>
  <c r="AN135" i="77"/>
  <c r="AN136" i="77"/>
  <c r="AN137" i="77"/>
  <c r="AN138" i="77"/>
  <c r="AN147" i="77"/>
  <c r="AN151" i="77"/>
  <c r="AN152" i="77"/>
  <c r="AN153" i="77"/>
  <c r="AN154" i="77"/>
  <c r="AN167" i="77"/>
  <c r="AN178" i="77"/>
  <c r="AN191" i="77"/>
  <c r="AN204" i="77"/>
  <c r="AN205" i="77"/>
  <c r="AN206" i="77"/>
  <c r="AN207" i="77"/>
  <c r="AN208" i="77"/>
  <c r="AN209" i="77"/>
  <c r="AN210" i="77"/>
  <c r="AN214" i="77"/>
  <c r="AN215" i="77"/>
  <c r="AN216" i="77"/>
  <c r="AN217" i="77"/>
  <c r="AN218" i="77"/>
  <c r="AN219" i="77"/>
  <c r="AN220" i="77"/>
  <c r="AN221" i="77"/>
  <c r="AN224" i="77"/>
  <c r="AN225" i="77"/>
  <c r="AN230" i="77"/>
  <c r="AN234" i="77"/>
  <c r="AN237" i="77"/>
  <c r="AN238" i="77"/>
  <c r="AN239" i="77"/>
  <c r="AN240" i="77"/>
  <c r="AN241" i="77"/>
  <c r="AN243" i="77"/>
  <c r="AN244" i="77"/>
  <c r="AN245" i="77"/>
  <c r="AN246" i="77"/>
  <c r="AN247" i="77"/>
  <c r="AN248" i="77"/>
  <c r="AN249" i="77"/>
  <c r="AN252" i="77"/>
  <c r="AN253" i="77"/>
  <c r="AN254" i="77"/>
  <c r="AN255" i="77"/>
  <c r="AN256" i="77"/>
  <c r="AN257" i="77"/>
  <c r="AN264" i="77"/>
  <c r="AN265" i="77"/>
  <c r="AN266" i="77"/>
  <c r="AN267" i="77"/>
  <c r="AN268" i="77"/>
  <c r="AN269" i="77"/>
  <c r="AN270" i="77"/>
  <c r="AN271" i="77"/>
  <c r="AN272" i="77"/>
  <c r="AN279" i="77"/>
  <c r="AN286" i="77"/>
  <c r="AN293" i="77"/>
  <c r="AN300" i="77"/>
  <c r="AN307" i="77"/>
  <c r="AN308" i="77"/>
  <c r="AN309" i="77"/>
  <c r="AN310" i="77"/>
  <c r="AN311" i="77"/>
  <c r="AN312" i="77"/>
  <c r="AN313" i="77"/>
  <c r="AN319" i="77"/>
  <c r="AN320" i="77"/>
  <c r="AN321" i="77"/>
  <c r="AN326" i="77"/>
  <c r="AN327" i="77"/>
  <c r="AN328" i="77"/>
  <c r="AN329" i="77"/>
  <c r="AN330" i="77"/>
  <c r="AN331" i="77"/>
  <c r="AN334" i="77"/>
  <c r="AN341" i="77"/>
  <c r="AN342" i="77"/>
  <c r="AN343" i="77"/>
  <c r="AN344" i="77"/>
  <c r="AN345" i="77"/>
  <c r="AN346" i="77"/>
  <c r="AN347" i="77"/>
  <c r="AN348" i="77"/>
  <c r="AN349" i="77"/>
  <c r="AN350" i="77"/>
  <c r="AN351" i="77"/>
  <c r="AN352" i="77"/>
  <c r="AN359" i="77"/>
  <c r="AN360" i="77"/>
  <c r="AN361" i="77"/>
  <c r="AN362" i="77"/>
  <c r="AN369" i="77"/>
  <c r="AN370" i="77"/>
  <c r="AN371" i="77"/>
  <c r="AN372" i="77"/>
  <c r="AN377" i="77"/>
  <c r="AN382" i="77"/>
  <c r="AN387" i="77"/>
  <c r="AN389" i="77"/>
  <c r="AN390" i="77"/>
  <c r="AN391" i="77"/>
  <c r="AN394" i="77"/>
  <c r="AN397" i="77"/>
  <c r="AN398" i="77"/>
  <c r="AN399" i="77"/>
  <c r="AN401" i="77"/>
  <c r="AN402" i="77"/>
  <c r="AN403" i="77"/>
  <c r="AN410" i="77"/>
  <c r="AN411" i="77"/>
  <c r="AN412" i="77"/>
  <c r="AN413" i="77"/>
  <c r="AN418" i="77"/>
  <c r="AN419" i="77"/>
  <c r="AN420" i="77"/>
  <c r="AN421" i="77"/>
  <c r="AN426" i="77"/>
  <c r="AN429" i="77"/>
  <c r="AN432" i="77"/>
  <c r="AN433" i="77"/>
  <c r="AN434" i="77"/>
  <c r="AN435" i="77"/>
  <c r="AN436" i="77"/>
  <c r="AN437" i="77"/>
  <c r="AN438" i="77"/>
  <c r="AN439" i="77"/>
  <c r="AN440" i="77"/>
  <c r="AN441" i="77"/>
  <c r="AN448" i="77"/>
  <c r="AN449" i="77"/>
  <c r="AN454" i="77"/>
  <c r="AN455" i="77"/>
  <c r="AN456" i="77"/>
  <c r="AN458" i="77"/>
  <c r="AN459" i="77"/>
  <c r="AN460" i="77"/>
  <c r="AN461" i="77"/>
  <c r="AN462" i="77"/>
  <c r="AN463" i="77"/>
  <c r="AN464" i="77"/>
  <c r="AN465" i="77"/>
  <c r="AN466" i="77"/>
  <c r="AN467" i="77"/>
  <c r="AN468" i="77"/>
  <c r="AN469" i="77"/>
  <c r="AN470" i="77"/>
  <c r="AN471" i="77"/>
  <c r="AN472" i="77"/>
  <c r="AN473" i="77"/>
  <c r="AN474" i="77"/>
  <c r="AN475" i="77"/>
  <c r="AN476" i="77"/>
  <c r="AN477" i="77"/>
  <c r="AN479" i="77"/>
  <c r="AN480" i="77"/>
  <c r="AN481" i="77"/>
  <c r="AN482" i="77"/>
  <c r="AN483" i="77"/>
  <c r="AN484" i="77"/>
  <c r="AN485" i="77"/>
  <c r="AN486" i="77"/>
  <c r="AN487" i="77"/>
  <c r="AN488" i="77"/>
  <c r="AN489" i="77"/>
  <c r="AN490" i="77"/>
  <c r="AN491" i="77"/>
  <c r="AN492" i="77"/>
  <c r="AN493" i="77"/>
  <c r="AN494" i="77"/>
  <c r="AN495" i="77"/>
  <c r="AN497" i="77"/>
  <c r="AN498" i="77"/>
  <c r="AN499" i="77"/>
  <c r="AN501" i="77"/>
  <c r="AN503" i="77"/>
  <c r="AN505" i="77"/>
  <c r="AN506" i="77"/>
  <c r="AN508" i="77"/>
  <c r="AN509" i="77"/>
  <c r="AN510" i="77"/>
  <c r="AN511" i="77"/>
  <c r="AN512" i="77"/>
  <c r="AN513" i="77"/>
  <c r="AN514" i="77"/>
  <c r="AN515" i="77"/>
  <c r="AN516" i="77"/>
  <c r="AN517" i="77"/>
  <c r="AN518" i="77"/>
  <c r="AN519" i="77"/>
  <c r="AN520" i="77"/>
  <c r="AN521" i="77"/>
  <c r="AN522" i="77"/>
  <c r="AN523" i="77"/>
  <c r="AN524" i="77"/>
  <c r="AN525" i="77"/>
  <c r="AN526" i="77"/>
  <c r="AN527" i="77"/>
  <c r="AN528" i="77"/>
  <c r="AN529" i="77"/>
  <c r="AN530" i="77"/>
  <c r="AN531" i="77"/>
  <c r="AN532" i="77"/>
  <c r="AN533" i="77"/>
  <c r="AN534" i="77"/>
  <c r="AN535" i="77"/>
  <c r="AN536" i="77"/>
  <c r="AN537" i="77"/>
  <c r="AN538" i="77"/>
  <c r="AN539" i="77"/>
  <c r="AN540" i="77"/>
  <c r="AN541" i="77"/>
  <c r="AN542" i="77"/>
  <c r="AN543" i="77"/>
  <c r="AN544" i="77"/>
  <c r="AN545" i="77"/>
  <c r="AN546" i="77"/>
  <c r="AN547" i="77"/>
  <c r="AN548" i="77"/>
  <c r="AN549" i="77"/>
  <c r="AN550" i="77"/>
  <c r="AN551" i="77"/>
  <c r="AN552" i="77"/>
  <c r="AN553" i="77"/>
  <c r="AN554" i="77"/>
  <c r="AN555" i="77"/>
  <c r="AN556" i="77"/>
  <c r="AN557" i="77"/>
  <c r="AN558" i="77"/>
  <c r="AN576" i="77"/>
  <c r="AN577" i="77"/>
  <c r="AN578" i="77"/>
  <c r="AN579" i="77"/>
  <c r="AN580" i="77"/>
  <c r="AN581" i="77"/>
  <c r="AN663" i="77"/>
  <c r="AM10" i="77"/>
  <c r="AM14" i="77"/>
  <c r="AM18" i="77"/>
  <c r="AM19" i="77"/>
  <c r="AM20" i="77"/>
  <c r="AM21" i="77"/>
  <c r="AM22" i="77"/>
  <c r="AM23" i="77"/>
  <c r="AM24" i="77"/>
  <c r="AM25" i="77"/>
  <c r="AM26" i="77"/>
  <c r="AM27" i="77"/>
  <c r="AM28" i="77"/>
  <c r="AM29" i="77"/>
  <c r="AM30" i="77"/>
  <c r="AM31" i="77"/>
  <c r="AM34" i="77"/>
  <c r="AM35" i="77"/>
  <c r="AM36" i="77"/>
  <c r="AM40" i="77"/>
  <c r="AM41" i="77"/>
  <c r="AM42" i="77"/>
  <c r="AM45" i="77"/>
  <c r="AM46" i="77"/>
  <c r="AM47" i="77"/>
  <c r="AM48" i="77"/>
  <c r="AM49" i="77"/>
  <c r="AM52" i="77"/>
  <c r="AM53" i="77"/>
  <c r="AM54" i="77"/>
  <c r="AM55" i="77"/>
  <c r="AM56" i="77"/>
  <c r="AM57" i="77"/>
  <c r="AM58" i="77"/>
  <c r="AM59" i="77"/>
  <c r="AM60" i="77"/>
  <c r="AM61" i="77"/>
  <c r="AM62" i="77"/>
  <c r="AM63" i="77"/>
  <c r="AM64" i="77"/>
  <c r="AM65" i="77"/>
  <c r="AM66" i="77"/>
  <c r="AM67" i="77"/>
  <c r="AM68" i="77"/>
  <c r="AM69" i="77"/>
  <c r="AM70" i="77"/>
  <c r="AM71" i="77"/>
  <c r="AM72" i="77"/>
  <c r="AM73" i="77"/>
  <c r="AM74" i="77"/>
  <c r="AM75" i="77"/>
  <c r="AM76" i="77"/>
  <c r="AM77" i="77"/>
  <c r="AM78" i="77"/>
  <c r="AM79" i="77"/>
  <c r="AM82" i="77"/>
  <c r="AM83" i="77"/>
  <c r="AM84" i="77"/>
  <c r="AM85" i="77"/>
  <c r="AM86" i="77"/>
  <c r="AM89" i="77"/>
  <c r="AM90" i="77"/>
  <c r="AM91" i="77"/>
  <c r="AM92" i="77"/>
  <c r="AM93" i="77"/>
  <c r="AM94" i="77"/>
  <c r="AM95" i="77"/>
  <c r="AM96" i="77"/>
  <c r="AM97" i="77"/>
  <c r="AM98" i="77"/>
  <c r="AM99" i="77"/>
  <c r="AM100" i="77"/>
  <c r="AM103" i="77"/>
  <c r="AM104" i="77"/>
  <c r="AM106" i="77"/>
  <c r="AM110" i="77"/>
  <c r="AM111" i="77"/>
  <c r="AM112" i="77"/>
  <c r="AM113" i="77"/>
  <c r="AM114" i="77"/>
  <c r="AM115" i="77"/>
  <c r="AM117" i="77"/>
  <c r="AM118" i="77"/>
  <c r="AM119" i="77"/>
  <c r="AM121" i="77"/>
  <c r="AM123" i="77"/>
  <c r="AM124" i="77"/>
  <c r="AM125" i="77"/>
  <c r="AM126" i="77"/>
  <c r="AM127" i="77"/>
  <c r="AM128" i="77"/>
  <c r="AM129" i="77"/>
  <c r="AM130" i="77"/>
  <c r="AM131" i="77"/>
  <c r="AM132" i="77"/>
  <c r="AM133" i="77"/>
  <c r="AM134" i="77"/>
  <c r="AM135" i="77"/>
  <c r="AM136" i="77"/>
  <c r="AM137" i="77"/>
  <c r="AM138" i="77"/>
  <c r="AM147" i="77"/>
  <c r="AM154" i="77"/>
  <c r="AM155" i="77"/>
  <c r="AM156" i="77"/>
  <c r="AM157" i="77"/>
  <c r="AM158" i="77"/>
  <c r="AM159" i="77"/>
  <c r="AM160" i="77"/>
  <c r="AM161" i="77"/>
  <c r="AM162" i="77"/>
  <c r="AM163" i="77"/>
  <c r="AM164" i="77"/>
  <c r="AM166" i="77"/>
  <c r="AM167" i="77"/>
  <c r="AM168" i="77"/>
  <c r="AM169" i="77"/>
  <c r="AM170" i="77"/>
  <c r="AM171" i="77"/>
  <c r="AM172" i="77"/>
  <c r="AM173" i="77"/>
  <c r="AM174" i="77"/>
  <c r="AM175" i="77"/>
  <c r="AM176" i="77"/>
  <c r="AM177" i="77"/>
  <c r="AM178" i="77"/>
  <c r="AM179" i="77"/>
  <c r="AM180" i="77"/>
  <c r="AM181" i="77"/>
  <c r="AM182" i="77"/>
  <c r="AM183" i="77"/>
  <c r="AM184" i="77"/>
  <c r="AM185" i="77"/>
  <c r="AM186" i="77"/>
  <c r="AM187" i="77"/>
  <c r="AM189" i="77"/>
  <c r="AM190" i="77"/>
  <c r="AM191" i="77"/>
  <c r="AM192" i="77"/>
  <c r="AM193" i="77"/>
  <c r="AM194" i="77"/>
  <c r="AM195" i="77"/>
  <c r="AM196" i="77"/>
  <c r="AM197" i="77"/>
  <c r="AM198" i="77"/>
  <c r="AM199" i="77"/>
  <c r="AM200" i="77"/>
  <c r="AM201" i="77"/>
  <c r="AM203" i="77"/>
  <c r="AM204" i="77"/>
  <c r="AM210" i="77"/>
  <c r="AM211" i="77"/>
  <c r="AM213" i="77"/>
  <c r="AM214" i="77"/>
  <c r="AM216" i="77"/>
  <c r="AM218" i="77"/>
  <c r="AM220" i="77"/>
  <c r="AM224" i="77"/>
  <c r="AM225" i="77"/>
  <c r="AM230" i="77"/>
  <c r="AM231" i="77"/>
  <c r="AM233" i="77"/>
  <c r="AM234" i="77"/>
  <c r="AM236" i="77"/>
  <c r="AM237" i="77"/>
  <c r="AM239" i="77"/>
  <c r="AM241" i="77"/>
  <c r="AM243" i="77"/>
  <c r="AM245" i="77"/>
  <c r="AM247" i="77"/>
  <c r="AM249" i="77"/>
  <c r="AM250" i="77"/>
  <c r="AM251" i="77"/>
  <c r="AM252" i="77"/>
  <c r="AM253" i="77"/>
  <c r="AM254" i="77"/>
  <c r="AM255" i="77"/>
  <c r="AM256" i="77"/>
  <c r="AM257" i="77"/>
  <c r="AM258" i="77"/>
  <c r="AM259" i="77"/>
  <c r="AM262" i="77"/>
  <c r="AM263" i="77"/>
  <c r="AM264" i="77"/>
  <c r="AM266" i="77"/>
  <c r="AM267" i="77"/>
  <c r="AM268" i="77"/>
  <c r="AM269" i="77"/>
  <c r="AM270" i="77"/>
  <c r="AM271" i="77"/>
  <c r="AM272" i="77"/>
  <c r="AM273" i="77"/>
  <c r="AM274" i="77"/>
  <c r="AM277" i="77"/>
  <c r="AM278" i="77"/>
  <c r="AM279" i="77"/>
  <c r="AM280" i="77"/>
  <c r="AM281" i="77"/>
  <c r="AM284" i="77"/>
  <c r="AM285" i="77"/>
  <c r="AM286" i="77"/>
  <c r="AM287" i="77"/>
  <c r="AM288" i="77"/>
  <c r="AM291" i="77"/>
  <c r="AM292" i="77"/>
  <c r="AM293" i="77"/>
  <c r="AM294" i="77"/>
  <c r="AM295" i="77"/>
  <c r="AM296" i="77"/>
  <c r="AM297" i="77"/>
  <c r="AM300" i="77"/>
  <c r="AM301" i="77"/>
  <c r="AM302" i="77"/>
  <c r="AM303" i="77"/>
  <c r="AM307" i="77"/>
  <c r="AM309" i="77"/>
  <c r="AM311" i="77"/>
  <c r="AM313" i="77"/>
  <c r="AM314" i="77"/>
  <c r="AM319" i="77"/>
  <c r="AM321" i="77"/>
  <c r="AM322" i="77"/>
  <c r="AM323" i="77"/>
  <c r="AM324" i="77"/>
  <c r="AM325" i="77"/>
  <c r="AM326" i="77"/>
  <c r="AM328" i="77"/>
  <c r="AM329" i="77"/>
  <c r="AM330" i="77"/>
  <c r="AM331" i="77"/>
  <c r="AM332" i="77"/>
  <c r="AM333" i="77"/>
  <c r="AM334" i="77"/>
  <c r="AM335" i="77"/>
  <c r="AM336" i="77"/>
  <c r="AM339" i="77"/>
  <c r="AM340" i="77"/>
  <c r="AM341" i="77"/>
  <c r="AM345" i="77"/>
  <c r="AM349" i="77"/>
  <c r="AM354" i="77"/>
  <c r="AM356" i="77"/>
  <c r="AM358" i="77"/>
  <c r="AM359" i="77"/>
  <c r="AM362" i="77"/>
  <c r="AM363" i="77"/>
  <c r="AM364" i="77"/>
  <c r="AM365" i="77"/>
  <c r="AM366" i="77"/>
  <c r="AM367" i="77"/>
  <c r="AM368" i="77"/>
  <c r="AM369" i="77"/>
  <c r="AM372" i="77"/>
  <c r="AM373" i="77"/>
  <c r="AM374" i="77"/>
  <c r="AM375" i="77"/>
  <c r="AM376" i="77"/>
  <c r="AM377" i="77"/>
  <c r="AM378" i="77"/>
  <c r="AM379" i="77"/>
  <c r="AM380" i="77"/>
  <c r="AM381" i="77"/>
  <c r="AM382" i="77"/>
  <c r="AM383" i="77"/>
  <c r="AM384" i="77"/>
  <c r="AM385" i="77"/>
  <c r="AM386" i="77"/>
  <c r="AM387" i="77"/>
  <c r="AM388" i="77"/>
  <c r="AM389" i="77"/>
  <c r="AM391" i="77"/>
  <c r="AM392" i="77"/>
  <c r="AM393" i="77"/>
  <c r="AM394" i="77"/>
  <c r="AM395" i="77"/>
  <c r="AM396" i="77"/>
  <c r="AM397" i="77"/>
  <c r="AM399" i="77"/>
  <c r="AM400" i="77"/>
  <c r="AM401" i="77"/>
  <c r="AM403" i="77"/>
  <c r="AM404" i="77"/>
  <c r="AM405" i="77"/>
  <c r="AM406" i="77"/>
  <c r="AM407" i="77"/>
  <c r="AM408" i="77"/>
  <c r="AM409" i="77"/>
  <c r="AM410" i="77"/>
  <c r="AM413" i="77"/>
  <c r="AM414" i="77"/>
  <c r="AM415" i="77"/>
  <c r="AM416" i="77"/>
  <c r="AM417" i="77"/>
  <c r="AM418" i="77"/>
  <c r="AM421" i="77"/>
  <c r="AM422" i="77"/>
  <c r="AM423" i="77"/>
  <c r="AM424" i="77"/>
  <c r="AM425" i="77"/>
  <c r="AM426" i="77"/>
  <c r="AM427" i="77"/>
  <c r="AM428" i="77"/>
  <c r="AM429" i="77"/>
  <c r="AM430" i="77"/>
  <c r="AM431" i="77"/>
  <c r="AM432" i="77"/>
  <c r="AM433" i="77"/>
  <c r="AM434" i="77"/>
  <c r="AM435" i="77"/>
  <c r="AM436" i="77"/>
  <c r="AM437" i="77"/>
  <c r="AM438" i="77"/>
  <c r="AM439" i="77"/>
  <c r="AM440" i="77"/>
  <c r="AM448" i="77"/>
  <c r="AM454" i="77"/>
  <c r="AM456" i="77"/>
  <c r="AM457" i="77"/>
  <c r="AM458" i="77"/>
  <c r="AM460" i="77"/>
  <c r="AM462" i="77"/>
  <c r="AM464" i="77"/>
  <c r="AM466" i="77"/>
  <c r="AM468" i="77"/>
  <c r="AM470" i="77"/>
  <c r="AM472" i="77"/>
  <c r="AM474" i="77"/>
  <c r="AM476" i="77"/>
  <c r="AM477" i="77"/>
  <c r="AM478" i="77"/>
  <c r="AM479" i="77"/>
  <c r="AM481" i="77"/>
  <c r="AM483" i="77"/>
  <c r="AM484" i="77"/>
  <c r="AM485" i="77"/>
  <c r="AM486" i="77"/>
  <c r="AM487" i="77"/>
  <c r="AM488" i="77"/>
  <c r="AM489" i="77"/>
  <c r="AM490" i="77"/>
  <c r="AM491" i="77"/>
  <c r="AM493" i="77"/>
  <c r="AM495" i="77"/>
  <c r="AM496" i="77"/>
  <c r="AM497" i="77"/>
  <c r="AM499" i="77"/>
  <c r="AM500" i="77"/>
  <c r="AM501" i="77"/>
  <c r="AM502" i="77"/>
  <c r="AM503" i="77"/>
  <c r="AM504" i="77"/>
  <c r="AM505" i="77"/>
  <c r="AM508" i="77"/>
  <c r="AM509" i="77"/>
  <c r="AM510" i="77"/>
  <c r="AM511" i="77"/>
  <c r="AM512" i="77"/>
  <c r="AM513" i="77"/>
  <c r="AM514" i="77"/>
  <c r="AM517" i="77"/>
  <c r="AM520" i="77"/>
  <c r="AM523" i="77"/>
  <c r="AM526" i="77"/>
  <c r="AM529" i="77"/>
  <c r="AM532" i="77"/>
  <c r="AM535" i="77"/>
  <c r="AM538" i="77"/>
  <c r="AM541" i="77"/>
  <c r="AM544" i="77"/>
  <c r="AM547" i="77"/>
  <c r="AM548" i="77"/>
  <c r="AM549" i="77"/>
  <c r="AM550" i="77"/>
  <c r="AM551" i="77"/>
  <c r="AM552" i="77"/>
  <c r="AM553" i="77"/>
  <c r="AM554" i="77"/>
  <c r="AM555" i="77"/>
  <c r="AM556" i="77"/>
  <c r="AM557" i="77"/>
  <c r="AM558" i="77"/>
  <c r="AM576" i="77"/>
  <c r="AM577" i="77"/>
  <c r="AM578" i="77"/>
  <c r="AM579" i="77"/>
  <c r="AM580" i="77"/>
  <c r="AM581" i="77"/>
  <c r="AM663" i="77"/>
  <c r="AL7" i="77"/>
  <c r="AL8" i="77"/>
  <c r="AL9" i="77"/>
  <c r="AL11" i="77"/>
  <c r="AL12" i="77"/>
  <c r="AL13" i="77"/>
  <c r="AL15" i="77"/>
  <c r="AL16" i="77"/>
  <c r="AL17" i="77"/>
  <c r="AL19" i="77"/>
  <c r="AL21" i="77"/>
  <c r="AL23" i="77"/>
  <c r="AL24" i="77"/>
  <c r="AL25" i="77"/>
  <c r="AL26" i="77"/>
  <c r="AL27" i="77"/>
  <c r="AL28" i="77"/>
  <c r="AL30" i="77"/>
  <c r="AL31" i="77"/>
  <c r="AL34" i="77"/>
  <c r="AL35" i="77"/>
  <c r="AL37" i="77"/>
  <c r="AL39" i="77"/>
  <c r="AL41" i="77"/>
  <c r="AL42" i="77"/>
  <c r="AL45" i="77"/>
  <c r="AL46" i="77"/>
  <c r="AL48" i="77"/>
  <c r="AL49" i="77"/>
  <c r="AL52" i="77"/>
  <c r="AL53" i="77"/>
  <c r="AL55" i="77"/>
  <c r="AL56" i="77"/>
  <c r="AL57" i="77"/>
  <c r="AL59" i="77"/>
  <c r="AL60" i="77"/>
  <c r="AL61" i="77"/>
  <c r="AL63" i="77"/>
  <c r="AL64" i="77"/>
  <c r="AL65" i="77"/>
  <c r="AL67" i="77"/>
  <c r="AL68" i="77"/>
  <c r="AL69" i="77"/>
  <c r="AL71" i="77"/>
  <c r="AL72" i="77"/>
  <c r="AL73" i="77"/>
  <c r="AL74" i="77"/>
  <c r="AL75" i="77"/>
  <c r="AL76" i="77"/>
  <c r="AL78" i="77"/>
  <c r="AL79" i="77"/>
  <c r="AL82" i="77"/>
  <c r="AL83" i="77"/>
  <c r="AL85" i="77"/>
  <c r="AL86" i="77"/>
  <c r="AL89" i="77"/>
  <c r="AL90" i="77"/>
  <c r="AL92" i="77"/>
  <c r="AL93" i="77"/>
  <c r="AL94" i="77"/>
  <c r="AL96" i="77"/>
  <c r="AL97" i="77"/>
  <c r="AL98" i="77"/>
  <c r="AL100" i="77"/>
  <c r="AL104" i="77"/>
  <c r="AL106" i="77"/>
  <c r="AL110" i="77"/>
  <c r="AL111" i="77"/>
  <c r="AL112" i="77"/>
  <c r="AL114" i="77"/>
  <c r="AL116" i="77"/>
  <c r="AL118" i="77"/>
  <c r="AL121" i="77"/>
  <c r="AL123" i="77"/>
  <c r="AL124" i="77"/>
  <c r="AL126" i="77"/>
  <c r="AL128" i="77"/>
  <c r="AL129" i="77"/>
  <c r="AL131" i="77"/>
  <c r="AL132" i="77"/>
  <c r="AL133" i="77"/>
  <c r="AL134" i="77"/>
  <c r="AL135" i="77"/>
  <c r="AL136" i="77"/>
  <c r="AL137" i="77"/>
  <c r="AL138" i="77"/>
  <c r="AL151" i="77"/>
  <c r="AL152" i="77"/>
  <c r="AL153" i="77"/>
  <c r="AL155" i="77"/>
  <c r="AL156" i="77"/>
  <c r="AL157" i="77"/>
  <c r="AL158" i="77"/>
  <c r="AL159" i="77"/>
  <c r="AL160" i="77"/>
  <c r="AL161" i="77"/>
  <c r="AL162" i="77"/>
  <c r="AL163" i="77"/>
  <c r="AL164" i="77"/>
  <c r="AL166" i="77"/>
  <c r="AL168" i="77"/>
  <c r="AL169" i="77"/>
  <c r="AL170" i="77"/>
  <c r="AL171" i="77"/>
  <c r="AL172" i="77"/>
  <c r="AL173" i="77"/>
  <c r="AL174" i="77"/>
  <c r="AL175" i="77"/>
  <c r="AL176" i="77"/>
  <c r="AL177" i="77"/>
  <c r="AL179" i="77"/>
  <c r="AL180" i="77"/>
  <c r="AL181" i="77"/>
  <c r="AL182" i="77"/>
  <c r="AL183" i="77"/>
  <c r="AL184" i="77"/>
  <c r="AL185" i="77"/>
  <c r="AL186" i="77"/>
  <c r="AL187" i="77"/>
  <c r="AL189" i="77"/>
  <c r="AL190" i="77"/>
  <c r="AL192" i="77"/>
  <c r="AL193" i="77"/>
  <c r="AL194" i="77"/>
  <c r="AL195" i="77"/>
  <c r="AL196" i="77"/>
  <c r="AL197" i="77"/>
  <c r="AL198" i="77"/>
  <c r="AL199" i="77"/>
  <c r="AL200" i="77"/>
  <c r="AL201" i="77"/>
  <c r="AL203" i="77"/>
  <c r="AL205" i="77"/>
  <c r="AL206" i="77"/>
  <c r="AL207" i="77"/>
  <c r="AL208" i="77"/>
  <c r="AL209" i="77"/>
  <c r="AL211" i="77"/>
  <c r="AL213" i="77"/>
  <c r="AL215" i="77"/>
  <c r="AL217" i="77"/>
  <c r="AL219" i="77"/>
  <c r="AL221" i="77"/>
  <c r="AL224" i="77"/>
  <c r="AL225" i="77"/>
  <c r="AL231" i="77"/>
  <c r="AL233" i="77"/>
  <c r="AL236" i="77"/>
  <c r="AL238" i="77"/>
  <c r="AL240" i="77"/>
  <c r="AL244" i="77"/>
  <c r="AL246" i="77"/>
  <c r="AL248" i="77"/>
  <c r="AL250" i="77"/>
  <c r="AL251" i="77"/>
  <c r="AL252" i="77"/>
  <c r="AL253" i="77"/>
  <c r="AL254" i="77"/>
  <c r="AL255" i="77"/>
  <c r="AL256" i="77"/>
  <c r="AL258" i="77"/>
  <c r="AL259" i="77"/>
  <c r="AL262" i="77"/>
  <c r="AL263" i="77"/>
  <c r="AL265" i="77"/>
  <c r="AL266" i="77"/>
  <c r="AL267" i="77"/>
  <c r="AL268" i="77"/>
  <c r="AL269" i="77"/>
  <c r="AL270" i="77"/>
  <c r="AL271" i="77"/>
  <c r="AL273" i="77"/>
  <c r="AL274" i="77"/>
  <c r="AL277" i="77"/>
  <c r="AL278" i="77"/>
  <c r="AL280" i="77"/>
  <c r="AL281" i="77"/>
  <c r="AL284" i="77"/>
  <c r="AL285" i="77"/>
  <c r="AL287" i="77"/>
  <c r="AL288" i="77"/>
  <c r="AL291" i="77"/>
  <c r="AL292" i="77"/>
  <c r="AL294" i="77"/>
  <c r="AL295" i="77"/>
  <c r="AL296" i="77"/>
  <c r="AL297" i="77"/>
  <c r="AL301" i="77"/>
  <c r="AL302" i="77"/>
  <c r="AL303" i="77"/>
  <c r="AL308" i="77"/>
  <c r="AL310" i="77"/>
  <c r="AL312" i="77"/>
  <c r="AL314" i="77"/>
  <c r="AL320" i="77"/>
  <c r="AL322" i="77"/>
  <c r="AL323" i="77"/>
  <c r="AL324" i="77"/>
  <c r="AL325" i="77"/>
  <c r="AL327" i="77"/>
  <c r="AL328" i="77"/>
  <c r="AL329" i="77"/>
  <c r="AL330" i="77"/>
  <c r="AL331" i="77"/>
  <c r="AL332" i="77"/>
  <c r="AL333" i="77"/>
  <c r="AL335" i="77"/>
  <c r="AL336" i="77"/>
  <c r="AL339" i="77"/>
  <c r="AL340" i="77"/>
  <c r="AL342" i="77"/>
  <c r="AL343" i="77"/>
  <c r="AL344" i="77"/>
  <c r="AL346" i="77"/>
  <c r="AL347" i="77"/>
  <c r="AL348" i="77"/>
  <c r="AL350" i="77"/>
  <c r="AL351" i="77"/>
  <c r="AL352" i="77"/>
  <c r="AL354" i="77"/>
  <c r="AL356" i="77"/>
  <c r="AL358" i="77"/>
  <c r="AL360" i="77"/>
  <c r="AL361" i="77"/>
  <c r="AL363" i="77"/>
  <c r="AL364" i="77"/>
  <c r="AL365" i="77"/>
  <c r="AL366" i="77"/>
  <c r="AL367" i="77"/>
  <c r="AL368" i="77"/>
  <c r="AL370" i="77"/>
  <c r="AL371" i="77"/>
  <c r="AL373" i="77"/>
  <c r="AL374" i="77"/>
  <c r="AL375" i="77"/>
  <c r="AL376" i="77"/>
  <c r="AL378" i="77"/>
  <c r="AL379" i="77"/>
  <c r="AL380" i="77"/>
  <c r="AL381" i="77"/>
  <c r="AL383" i="77"/>
  <c r="AL384" i="77"/>
  <c r="AL385" i="77"/>
  <c r="AL386" i="77"/>
  <c r="AL388" i="77"/>
  <c r="AL390" i="77"/>
  <c r="AL392" i="77"/>
  <c r="AL393" i="77"/>
  <c r="AL395" i="77"/>
  <c r="AL396" i="77"/>
  <c r="AL398" i="77"/>
  <c r="AL400" i="77"/>
  <c r="AL402" i="77"/>
  <c r="AL404" i="77"/>
  <c r="AL405" i="77"/>
  <c r="AL406" i="77"/>
  <c r="AL407" i="77"/>
  <c r="AL408" i="77"/>
  <c r="AL409" i="77"/>
  <c r="AL411" i="77"/>
  <c r="AL412" i="77"/>
  <c r="AL414" i="77"/>
  <c r="AL415" i="77"/>
  <c r="AL416" i="77"/>
  <c r="AL417" i="77"/>
  <c r="AL419" i="77"/>
  <c r="AL420" i="77"/>
  <c r="AL422" i="77"/>
  <c r="AL423" i="77"/>
  <c r="AL424" i="77"/>
  <c r="AL425" i="77"/>
  <c r="AL427" i="77"/>
  <c r="AL428" i="77"/>
  <c r="AL430" i="77"/>
  <c r="AL431" i="77"/>
  <c r="AL432" i="77"/>
  <c r="AL433" i="77"/>
  <c r="AL434" i="77"/>
  <c r="AL435" i="77"/>
  <c r="AL436" i="77"/>
  <c r="AL437" i="77"/>
  <c r="AL438" i="77"/>
  <c r="AL439" i="77"/>
  <c r="AL441" i="77"/>
  <c r="AL449" i="77"/>
  <c r="AL455" i="77"/>
  <c r="AL457" i="77"/>
  <c r="AL459" i="77"/>
  <c r="AL461" i="77"/>
  <c r="AL463" i="77"/>
  <c r="AL465" i="77"/>
  <c r="AL467" i="77"/>
  <c r="AL469" i="77"/>
  <c r="AL471" i="77"/>
  <c r="AL473" i="77"/>
  <c r="AL475" i="77"/>
  <c r="AL476" i="77"/>
  <c r="AL478" i="77"/>
  <c r="AL480" i="77"/>
  <c r="AL482" i="77"/>
  <c r="AL483" i="77"/>
  <c r="AL484" i="77"/>
  <c r="AL485" i="77"/>
  <c r="AL486" i="77"/>
  <c r="AL487" i="77"/>
  <c r="AL488" i="77"/>
  <c r="AL489" i="77"/>
  <c r="AL490" i="77"/>
  <c r="AL492" i="77"/>
  <c r="AL494" i="77"/>
  <c r="AL496" i="77"/>
  <c r="AL498" i="77"/>
  <c r="AL500" i="77"/>
  <c r="AL502" i="77"/>
  <c r="AL504" i="77"/>
  <c r="AL506" i="77"/>
  <c r="AL508" i="77"/>
  <c r="AL509" i="77"/>
  <c r="AL510" i="77"/>
  <c r="AL511" i="77"/>
  <c r="AL512" i="77"/>
  <c r="AL513" i="77"/>
  <c r="AL515" i="77"/>
  <c r="AL516" i="77"/>
  <c r="AL518" i="77"/>
  <c r="AL519" i="77"/>
  <c r="AL521" i="77"/>
  <c r="AL522" i="77"/>
  <c r="AL524" i="77"/>
  <c r="AL525" i="77"/>
  <c r="AL527" i="77"/>
  <c r="AL528" i="77"/>
  <c r="AL530" i="77"/>
  <c r="AL531" i="77"/>
  <c r="AL533" i="77"/>
  <c r="AL534" i="77"/>
  <c r="AL536" i="77"/>
  <c r="AL537" i="77"/>
  <c r="AL539" i="77"/>
  <c r="AL540" i="77"/>
  <c r="AL542" i="77"/>
  <c r="AL543" i="77"/>
  <c r="AL545" i="77"/>
  <c r="AL546" i="77"/>
  <c r="AL547" i="77"/>
  <c r="AL548" i="77"/>
  <c r="AL549" i="77"/>
  <c r="AL550" i="77"/>
  <c r="AL551" i="77"/>
  <c r="AL552" i="77"/>
  <c r="AL553" i="77"/>
  <c r="AL554" i="77"/>
  <c r="AL555" i="77"/>
  <c r="AL556" i="77"/>
  <c r="AL557" i="77"/>
  <c r="AL558" i="77"/>
  <c r="AL576" i="77"/>
  <c r="AL577" i="77"/>
  <c r="AL578" i="77"/>
  <c r="AL579" i="77"/>
  <c r="AL580" i="77"/>
  <c r="AL581" i="77"/>
  <c r="AL663" i="77"/>
  <c r="AD97" i="77"/>
  <c r="AD98" i="77"/>
  <c r="AD100" i="77"/>
  <c r="AD104" i="77"/>
  <c r="AD106" i="77"/>
  <c r="AD110" i="77"/>
  <c r="AD111" i="77"/>
  <c r="AD112" i="77"/>
  <c r="AD114" i="77"/>
  <c r="AD118" i="77"/>
  <c r="AD121" i="77"/>
  <c r="AD123" i="77"/>
  <c r="AD124" i="77"/>
  <c r="AD126" i="77"/>
  <c r="AD128" i="77"/>
  <c r="AD129" i="77"/>
  <c r="AD131" i="77"/>
  <c r="AD132" i="77"/>
  <c r="AD133" i="77"/>
  <c r="AD134" i="77"/>
  <c r="AD136" i="77"/>
  <c r="AD137" i="77"/>
  <c r="AD138" i="77"/>
  <c r="AD147" i="77"/>
  <c r="AD155" i="77"/>
  <c r="AD156" i="77"/>
  <c r="AD157" i="77"/>
  <c r="AD158" i="77"/>
  <c r="AD159" i="77"/>
  <c r="AD160" i="77"/>
  <c r="AD161" i="77"/>
  <c r="AD162" i="77"/>
  <c r="AD163" i="77"/>
  <c r="AD164" i="77"/>
  <c r="AD166" i="77"/>
  <c r="AD168" i="77"/>
  <c r="AD169" i="77"/>
  <c r="AD170" i="77"/>
  <c r="AD171" i="77"/>
  <c r="AD172" i="77"/>
  <c r="AD173" i="77"/>
  <c r="AD174" i="77"/>
  <c r="AD175" i="77"/>
  <c r="AD176" i="77"/>
  <c r="AD177" i="77"/>
  <c r="AD179" i="77"/>
  <c r="AD180" i="77"/>
  <c r="AD181" i="77"/>
  <c r="AD182" i="77"/>
  <c r="AD183" i="77"/>
  <c r="AD184" i="77"/>
  <c r="AD185" i="77"/>
  <c r="AD186" i="77"/>
  <c r="AD187" i="77"/>
  <c r="AD189" i="77"/>
  <c r="AD190" i="77"/>
  <c r="AD192" i="77"/>
  <c r="AD193" i="77"/>
  <c r="AD194" i="77"/>
  <c r="AD195" i="77"/>
  <c r="AD196" i="77"/>
  <c r="AD197" i="77"/>
  <c r="AD198" i="77"/>
  <c r="AD199" i="77"/>
  <c r="AD200" i="77"/>
  <c r="AD201" i="77"/>
  <c r="AD203" i="77"/>
  <c r="AD211" i="77"/>
  <c r="AD213" i="77"/>
  <c r="AD224" i="77"/>
  <c r="AD231" i="77"/>
  <c r="AD233" i="77"/>
  <c r="AD236" i="77"/>
  <c r="AD250" i="77"/>
  <c r="AD251" i="77"/>
  <c r="AD252" i="77"/>
  <c r="AD253" i="77"/>
  <c r="AD254" i="77"/>
  <c r="AD256" i="77"/>
  <c r="AD258" i="77"/>
  <c r="AD259" i="77"/>
  <c r="AD262" i="77"/>
  <c r="AD263" i="77"/>
  <c r="AD266" i="77"/>
  <c r="AD267" i="77"/>
  <c r="AD268" i="77"/>
  <c r="AD269" i="77"/>
  <c r="AD270" i="77"/>
  <c r="AD271" i="77"/>
  <c r="AD273" i="77"/>
  <c r="AD274" i="77"/>
  <c r="AD277" i="77"/>
  <c r="AD278" i="77"/>
  <c r="AD280" i="77"/>
  <c r="AD281" i="77"/>
  <c r="AD284" i="77"/>
  <c r="AD285" i="77"/>
  <c r="AD287" i="77"/>
  <c r="AD288" i="77"/>
  <c r="AD291" i="77"/>
  <c r="AD292" i="77"/>
  <c r="AD294" i="77"/>
  <c r="AD295" i="77"/>
  <c r="AD296" i="77"/>
  <c r="AD297" i="77"/>
  <c r="AD301" i="77"/>
  <c r="AD302" i="77"/>
  <c r="AD303" i="77"/>
  <c r="AD314" i="77"/>
  <c r="AD322" i="77"/>
  <c r="AD323" i="77"/>
  <c r="AD324" i="77"/>
  <c r="AD325" i="77"/>
  <c r="AD328" i="77"/>
  <c r="AD330" i="77"/>
  <c r="AD331" i="77"/>
  <c r="AD332" i="77"/>
  <c r="AD333" i="77"/>
  <c r="AD335" i="77"/>
  <c r="AD336" i="77"/>
  <c r="AD339" i="77"/>
  <c r="AD340" i="77"/>
  <c r="AD354" i="77"/>
  <c r="AD356" i="77"/>
  <c r="AD358" i="77"/>
  <c r="AD363" i="77"/>
  <c r="AD364" i="77"/>
  <c r="AD365" i="77"/>
  <c r="AD366" i="77"/>
  <c r="AD367" i="77"/>
  <c r="AD368" i="77"/>
  <c r="AD373" i="77"/>
  <c r="AD374" i="77"/>
  <c r="AD375" i="77"/>
  <c r="AD376" i="77"/>
  <c r="AD378" i="77"/>
  <c r="AD379" i="77"/>
  <c r="AD380" i="77"/>
  <c r="AD381" i="77"/>
  <c r="AD383" i="77"/>
  <c r="AD384" i="77"/>
  <c r="AD385" i="77"/>
  <c r="AD386" i="77"/>
  <c r="AD388" i="77"/>
  <c r="AD392" i="77"/>
  <c r="AD393" i="77"/>
  <c r="AD395" i="77"/>
  <c r="AD396" i="77"/>
  <c r="AD400" i="77"/>
  <c r="AD404" i="77"/>
  <c r="AD405" i="77"/>
  <c r="AD406" i="77"/>
  <c r="AD407" i="77"/>
  <c r="AD408" i="77"/>
  <c r="AD409" i="77"/>
  <c r="AD414" i="77"/>
  <c r="AD415" i="77"/>
  <c r="AD416" i="77"/>
  <c r="AD417" i="77"/>
  <c r="AD422" i="77"/>
  <c r="AD423" i="77"/>
  <c r="AD424" i="77"/>
  <c r="AD425" i="77"/>
  <c r="AD427" i="77"/>
  <c r="AD428" i="77"/>
  <c r="AD430" i="77"/>
  <c r="AD431" i="77"/>
  <c r="AD432" i="77"/>
  <c r="AD433" i="77"/>
  <c r="AD434" i="77"/>
  <c r="AD436" i="77"/>
  <c r="AD437" i="77"/>
  <c r="AD438" i="77"/>
  <c r="AD439" i="77"/>
  <c r="AD457" i="77"/>
  <c r="AD476" i="77"/>
  <c r="AD478" i="77"/>
  <c r="AD483" i="77"/>
  <c r="AD484" i="77"/>
  <c r="AD485" i="77"/>
  <c r="AD487" i="77"/>
  <c r="AD488" i="77"/>
  <c r="AD489" i="77"/>
  <c r="AD490" i="77"/>
  <c r="AD496" i="77"/>
  <c r="AD500" i="77"/>
  <c r="AD502" i="77"/>
  <c r="AD504" i="77"/>
  <c r="AD508" i="77"/>
  <c r="AD509" i="77"/>
  <c r="AD510" i="77"/>
  <c r="AD511" i="77"/>
  <c r="AD512" i="77"/>
  <c r="AD547" i="77"/>
  <c r="AD548" i="77"/>
  <c r="AD549" i="77"/>
  <c r="AD550" i="77"/>
  <c r="AD552" i="77"/>
  <c r="AD553" i="77"/>
  <c r="AD554" i="77"/>
  <c r="AD555" i="77"/>
  <c r="AD556" i="77"/>
  <c r="AD557" i="77"/>
  <c r="AD558" i="77"/>
  <c r="AD576" i="77"/>
  <c r="AD577" i="77"/>
  <c r="AD578" i="77"/>
  <c r="AD579" i="77"/>
  <c r="AD580" i="77"/>
  <c r="AD581" i="77"/>
  <c r="AD663" i="77"/>
  <c r="AD96" i="77"/>
  <c r="BJ579" i="77" l="1"/>
  <c r="BK579" i="77" s="1"/>
  <c r="BJ578" i="77"/>
  <c r="BK578" i="77" s="1"/>
  <c r="BG557" i="77"/>
  <c r="BH557" i="77" s="1"/>
  <c r="BJ581" i="77"/>
  <c r="BK581" i="77" s="1"/>
  <c r="BJ577" i="77"/>
  <c r="BK577" i="77" s="1"/>
  <c r="BG556" i="77"/>
  <c r="BH556" i="77" s="1"/>
  <c r="BG580" i="77"/>
  <c r="BH580" i="77" s="1"/>
  <c r="BJ576" i="77"/>
  <c r="BK576" i="77" s="1"/>
  <c r="BG558" i="77"/>
  <c r="BH558" i="77" s="1"/>
  <c r="BJ554" i="77"/>
  <c r="BK554" i="77" s="1"/>
  <c r="BJ551" i="77"/>
  <c r="BK551" i="77" s="1"/>
  <c r="BJ547" i="77"/>
  <c r="BK547" i="77" s="1"/>
  <c r="BJ552" i="77"/>
  <c r="BK552" i="77" s="1"/>
  <c r="BJ549" i="77"/>
  <c r="BK549" i="77" s="1"/>
  <c r="BJ555" i="77"/>
  <c r="BK555" i="77" s="1"/>
  <c r="BG548" i="77"/>
  <c r="BH548" i="77" s="1"/>
  <c r="BJ553" i="77"/>
  <c r="BK553" i="77" s="1"/>
  <c r="BJ550" i="77"/>
  <c r="BK550" i="77" s="1"/>
  <c r="BJ510" i="77"/>
  <c r="BK510" i="77" s="1"/>
  <c r="BJ513" i="77"/>
  <c r="BK513" i="77" s="1"/>
  <c r="BJ509" i="77"/>
  <c r="BK509" i="77" s="1"/>
  <c r="BJ511" i="77"/>
  <c r="BK511" i="77" s="1"/>
  <c r="BJ512" i="77"/>
  <c r="BK512" i="77" s="1"/>
  <c r="BG508" i="77"/>
  <c r="BH508" i="77" s="1"/>
  <c r="BJ489" i="77"/>
  <c r="BK489" i="77" s="1"/>
  <c r="BJ490" i="77"/>
  <c r="BK490" i="77" s="1"/>
  <c r="BJ487" i="77"/>
  <c r="BK487" i="77" s="1"/>
  <c r="BJ486" i="77"/>
  <c r="BK486" i="77" s="1"/>
  <c r="BJ488" i="77"/>
  <c r="BK488" i="77" s="1"/>
  <c r="BJ484" i="77"/>
  <c r="BK484" i="77" s="1"/>
  <c r="BJ485" i="77"/>
  <c r="BK485" i="77" s="1"/>
  <c r="BG483" i="77"/>
  <c r="BH483" i="77" s="1"/>
  <c r="BJ476" i="77"/>
  <c r="BK476" i="77" s="1"/>
  <c r="BJ436" i="77"/>
  <c r="BK436" i="77" s="1"/>
  <c r="BJ432" i="77"/>
  <c r="BK432" i="77" s="1"/>
  <c r="BJ439" i="77"/>
  <c r="BK439" i="77" s="1"/>
  <c r="BJ437" i="77"/>
  <c r="BK437" i="77" s="1"/>
  <c r="BJ433" i="77"/>
  <c r="BK433" i="77" s="1"/>
  <c r="BJ438" i="77"/>
  <c r="BK438" i="77" s="1"/>
  <c r="BJ434" i="77"/>
  <c r="BK434" i="77" s="1"/>
  <c r="BJ435" i="77"/>
  <c r="BK435" i="77" s="1"/>
  <c r="BJ331" i="77"/>
  <c r="BK331" i="77" s="1"/>
  <c r="BJ269" i="77"/>
  <c r="BK269" i="77" s="1"/>
  <c r="BJ271" i="77"/>
  <c r="BK271" i="77" s="1"/>
  <c r="BJ330" i="77"/>
  <c r="BK330" i="77" s="1"/>
  <c r="BJ268" i="77"/>
  <c r="BK268" i="77" s="1"/>
  <c r="BJ328" i="77"/>
  <c r="BK328" i="77" s="1"/>
  <c r="BJ267" i="77"/>
  <c r="BK267" i="77" s="1"/>
  <c r="BJ329" i="77"/>
  <c r="BK329" i="77" s="1"/>
  <c r="BJ270" i="77"/>
  <c r="BK270" i="77" s="1"/>
  <c r="BJ266" i="77"/>
  <c r="BK266" i="77" s="1"/>
  <c r="BG313" i="77"/>
  <c r="BH313" i="77" s="1"/>
  <c r="BJ225" i="77"/>
  <c r="BK225" i="77" s="1"/>
  <c r="BJ255" i="77"/>
  <c r="BK255" i="77" s="1"/>
  <c r="BJ254" i="77"/>
  <c r="BK254" i="77" s="1"/>
  <c r="BJ256" i="77"/>
  <c r="BK256" i="77" s="1"/>
  <c r="BJ252" i="77"/>
  <c r="BK252" i="77" s="1"/>
  <c r="BJ253" i="77"/>
  <c r="BK253" i="77" s="1"/>
  <c r="BJ224" i="77"/>
  <c r="BK224" i="77" s="1"/>
  <c r="BJ167" i="77"/>
  <c r="BK167" i="77" s="1"/>
  <c r="BI143" i="77"/>
  <c r="AF105" i="77"/>
  <c r="AE105" i="77" s="1"/>
  <c r="AN105" i="77" s="1"/>
  <c r="BG105" i="77" s="1"/>
  <c r="BH105" i="77" s="1"/>
  <c r="AF102" i="77"/>
  <c r="AE102" i="77" s="1"/>
  <c r="AN102" i="77" s="1"/>
  <c r="BG102" i="77" s="1"/>
  <c r="BH102" i="77" s="1"/>
  <c r="AQ101" i="77"/>
  <c r="AF101" i="77"/>
  <c r="AE101" i="77" s="1"/>
  <c r="AN101" i="77" s="1"/>
  <c r="BG101" i="77" s="1"/>
  <c r="BH101" i="77" s="1"/>
  <c r="AQ122" i="77"/>
  <c r="AF122" i="77"/>
  <c r="AE122" i="77" s="1"/>
  <c r="AN122" i="77" s="1"/>
  <c r="BG122" i="77" s="1"/>
  <c r="BH122" i="77" s="1"/>
  <c r="AO109" i="77"/>
  <c r="AF109" i="77"/>
  <c r="AE109" i="77" s="1"/>
  <c r="AN109" i="77" s="1"/>
  <c r="BJ109" i="77" s="1"/>
  <c r="BK109" i="77" s="1"/>
  <c r="AF108" i="77"/>
  <c r="AE108" i="77" s="1"/>
  <c r="AN108" i="77" s="1"/>
  <c r="BJ108" i="77" s="1"/>
  <c r="BK108" i="77" s="1"/>
  <c r="AP107" i="77"/>
  <c r="AQ107" i="77" s="1"/>
  <c r="AO108" i="77"/>
  <c r="AF107" i="77"/>
  <c r="AE107" i="77" s="1"/>
  <c r="AN107" i="77" s="1"/>
  <c r="BJ107" i="77" s="1"/>
  <c r="BK107" i="77" s="1"/>
  <c r="AF120" i="77"/>
  <c r="AE120" i="77" s="1"/>
  <c r="AN120" i="77" s="1"/>
  <c r="BG120" i="77" s="1"/>
  <c r="BH120" i="77" s="1"/>
  <c r="AF81" i="77"/>
  <c r="AE81" i="77" s="1"/>
  <c r="AN81" i="77" s="1"/>
  <c r="BJ81" i="77" s="1"/>
  <c r="BK81" i="77" s="1"/>
  <c r="AF87" i="77"/>
  <c r="AE87" i="77" s="1"/>
  <c r="AN87" i="77" s="1"/>
  <c r="BJ87" i="77" s="1"/>
  <c r="BK87" i="77" s="1"/>
  <c r="AF88" i="77"/>
  <c r="AE88" i="77" s="1"/>
  <c r="AN88" i="77" s="1"/>
  <c r="BJ88" i="77" s="1"/>
  <c r="BK88" i="77" s="1"/>
  <c r="AF43" i="77"/>
  <c r="AE43" i="77" s="1"/>
  <c r="AN43" i="77" s="1"/>
  <c r="BG43" i="77" s="1"/>
  <c r="BH43" i="77" s="1"/>
  <c r="AF80" i="77"/>
  <c r="AE80" i="77" s="1"/>
  <c r="AN80" i="77" s="1"/>
  <c r="BJ80" i="77" s="1"/>
  <c r="BK80" i="77" s="1"/>
  <c r="AF44" i="77"/>
  <c r="AE44" i="77" s="1"/>
  <c r="AN44" i="77" s="1"/>
  <c r="BG44" i="77" s="1"/>
  <c r="BH44" i="77" s="1"/>
  <c r="AF51" i="77"/>
  <c r="AE51" i="77" s="1"/>
  <c r="AN51" i="77" s="1"/>
  <c r="BG51" i="77" s="1"/>
  <c r="BH51" i="77" s="1"/>
  <c r="AO51" i="77"/>
  <c r="AF50" i="77"/>
  <c r="AE50" i="77" s="1"/>
  <c r="AN50" i="77" s="1"/>
  <c r="BG50" i="77" s="1"/>
  <c r="BH50" i="77" s="1"/>
  <c r="AO50" i="77"/>
  <c r="AF33" i="77"/>
  <c r="AE33" i="77" s="1"/>
  <c r="AN33" i="77" s="1"/>
  <c r="BG33" i="77" s="1"/>
  <c r="BH33" i="77" s="1"/>
  <c r="AF32" i="77"/>
  <c r="AE32" i="77" s="1"/>
  <c r="AN32" i="77" s="1"/>
  <c r="BG32" i="77" s="1"/>
  <c r="BH32" i="77" s="1"/>
  <c r="AO38" i="77"/>
  <c r="BJ138" i="77"/>
  <c r="BK138" i="77" s="1"/>
  <c r="BJ133" i="77"/>
  <c r="BK133" i="77" s="1"/>
  <c r="BJ136" i="77"/>
  <c r="BK136" i="77" s="1"/>
  <c r="BJ132" i="77"/>
  <c r="BK132" i="77" s="1"/>
  <c r="BJ135" i="77"/>
  <c r="BK135" i="77" s="1"/>
  <c r="BJ137" i="77"/>
  <c r="BK137" i="77" s="1"/>
  <c r="BJ134" i="77"/>
  <c r="BK134" i="77" s="1"/>
  <c r="BK29" i="77"/>
  <c r="AA121" i="77"/>
  <c r="W121" i="77"/>
  <c r="AA118" i="77"/>
  <c r="W118" i="77"/>
  <c r="AA125" i="77"/>
  <c r="AD125" i="77" s="1"/>
  <c r="W125" i="77"/>
  <c r="AA124" i="77"/>
  <c r="W124" i="77"/>
  <c r="AA123" i="77"/>
  <c r="AP123" i="77" s="1"/>
  <c r="AQ123" i="77" s="1"/>
  <c r="W123" i="77"/>
  <c r="AA119" i="77"/>
  <c r="W119" i="77"/>
  <c r="AA117" i="77"/>
  <c r="AD117" i="77" s="1"/>
  <c r="W117" i="77"/>
  <c r="AD94" i="77"/>
  <c r="AA94" i="77"/>
  <c r="W94" i="77"/>
  <c r="AD93" i="77"/>
  <c r="AA93" i="77"/>
  <c r="W93" i="77"/>
  <c r="AD92" i="77"/>
  <c r="AA92" i="77"/>
  <c r="W92" i="77"/>
  <c r="AA91" i="77"/>
  <c r="W91" i="77"/>
  <c r="AD65" i="77"/>
  <c r="AA65" i="77"/>
  <c r="W65" i="77"/>
  <c r="AD64" i="77"/>
  <c r="AA64" i="77"/>
  <c r="W64" i="77"/>
  <c r="AD63" i="77"/>
  <c r="AA63" i="77"/>
  <c r="W63" i="77"/>
  <c r="AA62" i="77"/>
  <c r="W62" i="77"/>
  <c r="AD61" i="77"/>
  <c r="AA61" i="77"/>
  <c r="W61" i="77"/>
  <c r="AD60" i="77"/>
  <c r="AA60" i="77"/>
  <c r="W60" i="77"/>
  <c r="AD59" i="77"/>
  <c r="AA59" i="77"/>
  <c r="W59" i="77"/>
  <c r="AA58" i="77"/>
  <c r="W58" i="77"/>
  <c r="AP91" i="77" l="1"/>
  <c r="AQ91" i="77" s="1"/>
  <c r="AO91" i="77"/>
  <c r="AP124" i="77"/>
  <c r="AQ124" i="77" s="1"/>
  <c r="AO124" i="77"/>
  <c r="AP58" i="77"/>
  <c r="AQ58" i="77" s="1"/>
  <c r="AO58" i="77"/>
  <c r="AP62" i="77"/>
  <c r="AQ62" i="77" s="1"/>
  <c r="AO62" i="77"/>
  <c r="AP118" i="77"/>
  <c r="AQ118" i="77" s="1"/>
  <c r="AO118" i="77"/>
  <c r="AP119" i="77"/>
  <c r="AD119" i="77"/>
  <c r="AF119" i="77" s="1"/>
  <c r="AE119" i="77" s="1"/>
  <c r="AF121" i="77"/>
  <c r="AE121" i="77" s="1"/>
  <c r="AN121" i="77" s="1"/>
  <c r="AF118" i="77"/>
  <c r="AE118" i="77" s="1"/>
  <c r="AN118" i="77" s="1"/>
  <c r="AF92" i="77"/>
  <c r="AE92" i="77" s="1"/>
  <c r="AN92" i="77" s="1"/>
  <c r="AF123" i="77"/>
  <c r="AE123" i="77" s="1"/>
  <c r="AN123" i="77" s="1"/>
  <c r="AF125" i="77"/>
  <c r="AE125" i="77" s="1"/>
  <c r="AF124" i="77"/>
  <c r="AE124" i="77" s="1"/>
  <c r="AN124" i="77" s="1"/>
  <c r="AF59" i="77"/>
  <c r="AE59" i="77" s="1"/>
  <c r="AN59" i="77" s="1"/>
  <c r="AF61" i="77"/>
  <c r="AE61" i="77" s="1"/>
  <c r="AN61" i="77" s="1"/>
  <c r="AF117" i="77"/>
  <c r="AE117" i="77" s="1"/>
  <c r="AD91" i="77"/>
  <c r="AF91" i="77" s="1"/>
  <c r="AE91" i="77" s="1"/>
  <c r="AF63" i="77"/>
  <c r="AE63" i="77" s="1"/>
  <c r="AN63" i="77" s="1"/>
  <c r="AF94" i="77"/>
  <c r="AE94" i="77" s="1"/>
  <c r="AN94" i="77" s="1"/>
  <c r="AF64" i="77"/>
  <c r="AE64" i="77" s="1"/>
  <c r="AN64" i="77" s="1"/>
  <c r="AF93" i="77"/>
  <c r="AE93" i="77" s="1"/>
  <c r="AN93" i="77" s="1"/>
  <c r="AD58" i="77"/>
  <c r="AF58" i="77" s="1"/>
  <c r="AE58" i="77" s="1"/>
  <c r="AF60" i="77"/>
  <c r="AE60" i="77" s="1"/>
  <c r="AN60" i="77" s="1"/>
  <c r="AD62" i="77"/>
  <c r="AF62" i="77" s="1"/>
  <c r="AE62" i="77" s="1"/>
  <c r="AF65" i="77"/>
  <c r="AE65" i="77" s="1"/>
  <c r="AN65" i="77" s="1"/>
  <c r="BG64" i="77" l="1"/>
  <c r="BH64" i="77" s="1"/>
  <c r="BG60" i="77"/>
  <c r="BH60" i="77" s="1"/>
  <c r="BJ94" i="77"/>
  <c r="BK94" i="77" s="1"/>
  <c r="BG61" i="77"/>
  <c r="BH61" i="77" s="1"/>
  <c r="BG63" i="77"/>
  <c r="BH63" i="77" s="1"/>
  <c r="BG59" i="77"/>
  <c r="BH59" i="77" s="1"/>
  <c r="BG123" i="77"/>
  <c r="BH123" i="77" s="1"/>
  <c r="BG121" i="77"/>
  <c r="BH121" i="77" s="1"/>
  <c r="BJ118" i="77"/>
  <c r="BK118" i="77" s="1"/>
  <c r="BG65" i="77"/>
  <c r="BH65" i="77" s="1"/>
  <c r="BJ93" i="77"/>
  <c r="BK93" i="77" s="1"/>
  <c r="BJ124" i="77"/>
  <c r="BK124" i="77" s="1"/>
  <c r="BJ92" i="77"/>
  <c r="BK92" i="77" s="1"/>
  <c r="AQ119" i="77"/>
  <c r="AD69" i="77" l="1"/>
  <c r="AA69" i="77"/>
  <c r="W69" i="77"/>
  <c r="AD68" i="77"/>
  <c r="AA68" i="77"/>
  <c r="W68" i="77"/>
  <c r="AD67" i="77"/>
  <c r="AA67" i="77"/>
  <c r="W67" i="77"/>
  <c r="AA66" i="77"/>
  <c r="W66" i="77"/>
  <c r="AD57" i="77"/>
  <c r="AA57" i="77"/>
  <c r="W57" i="77"/>
  <c r="AD56" i="77"/>
  <c r="AA56" i="77"/>
  <c r="W56" i="77"/>
  <c r="AD55" i="77"/>
  <c r="AA55" i="77"/>
  <c r="W55" i="77"/>
  <c r="AA54" i="77"/>
  <c r="W54" i="77"/>
  <c r="AD53" i="77"/>
  <c r="AA53" i="77"/>
  <c r="W53" i="77"/>
  <c r="AD52" i="77"/>
  <c r="AA52" i="77"/>
  <c r="W52" i="77"/>
  <c r="AD49" i="77"/>
  <c r="AA49" i="77"/>
  <c r="W49" i="77"/>
  <c r="AD48" i="77"/>
  <c r="AA48" i="77"/>
  <c r="W48" i="77"/>
  <c r="AA47" i="77"/>
  <c r="AD47" i="77" s="1"/>
  <c r="W47" i="77"/>
  <c r="AD46" i="77"/>
  <c r="AA46" i="77"/>
  <c r="W46" i="77"/>
  <c r="AD45" i="77"/>
  <c r="AA45" i="77"/>
  <c r="W45" i="77"/>
  <c r="AD42" i="77"/>
  <c r="AA42" i="77"/>
  <c r="W42" i="77"/>
  <c r="AD41" i="77"/>
  <c r="AA41" i="77"/>
  <c r="W41" i="77"/>
  <c r="AA40" i="77"/>
  <c r="W40" i="77"/>
  <c r="AA39" i="77"/>
  <c r="W39" i="77"/>
  <c r="AA37" i="77"/>
  <c r="W37" i="77"/>
  <c r="AA36" i="77"/>
  <c r="AD36" i="77" s="1"/>
  <c r="W36" i="77"/>
  <c r="AD35" i="77"/>
  <c r="AA35" i="77"/>
  <c r="W35" i="77"/>
  <c r="AD34" i="77"/>
  <c r="AA34" i="77"/>
  <c r="W34" i="77"/>
  <c r="AD31" i="77"/>
  <c r="AA31" i="77"/>
  <c r="W31" i="77"/>
  <c r="AD30" i="77"/>
  <c r="AA30" i="77"/>
  <c r="W30" i="77"/>
  <c r="AA29" i="77"/>
  <c r="W29" i="77"/>
  <c r="AD28" i="77"/>
  <c r="AA28" i="77"/>
  <c r="W28" i="77"/>
  <c r="AD27" i="77"/>
  <c r="AA27" i="77"/>
  <c r="W27" i="77"/>
  <c r="AD26" i="77"/>
  <c r="AA26" i="77"/>
  <c r="W26" i="77"/>
  <c r="AD25" i="77"/>
  <c r="AA25" i="77"/>
  <c r="W25" i="77"/>
  <c r="AD24" i="77"/>
  <c r="AA24" i="77"/>
  <c r="W24" i="77"/>
  <c r="AD23" i="77"/>
  <c r="AA23" i="77"/>
  <c r="W23" i="77"/>
  <c r="AA22" i="77"/>
  <c r="AD22" i="77" s="1"/>
  <c r="W22" i="77"/>
  <c r="AD21" i="77"/>
  <c r="AA21" i="77"/>
  <c r="W21" i="77"/>
  <c r="AA20" i="77"/>
  <c r="W20" i="77"/>
  <c r="AD19" i="77"/>
  <c r="AA19" i="77"/>
  <c r="W19" i="77"/>
  <c r="AA18" i="77"/>
  <c r="AD18" i="77" s="1"/>
  <c r="W18" i="77"/>
  <c r="AA17" i="77"/>
  <c r="W17" i="77"/>
  <c r="AA16" i="77"/>
  <c r="W16" i="77"/>
  <c r="AA15" i="77"/>
  <c r="W15" i="77"/>
  <c r="AA14" i="77"/>
  <c r="W14" i="77"/>
  <c r="AA13" i="77"/>
  <c r="W13" i="77"/>
  <c r="AA12" i="77"/>
  <c r="W12" i="77"/>
  <c r="AA11" i="77"/>
  <c r="W11" i="77"/>
  <c r="AA10" i="77"/>
  <c r="W10" i="77"/>
  <c r="AA136" i="77"/>
  <c r="BD136" i="77" s="1"/>
  <c r="W136" i="77"/>
  <c r="AA135" i="77"/>
  <c r="W135" i="77"/>
  <c r="AA134" i="77"/>
  <c r="AV134" i="77" s="1"/>
  <c r="W134" i="77"/>
  <c r="W133" i="77"/>
  <c r="AA132" i="77"/>
  <c r="AU132" i="77" s="1"/>
  <c r="W132" i="77"/>
  <c r="AA131" i="77"/>
  <c r="W131" i="77"/>
  <c r="AA130" i="77"/>
  <c r="W130" i="77"/>
  <c r="AA129" i="77"/>
  <c r="W129" i="77"/>
  <c r="AA128" i="77"/>
  <c r="W128" i="77"/>
  <c r="AA127" i="77"/>
  <c r="AD127" i="77" s="1"/>
  <c r="W127" i="77"/>
  <c r="AA126" i="77"/>
  <c r="W126" i="77"/>
  <c r="AA116" i="77"/>
  <c r="W116" i="77"/>
  <c r="AA115" i="77"/>
  <c r="AD115" i="77" s="1"/>
  <c r="W115" i="77"/>
  <c r="AA114" i="77"/>
  <c r="W114" i="77"/>
  <c r="AA113" i="77"/>
  <c r="AD113" i="77" s="1"/>
  <c r="W113" i="77"/>
  <c r="AA112" i="77"/>
  <c r="W112" i="77"/>
  <c r="AA111" i="77"/>
  <c r="W111" i="77"/>
  <c r="AA110" i="77"/>
  <c r="W110" i="77"/>
  <c r="AA106" i="77"/>
  <c r="W106" i="77"/>
  <c r="AA104" i="77"/>
  <c r="W104" i="77"/>
  <c r="AA103" i="77"/>
  <c r="W103" i="77"/>
  <c r="AA100" i="77"/>
  <c r="AP100" i="77" s="1"/>
  <c r="W100" i="77"/>
  <c r="AA99" i="77"/>
  <c r="AD99" i="77" s="1"/>
  <c r="W99" i="77"/>
  <c r="AA98" i="77"/>
  <c r="W98" i="77"/>
  <c r="AA97" i="77"/>
  <c r="W97" i="77"/>
  <c r="AA96" i="77"/>
  <c r="W96" i="77"/>
  <c r="AA95" i="77"/>
  <c r="W95" i="77"/>
  <c r="AD90" i="77"/>
  <c r="AA90" i="77"/>
  <c r="W90" i="77"/>
  <c r="AD89" i="77"/>
  <c r="AA89" i="77"/>
  <c r="W89" i="77"/>
  <c r="AD86" i="77"/>
  <c r="AA86" i="77"/>
  <c r="W86" i="77"/>
  <c r="AD85" i="77"/>
  <c r="AA85" i="77"/>
  <c r="W85" i="77"/>
  <c r="AA84" i="77"/>
  <c r="W84" i="77"/>
  <c r="AD83" i="77"/>
  <c r="AA83" i="77"/>
  <c r="W83" i="77"/>
  <c r="AD82" i="77"/>
  <c r="AA82" i="77"/>
  <c r="W82" i="77"/>
  <c r="AD79" i="77"/>
  <c r="AA79" i="77"/>
  <c r="W79" i="77"/>
  <c r="AD78" i="77"/>
  <c r="AA78" i="77"/>
  <c r="W78" i="77"/>
  <c r="AA77" i="77"/>
  <c r="W77" i="77"/>
  <c r="AD76" i="77"/>
  <c r="AA76" i="77"/>
  <c r="W76" i="77"/>
  <c r="AD75" i="77"/>
  <c r="AA75" i="77"/>
  <c r="W75" i="77"/>
  <c r="AD74" i="77"/>
  <c r="AA74" i="77"/>
  <c r="W74" i="77"/>
  <c r="AD73" i="77"/>
  <c r="AA73" i="77"/>
  <c r="W73" i="77"/>
  <c r="AD72" i="77"/>
  <c r="AA72" i="77"/>
  <c r="W72" i="77"/>
  <c r="AD71" i="77"/>
  <c r="AA71" i="77"/>
  <c r="W71" i="77"/>
  <c r="AA70" i="77"/>
  <c r="AD70" i="77" s="1"/>
  <c r="W70" i="77"/>
  <c r="AA183" i="77"/>
  <c r="W183" i="77"/>
  <c r="AA182" i="77"/>
  <c r="W182" i="77"/>
  <c r="AA181" i="77"/>
  <c r="W181" i="77"/>
  <c r="AA180" i="77"/>
  <c r="W180" i="77"/>
  <c r="AA179" i="77"/>
  <c r="W179" i="77"/>
  <c r="AA178" i="77"/>
  <c r="AD178" i="77" s="1"/>
  <c r="W178" i="77"/>
  <c r="AA177" i="77"/>
  <c r="W177" i="77"/>
  <c r="AA176" i="77"/>
  <c r="W176" i="77"/>
  <c r="AA175" i="77"/>
  <c r="W175" i="77"/>
  <c r="AA174" i="77"/>
  <c r="W174" i="77"/>
  <c r="AA173" i="77"/>
  <c r="W173" i="77"/>
  <c r="AA172" i="77"/>
  <c r="W172" i="77"/>
  <c r="AA171" i="77"/>
  <c r="W171" i="77"/>
  <c r="AA170" i="77"/>
  <c r="W170" i="77"/>
  <c r="AA169" i="77"/>
  <c r="W169" i="77"/>
  <c r="AA168" i="77"/>
  <c r="W168" i="77"/>
  <c r="AA167" i="77"/>
  <c r="W167" i="77"/>
  <c r="AA166" i="77"/>
  <c r="W166" i="77"/>
  <c r="AA164" i="77"/>
  <c r="W164" i="77"/>
  <c r="AA163" i="77"/>
  <c r="W163" i="77"/>
  <c r="AA162" i="77"/>
  <c r="W162" i="77"/>
  <c r="AA161" i="77"/>
  <c r="W161" i="77"/>
  <c r="AA160" i="77"/>
  <c r="W160" i="77"/>
  <c r="AA159" i="77"/>
  <c r="W159" i="77"/>
  <c r="AA158" i="77"/>
  <c r="W158" i="77"/>
  <c r="AA157" i="77"/>
  <c r="W157" i="77"/>
  <c r="AA156" i="77"/>
  <c r="W156" i="77"/>
  <c r="AA155" i="77"/>
  <c r="W155" i="77"/>
  <c r="AA154" i="77"/>
  <c r="W154" i="77"/>
  <c r="AA153" i="77"/>
  <c r="W153" i="77"/>
  <c r="AA152" i="77"/>
  <c r="W152" i="77"/>
  <c r="AA151" i="77"/>
  <c r="W151" i="77"/>
  <c r="W147" i="77"/>
  <c r="AA138" i="77"/>
  <c r="W138" i="77"/>
  <c r="AA137" i="77"/>
  <c r="W137" i="77"/>
  <c r="AA245" i="77"/>
  <c r="AD245" i="77" s="1"/>
  <c r="W245" i="77"/>
  <c r="AA244" i="77"/>
  <c r="AP244" i="77" s="1"/>
  <c r="W244" i="77"/>
  <c r="AA243" i="77"/>
  <c r="AD243" i="77" s="1"/>
  <c r="W243" i="77"/>
  <c r="AA241" i="77"/>
  <c r="AD241" i="77" s="1"/>
  <c r="W241" i="77"/>
  <c r="AA240" i="77"/>
  <c r="W240" i="77"/>
  <c r="AA239" i="77"/>
  <c r="AD239" i="77" s="1"/>
  <c r="W239" i="77"/>
  <c r="AA238" i="77"/>
  <c r="W238" i="77"/>
  <c r="AA237" i="77"/>
  <c r="AD237" i="77" s="1"/>
  <c r="W237" i="77"/>
  <c r="AA236" i="77"/>
  <c r="AP236" i="77" s="1"/>
  <c r="AQ236" i="77" s="1"/>
  <c r="W236" i="77"/>
  <c r="AA234" i="77"/>
  <c r="AD234" i="77" s="1"/>
  <c r="W234" i="77"/>
  <c r="AA233" i="77"/>
  <c r="W233" i="77"/>
  <c r="AA231" i="77"/>
  <c r="W231" i="77"/>
  <c r="AA230" i="77"/>
  <c r="AO230" i="77" s="1"/>
  <c r="W230" i="77"/>
  <c r="AA225" i="77"/>
  <c r="W225" i="77"/>
  <c r="AA224" i="77"/>
  <c r="BD224" i="77" s="1"/>
  <c r="W224" i="77"/>
  <c r="AA221" i="77"/>
  <c r="W221" i="77"/>
  <c r="AA220" i="77"/>
  <c r="W220" i="77"/>
  <c r="AA219" i="77"/>
  <c r="W219" i="77"/>
  <c r="AA218" i="77"/>
  <c r="AD218" i="77" s="1"/>
  <c r="W218" i="77"/>
  <c r="AA217" i="77"/>
  <c r="W217" i="77"/>
  <c r="AA216" i="77"/>
  <c r="AO216" i="77" s="1"/>
  <c r="W216" i="77"/>
  <c r="AA215" i="77"/>
  <c r="W215" i="77"/>
  <c r="AA214" i="77"/>
  <c r="AD214" i="77" s="1"/>
  <c r="W214" i="77"/>
  <c r="AA213" i="77"/>
  <c r="W213" i="77"/>
  <c r="AA211" i="77"/>
  <c r="W211" i="77"/>
  <c r="AA210" i="77"/>
  <c r="AD210" i="77" s="1"/>
  <c r="W210" i="77"/>
  <c r="AA209" i="77"/>
  <c r="W209" i="77"/>
  <c r="AA208" i="77"/>
  <c r="W208" i="77"/>
  <c r="AA207" i="77"/>
  <c r="W207" i="77"/>
  <c r="AA206" i="77"/>
  <c r="W206" i="77"/>
  <c r="AA205" i="77"/>
  <c r="W205" i="77"/>
  <c r="AA204" i="77"/>
  <c r="W204" i="77"/>
  <c r="AA203" i="77"/>
  <c r="W203" i="77"/>
  <c r="AA201" i="77"/>
  <c r="W201" i="77"/>
  <c r="AA200" i="77"/>
  <c r="W200" i="77"/>
  <c r="AA199" i="77"/>
  <c r="W199" i="77"/>
  <c r="AA198" i="77"/>
  <c r="W198" i="77"/>
  <c r="AA197" i="77"/>
  <c r="W197" i="77"/>
  <c r="AA196" i="77"/>
  <c r="W196" i="77"/>
  <c r="AA195" i="77"/>
  <c r="W195" i="77"/>
  <c r="AA194" i="77"/>
  <c r="W194" i="77"/>
  <c r="AA193" i="77"/>
  <c r="W193" i="77"/>
  <c r="AA192" i="77"/>
  <c r="W192" i="77"/>
  <c r="AA191" i="77"/>
  <c r="W191" i="77"/>
  <c r="AA190" i="77"/>
  <c r="W190" i="77"/>
  <c r="AA189" i="77"/>
  <c r="W189" i="77"/>
  <c r="AA187" i="77"/>
  <c r="W187" i="77"/>
  <c r="AA186" i="77"/>
  <c r="W186" i="77"/>
  <c r="AA185" i="77"/>
  <c r="W185" i="77"/>
  <c r="AA184" i="77"/>
  <c r="W184" i="77"/>
  <c r="AA295" i="77"/>
  <c r="W295" i="77"/>
  <c r="AA294" i="77"/>
  <c r="W294" i="77"/>
  <c r="AA293" i="77"/>
  <c r="AD293" i="77" s="1"/>
  <c r="W293" i="77"/>
  <c r="AA292" i="77"/>
  <c r="W292" i="77"/>
  <c r="AA291" i="77"/>
  <c r="W291" i="77"/>
  <c r="AA288" i="77"/>
  <c r="W288" i="77"/>
  <c r="AA287" i="77"/>
  <c r="W287" i="77"/>
  <c r="AA286" i="77"/>
  <c r="W286" i="77"/>
  <c r="AA285" i="77"/>
  <c r="W285" i="77"/>
  <c r="AA284" i="77"/>
  <c r="W284" i="77"/>
  <c r="AA281" i="77"/>
  <c r="W281" i="77"/>
  <c r="AA280" i="77"/>
  <c r="W280" i="77"/>
  <c r="AA279" i="77"/>
  <c r="W279" i="77"/>
  <c r="AA278" i="77"/>
  <c r="W278" i="77"/>
  <c r="AA277" i="77"/>
  <c r="W277" i="77"/>
  <c r="AA274" i="77"/>
  <c r="W274" i="77"/>
  <c r="AA273" i="77"/>
  <c r="W273" i="77"/>
  <c r="AA272" i="77"/>
  <c r="AD272" i="77" s="1"/>
  <c r="W272" i="77"/>
  <c r="AA271" i="77"/>
  <c r="BD271" i="77" s="1"/>
  <c r="W271" i="77"/>
  <c r="AA270" i="77"/>
  <c r="BD270" i="77" s="1"/>
  <c r="W270" i="77"/>
  <c r="AA269" i="77"/>
  <c r="W269" i="77"/>
  <c r="AA268" i="77"/>
  <c r="W268" i="77"/>
  <c r="AA267" i="77"/>
  <c r="AV267" i="77" s="1"/>
  <c r="W267" i="77"/>
  <c r="AA266" i="77"/>
  <c r="W266" i="77"/>
  <c r="AA265" i="77"/>
  <c r="W265" i="77"/>
  <c r="AA264" i="77"/>
  <c r="W264" i="77"/>
  <c r="AA263" i="77"/>
  <c r="W263" i="77"/>
  <c r="AA262" i="77"/>
  <c r="W262" i="77"/>
  <c r="AA259" i="77"/>
  <c r="W259" i="77"/>
  <c r="AA258" i="77"/>
  <c r="W258" i="77"/>
  <c r="AA257" i="77"/>
  <c r="AD257" i="77" s="1"/>
  <c r="W257" i="77"/>
  <c r="AA256" i="77"/>
  <c r="BD256" i="77" s="1"/>
  <c r="W256" i="77"/>
  <c r="AA255" i="77"/>
  <c r="W255" i="77"/>
  <c r="AA254" i="77"/>
  <c r="AV254" i="77" s="1"/>
  <c r="W254" i="77"/>
  <c r="AA253" i="77"/>
  <c r="W253" i="77"/>
  <c r="AA252" i="77"/>
  <c r="AU252" i="77" s="1"/>
  <c r="W252" i="77"/>
  <c r="AA251" i="77"/>
  <c r="AP251" i="77" s="1"/>
  <c r="AQ251" i="77" s="1"/>
  <c r="W251" i="77"/>
  <c r="AA250" i="77"/>
  <c r="W250" i="77"/>
  <c r="AA249" i="77"/>
  <c r="W249" i="77"/>
  <c r="AA248" i="77"/>
  <c r="W248" i="77"/>
  <c r="AA247" i="77"/>
  <c r="AD247" i="77" s="1"/>
  <c r="W247" i="77"/>
  <c r="AA246" i="77"/>
  <c r="W246" i="77"/>
  <c r="AA339" i="77"/>
  <c r="W339" i="77"/>
  <c r="AA336" i="77"/>
  <c r="W336" i="77"/>
  <c r="AA335" i="77"/>
  <c r="W335" i="77"/>
  <c r="AA334" i="77"/>
  <c r="AD334" i="77" s="1"/>
  <c r="W334" i="77"/>
  <c r="AA333" i="77"/>
  <c r="W333" i="77"/>
  <c r="AA332" i="77"/>
  <c r="W332" i="77"/>
  <c r="AA331" i="77"/>
  <c r="BD331" i="77" s="1"/>
  <c r="W331" i="77"/>
  <c r="AA330" i="77"/>
  <c r="BD330" i="77" s="1"/>
  <c r="W330" i="77"/>
  <c r="AA329" i="77"/>
  <c r="W329" i="77"/>
  <c r="AA328" i="77"/>
  <c r="AU328" i="77" s="1"/>
  <c r="W328" i="77"/>
  <c r="AA327" i="77"/>
  <c r="W327" i="77"/>
  <c r="AA326" i="77"/>
  <c r="AD326" i="77" s="1"/>
  <c r="W326" i="77"/>
  <c r="AA325" i="77"/>
  <c r="AP325" i="77" s="1"/>
  <c r="AQ325" i="77" s="1"/>
  <c r="W325" i="77"/>
  <c r="AA324" i="77"/>
  <c r="AP324" i="77" s="1"/>
  <c r="AQ324" i="77" s="1"/>
  <c r="W324" i="77"/>
  <c r="AA323" i="77"/>
  <c r="W323" i="77"/>
  <c r="AA322" i="77"/>
  <c r="W322" i="77"/>
  <c r="AA321" i="77"/>
  <c r="W321" i="77"/>
  <c r="AA320" i="77"/>
  <c r="W320" i="77"/>
  <c r="AA319" i="77"/>
  <c r="W319" i="77"/>
  <c r="AA318" i="77"/>
  <c r="W318" i="77"/>
  <c r="AA314" i="77"/>
  <c r="W314" i="77"/>
  <c r="AA313" i="77"/>
  <c r="W313" i="77"/>
  <c r="AA312" i="77"/>
  <c r="W312" i="77"/>
  <c r="AA311" i="77"/>
  <c r="W311" i="77"/>
  <c r="AA310" i="77"/>
  <c r="W310" i="77"/>
  <c r="AA309" i="77"/>
  <c r="AD309" i="77" s="1"/>
  <c r="W309" i="77"/>
  <c r="AA308" i="77"/>
  <c r="W308" i="77"/>
  <c r="AA307" i="77"/>
  <c r="AD307" i="77" s="1"/>
  <c r="W307" i="77"/>
  <c r="AA303" i="77"/>
  <c r="AP303" i="77" s="1"/>
  <c r="AQ303" i="77" s="1"/>
  <c r="W303" i="77"/>
  <c r="AA302" i="77"/>
  <c r="AP302" i="77" s="1"/>
  <c r="AQ302" i="77" s="1"/>
  <c r="W302" i="77"/>
  <c r="AA301" i="77"/>
  <c r="AP301" i="77" s="1"/>
  <c r="AQ301" i="77" s="1"/>
  <c r="W301" i="77"/>
  <c r="AA300" i="77"/>
  <c r="AD300" i="77" s="1"/>
  <c r="W300" i="77"/>
  <c r="AA297" i="77"/>
  <c r="W297" i="77"/>
  <c r="AA296" i="77"/>
  <c r="W296" i="77"/>
  <c r="AA402" i="77"/>
  <c r="AP402" i="77" s="1"/>
  <c r="W402" i="77"/>
  <c r="AA401" i="77"/>
  <c r="AD401" i="77" s="1"/>
  <c r="W401" i="77"/>
  <c r="AA400" i="77"/>
  <c r="W400" i="77"/>
  <c r="AA399" i="77"/>
  <c r="W399" i="77"/>
  <c r="AA398" i="77"/>
  <c r="W398" i="77"/>
  <c r="AA397" i="77"/>
  <c r="W397" i="77"/>
  <c r="AA396" i="77"/>
  <c r="AP396" i="77" s="1"/>
  <c r="AQ396" i="77" s="1"/>
  <c r="W396" i="77"/>
  <c r="AA395" i="77"/>
  <c r="AP395" i="77" s="1"/>
  <c r="AQ395" i="77" s="1"/>
  <c r="W395" i="77"/>
  <c r="AA394" i="77"/>
  <c r="AD394" i="77" s="1"/>
  <c r="W394" i="77"/>
  <c r="AA393" i="77"/>
  <c r="W393" i="77"/>
  <c r="AA392" i="77"/>
  <c r="W392" i="77"/>
  <c r="AA391" i="77"/>
  <c r="AO391" i="77" s="1"/>
  <c r="W391" i="77"/>
  <c r="AA390" i="77"/>
  <c r="W390" i="77"/>
  <c r="AA389" i="77"/>
  <c r="AD389" i="77" s="1"/>
  <c r="W389" i="77"/>
  <c r="AA388" i="77"/>
  <c r="W388" i="77"/>
  <c r="AA387" i="77"/>
  <c r="AD387" i="77" s="1"/>
  <c r="W387" i="77"/>
  <c r="AA386" i="77"/>
  <c r="W386" i="77"/>
  <c r="AA385" i="77"/>
  <c r="W385" i="77"/>
  <c r="AA384" i="77"/>
  <c r="W384" i="77"/>
  <c r="AA383" i="77"/>
  <c r="W383" i="77"/>
  <c r="AA382" i="77"/>
  <c r="AD382" i="77" s="1"/>
  <c r="W382" i="77"/>
  <c r="AA381" i="77"/>
  <c r="W381" i="77"/>
  <c r="AA380" i="77"/>
  <c r="W380" i="77"/>
  <c r="AA379" i="77"/>
  <c r="W379" i="77"/>
  <c r="AA378" i="77"/>
  <c r="W378" i="77"/>
  <c r="AA377" i="77"/>
  <c r="AO377" i="77" s="1"/>
  <c r="W377" i="77"/>
  <c r="AA376" i="77"/>
  <c r="W376" i="77"/>
  <c r="AA375" i="77"/>
  <c r="W375" i="77"/>
  <c r="AA374" i="77"/>
  <c r="W374" i="77"/>
  <c r="AA373" i="77"/>
  <c r="W373" i="77"/>
  <c r="AA372" i="77"/>
  <c r="AD372" i="77" s="1"/>
  <c r="W372" i="77"/>
  <c r="AA371" i="77"/>
  <c r="W371" i="77"/>
  <c r="AA370" i="77"/>
  <c r="W370" i="77"/>
  <c r="AA369" i="77"/>
  <c r="W369" i="77"/>
  <c r="AA368" i="77"/>
  <c r="W368" i="77"/>
  <c r="AA367" i="77"/>
  <c r="W367" i="77"/>
  <c r="AA366" i="77"/>
  <c r="W366" i="77"/>
  <c r="AA365" i="77"/>
  <c r="W365" i="77"/>
  <c r="AA364" i="77"/>
  <c r="W364" i="77"/>
  <c r="AA363" i="77"/>
  <c r="W363" i="77"/>
  <c r="AA362" i="77"/>
  <c r="AD362" i="77" s="1"/>
  <c r="W362" i="77"/>
  <c r="AA361" i="77"/>
  <c r="W361" i="77"/>
  <c r="AA360" i="77"/>
  <c r="W360" i="77"/>
  <c r="AA359" i="77"/>
  <c r="W359" i="77"/>
  <c r="AA358" i="77"/>
  <c r="W358" i="77"/>
  <c r="AA356" i="77"/>
  <c r="W356" i="77"/>
  <c r="AA354" i="77"/>
  <c r="W354" i="77"/>
  <c r="AA352" i="77"/>
  <c r="W352" i="77"/>
  <c r="AA351" i="77"/>
  <c r="W351" i="77"/>
  <c r="AA350" i="77"/>
  <c r="W350" i="77"/>
  <c r="AA349" i="77"/>
  <c r="W349" i="77"/>
  <c r="AA348" i="77"/>
  <c r="W348" i="77"/>
  <c r="AA347" i="77"/>
  <c r="W347" i="77"/>
  <c r="AA346" i="77"/>
  <c r="W346" i="77"/>
  <c r="AA345" i="77"/>
  <c r="W345" i="77"/>
  <c r="AA344" i="77"/>
  <c r="W344" i="77"/>
  <c r="AA343" i="77"/>
  <c r="W343" i="77"/>
  <c r="AA342" i="77"/>
  <c r="W342" i="77"/>
  <c r="AA341" i="77"/>
  <c r="W341" i="77"/>
  <c r="AA340" i="77"/>
  <c r="W340" i="77"/>
  <c r="AA458" i="77"/>
  <c r="AD458" i="77" s="1"/>
  <c r="W458" i="77"/>
  <c r="AA457" i="77"/>
  <c r="W457" i="77"/>
  <c r="AA456" i="77"/>
  <c r="W456" i="77"/>
  <c r="AA455" i="77"/>
  <c r="W455" i="77"/>
  <c r="AA454" i="77"/>
  <c r="AD454" i="77" s="1"/>
  <c r="W454" i="77"/>
  <c r="AA449" i="77"/>
  <c r="W449" i="77"/>
  <c r="AA448" i="77"/>
  <c r="AD448" i="77" s="1"/>
  <c r="W448" i="77"/>
  <c r="AA441" i="77"/>
  <c r="W441" i="77"/>
  <c r="AA440" i="77"/>
  <c r="W440" i="77"/>
  <c r="AA439" i="77"/>
  <c r="W439" i="77"/>
  <c r="AA438" i="77"/>
  <c r="W438" i="77"/>
  <c r="AA437" i="77"/>
  <c r="BD437" i="77" s="1"/>
  <c r="W437" i="77"/>
  <c r="AA436" i="77"/>
  <c r="BD436" i="77" s="1"/>
  <c r="W436" i="77"/>
  <c r="AA435" i="77"/>
  <c r="W435" i="77"/>
  <c r="AA434" i="77"/>
  <c r="AV434" i="77" s="1"/>
  <c r="W434" i="77"/>
  <c r="AA433" i="77"/>
  <c r="W433" i="77"/>
  <c r="AA432" i="77"/>
  <c r="AU432" i="77" s="1"/>
  <c r="W432" i="77"/>
  <c r="AA431" i="77"/>
  <c r="W431" i="77"/>
  <c r="AA430" i="77"/>
  <c r="W430" i="77"/>
  <c r="AA429" i="77"/>
  <c r="AD429" i="77" s="1"/>
  <c r="W429" i="77"/>
  <c r="AA428" i="77"/>
  <c r="W428" i="77"/>
  <c r="AA427" i="77"/>
  <c r="W427" i="77"/>
  <c r="AA426" i="77"/>
  <c r="AD426" i="77" s="1"/>
  <c r="W426" i="77"/>
  <c r="AA425" i="77"/>
  <c r="W425" i="77"/>
  <c r="AA424" i="77"/>
  <c r="W424" i="77"/>
  <c r="AA423" i="77"/>
  <c r="W423" i="77"/>
  <c r="AA422" i="77"/>
  <c r="W422" i="77"/>
  <c r="AA421" i="77"/>
  <c r="AO421" i="77" s="1"/>
  <c r="W421" i="77"/>
  <c r="AA420" i="77"/>
  <c r="W420" i="77"/>
  <c r="AA419" i="77"/>
  <c r="W419" i="77"/>
  <c r="AA418" i="77"/>
  <c r="AO418" i="77" s="1"/>
  <c r="W418" i="77"/>
  <c r="AA417" i="77"/>
  <c r="W417" i="77"/>
  <c r="AA416" i="77"/>
  <c r="W416" i="77"/>
  <c r="AA415" i="77"/>
  <c r="W415" i="77"/>
  <c r="AA414" i="77"/>
  <c r="W414" i="77"/>
  <c r="AA413" i="77"/>
  <c r="W413" i="77"/>
  <c r="AA412" i="77"/>
  <c r="W412" i="77"/>
  <c r="AA411" i="77"/>
  <c r="W411" i="77"/>
  <c r="AA410" i="77"/>
  <c r="W410" i="77"/>
  <c r="AA409" i="77"/>
  <c r="W409" i="77"/>
  <c r="AA408" i="77"/>
  <c r="W408" i="77"/>
  <c r="AA407" i="77"/>
  <c r="W407" i="77"/>
  <c r="AA406" i="77"/>
  <c r="W406" i="77"/>
  <c r="AA405" i="77"/>
  <c r="W405" i="77"/>
  <c r="AA404" i="77"/>
  <c r="W404" i="77"/>
  <c r="AA403" i="77"/>
  <c r="W403" i="77"/>
  <c r="W519" i="77"/>
  <c r="W518" i="77"/>
  <c r="AD517" i="77"/>
  <c r="W517" i="77"/>
  <c r="AA516" i="77"/>
  <c r="W516" i="77"/>
  <c r="AA515" i="77"/>
  <c r="W515" i="77"/>
  <c r="AA514" i="77"/>
  <c r="AD514" i="77" s="1"/>
  <c r="W514" i="77"/>
  <c r="AA513" i="77"/>
  <c r="W513" i="77"/>
  <c r="AA512" i="77"/>
  <c r="BD512" i="77" s="1"/>
  <c r="W512" i="77"/>
  <c r="AA511" i="77"/>
  <c r="W511" i="77"/>
  <c r="AA510" i="77"/>
  <c r="W510" i="77"/>
  <c r="AA509" i="77"/>
  <c r="AV509" i="77" s="1"/>
  <c r="W509" i="77"/>
  <c r="AA508" i="77"/>
  <c r="AV508" i="77" s="1"/>
  <c r="W508" i="77"/>
  <c r="AA506" i="77"/>
  <c r="W506" i="77"/>
  <c r="AA505" i="77"/>
  <c r="AD505" i="77" s="1"/>
  <c r="W505" i="77"/>
  <c r="AA504" i="77"/>
  <c r="W504" i="77"/>
  <c r="AA503" i="77"/>
  <c r="W503" i="77"/>
  <c r="AA502" i="77"/>
  <c r="W502" i="77"/>
  <c r="AA501" i="77"/>
  <c r="W501" i="77"/>
  <c r="AA500" i="77"/>
  <c r="W500" i="77"/>
  <c r="AA499" i="77"/>
  <c r="AD499" i="77" s="1"/>
  <c r="W499" i="77"/>
  <c r="AA498" i="77"/>
  <c r="W498" i="77"/>
  <c r="AA497" i="77"/>
  <c r="W497" i="77"/>
  <c r="AA496" i="77"/>
  <c r="W496" i="77"/>
  <c r="AA495" i="77"/>
  <c r="W495" i="77"/>
  <c r="AA494" i="77"/>
  <c r="W494" i="77"/>
  <c r="AA493" i="77"/>
  <c r="AD493" i="77" s="1"/>
  <c r="W493" i="77"/>
  <c r="AA492" i="77"/>
  <c r="W492" i="77"/>
  <c r="AA491" i="77"/>
  <c r="AD491" i="77" s="1"/>
  <c r="W491" i="77"/>
  <c r="AA490" i="77"/>
  <c r="W490" i="77"/>
  <c r="AA489" i="77"/>
  <c r="W489" i="77"/>
  <c r="AA488" i="77"/>
  <c r="BD488" i="77" s="1"/>
  <c r="W488" i="77"/>
  <c r="AA487" i="77"/>
  <c r="BD487" i="77" s="1"/>
  <c r="W487" i="77"/>
  <c r="AA486" i="77"/>
  <c r="W486" i="77"/>
  <c r="AA485" i="77"/>
  <c r="AV485" i="77" s="1"/>
  <c r="W485" i="77"/>
  <c r="AA484" i="77"/>
  <c r="AU484" i="77" s="1"/>
  <c r="W484" i="77"/>
  <c r="AA483" i="77"/>
  <c r="AV483" i="77" s="1"/>
  <c r="W483" i="77"/>
  <c r="AA482" i="77"/>
  <c r="W482" i="77"/>
  <c r="AA481" i="77"/>
  <c r="AD481" i="77" s="1"/>
  <c r="W481" i="77"/>
  <c r="AA480" i="77"/>
  <c r="W480" i="77"/>
  <c r="AA479" i="77"/>
  <c r="AD479" i="77" s="1"/>
  <c r="W479" i="77"/>
  <c r="AA478" i="77"/>
  <c r="W478" i="77"/>
  <c r="AA477" i="77"/>
  <c r="AD477" i="77" s="1"/>
  <c r="W477" i="77"/>
  <c r="AA476" i="77"/>
  <c r="AU476" i="77" s="1"/>
  <c r="W476" i="77"/>
  <c r="AA475" i="77"/>
  <c r="W475" i="77"/>
  <c r="AA474" i="77"/>
  <c r="W474" i="77"/>
  <c r="AA473" i="77"/>
  <c r="W473" i="77"/>
  <c r="AA472" i="77"/>
  <c r="W472" i="77"/>
  <c r="AA471" i="77"/>
  <c r="W471" i="77"/>
  <c r="AA470" i="77"/>
  <c r="W470" i="77"/>
  <c r="AA469" i="77"/>
  <c r="W469" i="77"/>
  <c r="AA468" i="77"/>
  <c r="W468" i="77"/>
  <c r="AA467" i="77"/>
  <c r="W467" i="77"/>
  <c r="AA466" i="77"/>
  <c r="W466" i="77"/>
  <c r="AA465" i="77"/>
  <c r="W465" i="77"/>
  <c r="AA464" i="77"/>
  <c r="W464" i="77"/>
  <c r="AA463" i="77"/>
  <c r="W463" i="77"/>
  <c r="AA462" i="77"/>
  <c r="W462" i="77"/>
  <c r="AA461" i="77"/>
  <c r="W461" i="77"/>
  <c r="AA460" i="77"/>
  <c r="W460" i="77"/>
  <c r="AA459" i="77"/>
  <c r="W459" i="77"/>
  <c r="AA581" i="77"/>
  <c r="AV581" i="77" s="1"/>
  <c r="W581" i="77"/>
  <c r="AA580" i="77"/>
  <c r="AV580" i="77" s="1"/>
  <c r="W580" i="77"/>
  <c r="AA579" i="77"/>
  <c r="AV579" i="77" s="1"/>
  <c r="W579" i="77"/>
  <c r="AA578" i="77"/>
  <c r="AV578" i="77" s="1"/>
  <c r="W578" i="77"/>
  <c r="AA577" i="77"/>
  <c r="AV577" i="77" s="1"/>
  <c r="W577" i="77"/>
  <c r="AA576" i="77"/>
  <c r="AV576" i="77" s="1"/>
  <c r="W576" i="77"/>
  <c r="W558" i="77"/>
  <c r="AA557" i="77"/>
  <c r="W557" i="77"/>
  <c r="AA556" i="77"/>
  <c r="W556" i="77"/>
  <c r="AA555" i="77"/>
  <c r="W555" i="77"/>
  <c r="AA554" i="77"/>
  <c r="W554" i="77"/>
  <c r="AA553" i="77"/>
  <c r="W553" i="77"/>
  <c r="AA552" i="77"/>
  <c r="BD552" i="77" s="1"/>
  <c r="W552" i="77"/>
  <c r="AA551" i="77"/>
  <c r="W551" i="77"/>
  <c r="AA550" i="77"/>
  <c r="AV550" i="77" s="1"/>
  <c r="W550" i="77"/>
  <c r="AA549" i="77"/>
  <c r="AV549" i="77" s="1"/>
  <c r="W549" i="77"/>
  <c r="AA548" i="77"/>
  <c r="W548" i="77"/>
  <c r="AA547" i="77"/>
  <c r="AU547" i="77" s="1"/>
  <c r="W547" i="77"/>
  <c r="AA546" i="77"/>
  <c r="W546" i="77"/>
  <c r="AA545" i="77"/>
  <c r="W545" i="77"/>
  <c r="AA544" i="77"/>
  <c r="W544" i="77"/>
  <c r="AA543" i="77"/>
  <c r="W543" i="77"/>
  <c r="AA542" i="77"/>
  <c r="W542" i="77"/>
  <c r="AA541" i="77"/>
  <c r="W541" i="77"/>
  <c r="AA540" i="77"/>
  <c r="W540" i="77"/>
  <c r="AA539" i="77"/>
  <c r="W539" i="77"/>
  <c r="AA538" i="77"/>
  <c r="AD538" i="77" s="1"/>
  <c r="W538" i="77"/>
  <c r="AA537" i="77"/>
  <c r="W537" i="77"/>
  <c r="AA536" i="77"/>
  <c r="W536" i="77"/>
  <c r="AA535" i="77"/>
  <c r="W535" i="77"/>
  <c r="AA534" i="77"/>
  <c r="W534" i="77"/>
  <c r="AA533" i="77"/>
  <c r="W533" i="77"/>
  <c r="AA532" i="77"/>
  <c r="W532" i="77"/>
  <c r="AA531" i="77"/>
  <c r="W531" i="77"/>
  <c r="AA530" i="77"/>
  <c r="W530" i="77"/>
  <c r="AA529" i="77"/>
  <c r="AD529" i="77" s="1"/>
  <c r="W529" i="77"/>
  <c r="AA528" i="77"/>
  <c r="W528" i="77"/>
  <c r="AA527" i="77"/>
  <c r="W527" i="77"/>
  <c r="AA526" i="77"/>
  <c r="W526" i="77"/>
  <c r="AA525" i="77"/>
  <c r="W525" i="77"/>
  <c r="AA524" i="77"/>
  <c r="W524" i="77"/>
  <c r="AA523" i="77"/>
  <c r="AP523" i="77" s="1"/>
  <c r="AQ523" i="77" s="1"/>
  <c r="W523" i="77"/>
  <c r="AA522" i="77"/>
  <c r="W522" i="77"/>
  <c r="AA521" i="77"/>
  <c r="W521" i="77"/>
  <c r="AA520" i="77"/>
  <c r="AD520" i="77" s="1"/>
  <c r="W520" i="77"/>
  <c r="AA663" i="77"/>
  <c r="W663" i="77"/>
  <c r="A663" i="77"/>
  <c r="AR663" i="77" s="1"/>
  <c r="AA6" i="77"/>
  <c r="AV548" i="77" l="1"/>
  <c r="AU548" i="77"/>
  <c r="AP515" i="77"/>
  <c r="AO515" i="77"/>
  <c r="AP519" i="77"/>
  <c r="AO519" i="77"/>
  <c r="AO522" i="77"/>
  <c r="AP522" i="77"/>
  <c r="AP524" i="77"/>
  <c r="AO524" i="77"/>
  <c r="AO530" i="77"/>
  <c r="AP530" i="77"/>
  <c r="AP532" i="77"/>
  <c r="AQ532" i="77" s="1"/>
  <c r="AO532" i="77"/>
  <c r="AD532" i="77"/>
  <c r="AF532" i="77" s="1"/>
  <c r="AE532" i="77" s="1"/>
  <c r="AP540" i="77"/>
  <c r="AO540" i="77"/>
  <c r="AD544" i="77"/>
  <c r="AF544" i="77" s="1"/>
  <c r="AE544" i="77" s="1"/>
  <c r="AP544" i="77"/>
  <c r="AQ544" i="77" s="1"/>
  <c r="AO544" i="77"/>
  <c r="AP521" i="77"/>
  <c r="AO521" i="77"/>
  <c r="AP525" i="77"/>
  <c r="AO525" i="77"/>
  <c r="AP531" i="77"/>
  <c r="AO531" i="77"/>
  <c r="AP535" i="77"/>
  <c r="AQ535" i="77" s="1"/>
  <c r="AO535" i="77"/>
  <c r="AD535" i="77"/>
  <c r="AF535" i="77" s="1"/>
  <c r="AE535" i="77" s="1"/>
  <c r="AP539" i="77"/>
  <c r="AO539" i="77"/>
  <c r="AD541" i="77"/>
  <c r="AF541" i="77" s="1"/>
  <c r="AE541" i="77" s="1"/>
  <c r="AP541" i="77"/>
  <c r="AQ541" i="77" s="1"/>
  <c r="AO541" i="77"/>
  <c r="AO516" i="77"/>
  <c r="AP516" i="77"/>
  <c r="AO518" i="77"/>
  <c r="AP518" i="77"/>
  <c r="AO526" i="77"/>
  <c r="AD526" i="77"/>
  <c r="AF526" i="77" s="1"/>
  <c r="AE526" i="77" s="1"/>
  <c r="AP526" i="77"/>
  <c r="AQ526" i="77" s="1"/>
  <c r="AO523" i="77"/>
  <c r="AD523" i="77"/>
  <c r="AF523" i="77" s="1"/>
  <c r="AE523" i="77" s="1"/>
  <c r="AP492" i="77"/>
  <c r="AO492" i="77"/>
  <c r="AO494" i="77"/>
  <c r="AP494" i="77"/>
  <c r="AD495" i="77"/>
  <c r="AF495" i="77" s="1"/>
  <c r="AE495" i="77" s="1"/>
  <c r="AP495" i="77"/>
  <c r="AQ495" i="77" s="1"/>
  <c r="AO495" i="77"/>
  <c r="AO497" i="77"/>
  <c r="AP497" i="77"/>
  <c r="AQ497" i="77" s="1"/>
  <c r="AD497" i="77"/>
  <c r="AF497" i="77" s="1"/>
  <c r="AE497" i="77" s="1"/>
  <c r="AP500" i="77"/>
  <c r="AQ500" i="77" s="1"/>
  <c r="AO500" i="77"/>
  <c r="AO506" i="77"/>
  <c r="AP506" i="77"/>
  <c r="AP501" i="77"/>
  <c r="AQ501" i="77" s="1"/>
  <c r="AO501" i="77"/>
  <c r="AD501" i="77"/>
  <c r="AF501" i="77" s="1"/>
  <c r="AE501" i="77" s="1"/>
  <c r="AO503" i="77"/>
  <c r="AP503" i="77"/>
  <c r="AQ503" i="77" s="1"/>
  <c r="AD503" i="77"/>
  <c r="AF503" i="77" s="1"/>
  <c r="AE503" i="77" s="1"/>
  <c r="AD460" i="77"/>
  <c r="AF460" i="77" s="1"/>
  <c r="AE460" i="77" s="1"/>
  <c r="AP460" i="77"/>
  <c r="AQ460" i="77" s="1"/>
  <c r="AO460" i="77"/>
  <c r="AD468" i="77"/>
  <c r="AF468" i="77" s="1"/>
  <c r="AE468" i="77" s="1"/>
  <c r="AP468" i="77"/>
  <c r="AQ468" i="77" s="1"/>
  <c r="AO468" i="77"/>
  <c r="AP474" i="77"/>
  <c r="AQ474" i="77" s="1"/>
  <c r="AO474" i="77"/>
  <c r="AD474" i="77"/>
  <c r="AF474" i="77" s="1"/>
  <c r="AE474" i="77" s="1"/>
  <c r="AP470" i="77"/>
  <c r="AQ470" i="77" s="1"/>
  <c r="AO470" i="77"/>
  <c r="AD470" i="77"/>
  <c r="AF470" i="77" s="1"/>
  <c r="AE470" i="77" s="1"/>
  <c r="AP459" i="77"/>
  <c r="AO459" i="77"/>
  <c r="AP462" i="77"/>
  <c r="AQ462" i="77" s="1"/>
  <c r="AO462" i="77"/>
  <c r="AD462" i="77"/>
  <c r="AF462" i="77" s="1"/>
  <c r="AE462" i="77" s="1"/>
  <c r="AO464" i="77"/>
  <c r="AP464" i="77"/>
  <c r="AQ464" i="77" s="1"/>
  <c r="AD464" i="77"/>
  <c r="AF464" i="77" s="1"/>
  <c r="AE464" i="77" s="1"/>
  <c r="AP466" i="77"/>
  <c r="AQ466" i="77" s="1"/>
  <c r="AO466" i="77"/>
  <c r="AD466" i="77"/>
  <c r="AF466" i="77" s="1"/>
  <c r="AE466" i="77" s="1"/>
  <c r="AD472" i="77"/>
  <c r="AF472" i="77" s="1"/>
  <c r="AE472" i="77" s="1"/>
  <c r="AP472" i="77"/>
  <c r="AQ472" i="77" s="1"/>
  <c r="AO472" i="77"/>
  <c r="AP456" i="77"/>
  <c r="AQ456" i="77" s="1"/>
  <c r="AO456" i="77"/>
  <c r="AD456" i="77"/>
  <c r="AF456" i="77" s="1"/>
  <c r="AE456" i="77" s="1"/>
  <c r="AP427" i="77"/>
  <c r="AQ427" i="77" s="1"/>
  <c r="AO427" i="77"/>
  <c r="AP431" i="77"/>
  <c r="AQ431" i="77" s="1"/>
  <c r="AO431" i="77"/>
  <c r="AP384" i="77"/>
  <c r="AQ384" i="77" s="1"/>
  <c r="AO384" i="77"/>
  <c r="AP386" i="77"/>
  <c r="AQ386" i="77" s="1"/>
  <c r="AO386" i="77"/>
  <c r="AP388" i="77"/>
  <c r="AQ388" i="77" s="1"/>
  <c r="AO388" i="77"/>
  <c r="AP428" i="77"/>
  <c r="AQ428" i="77" s="1"/>
  <c r="AO428" i="77"/>
  <c r="AP430" i="77"/>
  <c r="AQ430" i="77" s="1"/>
  <c r="AO430" i="77"/>
  <c r="AP383" i="77"/>
  <c r="AQ383" i="77" s="1"/>
  <c r="AO383" i="77"/>
  <c r="AP385" i="77"/>
  <c r="AQ385" i="77" s="1"/>
  <c r="AO385" i="77"/>
  <c r="AP390" i="77"/>
  <c r="AO390" i="77"/>
  <c r="AP403" i="77"/>
  <c r="AQ403" i="77" s="1"/>
  <c r="AD403" i="77"/>
  <c r="AF403" i="77" s="1"/>
  <c r="AE403" i="77" s="1"/>
  <c r="AO403" i="77"/>
  <c r="AO410" i="77"/>
  <c r="AP410" i="77"/>
  <c r="AQ410" i="77" s="1"/>
  <c r="AD410" i="77"/>
  <c r="AF410" i="77" s="1"/>
  <c r="AE410" i="77" s="1"/>
  <c r="AP421" i="77"/>
  <c r="AQ421" i="77" s="1"/>
  <c r="AD421" i="77"/>
  <c r="AF421" i="77" s="1"/>
  <c r="AE421" i="77" s="1"/>
  <c r="AP449" i="77"/>
  <c r="AO449" i="77"/>
  <c r="AP455" i="77"/>
  <c r="AO455" i="77"/>
  <c r="AP356" i="77"/>
  <c r="AQ356" i="77" s="1"/>
  <c r="AO356" i="77"/>
  <c r="AO359" i="77"/>
  <c r="AD359" i="77"/>
  <c r="AF359" i="77" s="1"/>
  <c r="AE359" i="77" s="1"/>
  <c r="AP359" i="77"/>
  <c r="AQ359" i="77" s="1"/>
  <c r="AP363" i="77"/>
  <c r="AQ363" i="77" s="1"/>
  <c r="AO363" i="77"/>
  <c r="AO365" i="77"/>
  <c r="AP365" i="77"/>
  <c r="AQ365" i="77" s="1"/>
  <c r="AP367" i="77"/>
  <c r="AQ367" i="77" s="1"/>
  <c r="AO367" i="77"/>
  <c r="AO369" i="77"/>
  <c r="AD369" i="77"/>
  <c r="AF369" i="77" s="1"/>
  <c r="AE369" i="77" s="1"/>
  <c r="AP369" i="77"/>
  <c r="AQ369" i="77" s="1"/>
  <c r="AP373" i="77"/>
  <c r="AQ373" i="77" s="1"/>
  <c r="AO373" i="77"/>
  <c r="AP375" i="77"/>
  <c r="AQ375" i="77" s="1"/>
  <c r="AO375" i="77"/>
  <c r="AP391" i="77"/>
  <c r="AQ391" i="77" s="1"/>
  <c r="AD391" i="77"/>
  <c r="AF391" i="77" s="1"/>
  <c r="AE391" i="77" s="1"/>
  <c r="AD397" i="77"/>
  <c r="AF397" i="77" s="1"/>
  <c r="AE397" i="77" s="1"/>
  <c r="AP397" i="77"/>
  <c r="AQ397" i="77" s="1"/>
  <c r="AP399" i="77"/>
  <c r="AQ399" i="77" s="1"/>
  <c r="AD399" i="77"/>
  <c r="AF399" i="77" s="1"/>
  <c r="AE399" i="77" s="1"/>
  <c r="AP413" i="77"/>
  <c r="AQ413" i="77" s="1"/>
  <c r="AD413" i="77"/>
  <c r="AF413" i="77" s="1"/>
  <c r="AE413" i="77" s="1"/>
  <c r="AO413" i="77"/>
  <c r="AP418" i="77"/>
  <c r="AQ418" i="77" s="1"/>
  <c r="AD418" i="77"/>
  <c r="AF418" i="77" s="1"/>
  <c r="AE418" i="77" s="1"/>
  <c r="AO440" i="77"/>
  <c r="AD440" i="77"/>
  <c r="AF440" i="77" s="1"/>
  <c r="AE440" i="77" s="1"/>
  <c r="AP440" i="77"/>
  <c r="AQ440" i="77" s="1"/>
  <c r="AO341" i="77"/>
  <c r="AP341" i="77"/>
  <c r="AQ341" i="77" s="1"/>
  <c r="AD341" i="77"/>
  <c r="AF341" i="77" s="1"/>
  <c r="AE341" i="77" s="1"/>
  <c r="AO345" i="77"/>
  <c r="AP345" i="77"/>
  <c r="AQ345" i="77" s="1"/>
  <c r="AD345" i="77"/>
  <c r="AF345" i="77" s="1"/>
  <c r="AE345" i="77" s="1"/>
  <c r="AO349" i="77"/>
  <c r="AP349" i="77"/>
  <c r="AQ349" i="77" s="1"/>
  <c r="AD349" i="77"/>
  <c r="AF349" i="77" s="1"/>
  <c r="AE349" i="77" s="1"/>
  <c r="AO354" i="77"/>
  <c r="AP354" i="77"/>
  <c r="AQ354" i="77" s="1"/>
  <c r="AP358" i="77"/>
  <c r="AQ358" i="77" s="1"/>
  <c r="AO358" i="77"/>
  <c r="AP364" i="77"/>
  <c r="AQ364" i="77" s="1"/>
  <c r="AO364" i="77"/>
  <c r="AO366" i="77"/>
  <c r="AP366" i="77"/>
  <c r="AQ366" i="77" s="1"/>
  <c r="AP368" i="77"/>
  <c r="AQ368" i="77" s="1"/>
  <c r="AO368" i="77"/>
  <c r="AO374" i="77"/>
  <c r="AP374" i="77"/>
  <c r="AQ374" i="77" s="1"/>
  <c r="AP376" i="77"/>
  <c r="AQ376" i="77" s="1"/>
  <c r="AO376" i="77"/>
  <c r="AD377" i="77"/>
  <c r="AF377" i="77" s="1"/>
  <c r="AE377" i="77" s="1"/>
  <c r="AP377" i="77"/>
  <c r="AQ377" i="77" s="1"/>
  <c r="AO340" i="77"/>
  <c r="AP340" i="77"/>
  <c r="AQ340" i="77" s="1"/>
  <c r="AO339" i="77"/>
  <c r="AP339" i="77"/>
  <c r="AQ339" i="77" s="1"/>
  <c r="AO336" i="77"/>
  <c r="AP336" i="77"/>
  <c r="AQ336" i="77" s="1"/>
  <c r="AO335" i="77"/>
  <c r="AP335" i="77"/>
  <c r="AQ335" i="77" s="1"/>
  <c r="AP333" i="77"/>
  <c r="AQ333" i="77" s="1"/>
  <c r="AO333" i="77"/>
  <c r="AO332" i="77"/>
  <c r="AP332" i="77"/>
  <c r="AQ332" i="77" s="1"/>
  <c r="AP327" i="77"/>
  <c r="AO327" i="77"/>
  <c r="AP308" i="77"/>
  <c r="AO308" i="77"/>
  <c r="AP297" i="77"/>
  <c r="AQ297" i="77" s="1"/>
  <c r="AO297" i="77"/>
  <c r="AP310" i="77"/>
  <c r="AO310" i="77"/>
  <c r="AP319" i="77"/>
  <c r="AQ319" i="77" s="1"/>
  <c r="AD319" i="77"/>
  <c r="AF319" i="77" s="1"/>
  <c r="AE319" i="77" s="1"/>
  <c r="AP321" i="77"/>
  <c r="AQ321" i="77" s="1"/>
  <c r="AD321" i="77"/>
  <c r="AF321" i="77" s="1"/>
  <c r="AE321" i="77" s="1"/>
  <c r="AO258" i="77"/>
  <c r="AP258" i="77"/>
  <c r="AQ258" i="77" s="1"/>
  <c r="AP262" i="77"/>
  <c r="AQ262" i="77" s="1"/>
  <c r="AO262" i="77"/>
  <c r="AO273" i="77"/>
  <c r="AP273" i="77"/>
  <c r="AQ273" i="77" s="1"/>
  <c r="AP277" i="77"/>
  <c r="AQ277" i="77" s="1"/>
  <c r="AO277" i="77"/>
  <c r="AO279" i="77"/>
  <c r="AD279" i="77"/>
  <c r="AF279" i="77" s="1"/>
  <c r="AE279" i="77" s="1"/>
  <c r="AP279" i="77"/>
  <c r="AQ279" i="77" s="1"/>
  <c r="AO295" i="77"/>
  <c r="AP295" i="77"/>
  <c r="AQ295" i="77" s="1"/>
  <c r="AP296" i="77"/>
  <c r="AQ296" i="77" s="1"/>
  <c r="AO296" i="77"/>
  <c r="AO311" i="77"/>
  <c r="AD311" i="77"/>
  <c r="AF311" i="77" s="1"/>
  <c r="AE311" i="77" s="1"/>
  <c r="AP311" i="77"/>
  <c r="AQ311" i="77" s="1"/>
  <c r="AO313" i="77"/>
  <c r="AP313" i="77"/>
  <c r="AQ313" i="77" s="1"/>
  <c r="AD313" i="77"/>
  <c r="AF313" i="77" s="1"/>
  <c r="AE313" i="77" s="1"/>
  <c r="AP259" i="77"/>
  <c r="AQ259" i="77" s="1"/>
  <c r="AO259" i="77"/>
  <c r="AO263" i="77"/>
  <c r="AP263" i="77"/>
  <c r="AQ263" i="77" s="1"/>
  <c r="AD264" i="77"/>
  <c r="AF264" i="77" s="1"/>
  <c r="AE264" i="77" s="1"/>
  <c r="AP264" i="77"/>
  <c r="AQ264" i="77" s="1"/>
  <c r="AP274" i="77"/>
  <c r="AQ274" i="77" s="1"/>
  <c r="AO274" i="77"/>
  <c r="AO278" i="77"/>
  <c r="AP278" i="77"/>
  <c r="AQ278" i="77" s="1"/>
  <c r="AD286" i="77"/>
  <c r="AF286" i="77" s="1"/>
  <c r="AE286" i="77" s="1"/>
  <c r="AO286" i="77"/>
  <c r="AP286" i="77"/>
  <c r="AQ286" i="77" s="1"/>
  <c r="AO294" i="77"/>
  <c r="AP294" i="77"/>
  <c r="AQ294" i="77" s="1"/>
  <c r="AP246" i="77"/>
  <c r="AO246" i="77"/>
  <c r="AP248" i="77"/>
  <c r="AO248" i="77"/>
  <c r="AD249" i="77"/>
  <c r="AF249" i="77" s="1"/>
  <c r="AE249" i="77" s="1"/>
  <c r="AP249" i="77"/>
  <c r="AQ249" i="77" s="1"/>
  <c r="AP219" i="77"/>
  <c r="AO219" i="77"/>
  <c r="AP215" i="77"/>
  <c r="AO215" i="77"/>
  <c r="AP238" i="77"/>
  <c r="AO238" i="77"/>
  <c r="AP240" i="77"/>
  <c r="AO240" i="77"/>
  <c r="AP211" i="77"/>
  <c r="AQ211" i="77" s="1"/>
  <c r="AO211" i="77"/>
  <c r="AP213" i="77"/>
  <c r="AQ213" i="77" s="1"/>
  <c r="AO213" i="77"/>
  <c r="AD216" i="77"/>
  <c r="AF216" i="77" s="1"/>
  <c r="AE216" i="77" s="1"/>
  <c r="AP216" i="77"/>
  <c r="AQ216" i="77" s="1"/>
  <c r="AP220" i="77"/>
  <c r="AQ220" i="77" s="1"/>
  <c r="AD220" i="77"/>
  <c r="AF220" i="77" s="1"/>
  <c r="AE220" i="77" s="1"/>
  <c r="AP230" i="77"/>
  <c r="AQ230" i="77" s="1"/>
  <c r="AD230" i="77"/>
  <c r="AF230" i="77" s="1"/>
  <c r="AE230" i="77" s="1"/>
  <c r="AO184" i="77"/>
  <c r="AP184" i="77"/>
  <c r="AQ184" i="77" s="1"/>
  <c r="AP152" i="77"/>
  <c r="AO152" i="77"/>
  <c r="AP154" i="77"/>
  <c r="AQ154" i="77" s="1"/>
  <c r="AO154" i="77"/>
  <c r="AD154" i="77"/>
  <c r="AF154" i="77" s="1"/>
  <c r="AE154" i="77" s="1"/>
  <c r="AP179" i="77"/>
  <c r="AQ179" i="77" s="1"/>
  <c r="AO179" i="77"/>
  <c r="AP181" i="77"/>
  <c r="AQ181" i="77" s="1"/>
  <c r="AO181" i="77"/>
  <c r="AP183" i="77"/>
  <c r="AQ183" i="77" s="1"/>
  <c r="AO183" i="77"/>
  <c r="AP186" i="77"/>
  <c r="AQ186" i="77" s="1"/>
  <c r="AO186" i="77"/>
  <c r="AO189" i="77"/>
  <c r="AP189" i="77"/>
  <c r="AQ189" i="77" s="1"/>
  <c r="AP185" i="77"/>
  <c r="AQ185" i="77" s="1"/>
  <c r="AO185" i="77"/>
  <c r="AO187" i="77"/>
  <c r="AP187" i="77"/>
  <c r="AQ187" i="77" s="1"/>
  <c r="AP190" i="77"/>
  <c r="AQ190" i="77" s="1"/>
  <c r="AO190" i="77"/>
  <c r="AP191" i="77"/>
  <c r="AQ191" i="77" s="1"/>
  <c r="AD191" i="77"/>
  <c r="AF191" i="77" s="1"/>
  <c r="AE191" i="77" s="1"/>
  <c r="AO191" i="77"/>
  <c r="AO204" i="77"/>
  <c r="AP204" i="77"/>
  <c r="AQ204" i="77" s="1"/>
  <c r="AD204" i="77"/>
  <c r="AF204" i="77" s="1"/>
  <c r="AE204" i="77" s="1"/>
  <c r="AO151" i="77"/>
  <c r="AP151" i="77"/>
  <c r="AO153" i="77"/>
  <c r="AP153" i="77"/>
  <c r="AD167" i="77"/>
  <c r="AF167" i="77" s="1"/>
  <c r="AE167" i="77" s="1"/>
  <c r="AP167" i="77"/>
  <c r="AQ167" i="77" s="1"/>
  <c r="AO167" i="77"/>
  <c r="AO180" i="77"/>
  <c r="AP180" i="77"/>
  <c r="AQ180" i="77" s="1"/>
  <c r="AO182" i="77"/>
  <c r="AP182" i="77"/>
  <c r="AQ182" i="77" s="1"/>
  <c r="AY663" i="77"/>
  <c r="BA663" i="77"/>
  <c r="AX663" i="77"/>
  <c r="AD95" i="77"/>
  <c r="AF95" i="77" s="1"/>
  <c r="AE95" i="77" s="1"/>
  <c r="AP95" i="77"/>
  <c r="AQ95" i="77" s="1"/>
  <c r="AO95" i="77"/>
  <c r="AP103" i="77"/>
  <c r="AD103" i="77"/>
  <c r="AF103" i="77" s="1"/>
  <c r="AE103" i="77" s="1"/>
  <c r="AP111" i="77"/>
  <c r="AQ111" i="77" s="1"/>
  <c r="AO111" i="77"/>
  <c r="AP19" i="77"/>
  <c r="AQ19" i="77" s="1"/>
  <c r="AO19" i="77"/>
  <c r="AD20" i="77"/>
  <c r="AF20" i="77" s="1"/>
  <c r="AE20" i="77" s="1"/>
  <c r="AO20" i="77"/>
  <c r="AP20" i="77"/>
  <c r="AQ20" i="77" s="1"/>
  <c r="AO37" i="77"/>
  <c r="AP37" i="77"/>
  <c r="AO48" i="77"/>
  <c r="AP48" i="77"/>
  <c r="AQ48" i="77" s="1"/>
  <c r="AP49" i="77"/>
  <c r="AQ49" i="77" s="1"/>
  <c r="AO49" i="77"/>
  <c r="AP52" i="77"/>
  <c r="AQ52" i="77" s="1"/>
  <c r="AO52" i="77"/>
  <c r="AO53" i="77"/>
  <c r="AP53" i="77"/>
  <c r="AQ53" i="77" s="1"/>
  <c r="AO54" i="77"/>
  <c r="AP54" i="77"/>
  <c r="AQ54" i="77" s="1"/>
  <c r="AO84" i="77"/>
  <c r="AP84" i="77"/>
  <c r="AQ84" i="77" s="1"/>
  <c r="AP110" i="77"/>
  <c r="AQ110" i="77" s="1"/>
  <c r="AO110" i="77"/>
  <c r="AP114" i="77"/>
  <c r="AQ114" i="77" s="1"/>
  <c r="AO114" i="77"/>
  <c r="AP130" i="77"/>
  <c r="AD130" i="77"/>
  <c r="AF130" i="77" s="1"/>
  <c r="AE130" i="77" s="1"/>
  <c r="AP10" i="77"/>
  <c r="AQ10" i="77" s="1"/>
  <c r="AO10" i="77"/>
  <c r="AP14" i="77"/>
  <c r="AQ14" i="77" s="1"/>
  <c r="AO14" i="77"/>
  <c r="AP71" i="77"/>
  <c r="AQ71" i="77" s="1"/>
  <c r="AO71" i="77"/>
  <c r="AP72" i="77"/>
  <c r="AQ72" i="77" s="1"/>
  <c r="AO72" i="77"/>
  <c r="AO73" i="77"/>
  <c r="AP73" i="77"/>
  <c r="AQ73" i="77" s="1"/>
  <c r="AO74" i="77"/>
  <c r="AP74" i="77"/>
  <c r="AQ74" i="77" s="1"/>
  <c r="AP75" i="77"/>
  <c r="AQ75" i="77" s="1"/>
  <c r="AO75" i="77"/>
  <c r="AP76" i="77"/>
  <c r="AQ76" i="77" s="1"/>
  <c r="AO76" i="77"/>
  <c r="AO77" i="77"/>
  <c r="AP77" i="77"/>
  <c r="AQ77" i="77" s="1"/>
  <c r="AQ100" i="77"/>
  <c r="AF126" i="77"/>
  <c r="AE126" i="77" s="1"/>
  <c r="AN126" i="77" s="1"/>
  <c r="AP126" i="77"/>
  <c r="AQ126" i="77" s="1"/>
  <c r="AO126" i="77"/>
  <c r="AP129" i="77"/>
  <c r="AQ129" i="77" s="1"/>
  <c r="AO129" i="77"/>
  <c r="AO23" i="77"/>
  <c r="AP23" i="77"/>
  <c r="AQ23" i="77" s="1"/>
  <c r="AP24" i="77"/>
  <c r="AQ24" i="77" s="1"/>
  <c r="AO24" i="77"/>
  <c r="AP25" i="77"/>
  <c r="AQ25" i="77" s="1"/>
  <c r="AO25" i="77"/>
  <c r="AO26" i="77"/>
  <c r="AP26" i="77"/>
  <c r="AQ26" i="77" s="1"/>
  <c r="AO27" i="77"/>
  <c r="AP27" i="77"/>
  <c r="AQ27" i="77" s="1"/>
  <c r="AP28" i="77"/>
  <c r="AQ28" i="77" s="1"/>
  <c r="AO28" i="77"/>
  <c r="AP29" i="77"/>
  <c r="AO29" i="77"/>
  <c r="AP40" i="77"/>
  <c r="AQ40" i="77" s="1"/>
  <c r="AO40" i="77"/>
  <c r="AP112" i="77"/>
  <c r="AQ112" i="77" s="1"/>
  <c r="AO112" i="77"/>
  <c r="AP116" i="77"/>
  <c r="AO116" i="77"/>
  <c r="AO128" i="77"/>
  <c r="AP128" i="77"/>
  <c r="AQ128" i="77" s="1"/>
  <c r="AP39" i="77"/>
  <c r="AO39" i="77"/>
  <c r="AO66" i="77"/>
  <c r="AP66" i="77"/>
  <c r="AQ66" i="77" s="1"/>
  <c r="AF73" i="77"/>
  <c r="AE73" i="77" s="1"/>
  <c r="AN73" i="77" s="1"/>
  <c r="AF258" i="77"/>
  <c r="AE258" i="77" s="1"/>
  <c r="AN258" i="77" s="1"/>
  <c r="BG258" i="77" s="1"/>
  <c r="BH258" i="77" s="1"/>
  <c r="AD84" i="77"/>
  <c r="AF84" i="77" s="1"/>
  <c r="AE84" i="77" s="1"/>
  <c r="AF24" i="77"/>
  <c r="AE24" i="77" s="1"/>
  <c r="AN24" i="77" s="1"/>
  <c r="AF326" i="77"/>
  <c r="AE326" i="77" s="1"/>
  <c r="AF254" i="77"/>
  <c r="AE254" i="77" s="1"/>
  <c r="AF214" i="77"/>
  <c r="AE214" i="77" s="1"/>
  <c r="AF218" i="77"/>
  <c r="AE218" i="77" s="1"/>
  <c r="AF129" i="77"/>
  <c r="AE129" i="77" s="1"/>
  <c r="AN129" i="77" s="1"/>
  <c r="AF42" i="77"/>
  <c r="AE42" i="77" s="1"/>
  <c r="AN42" i="77" s="1"/>
  <c r="AF55" i="77"/>
  <c r="AE55" i="77" s="1"/>
  <c r="AN55" i="77" s="1"/>
  <c r="AD66" i="77"/>
  <c r="AF66" i="77" s="1"/>
  <c r="AE66" i="77" s="1"/>
  <c r="AD14" i="77"/>
  <c r="AF14" i="77" s="1"/>
  <c r="AE14" i="77" s="1"/>
  <c r="AF23" i="77"/>
  <c r="AE23" i="77" s="1"/>
  <c r="AN23" i="77" s="1"/>
  <c r="AD29" i="77"/>
  <c r="AF29" i="77" s="1"/>
  <c r="AE29" i="77" s="1"/>
  <c r="AF48" i="77"/>
  <c r="AE48" i="77" s="1"/>
  <c r="AN48" i="77" s="1"/>
  <c r="AF292" i="77"/>
  <c r="AE292" i="77" s="1"/>
  <c r="AN292" i="77" s="1"/>
  <c r="BG292" i="77" s="1"/>
  <c r="BH292" i="77" s="1"/>
  <c r="AF184" i="77"/>
  <c r="AE184" i="77" s="1"/>
  <c r="AN184" i="77" s="1"/>
  <c r="BG184" i="77" s="1"/>
  <c r="BH184" i="77" s="1"/>
  <c r="AF180" i="77"/>
  <c r="AE180" i="77" s="1"/>
  <c r="AN180" i="77" s="1"/>
  <c r="BG180" i="77" s="1"/>
  <c r="BH180" i="77" s="1"/>
  <c r="AF71" i="77"/>
  <c r="AE71" i="77" s="1"/>
  <c r="AN71" i="77" s="1"/>
  <c r="AF28" i="77"/>
  <c r="AE28" i="77" s="1"/>
  <c r="AN28" i="77" s="1"/>
  <c r="AF266" i="77"/>
  <c r="AE266" i="77" s="1"/>
  <c r="AF271" i="77"/>
  <c r="AE271" i="77" s="1"/>
  <c r="AF158" i="77"/>
  <c r="AE158" i="77" s="1"/>
  <c r="AN158" i="77" s="1"/>
  <c r="BG158" i="77" s="1"/>
  <c r="BH158" i="77" s="1"/>
  <c r="AF164" i="77"/>
  <c r="AE164" i="77" s="1"/>
  <c r="AN164" i="77" s="1"/>
  <c r="BG164" i="77" s="1"/>
  <c r="BH164" i="77" s="1"/>
  <c r="AF110" i="77"/>
  <c r="AE110" i="77" s="1"/>
  <c r="AN110" i="77" s="1"/>
  <c r="AF166" i="77"/>
  <c r="AE166" i="77" s="1"/>
  <c r="AN166" i="77" s="1"/>
  <c r="BG166" i="77" s="1"/>
  <c r="BH166" i="77" s="1"/>
  <c r="AF176" i="77"/>
  <c r="AE176" i="77" s="1"/>
  <c r="AN176" i="77" s="1"/>
  <c r="AF179" i="77"/>
  <c r="AE179" i="77" s="1"/>
  <c r="AN179" i="77" s="1"/>
  <c r="BG179" i="77" s="1"/>
  <c r="BH179" i="77" s="1"/>
  <c r="AF128" i="77"/>
  <c r="AE128" i="77" s="1"/>
  <c r="AN128" i="77" s="1"/>
  <c r="AD10" i="77"/>
  <c r="AF10" i="77" s="1"/>
  <c r="AE10" i="77" s="1"/>
  <c r="AF193" i="77"/>
  <c r="AE193" i="77" s="1"/>
  <c r="AN193" i="77" s="1"/>
  <c r="BJ193" i="77" s="1"/>
  <c r="BK193" i="77" s="1"/>
  <c r="AF224" i="77"/>
  <c r="AE224" i="77" s="1"/>
  <c r="AF239" i="77"/>
  <c r="AE239" i="77" s="1"/>
  <c r="AF177" i="77"/>
  <c r="AE177" i="77" s="1"/>
  <c r="AN177" i="77" s="1"/>
  <c r="AD77" i="77"/>
  <c r="AF77" i="77" s="1"/>
  <c r="AE77" i="77" s="1"/>
  <c r="AF234" i="77"/>
  <c r="AE234" i="77" s="1"/>
  <c r="AF169" i="77"/>
  <c r="AE169" i="77" s="1"/>
  <c r="AN169" i="77" s="1"/>
  <c r="AF183" i="77"/>
  <c r="AE183" i="77" s="1"/>
  <c r="AN183" i="77" s="1"/>
  <c r="BG183" i="77" s="1"/>
  <c r="BH183" i="77" s="1"/>
  <c r="AF114" i="77"/>
  <c r="AE114" i="77" s="1"/>
  <c r="AN114" i="77" s="1"/>
  <c r="AF21" i="77"/>
  <c r="AE21" i="77" s="1"/>
  <c r="AN21" i="77" s="1"/>
  <c r="AF31" i="77"/>
  <c r="AE31" i="77" s="1"/>
  <c r="AN31" i="77" s="1"/>
  <c r="AF35" i="77"/>
  <c r="AE35" i="77" s="1"/>
  <c r="AN35" i="77" s="1"/>
  <c r="AF49" i="77"/>
  <c r="AE49" i="77" s="1"/>
  <c r="AN49" i="77" s="1"/>
  <c r="AF56" i="77"/>
  <c r="AE56" i="77" s="1"/>
  <c r="AN56" i="77" s="1"/>
  <c r="AF68" i="77"/>
  <c r="AE68" i="77" s="1"/>
  <c r="AN68" i="77" s="1"/>
  <c r="AF134" i="77"/>
  <c r="AE134" i="77" s="1"/>
  <c r="AF25" i="77"/>
  <c r="AE25" i="77" s="1"/>
  <c r="AN25" i="77" s="1"/>
  <c r="AF27" i="77"/>
  <c r="AE27" i="77" s="1"/>
  <c r="AN27" i="77" s="1"/>
  <c r="AF34" i="77"/>
  <c r="AE34" i="77" s="1"/>
  <c r="AN34" i="77" s="1"/>
  <c r="AD40" i="77"/>
  <c r="AF40" i="77" s="1"/>
  <c r="AE40" i="77" s="1"/>
  <c r="AF45" i="77"/>
  <c r="AE45" i="77" s="1"/>
  <c r="AN45" i="77" s="1"/>
  <c r="AD54" i="77"/>
  <c r="AF54" i="77" s="1"/>
  <c r="AE54" i="77" s="1"/>
  <c r="AF69" i="77"/>
  <c r="AE69" i="77" s="1"/>
  <c r="AN69" i="77" s="1"/>
  <c r="AF113" i="77"/>
  <c r="AE113" i="77" s="1"/>
  <c r="AF79" i="77"/>
  <c r="AE79" i="77" s="1"/>
  <c r="AN79" i="77" s="1"/>
  <c r="AF18" i="77"/>
  <c r="AE18" i="77" s="1"/>
  <c r="AF76" i="77"/>
  <c r="AE76" i="77" s="1"/>
  <c r="AN76" i="77" s="1"/>
  <c r="AF41" i="77"/>
  <c r="AE41" i="77" s="1"/>
  <c r="AN41" i="77" s="1"/>
  <c r="AF46" i="77"/>
  <c r="AE46" i="77" s="1"/>
  <c r="AN46" i="77" s="1"/>
  <c r="AF67" i="77"/>
  <c r="AE67" i="77" s="1"/>
  <c r="AN67" i="77" s="1"/>
  <c r="AF111" i="77"/>
  <c r="AE111" i="77" s="1"/>
  <c r="AN111" i="77" s="1"/>
  <c r="AF52" i="77"/>
  <c r="AE52" i="77" s="1"/>
  <c r="AN52" i="77" s="1"/>
  <c r="AF57" i="77"/>
  <c r="AE57" i="77" s="1"/>
  <c r="AN57" i="77" s="1"/>
  <c r="AF19" i="77"/>
  <c r="AE19" i="77" s="1"/>
  <c r="AN19" i="77" s="1"/>
  <c r="AF96" i="77"/>
  <c r="AE96" i="77" s="1"/>
  <c r="AN96" i="77" s="1"/>
  <c r="AF100" i="77"/>
  <c r="AE100" i="77" s="1"/>
  <c r="AN100" i="77" s="1"/>
  <c r="AF86" i="77"/>
  <c r="AE86" i="77" s="1"/>
  <c r="AN86" i="77" s="1"/>
  <c r="AF115" i="77"/>
  <c r="AE115" i="77" s="1"/>
  <c r="AF131" i="77"/>
  <c r="AE131" i="77" s="1"/>
  <c r="AN131" i="77" s="1"/>
  <c r="AF22" i="77"/>
  <c r="AE22" i="77" s="1"/>
  <c r="AF26" i="77"/>
  <c r="AE26" i="77" s="1"/>
  <c r="AN26" i="77" s="1"/>
  <c r="AF47" i="77"/>
  <c r="AE47" i="77" s="1"/>
  <c r="AF132" i="77"/>
  <c r="AE132" i="77" s="1"/>
  <c r="AF36" i="77"/>
  <c r="AE36" i="77" s="1"/>
  <c r="AF363" i="77"/>
  <c r="AE363" i="77" s="1"/>
  <c r="AN363" i="77" s="1"/>
  <c r="BG363" i="77" s="1"/>
  <c r="BH363" i="77" s="1"/>
  <c r="AF366" i="77"/>
  <c r="AE366" i="77" s="1"/>
  <c r="AN366" i="77" s="1"/>
  <c r="BG366" i="77" s="1"/>
  <c r="BH366" i="77" s="1"/>
  <c r="AF273" i="77"/>
  <c r="AE273" i="77" s="1"/>
  <c r="AN273" i="77" s="1"/>
  <c r="BG273" i="77" s="1"/>
  <c r="BH273" i="77" s="1"/>
  <c r="AF192" i="77"/>
  <c r="AE192" i="77" s="1"/>
  <c r="AN192" i="77" s="1"/>
  <c r="BJ192" i="77" s="1"/>
  <c r="BK192" i="77" s="1"/>
  <c r="AF233" i="77"/>
  <c r="AE233" i="77" s="1"/>
  <c r="AN233" i="77" s="1"/>
  <c r="BG233" i="77" s="1"/>
  <c r="BH233" i="77" s="1"/>
  <c r="AF162" i="77"/>
  <c r="AE162" i="77" s="1"/>
  <c r="AN162" i="77" s="1"/>
  <c r="BG162" i="77" s="1"/>
  <c r="BH162" i="77" s="1"/>
  <c r="AF168" i="77"/>
  <c r="AE168" i="77" s="1"/>
  <c r="AN168" i="77" s="1"/>
  <c r="AF172" i="77"/>
  <c r="AE172" i="77" s="1"/>
  <c r="AN172" i="77" s="1"/>
  <c r="AF85" i="77"/>
  <c r="AE85" i="77" s="1"/>
  <c r="AN85" i="77" s="1"/>
  <c r="AF510" i="77"/>
  <c r="AE510" i="77" s="1"/>
  <c r="AF388" i="77"/>
  <c r="AE388" i="77" s="1"/>
  <c r="AN388" i="77" s="1"/>
  <c r="BG388" i="77" s="1"/>
  <c r="BH388" i="77" s="1"/>
  <c r="AF336" i="77"/>
  <c r="AE336" i="77" s="1"/>
  <c r="AN336" i="77" s="1"/>
  <c r="BG336" i="77" s="1"/>
  <c r="BH336" i="77" s="1"/>
  <c r="AF288" i="77"/>
  <c r="AE288" i="77" s="1"/>
  <c r="AN288" i="77" s="1"/>
  <c r="BG288" i="77" s="1"/>
  <c r="BH288" i="77" s="1"/>
  <c r="AF189" i="77"/>
  <c r="AE189" i="77" s="1"/>
  <c r="AN189" i="77" s="1"/>
  <c r="BG189" i="77" s="1"/>
  <c r="BH189" i="77" s="1"/>
  <c r="AF245" i="77"/>
  <c r="AE245" i="77" s="1"/>
  <c r="AF72" i="77"/>
  <c r="AE72" i="77" s="1"/>
  <c r="AN72" i="77" s="1"/>
  <c r="AF82" i="77"/>
  <c r="AE82" i="77" s="1"/>
  <c r="AN82" i="77" s="1"/>
  <c r="AF185" i="77"/>
  <c r="AE185" i="77" s="1"/>
  <c r="AN185" i="77" s="1"/>
  <c r="BG185" i="77" s="1"/>
  <c r="BH185" i="77" s="1"/>
  <c r="AF194" i="77"/>
  <c r="AE194" i="77" s="1"/>
  <c r="AN194" i="77" s="1"/>
  <c r="BJ194" i="77" s="1"/>
  <c r="BK194" i="77" s="1"/>
  <c r="AF181" i="77"/>
  <c r="AE181" i="77" s="1"/>
  <c r="AN181" i="77" s="1"/>
  <c r="BG181" i="77" s="1"/>
  <c r="BH181" i="77" s="1"/>
  <c r="AF70" i="77"/>
  <c r="AE70" i="77" s="1"/>
  <c r="AF74" i="77"/>
  <c r="AE74" i="77" s="1"/>
  <c r="AN74" i="77" s="1"/>
  <c r="AF97" i="77"/>
  <c r="AE97" i="77" s="1"/>
  <c r="AN97" i="77" s="1"/>
  <c r="AF98" i="77"/>
  <c r="AE98" i="77" s="1"/>
  <c r="AN98" i="77" s="1"/>
  <c r="AF75" i="77"/>
  <c r="AE75" i="77" s="1"/>
  <c r="AN75" i="77" s="1"/>
  <c r="AF78" i="77"/>
  <c r="AE78" i="77" s="1"/>
  <c r="AN78" i="77" s="1"/>
  <c r="AF83" i="77"/>
  <c r="AE83" i="77" s="1"/>
  <c r="AN83" i="77" s="1"/>
  <c r="AF30" i="77"/>
  <c r="AE30" i="77" s="1"/>
  <c r="AN30" i="77" s="1"/>
  <c r="AF53" i="77"/>
  <c r="AE53" i="77" s="1"/>
  <c r="AN53" i="77" s="1"/>
  <c r="AF263" i="77"/>
  <c r="AE263" i="77" s="1"/>
  <c r="AN263" i="77" s="1"/>
  <c r="BG263" i="77" s="1"/>
  <c r="BH263" i="77" s="1"/>
  <c r="AF281" i="77"/>
  <c r="AE281" i="77" s="1"/>
  <c r="AN281" i="77" s="1"/>
  <c r="BG281" i="77" s="1"/>
  <c r="BH281" i="77" s="1"/>
  <c r="AF187" i="77"/>
  <c r="AE187" i="77" s="1"/>
  <c r="AN187" i="77" s="1"/>
  <c r="BG187" i="77" s="1"/>
  <c r="BH187" i="77" s="1"/>
  <c r="AF500" i="77"/>
  <c r="AE500" i="77" s="1"/>
  <c r="AN500" i="77" s="1"/>
  <c r="BG500" i="77" s="1"/>
  <c r="BH500" i="77" s="1"/>
  <c r="AF253" i="77"/>
  <c r="AE253" i="77" s="1"/>
  <c r="AF256" i="77"/>
  <c r="AE256" i="77" s="1"/>
  <c r="AF274" i="77"/>
  <c r="AE274" i="77" s="1"/>
  <c r="AN274" i="77" s="1"/>
  <c r="BG274" i="77" s="1"/>
  <c r="BH274" i="77" s="1"/>
  <c r="AF198" i="77"/>
  <c r="AE198" i="77" s="1"/>
  <c r="AN198" i="77" s="1"/>
  <c r="BJ198" i="77" s="1"/>
  <c r="BK198" i="77" s="1"/>
  <c r="AF203" i="77"/>
  <c r="AE203" i="77" s="1"/>
  <c r="AN203" i="77" s="1"/>
  <c r="BJ203" i="77" s="1"/>
  <c r="BK203" i="77" s="1"/>
  <c r="AF554" i="77"/>
  <c r="AE554" i="77" s="1"/>
  <c r="AF297" i="77"/>
  <c r="AE297" i="77" s="1"/>
  <c r="AN297" i="77" s="1"/>
  <c r="BG297" i="77" s="1"/>
  <c r="BH297" i="77" s="1"/>
  <c r="AF285" i="77"/>
  <c r="AE285" i="77" s="1"/>
  <c r="AN285" i="77" s="1"/>
  <c r="BG285" i="77" s="1"/>
  <c r="BH285" i="77" s="1"/>
  <c r="AF295" i="77"/>
  <c r="AE295" i="77" s="1"/>
  <c r="AN295" i="77" s="1"/>
  <c r="BG295" i="77" s="1"/>
  <c r="BH295" i="77" s="1"/>
  <c r="AF190" i="77"/>
  <c r="AE190" i="77" s="1"/>
  <c r="AN190" i="77" s="1"/>
  <c r="BG190" i="77" s="1"/>
  <c r="BH190" i="77" s="1"/>
  <c r="AF195" i="77"/>
  <c r="AE195" i="77" s="1"/>
  <c r="AN195" i="77" s="1"/>
  <c r="BJ195" i="77" s="1"/>
  <c r="BK195" i="77" s="1"/>
  <c r="AF197" i="77"/>
  <c r="AE197" i="77" s="1"/>
  <c r="AN197" i="77" s="1"/>
  <c r="BJ197" i="77" s="1"/>
  <c r="BK197" i="77" s="1"/>
  <c r="AF236" i="77"/>
  <c r="AE236" i="77" s="1"/>
  <c r="AN236" i="77" s="1"/>
  <c r="BG236" i="77" s="1"/>
  <c r="BH236" i="77" s="1"/>
  <c r="AF241" i="77"/>
  <c r="AE241" i="77" s="1"/>
  <c r="AF137" i="77"/>
  <c r="AE137" i="77" s="1"/>
  <c r="AF147" i="77"/>
  <c r="AE147" i="77" s="1"/>
  <c r="AF155" i="77"/>
  <c r="AE155" i="77" s="1"/>
  <c r="AN155" i="77" s="1"/>
  <c r="BG155" i="77" s="1"/>
  <c r="BH155" i="77" s="1"/>
  <c r="AF157" i="77"/>
  <c r="AE157" i="77" s="1"/>
  <c r="AN157" i="77" s="1"/>
  <c r="BG157" i="77" s="1"/>
  <c r="BH157" i="77" s="1"/>
  <c r="AF159" i="77"/>
  <c r="AE159" i="77" s="1"/>
  <c r="AN159" i="77" s="1"/>
  <c r="BG159" i="77" s="1"/>
  <c r="BH159" i="77" s="1"/>
  <c r="AF161" i="77"/>
  <c r="AE161" i="77" s="1"/>
  <c r="AN161" i="77" s="1"/>
  <c r="BG161" i="77" s="1"/>
  <c r="BH161" i="77" s="1"/>
  <c r="AF163" i="77"/>
  <c r="AE163" i="77" s="1"/>
  <c r="AN163" i="77" s="1"/>
  <c r="BG163" i="77" s="1"/>
  <c r="BH163" i="77" s="1"/>
  <c r="AF173" i="77"/>
  <c r="AE173" i="77" s="1"/>
  <c r="AN173" i="77" s="1"/>
  <c r="AF138" i="77"/>
  <c r="AE138" i="77" s="1"/>
  <c r="AF156" i="77"/>
  <c r="AE156" i="77" s="1"/>
  <c r="AN156" i="77" s="1"/>
  <c r="BG156" i="77" s="1"/>
  <c r="BH156" i="77" s="1"/>
  <c r="AF90" i="77"/>
  <c r="AE90" i="77" s="1"/>
  <c r="AN90" i="77" s="1"/>
  <c r="AF99" i="77"/>
  <c r="AE99" i="77" s="1"/>
  <c r="AF104" i="77"/>
  <c r="AE104" i="77" s="1"/>
  <c r="AN104" i="77" s="1"/>
  <c r="AF112" i="77"/>
  <c r="AE112" i="77" s="1"/>
  <c r="AN112" i="77" s="1"/>
  <c r="AF178" i="77"/>
  <c r="AE178" i="77" s="1"/>
  <c r="AF182" i="77"/>
  <c r="AE182" i="77" s="1"/>
  <c r="AN182" i="77" s="1"/>
  <c r="BG182" i="77" s="1"/>
  <c r="BH182" i="77" s="1"/>
  <c r="AF89" i="77"/>
  <c r="AE89" i="77" s="1"/>
  <c r="AN89" i="77" s="1"/>
  <c r="AF136" i="77"/>
  <c r="AE136" i="77" s="1"/>
  <c r="AF106" i="77"/>
  <c r="AE106" i="77" s="1"/>
  <c r="AN106" i="77" s="1"/>
  <c r="AF127" i="77"/>
  <c r="AE127" i="77" s="1"/>
  <c r="AF401" i="77"/>
  <c r="AE401" i="77" s="1"/>
  <c r="AF409" i="77"/>
  <c r="AE409" i="77" s="1"/>
  <c r="AN409" i="77" s="1"/>
  <c r="BJ409" i="77" s="1"/>
  <c r="BK409" i="77" s="1"/>
  <c r="AF434" i="77"/>
  <c r="AE434" i="77" s="1"/>
  <c r="AF400" i="77"/>
  <c r="AE400" i="77" s="1"/>
  <c r="AN400" i="77" s="1"/>
  <c r="BG400" i="77" s="1"/>
  <c r="BH400" i="77" s="1"/>
  <c r="AF296" i="77"/>
  <c r="AE296" i="77" s="1"/>
  <c r="AN296" i="77" s="1"/>
  <c r="BG296" i="77" s="1"/>
  <c r="BH296" i="77" s="1"/>
  <c r="AF301" i="77"/>
  <c r="AE301" i="77" s="1"/>
  <c r="AN301" i="77" s="1"/>
  <c r="BG301" i="77" s="1"/>
  <c r="BH301" i="77" s="1"/>
  <c r="AF394" i="77"/>
  <c r="AE394" i="77" s="1"/>
  <c r="AF309" i="77"/>
  <c r="AE309" i="77" s="1"/>
  <c r="AF323" i="77"/>
  <c r="AE323" i="77" s="1"/>
  <c r="AN323" i="77" s="1"/>
  <c r="BG323" i="77" s="1"/>
  <c r="BH323" i="77" s="1"/>
  <c r="AF332" i="77"/>
  <c r="AE332" i="77" s="1"/>
  <c r="AN332" i="77" s="1"/>
  <c r="BJ332" i="77" s="1"/>
  <c r="BK332" i="77" s="1"/>
  <c r="AF334" i="77"/>
  <c r="AE334" i="77" s="1"/>
  <c r="AF339" i="77"/>
  <c r="AE339" i="77" s="1"/>
  <c r="AN339" i="77" s="1"/>
  <c r="BG339" i="77" s="1"/>
  <c r="BH339" i="77" s="1"/>
  <c r="AF247" i="77"/>
  <c r="AE247" i="77" s="1"/>
  <c r="AF250" i="77"/>
  <c r="AE250" i="77" s="1"/>
  <c r="AN250" i="77" s="1"/>
  <c r="BG250" i="77" s="1"/>
  <c r="BH250" i="77" s="1"/>
  <c r="AF257" i="77"/>
  <c r="AE257" i="77" s="1"/>
  <c r="AF196" i="77"/>
  <c r="AE196" i="77" s="1"/>
  <c r="AN196" i="77" s="1"/>
  <c r="BJ196" i="77" s="1"/>
  <c r="BK196" i="77" s="1"/>
  <c r="AF325" i="77"/>
  <c r="AE325" i="77" s="1"/>
  <c r="AN325" i="77" s="1"/>
  <c r="BG325" i="77" s="1"/>
  <c r="BH325" i="77" s="1"/>
  <c r="AF330" i="77"/>
  <c r="AE330" i="77" s="1"/>
  <c r="AF252" i="77"/>
  <c r="AE252" i="77" s="1"/>
  <c r="AF277" i="77"/>
  <c r="AE277" i="77" s="1"/>
  <c r="AN277" i="77" s="1"/>
  <c r="BG277" i="77" s="1"/>
  <c r="BH277" i="77" s="1"/>
  <c r="AF280" i="77"/>
  <c r="AE280" i="77" s="1"/>
  <c r="AN280" i="77" s="1"/>
  <c r="BG280" i="77" s="1"/>
  <c r="BH280" i="77" s="1"/>
  <c r="AF291" i="77"/>
  <c r="AE291" i="77" s="1"/>
  <c r="AN291" i="77" s="1"/>
  <c r="BG291" i="77" s="1"/>
  <c r="BH291" i="77" s="1"/>
  <c r="AF186" i="77"/>
  <c r="AE186" i="77" s="1"/>
  <c r="AN186" i="77" s="1"/>
  <c r="BG186" i="77" s="1"/>
  <c r="BH186" i="77" s="1"/>
  <c r="AF251" i="77"/>
  <c r="AE251" i="77" s="1"/>
  <c r="AN251" i="77" s="1"/>
  <c r="BG251" i="77" s="1"/>
  <c r="BH251" i="77" s="1"/>
  <c r="AF201" i="77"/>
  <c r="AE201" i="77" s="1"/>
  <c r="AN201" i="77" s="1"/>
  <c r="BJ201" i="77" s="1"/>
  <c r="BK201" i="77" s="1"/>
  <c r="AF199" i="77"/>
  <c r="AE199" i="77" s="1"/>
  <c r="AN199" i="77" s="1"/>
  <c r="BJ199" i="77" s="1"/>
  <c r="BK199" i="77" s="1"/>
  <c r="AF210" i="77"/>
  <c r="AE210" i="77" s="1"/>
  <c r="AF213" i="77"/>
  <c r="AE213" i="77" s="1"/>
  <c r="AN213" i="77" s="1"/>
  <c r="BG213" i="77" s="1"/>
  <c r="BH213" i="77" s="1"/>
  <c r="AF231" i="77"/>
  <c r="AE231" i="77" s="1"/>
  <c r="AN231" i="77" s="1"/>
  <c r="BG231" i="77" s="1"/>
  <c r="BH231" i="77" s="1"/>
  <c r="AF237" i="77"/>
  <c r="AE237" i="77" s="1"/>
  <c r="AF243" i="77"/>
  <c r="AE243" i="77" s="1"/>
  <c r="AF160" i="77"/>
  <c r="AE160" i="77" s="1"/>
  <c r="AN160" i="77" s="1"/>
  <c r="BG160" i="77" s="1"/>
  <c r="BH160" i="77" s="1"/>
  <c r="AF170" i="77"/>
  <c r="AE170" i="77" s="1"/>
  <c r="AN170" i="77" s="1"/>
  <c r="AF174" i="77"/>
  <c r="AE174" i="77" s="1"/>
  <c r="AN174" i="77" s="1"/>
  <c r="AF171" i="77"/>
  <c r="AE171" i="77" s="1"/>
  <c r="AN171" i="77" s="1"/>
  <c r="AF175" i="77"/>
  <c r="AE175" i="77" s="1"/>
  <c r="AN175" i="77" s="1"/>
  <c r="AF259" i="77"/>
  <c r="AE259" i="77" s="1"/>
  <c r="AN259" i="77" s="1"/>
  <c r="BG259" i="77" s="1"/>
  <c r="BH259" i="77" s="1"/>
  <c r="AF262" i="77"/>
  <c r="AE262" i="77" s="1"/>
  <c r="AN262" i="77" s="1"/>
  <c r="BG262" i="77" s="1"/>
  <c r="BH262" i="77" s="1"/>
  <c r="AF267" i="77"/>
  <c r="AE267" i="77" s="1"/>
  <c r="AF340" i="77"/>
  <c r="AE340" i="77" s="1"/>
  <c r="AN340" i="77" s="1"/>
  <c r="BG340" i="77" s="1"/>
  <c r="BH340" i="77" s="1"/>
  <c r="AF383" i="77"/>
  <c r="AE383" i="77" s="1"/>
  <c r="AN383" i="77" s="1"/>
  <c r="BG383" i="77" s="1"/>
  <c r="BH383" i="77" s="1"/>
  <c r="AF395" i="77"/>
  <c r="AE395" i="77" s="1"/>
  <c r="AN395" i="77" s="1"/>
  <c r="BG395" i="77" s="1"/>
  <c r="BH395" i="77" s="1"/>
  <c r="AF303" i="77"/>
  <c r="AE303" i="77" s="1"/>
  <c r="AN303" i="77" s="1"/>
  <c r="BG303" i="77" s="1"/>
  <c r="BH303" i="77" s="1"/>
  <c r="AF314" i="77"/>
  <c r="AE314" i="77" s="1"/>
  <c r="AN314" i="77" s="1"/>
  <c r="BJ314" i="77" s="1"/>
  <c r="BK314" i="77" s="1"/>
  <c r="AF367" i="77"/>
  <c r="AE367" i="77" s="1"/>
  <c r="AN367" i="77" s="1"/>
  <c r="BG367" i="77" s="1"/>
  <c r="BH367" i="77" s="1"/>
  <c r="AF302" i="77"/>
  <c r="AE302" i="77" s="1"/>
  <c r="AN302" i="77" s="1"/>
  <c r="BG302" i="77" s="1"/>
  <c r="BH302" i="77" s="1"/>
  <c r="AF269" i="77"/>
  <c r="AE269" i="77" s="1"/>
  <c r="AF270" i="77"/>
  <c r="AE270" i="77" s="1"/>
  <c r="AF422" i="77"/>
  <c r="AE422" i="77" s="1"/>
  <c r="AN422" i="77" s="1"/>
  <c r="BJ422" i="77" s="1"/>
  <c r="BK422" i="77" s="1"/>
  <c r="AF362" i="77"/>
  <c r="AE362" i="77" s="1"/>
  <c r="AF379" i="77"/>
  <c r="AE379" i="77" s="1"/>
  <c r="AN379" i="77" s="1"/>
  <c r="BG379" i="77" s="1"/>
  <c r="BH379" i="77" s="1"/>
  <c r="AF387" i="77"/>
  <c r="AE387" i="77" s="1"/>
  <c r="AF331" i="77"/>
  <c r="AE331" i="77" s="1"/>
  <c r="AF278" i="77"/>
  <c r="AE278" i="77" s="1"/>
  <c r="AN278" i="77" s="1"/>
  <c r="BG278" i="77" s="1"/>
  <c r="BH278" i="77" s="1"/>
  <c r="AF287" i="77"/>
  <c r="AE287" i="77" s="1"/>
  <c r="AN287" i="77" s="1"/>
  <c r="BG287" i="77" s="1"/>
  <c r="BH287" i="77" s="1"/>
  <c r="AF211" i="77"/>
  <c r="AE211" i="77" s="1"/>
  <c r="AN211" i="77" s="1"/>
  <c r="BG211" i="77" s="1"/>
  <c r="BH211" i="77" s="1"/>
  <c r="AF293" i="77"/>
  <c r="AE293" i="77" s="1"/>
  <c r="AF200" i="77"/>
  <c r="AE200" i="77" s="1"/>
  <c r="AN200" i="77" s="1"/>
  <c r="BJ200" i="77" s="1"/>
  <c r="BK200" i="77" s="1"/>
  <c r="AF424" i="77"/>
  <c r="AE424" i="77" s="1"/>
  <c r="AN424" i="77" s="1"/>
  <c r="BJ424" i="77" s="1"/>
  <c r="BK424" i="77" s="1"/>
  <c r="AF426" i="77"/>
  <c r="AE426" i="77" s="1"/>
  <c r="AF356" i="77"/>
  <c r="AE356" i="77" s="1"/>
  <c r="AN356" i="77" s="1"/>
  <c r="BJ356" i="77" s="1"/>
  <c r="BK356" i="77" s="1"/>
  <c r="AF373" i="77"/>
  <c r="AE373" i="77" s="1"/>
  <c r="AN373" i="77" s="1"/>
  <c r="BG373" i="77" s="1"/>
  <c r="BH373" i="77" s="1"/>
  <c r="AF380" i="77"/>
  <c r="AE380" i="77" s="1"/>
  <c r="AN380" i="77" s="1"/>
  <c r="BG380" i="77" s="1"/>
  <c r="BH380" i="77" s="1"/>
  <c r="AF382" i="77"/>
  <c r="AE382" i="77" s="1"/>
  <c r="AF386" i="77"/>
  <c r="AE386" i="77" s="1"/>
  <c r="AN386" i="77" s="1"/>
  <c r="BG386" i="77" s="1"/>
  <c r="BH386" i="77" s="1"/>
  <c r="AF307" i="77"/>
  <c r="AE307" i="77" s="1"/>
  <c r="AF368" i="77"/>
  <c r="AE368" i="77" s="1"/>
  <c r="AN368" i="77" s="1"/>
  <c r="BG368" i="77" s="1"/>
  <c r="BH368" i="77" s="1"/>
  <c r="AF381" i="77"/>
  <c r="AE381" i="77" s="1"/>
  <c r="AN381" i="77" s="1"/>
  <c r="BG381" i="77" s="1"/>
  <c r="BH381" i="77" s="1"/>
  <c r="AF393" i="77"/>
  <c r="AE393" i="77" s="1"/>
  <c r="AN393" i="77" s="1"/>
  <c r="BG393" i="77" s="1"/>
  <c r="BH393" i="77" s="1"/>
  <c r="AF335" i="77"/>
  <c r="AE335" i="77" s="1"/>
  <c r="AN335" i="77" s="1"/>
  <c r="BG335" i="77" s="1"/>
  <c r="BH335" i="77" s="1"/>
  <c r="AF396" i="77"/>
  <c r="AE396" i="77" s="1"/>
  <c r="AN396" i="77" s="1"/>
  <c r="BG396" i="77" s="1"/>
  <c r="BH396" i="77" s="1"/>
  <c r="AF300" i="77"/>
  <c r="AE300" i="77" s="1"/>
  <c r="AF322" i="77"/>
  <c r="AE322" i="77" s="1"/>
  <c r="AN322" i="77" s="1"/>
  <c r="BG322" i="77" s="1"/>
  <c r="BH322" i="77" s="1"/>
  <c r="AF324" i="77"/>
  <c r="AE324" i="77" s="1"/>
  <c r="AN324" i="77" s="1"/>
  <c r="BG324" i="77" s="1"/>
  <c r="BH324" i="77" s="1"/>
  <c r="AF328" i="77"/>
  <c r="AE328" i="77" s="1"/>
  <c r="AF333" i="77"/>
  <c r="AE333" i="77" s="1"/>
  <c r="AN333" i="77" s="1"/>
  <c r="BJ333" i="77" s="1"/>
  <c r="BK333" i="77" s="1"/>
  <c r="AF268" i="77"/>
  <c r="AE268" i="77" s="1"/>
  <c r="AF284" i="77"/>
  <c r="AE284" i="77" s="1"/>
  <c r="AN284" i="77" s="1"/>
  <c r="BG284" i="77" s="1"/>
  <c r="BH284" i="77" s="1"/>
  <c r="AF272" i="77"/>
  <c r="AE272" i="77" s="1"/>
  <c r="AF294" i="77"/>
  <c r="AE294" i="77" s="1"/>
  <c r="AN294" i="77" s="1"/>
  <c r="BG294" i="77" s="1"/>
  <c r="BH294" i="77" s="1"/>
  <c r="AF581" i="77"/>
  <c r="AE581" i="77" s="1"/>
  <c r="AF430" i="77"/>
  <c r="AE430" i="77" s="1"/>
  <c r="AN430" i="77" s="1"/>
  <c r="BJ430" i="77" s="1"/>
  <c r="BK430" i="77" s="1"/>
  <c r="AF433" i="77"/>
  <c r="AE433" i="77" s="1"/>
  <c r="AF458" i="77"/>
  <c r="AE458" i="77" s="1"/>
  <c r="AF358" i="77"/>
  <c r="AE358" i="77" s="1"/>
  <c r="AN358" i="77" s="1"/>
  <c r="BJ358" i="77" s="1"/>
  <c r="BK358" i="77" s="1"/>
  <c r="AF364" i="77"/>
  <c r="AE364" i="77" s="1"/>
  <c r="AN364" i="77" s="1"/>
  <c r="BG364" i="77" s="1"/>
  <c r="BH364" i="77" s="1"/>
  <c r="AF558" i="77"/>
  <c r="AE558" i="77" s="1"/>
  <c r="AF454" i="77"/>
  <c r="AE454" i="77" s="1"/>
  <c r="AF374" i="77"/>
  <c r="AE374" i="77" s="1"/>
  <c r="AN374" i="77" s="1"/>
  <c r="BG374" i="77" s="1"/>
  <c r="BH374" i="77" s="1"/>
  <c r="AF493" i="77"/>
  <c r="AE493" i="77" s="1"/>
  <c r="AF512" i="77"/>
  <c r="AE512" i="77" s="1"/>
  <c r="AF514" i="77"/>
  <c r="AE514" i="77" s="1"/>
  <c r="AF404" i="77"/>
  <c r="AE404" i="77" s="1"/>
  <c r="AN404" i="77" s="1"/>
  <c r="BJ404" i="77" s="1"/>
  <c r="BK404" i="77" s="1"/>
  <c r="AF408" i="77"/>
  <c r="AE408" i="77" s="1"/>
  <c r="AN408" i="77" s="1"/>
  <c r="BJ408" i="77" s="1"/>
  <c r="BK408" i="77" s="1"/>
  <c r="AF414" i="77"/>
  <c r="AE414" i="77" s="1"/>
  <c r="AN414" i="77" s="1"/>
  <c r="BJ414" i="77" s="1"/>
  <c r="BK414" i="77" s="1"/>
  <c r="AF417" i="77"/>
  <c r="AE417" i="77" s="1"/>
  <c r="AN417" i="77" s="1"/>
  <c r="BJ417" i="77" s="1"/>
  <c r="BK417" i="77" s="1"/>
  <c r="AF423" i="77"/>
  <c r="AE423" i="77" s="1"/>
  <c r="AN423" i="77" s="1"/>
  <c r="BJ423" i="77" s="1"/>
  <c r="BK423" i="77" s="1"/>
  <c r="AF427" i="77"/>
  <c r="AE427" i="77" s="1"/>
  <c r="AN427" i="77" s="1"/>
  <c r="BJ427" i="77" s="1"/>
  <c r="BK427" i="77" s="1"/>
  <c r="AF437" i="77"/>
  <c r="AE437" i="77" s="1"/>
  <c r="AF448" i="77"/>
  <c r="AE448" i="77" s="1"/>
  <c r="AF354" i="77"/>
  <c r="AE354" i="77" s="1"/>
  <c r="AN354" i="77" s="1"/>
  <c r="BJ354" i="77" s="1"/>
  <c r="BK354" i="77" s="1"/>
  <c r="AF365" i="77"/>
  <c r="AE365" i="77" s="1"/>
  <c r="AN365" i="77" s="1"/>
  <c r="BG365" i="77" s="1"/>
  <c r="BH365" i="77" s="1"/>
  <c r="AF372" i="77"/>
  <c r="AE372" i="77" s="1"/>
  <c r="AF376" i="77"/>
  <c r="AE376" i="77" s="1"/>
  <c r="AN376" i="77" s="1"/>
  <c r="BG376" i="77" s="1"/>
  <c r="BH376" i="77" s="1"/>
  <c r="AF375" i="77"/>
  <c r="AE375" i="77" s="1"/>
  <c r="AN375" i="77" s="1"/>
  <c r="BG375" i="77" s="1"/>
  <c r="BH375" i="77" s="1"/>
  <c r="AF378" i="77"/>
  <c r="AE378" i="77" s="1"/>
  <c r="AN378" i="77" s="1"/>
  <c r="BG378" i="77" s="1"/>
  <c r="BH378" i="77" s="1"/>
  <c r="AF384" i="77"/>
  <c r="AE384" i="77" s="1"/>
  <c r="AN384" i="77" s="1"/>
  <c r="BG384" i="77" s="1"/>
  <c r="BH384" i="77" s="1"/>
  <c r="AF389" i="77"/>
  <c r="AE389" i="77" s="1"/>
  <c r="AF392" i="77"/>
  <c r="AE392" i="77" s="1"/>
  <c r="AN392" i="77" s="1"/>
  <c r="BG392" i="77" s="1"/>
  <c r="BH392" i="77" s="1"/>
  <c r="AF576" i="77"/>
  <c r="AE576" i="77" s="1"/>
  <c r="AF577" i="77"/>
  <c r="AE577" i="77" s="1"/>
  <c r="AF579" i="77"/>
  <c r="AE579" i="77" s="1"/>
  <c r="AF505" i="77"/>
  <c r="AE505" i="77" s="1"/>
  <c r="AF405" i="77"/>
  <c r="AE405" i="77" s="1"/>
  <c r="AN405" i="77" s="1"/>
  <c r="BJ405" i="77" s="1"/>
  <c r="BK405" i="77" s="1"/>
  <c r="AF425" i="77"/>
  <c r="AE425" i="77" s="1"/>
  <c r="AN425" i="77" s="1"/>
  <c r="BJ425" i="77" s="1"/>
  <c r="BK425" i="77" s="1"/>
  <c r="AF429" i="77"/>
  <c r="AE429" i="77" s="1"/>
  <c r="AF431" i="77"/>
  <c r="AE431" i="77" s="1"/>
  <c r="AN431" i="77" s="1"/>
  <c r="BJ431" i="77" s="1"/>
  <c r="BK431" i="77" s="1"/>
  <c r="AF436" i="77"/>
  <c r="AE436" i="77" s="1"/>
  <c r="AF439" i="77"/>
  <c r="AE439" i="77" s="1"/>
  <c r="AF406" i="77"/>
  <c r="AE406" i="77" s="1"/>
  <c r="AN406" i="77" s="1"/>
  <c r="BJ406" i="77" s="1"/>
  <c r="BK406" i="77" s="1"/>
  <c r="AF580" i="77"/>
  <c r="AE580" i="77" s="1"/>
  <c r="AF488" i="77"/>
  <c r="AE488" i="77" s="1"/>
  <c r="AF490" i="77"/>
  <c r="AE490" i="77" s="1"/>
  <c r="AF499" i="77"/>
  <c r="AE499" i="77" s="1"/>
  <c r="AF504" i="77"/>
  <c r="AE504" i="77" s="1"/>
  <c r="AN504" i="77" s="1"/>
  <c r="BG504" i="77" s="1"/>
  <c r="BH504" i="77" s="1"/>
  <c r="AF508" i="77"/>
  <c r="AE508" i="77" s="1"/>
  <c r="AF415" i="77"/>
  <c r="AE415" i="77" s="1"/>
  <c r="AN415" i="77" s="1"/>
  <c r="BJ415" i="77" s="1"/>
  <c r="BK415" i="77" s="1"/>
  <c r="AF432" i="77"/>
  <c r="AE432" i="77" s="1"/>
  <c r="AF438" i="77"/>
  <c r="AE438" i="77" s="1"/>
  <c r="AF457" i="77"/>
  <c r="AE457" i="77" s="1"/>
  <c r="AN457" i="77" s="1"/>
  <c r="BG457" i="77" s="1"/>
  <c r="BH457" i="77" s="1"/>
  <c r="AF385" i="77"/>
  <c r="AE385" i="77" s="1"/>
  <c r="AN385" i="77" s="1"/>
  <c r="BG385" i="77" s="1"/>
  <c r="BH385" i="77" s="1"/>
  <c r="AF529" i="77"/>
  <c r="AE529" i="77" s="1"/>
  <c r="AF549" i="77"/>
  <c r="AE549" i="77" s="1"/>
  <c r="AF552" i="77"/>
  <c r="AE552" i="77" s="1"/>
  <c r="AF478" i="77"/>
  <c r="AE478" i="77" s="1"/>
  <c r="AN478" i="77" s="1"/>
  <c r="BG478" i="77" s="1"/>
  <c r="BH478" i="77" s="1"/>
  <c r="AF547" i="77"/>
  <c r="AE547" i="77" s="1"/>
  <c r="AF578" i="77"/>
  <c r="AE578" i="77" s="1"/>
  <c r="AF476" i="77"/>
  <c r="AE476" i="77" s="1"/>
  <c r="AF477" i="77"/>
  <c r="AE477" i="77" s="1"/>
  <c r="AF496" i="77"/>
  <c r="AE496" i="77" s="1"/>
  <c r="AN496" i="77" s="1"/>
  <c r="BJ496" i="77" s="1"/>
  <c r="BK496" i="77" s="1"/>
  <c r="AF481" i="77"/>
  <c r="AE481" i="77" s="1"/>
  <c r="AF484" i="77"/>
  <c r="AE484" i="77" s="1"/>
  <c r="AF485" i="77"/>
  <c r="AE485" i="77" s="1"/>
  <c r="AF489" i="77"/>
  <c r="AE489" i="77" s="1"/>
  <c r="AF502" i="77"/>
  <c r="AE502" i="77" s="1"/>
  <c r="AN502" i="77" s="1"/>
  <c r="BG502" i="77" s="1"/>
  <c r="BH502" i="77" s="1"/>
  <c r="AF509" i="77"/>
  <c r="AE509" i="77" s="1"/>
  <c r="AF407" i="77"/>
  <c r="AE407" i="77" s="1"/>
  <c r="AN407" i="77" s="1"/>
  <c r="BJ407" i="77" s="1"/>
  <c r="BK407" i="77" s="1"/>
  <c r="AF416" i="77"/>
  <c r="AE416" i="77" s="1"/>
  <c r="AN416" i="77" s="1"/>
  <c r="BJ416" i="77" s="1"/>
  <c r="BK416" i="77" s="1"/>
  <c r="AF428" i="77"/>
  <c r="AE428" i="77" s="1"/>
  <c r="AN428" i="77" s="1"/>
  <c r="BJ428" i="77" s="1"/>
  <c r="BK428" i="77" s="1"/>
  <c r="AF511" i="77"/>
  <c r="AE511" i="77" s="1"/>
  <c r="AF517" i="77"/>
  <c r="AE517" i="77" s="1"/>
  <c r="AF520" i="77"/>
  <c r="AE520" i="77" s="1"/>
  <c r="AF553" i="77"/>
  <c r="AE553" i="77" s="1"/>
  <c r="AF555" i="77"/>
  <c r="AE555" i="77" s="1"/>
  <c r="AF556" i="77"/>
  <c r="AE556" i="77" s="1"/>
  <c r="AF483" i="77"/>
  <c r="AE483" i="77" s="1"/>
  <c r="AF538" i="77"/>
  <c r="AE538" i="77" s="1"/>
  <c r="AF548" i="77"/>
  <c r="AE548" i="77" s="1"/>
  <c r="AF550" i="77"/>
  <c r="AE550" i="77" s="1"/>
  <c r="AF491" i="77"/>
  <c r="AE491" i="77" s="1"/>
  <c r="AF479" i="77"/>
  <c r="AE479" i="77" s="1"/>
  <c r="AF487" i="77"/>
  <c r="AE487" i="77" s="1"/>
  <c r="AF557" i="77"/>
  <c r="AE557" i="77" s="1"/>
  <c r="AF663" i="77"/>
  <c r="AE663" i="77" s="1"/>
  <c r="M3" i="80"/>
  <c r="M4" i="80"/>
  <c r="M5" i="80"/>
  <c r="M6" i="80"/>
  <c r="M7" i="80"/>
  <c r="M8" i="80"/>
  <c r="M9" i="80"/>
  <c r="M10" i="80"/>
  <c r="M11" i="80"/>
  <c r="M12" i="80"/>
  <c r="M13" i="80"/>
  <c r="M14" i="80"/>
  <c r="M15" i="80"/>
  <c r="M16" i="80"/>
  <c r="M17" i="80"/>
  <c r="M18" i="80"/>
  <c r="M19" i="80"/>
  <c r="M20" i="80"/>
  <c r="M21" i="80"/>
  <c r="M22" i="80"/>
  <c r="M23" i="80"/>
  <c r="M24" i="80"/>
  <c r="M25" i="80"/>
  <c r="M26" i="80"/>
  <c r="M27" i="80"/>
  <c r="M28" i="80"/>
  <c r="M29" i="80"/>
  <c r="M30" i="80"/>
  <c r="M31" i="80"/>
  <c r="M32" i="80"/>
  <c r="M33" i="80"/>
  <c r="M34" i="80"/>
  <c r="M35" i="80"/>
  <c r="M36" i="80"/>
  <c r="M37" i="80"/>
  <c r="M38" i="80"/>
  <c r="M39" i="80"/>
  <c r="M40" i="80"/>
  <c r="M41" i="80"/>
  <c r="M42" i="80"/>
  <c r="M43" i="80"/>
  <c r="M44" i="80"/>
  <c r="M45" i="80"/>
  <c r="M46" i="80"/>
  <c r="M47" i="80"/>
  <c r="M48" i="80"/>
  <c r="M49" i="80"/>
  <c r="M50" i="80"/>
  <c r="M51" i="80"/>
  <c r="M52" i="80"/>
  <c r="M53" i="80"/>
  <c r="M54" i="80"/>
  <c r="M55" i="80"/>
  <c r="M56" i="80"/>
  <c r="M57" i="80"/>
  <c r="M58" i="80"/>
  <c r="M59" i="80"/>
  <c r="M60" i="80"/>
  <c r="M61" i="80"/>
  <c r="M62" i="80"/>
  <c r="M63" i="80"/>
  <c r="M64" i="80"/>
  <c r="M65" i="80"/>
  <c r="M66" i="80"/>
  <c r="M67" i="80"/>
  <c r="M68" i="80"/>
  <c r="M69" i="80"/>
  <c r="M70" i="80"/>
  <c r="M71" i="80"/>
  <c r="M72" i="80"/>
  <c r="M73" i="80"/>
  <c r="M74" i="80"/>
  <c r="M75" i="80"/>
  <c r="M76" i="80"/>
  <c r="M77" i="80"/>
  <c r="M78" i="80"/>
  <c r="M79" i="80"/>
  <c r="M80" i="80"/>
  <c r="M81" i="80"/>
  <c r="M82" i="80"/>
  <c r="M83" i="80"/>
  <c r="M84" i="80"/>
  <c r="M85" i="80"/>
  <c r="M86" i="80"/>
  <c r="M87" i="80"/>
  <c r="M88" i="80"/>
  <c r="M89" i="80"/>
  <c r="M90" i="80"/>
  <c r="M91" i="80"/>
  <c r="M92" i="80"/>
  <c r="M93" i="80"/>
  <c r="M94" i="80"/>
  <c r="M95" i="80"/>
  <c r="M96" i="80"/>
  <c r="M97" i="80"/>
  <c r="M98" i="80"/>
  <c r="M99" i="80"/>
  <c r="M100" i="80"/>
  <c r="M101" i="80"/>
  <c r="M102" i="80"/>
  <c r="M103" i="80"/>
  <c r="M104" i="80"/>
  <c r="M105" i="80"/>
  <c r="M106" i="80"/>
  <c r="M107" i="80"/>
  <c r="M108" i="80"/>
  <c r="M109" i="80"/>
  <c r="M110" i="80"/>
  <c r="M111" i="80"/>
  <c r="M112" i="80"/>
  <c r="M113" i="80"/>
  <c r="M114" i="80"/>
  <c r="M115" i="80"/>
  <c r="M116" i="80"/>
  <c r="M117" i="80"/>
  <c r="M118" i="80"/>
  <c r="M119" i="80"/>
  <c r="M120" i="80"/>
  <c r="M121" i="80"/>
  <c r="M122" i="80"/>
  <c r="M123" i="80"/>
  <c r="M124" i="80"/>
  <c r="M125" i="80"/>
  <c r="M126" i="80"/>
  <c r="M127" i="80"/>
  <c r="M128" i="80"/>
  <c r="M129" i="80"/>
  <c r="M130" i="80"/>
  <c r="M131" i="80"/>
  <c r="M132" i="80"/>
  <c r="M133" i="80"/>
  <c r="M134" i="80"/>
  <c r="M135" i="80"/>
  <c r="M136" i="80"/>
  <c r="M137" i="80"/>
  <c r="M138" i="80"/>
  <c r="M139" i="80"/>
  <c r="M140" i="80"/>
  <c r="M141" i="80"/>
  <c r="M142" i="80"/>
  <c r="M143" i="80"/>
  <c r="M144" i="80"/>
  <c r="M145" i="80"/>
  <c r="M146" i="80"/>
  <c r="M147" i="80"/>
  <c r="M148" i="80"/>
  <c r="M149" i="80"/>
  <c r="M150" i="80"/>
  <c r="M151" i="80"/>
  <c r="M152" i="80"/>
  <c r="M153" i="80"/>
  <c r="M154" i="80"/>
  <c r="M155" i="80"/>
  <c r="M156" i="80"/>
  <c r="M157" i="80"/>
  <c r="M158" i="80"/>
  <c r="M159" i="80"/>
  <c r="M160" i="80"/>
  <c r="M161" i="80"/>
  <c r="M162" i="80"/>
  <c r="M163" i="80"/>
  <c r="M164" i="80"/>
  <c r="M165" i="80"/>
  <c r="M166" i="80"/>
  <c r="M167" i="80"/>
  <c r="M168" i="80"/>
  <c r="M169" i="80"/>
  <c r="M170" i="80"/>
  <c r="M171" i="80"/>
  <c r="M172" i="80"/>
  <c r="M173" i="80"/>
  <c r="M174" i="80"/>
  <c r="M175" i="80"/>
  <c r="M176" i="80"/>
  <c r="M177" i="80"/>
  <c r="M178" i="80"/>
  <c r="M179" i="80"/>
  <c r="M180" i="80"/>
  <c r="M181" i="80"/>
  <c r="M182" i="80"/>
  <c r="M183" i="80"/>
  <c r="M184" i="80"/>
  <c r="M185" i="80"/>
  <c r="M186" i="80"/>
  <c r="M187" i="80"/>
  <c r="M188" i="80"/>
  <c r="M189" i="80"/>
  <c r="M190" i="80"/>
  <c r="M191" i="80"/>
  <c r="M192" i="80"/>
  <c r="M193" i="80"/>
  <c r="M194" i="80"/>
  <c r="M195" i="80"/>
  <c r="M196" i="80"/>
  <c r="M197" i="80"/>
  <c r="M198" i="80"/>
  <c r="M199" i="80"/>
  <c r="M200" i="80"/>
  <c r="M201" i="80"/>
  <c r="M202" i="80"/>
  <c r="M203" i="80"/>
  <c r="M204" i="80"/>
  <c r="M205" i="80"/>
  <c r="M206" i="80"/>
  <c r="M207" i="80"/>
  <c r="M208" i="80"/>
  <c r="M209" i="80"/>
  <c r="M210" i="80"/>
  <c r="M211" i="80"/>
  <c r="M212" i="80"/>
  <c r="M213" i="80"/>
  <c r="M214" i="80"/>
  <c r="M215" i="80"/>
  <c r="M216" i="80"/>
  <c r="M217" i="80"/>
  <c r="M218" i="80"/>
  <c r="M219" i="80"/>
  <c r="M220" i="80"/>
  <c r="M221" i="80"/>
  <c r="M222" i="80"/>
  <c r="M223" i="80"/>
  <c r="M224" i="80"/>
  <c r="M225" i="80"/>
  <c r="M226" i="80"/>
  <c r="M227" i="80"/>
  <c r="M228" i="80"/>
  <c r="M229" i="80"/>
  <c r="M230" i="80"/>
  <c r="M231" i="80"/>
  <c r="M232" i="80"/>
  <c r="M233" i="80"/>
  <c r="M234" i="80"/>
  <c r="M235" i="80"/>
  <c r="M236" i="80"/>
  <c r="M237" i="80"/>
  <c r="M238" i="80"/>
  <c r="M239" i="80"/>
  <c r="M240" i="80"/>
  <c r="M241" i="80"/>
  <c r="M242" i="80"/>
  <c r="M243" i="80"/>
  <c r="M244" i="80"/>
  <c r="M245" i="80"/>
  <c r="M246" i="80"/>
  <c r="M247" i="80"/>
  <c r="M248" i="80"/>
  <c r="M249" i="80"/>
  <c r="M250" i="80"/>
  <c r="M251" i="80"/>
  <c r="M252" i="80"/>
  <c r="M253" i="80"/>
  <c r="M254" i="80"/>
  <c r="M255" i="80"/>
  <c r="M256" i="80"/>
  <c r="M257" i="80"/>
  <c r="M258" i="80"/>
  <c r="M259" i="80"/>
  <c r="M260" i="80"/>
  <c r="M261" i="80"/>
  <c r="M262" i="80"/>
  <c r="M263" i="80"/>
  <c r="M264" i="80"/>
  <c r="M265" i="80"/>
  <c r="M266" i="80"/>
  <c r="M267" i="80"/>
  <c r="M268" i="80"/>
  <c r="M269" i="80"/>
  <c r="M270" i="80"/>
  <c r="M271" i="80"/>
  <c r="M272" i="80"/>
  <c r="M273" i="80"/>
  <c r="M274" i="80"/>
  <c r="M275" i="80"/>
  <c r="M276" i="80"/>
  <c r="M277" i="80"/>
  <c r="M278" i="80"/>
  <c r="M279" i="80"/>
  <c r="M280" i="80"/>
  <c r="M281" i="80"/>
  <c r="M282" i="80"/>
  <c r="M283" i="80"/>
  <c r="M284" i="80"/>
  <c r="M285" i="80"/>
  <c r="M286" i="80"/>
  <c r="M287" i="80"/>
  <c r="M288" i="80"/>
  <c r="M289" i="80"/>
  <c r="M290" i="80"/>
  <c r="M291" i="80"/>
  <c r="M292" i="80"/>
  <c r="M293" i="80"/>
  <c r="M294" i="80"/>
  <c r="M295" i="80"/>
  <c r="M296" i="80"/>
  <c r="M297" i="80"/>
  <c r="M298" i="80"/>
  <c r="M299" i="80"/>
  <c r="M300" i="80"/>
  <c r="M301" i="80"/>
  <c r="M302" i="80"/>
  <c r="M303" i="80"/>
  <c r="M304" i="80"/>
  <c r="M305" i="80"/>
  <c r="M306" i="80"/>
  <c r="M307" i="80"/>
  <c r="M308" i="80"/>
  <c r="M309" i="80"/>
  <c r="M310" i="80"/>
  <c r="M311" i="80"/>
  <c r="M312" i="80"/>
  <c r="M313" i="80"/>
  <c r="M314" i="80"/>
  <c r="M315" i="80"/>
  <c r="M316" i="80"/>
  <c r="M317" i="80"/>
  <c r="M318" i="80"/>
  <c r="M319" i="80"/>
  <c r="M320" i="80"/>
  <c r="M321" i="80"/>
  <c r="M322" i="80"/>
  <c r="M323" i="80"/>
  <c r="M324" i="80"/>
  <c r="M325" i="80"/>
  <c r="M326" i="80"/>
  <c r="M327" i="80"/>
  <c r="M328" i="80"/>
  <c r="M329" i="80"/>
  <c r="M330" i="80"/>
  <c r="M331" i="80"/>
  <c r="M332" i="80"/>
  <c r="M333" i="80"/>
  <c r="M334" i="80"/>
  <c r="M335" i="80"/>
  <c r="M336" i="80"/>
  <c r="M337" i="80"/>
  <c r="M338" i="80"/>
  <c r="M339" i="80"/>
  <c r="M340" i="80"/>
  <c r="M341" i="80"/>
  <c r="M342" i="80"/>
  <c r="M343" i="80"/>
  <c r="M344" i="80"/>
  <c r="M345" i="80"/>
  <c r="M346" i="80"/>
  <c r="M347" i="80"/>
  <c r="M348" i="80"/>
  <c r="M349" i="80"/>
  <c r="M350" i="80"/>
  <c r="M351" i="80"/>
  <c r="M352" i="80"/>
  <c r="M353" i="80"/>
  <c r="M354" i="80"/>
  <c r="M355" i="80"/>
  <c r="M356" i="80"/>
  <c r="M357" i="80"/>
  <c r="M358" i="80"/>
  <c r="M359" i="80"/>
  <c r="M360" i="80"/>
  <c r="M361" i="80"/>
  <c r="M362" i="80"/>
  <c r="M363" i="80"/>
  <c r="M364" i="80"/>
  <c r="M365" i="80"/>
  <c r="M366" i="80"/>
  <c r="M367" i="80"/>
  <c r="M368" i="80"/>
  <c r="M369" i="80"/>
  <c r="M370" i="80"/>
  <c r="M371" i="80"/>
  <c r="M372" i="80"/>
  <c r="M373" i="80"/>
  <c r="M374" i="80"/>
  <c r="M375" i="80"/>
  <c r="M376" i="80"/>
  <c r="M377" i="80"/>
  <c r="M378" i="80"/>
  <c r="M379" i="80"/>
  <c r="M380" i="80"/>
  <c r="M381" i="80"/>
  <c r="M382" i="80"/>
  <c r="M383" i="80"/>
  <c r="M384" i="80"/>
  <c r="M385" i="80"/>
  <c r="M386" i="80"/>
  <c r="M387" i="80"/>
  <c r="M388" i="80"/>
  <c r="M389" i="80"/>
  <c r="M390" i="80"/>
  <c r="M391" i="80"/>
  <c r="M392" i="80"/>
  <c r="M393" i="80"/>
  <c r="M394" i="80"/>
  <c r="M395" i="80"/>
  <c r="M396" i="80"/>
  <c r="M397" i="80"/>
  <c r="M398" i="80"/>
  <c r="M399" i="80"/>
  <c r="M400" i="80"/>
  <c r="M401" i="80"/>
  <c r="M402" i="80"/>
  <c r="M403" i="80"/>
  <c r="M404" i="80"/>
  <c r="M405" i="80"/>
  <c r="M406" i="80"/>
  <c r="M407" i="80"/>
  <c r="M408" i="80"/>
  <c r="M409" i="80"/>
  <c r="M410" i="80"/>
  <c r="M411" i="80"/>
  <c r="M412" i="80"/>
  <c r="M413" i="80"/>
  <c r="M414" i="80"/>
  <c r="M415" i="80"/>
  <c r="M416" i="80"/>
  <c r="M417" i="80"/>
  <c r="M418" i="80"/>
  <c r="M419" i="80"/>
  <c r="M420" i="80"/>
  <c r="M421" i="80"/>
  <c r="M422" i="80"/>
  <c r="M423" i="80"/>
  <c r="M424" i="80"/>
  <c r="M425" i="80"/>
  <c r="M426" i="80"/>
  <c r="M427" i="80"/>
  <c r="M428" i="80"/>
  <c r="M429" i="80"/>
  <c r="M430" i="80"/>
  <c r="M431" i="80"/>
  <c r="M432" i="80"/>
  <c r="M433" i="80"/>
  <c r="M434" i="80"/>
  <c r="M435" i="80"/>
  <c r="M436" i="80"/>
  <c r="M437" i="80"/>
  <c r="M438" i="80"/>
  <c r="M439" i="80"/>
  <c r="M440" i="80"/>
  <c r="M441" i="80"/>
  <c r="M442" i="80"/>
  <c r="M443" i="80"/>
  <c r="M444" i="80"/>
  <c r="M445" i="80"/>
  <c r="M446" i="80"/>
  <c r="M447" i="80"/>
  <c r="M448" i="80"/>
  <c r="M449" i="80"/>
  <c r="M450" i="80"/>
  <c r="M451" i="80"/>
  <c r="M452" i="80"/>
  <c r="M453" i="80"/>
  <c r="M454" i="80"/>
  <c r="M455" i="80"/>
  <c r="M456" i="80"/>
  <c r="M457" i="80"/>
  <c r="M458" i="80"/>
  <c r="M459" i="80"/>
  <c r="M460" i="80"/>
  <c r="M461" i="80"/>
  <c r="M462" i="80"/>
  <c r="M463" i="80"/>
  <c r="M464" i="80"/>
  <c r="M465" i="80"/>
  <c r="M466" i="80"/>
  <c r="M467" i="80"/>
  <c r="M468" i="80"/>
  <c r="M469" i="80"/>
  <c r="M470" i="80"/>
  <c r="M471" i="80"/>
  <c r="M472" i="80"/>
  <c r="M473" i="80"/>
  <c r="M474" i="80"/>
  <c r="M475" i="80"/>
  <c r="M476" i="80"/>
  <c r="M477" i="80"/>
  <c r="M478" i="80"/>
  <c r="M479" i="80"/>
  <c r="M480" i="80"/>
  <c r="M481" i="80"/>
  <c r="M482" i="80"/>
  <c r="M483" i="80"/>
  <c r="M484" i="80"/>
  <c r="M485" i="80"/>
  <c r="M486" i="80"/>
  <c r="M487" i="80"/>
  <c r="M488" i="80"/>
  <c r="M489" i="80"/>
  <c r="M490" i="80"/>
  <c r="M491" i="80"/>
  <c r="M492" i="80"/>
  <c r="M493" i="80"/>
  <c r="M494" i="80"/>
  <c r="M495" i="80"/>
  <c r="M496" i="80"/>
  <c r="M497" i="80"/>
  <c r="M498" i="80"/>
  <c r="M499" i="80"/>
  <c r="M500" i="80"/>
  <c r="M501" i="80"/>
  <c r="M502" i="80"/>
  <c r="M503" i="80"/>
  <c r="M504" i="80"/>
  <c r="M505" i="80"/>
  <c r="M506" i="80"/>
  <c r="M507" i="80"/>
  <c r="M508" i="80"/>
  <c r="M509" i="80"/>
  <c r="M510" i="80"/>
  <c r="M511" i="80"/>
  <c r="M512" i="80"/>
  <c r="M513" i="80"/>
  <c r="M514" i="80"/>
  <c r="M515" i="80"/>
  <c r="M516" i="80"/>
  <c r="M517" i="80"/>
  <c r="M518" i="80"/>
  <c r="M519" i="80"/>
  <c r="M520" i="80"/>
  <c r="M521" i="80"/>
  <c r="M522" i="80"/>
  <c r="M523" i="80"/>
  <c r="M524" i="80"/>
  <c r="M525" i="80"/>
  <c r="M526" i="80"/>
  <c r="M527" i="80"/>
  <c r="M528" i="80"/>
  <c r="M529" i="80"/>
  <c r="M530" i="80"/>
  <c r="M531" i="80"/>
  <c r="M532" i="80"/>
  <c r="M533" i="80"/>
  <c r="M534" i="80"/>
  <c r="M535" i="80"/>
  <c r="M536" i="80"/>
  <c r="M537" i="80"/>
  <c r="M538" i="80"/>
  <c r="M539" i="80"/>
  <c r="M540" i="80"/>
  <c r="M541" i="80"/>
  <c r="M542" i="80"/>
  <c r="M543" i="80"/>
  <c r="M544" i="80"/>
  <c r="M545" i="80"/>
  <c r="M546" i="80"/>
  <c r="M547" i="80"/>
  <c r="M548" i="80"/>
  <c r="M549" i="80"/>
  <c r="M550" i="80"/>
  <c r="M551" i="80"/>
  <c r="M552" i="80"/>
  <c r="M553" i="80"/>
  <c r="M554" i="80"/>
  <c r="M555" i="80"/>
  <c r="M556" i="80"/>
  <c r="M557" i="80"/>
  <c r="M558" i="80"/>
  <c r="M559" i="80"/>
  <c r="M560" i="80"/>
  <c r="M561" i="80"/>
  <c r="M562" i="80"/>
  <c r="M563" i="80"/>
  <c r="M564" i="80"/>
  <c r="M565" i="80"/>
  <c r="M566" i="80"/>
  <c r="M567" i="80"/>
  <c r="M568" i="80"/>
  <c r="M569" i="80"/>
  <c r="M570" i="80"/>
  <c r="M571" i="80"/>
  <c r="M572" i="80"/>
  <c r="M573" i="80"/>
  <c r="M574" i="80"/>
  <c r="M575" i="80"/>
  <c r="M576" i="80"/>
  <c r="M577" i="80"/>
  <c r="M578" i="80"/>
  <c r="M579" i="80"/>
  <c r="M580" i="80"/>
  <c r="M581" i="80"/>
  <c r="M582" i="80"/>
  <c r="M583" i="80"/>
  <c r="M584" i="80"/>
  <c r="M585" i="80"/>
  <c r="M586" i="80"/>
  <c r="M587" i="80"/>
  <c r="M588" i="80"/>
  <c r="M589" i="80"/>
  <c r="M590" i="80"/>
  <c r="M591" i="80"/>
  <c r="M592" i="80"/>
  <c r="M593" i="80"/>
  <c r="M594" i="80"/>
  <c r="M595" i="80"/>
  <c r="M596" i="80"/>
  <c r="M597" i="80"/>
  <c r="M598" i="80"/>
  <c r="M599" i="80"/>
  <c r="M600" i="80"/>
  <c r="M601" i="80"/>
  <c r="M602" i="80"/>
  <c r="M603" i="80"/>
  <c r="M604" i="80"/>
  <c r="M605" i="80"/>
  <c r="M606" i="80"/>
  <c r="M607" i="80"/>
  <c r="M608" i="80"/>
  <c r="M609" i="80"/>
  <c r="M610" i="80"/>
  <c r="M611" i="80"/>
  <c r="M612" i="80"/>
  <c r="M613" i="80"/>
  <c r="M614" i="80"/>
  <c r="M615" i="80"/>
  <c r="M616" i="80"/>
  <c r="M617" i="80"/>
  <c r="M618" i="80"/>
  <c r="M619" i="80"/>
  <c r="M620" i="80"/>
  <c r="M621" i="80"/>
  <c r="M622" i="80"/>
  <c r="M623" i="80"/>
  <c r="M624" i="80"/>
  <c r="M625" i="80"/>
  <c r="M626" i="80"/>
  <c r="M627" i="80"/>
  <c r="M628" i="80"/>
  <c r="M629" i="80"/>
  <c r="M630" i="80"/>
  <c r="M631" i="80"/>
  <c r="M632" i="80"/>
  <c r="M633" i="80"/>
  <c r="M634" i="80"/>
  <c r="M635" i="80"/>
  <c r="M636" i="80"/>
  <c r="M637" i="80"/>
  <c r="M638" i="80"/>
  <c r="M639" i="80"/>
  <c r="M640" i="80"/>
  <c r="M641" i="80"/>
  <c r="M642" i="80"/>
  <c r="M643" i="80"/>
  <c r="M644" i="80"/>
  <c r="M645" i="80"/>
  <c r="M646" i="80"/>
  <c r="M647" i="80"/>
  <c r="M648" i="80"/>
  <c r="M649" i="80"/>
  <c r="M650" i="80"/>
  <c r="M651" i="80"/>
  <c r="M652" i="80"/>
  <c r="M653" i="80"/>
  <c r="M654" i="80"/>
  <c r="M655" i="80"/>
  <c r="M656" i="80"/>
  <c r="M657" i="80"/>
  <c r="M658" i="80"/>
  <c r="M659" i="80"/>
  <c r="M660" i="80"/>
  <c r="M661" i="80"/>
  <c r="M662" i="80"/>
  <c r="M663" i="80"/>
  <c r="M664" i="80"/>
  <c r="M665" i="80"/>
  <c r="M666" i="80"/>
  <c r="M667" i="80"/>
  <c r="M668" i="80"/>
  <c r="M669" i="80"/>
  <c r="M670" i="80"/>
  <c r="M671" i="80"/>
  <c r="M672" i="80"/>
  <c r="M673" i="80"/>
  <c r="M674" i="80"/>
  <c r="M675" i="80"/>
  <c r="M676" i="80"/>
  <c r="M677" i="80"/>
  <c r="M678" i="80"/>
  <c r="M679" i="80"/>
  <c r="M680" i="80"/>
  <c r="M681" i="80"/>
  <c r="M682" i="80"/>
  <c r="M683" i="80"/>
  <c r="M684" i="80"/>
  <c r="M685" i="80"/>
  <c r="M686" i="80"/>
  <c r="M687" i="80"/>
  <c r="M688" i="80"/>
  <c r="M689" i="80"/>
  <c r="M690" i="80"/>
  <c r="M691" i="80"/>
  <c r="M692" i="80"/>
  <c r="M693" i="80"/>
  <c r="M694" i="80"/>
  <c r="M695" i="80"/>
  <c r="M696" i="80"/>
  <c r="M697" i="80"/>
  <c r="M698" i="80"/>
  <c r="M699" i="80"/>
  <c r="M700" i="80"/>
  <c r="M701" i="80"/>
  <c r="M702" i="80"/>
  <c r="M703" i="80"/>
  <c r="M704" i="80"/>
  <c r="M705" i="80"/>
  <c r="M706" i="80"/>
  <c r="M707" i="80"/>
  <c r="M708" i="80"/>
  <c r="M709" i="80"/>
  <c r="M710" i="80"/>
  <c r="M711" i="80"/>
  <c r="M712" i="80"/>
  <c r="M713" i="80"/>
  <c r="M714" i="80"/>
  <c r="M715" i="80"/>
  <c r="M716" i="80"/>
  <c r="M717" i="80"/>
  <c r="M718" i="80"/>
  <c r="M719" i="80"/>
  <c r="M720" i="80"/>
  <c r="M721" i="80"/>
  <c r="M722" i="80"/>
  <c r="M723" i="80"/>
  <c r="M724" i="80"/>
  <c r="M725" i="80"/>
  <c r="M726" i="80"/>
  <c r="M727" i="80"/>
  <c r="M728" i="80"/>
  <c r="M729" i="80"/>
  <c r="M730" i="80"/>
  <c r="M731" i="80"/>
  <c r="M732" i="80"/>
  <c r="M733" i="80"/>
  <c r="M734" i="80"/>
  <c r="M735" i="80"/>
  <c r="M736" i="80"/>
  <c r="M737" i="80"/>
  <c r="M738" i="80"/>
  <c r="M739" i="80"/>
  <c r="M740" i="80"/>
  <c r="M741" i="80"/>
  <c r="M742" i="80"/>
  <c r="M743" i="80"/>
  <c r="M744" i="80"/>
  <c r="M745" i="80"/>
  <c r="M746" i="80"/>
  <c r="M747" i="80"/>
  <c r="M748" i="80"/>
  <c r="M749" i="80"/>
  <c r="M750" i="80"/>
  <c r="M751" i="80"/>
  <c r="M752" i="80"/>
  <c r="M753" i="80"/>
  <c r="M754" i="80"/>
  <c r="M755" i="80"/>
  <c r="M756" i="80"/>
  <c r="M757" i="80"/>
  <c r="M758" i="80"/>
  <c r="M759" i="80"/>
  <c r="M760" i="80"/>
  <c r="M761" i="80"/>
  <c r="M762" i="80"/>
  <c r="M763" i="80"/>
  <c r="M764" i="80"/>
  <c r="M765" i="80"/>
  <c r="M766" i="80"/>
  <c r="M767" i="80"/>
  <c r="M768" i="80"/>
  <c r="M769" i="80"/>
  <c r="M770" i="80"/>
  <c r="M771" i="80"/>
  <c r="M772" i="80"/>
  <c r="M773" i="80"/>
  <c r="M774" i="80"/>
  <c r="M775" i="80"/>
  <c r="M776" i="80"/>
  <c r="M777" i="80"/>
  <c r="M778" i="80"/>
  <c r="M779" i="80"/>
  <c r="M780" i="80"/>
  <c r="M781" i="80"/>
  <c r="M782" i="80"/>
  <c r="M783" i="80"/>
  <c r="M784" i="80"/>
  <c r="M785" i="80"/>
  <c r="M786" i="80"/>
  <c r="M787" i="80"/>
  <c r="M788" i="80"/>
  <c r="M789" i="80"/>
  <c r="M790" i="80"/>
  <c r="M791" i="80"/>
  <c r="M792" i="80"/>
  <c r="M793" i="80"/>
  <c r="M794" i="80"/>
  <c r="M795" i="80"/>
  <c r="M796" i="80"/>
  <c r="M797" i="80"/>
  <c r="M798" i="80"/>
  <c r="M799" i="80"/>
  <c r="M800" i="80"/>
  <c r="M801" i="80"/>
  <c r="M802" i="80"/>
  <c r="M803" i="80"/>
  <c r="M804" i="80"/>
  <c r="M805" i="80"/>
  <c r="M806" i="80"/>
  <c r="M807" i="80"/>
  <c r="M808" i="80"/>
  <c r="M809" i="80"/>
  <c r="M810" i="80"/>
  <c r="M811" i="80"/>
  <c r="M812" i="80"/>
  <c r="M813" i="80"/>
  <c r="M814" i="80"/>
  <c r="M815" i="80"/>
  <c r="M816" i="80"/>
  <c r="M817" i="80"/>
  <c r="M818" i="80"/>
  <c r="M819" i="80"/>
  <c r="M820" i="80"/>
  <c r="M821" i="80"/>
  <c r="M822" i="80"/>
  <c r="M823" i="80"/>
  <c r="M824" i="80"/>
  <c r="M825" i="80"/>
  <c r="M826" i="80"/>
  <c r="M827" i="80"/>
  <c r="M828" i="80"/>
  <c r="M829" i="80"/>
  <c r="M830" i="80"/>
  <c r="M831" i="80"/>
  <c r="M832" i="80"/>
  <c r="M833" i="80"/>
  <c r="M834" i="80"/>
  <c r="M835" i="80"/>
  <c r="M836" i="80"/>
  <c r="M837" i="80"/>
  <c r="M838" i="80"/>
  <c r="M839" i="80"/>
  <c r="M840" i="80"/>
  <c r="M841" i="80"/>
  <c r="M842" i="80"/>
  <c r="M843" i="80"/>
  <c r="M844" i="80"/>
  <c r="M845" i="80"/>
  <c r="M846" i="80"/>
  <c r="M847" i="80"/>
  <c r="M848" i="80"/>
  <c r="M849" i="80"/>
  <c r="M850" i="80"/>
  <c r="M851" i="80"/>
  <c r="M852" i="80"/>
  <c r="M853" i="80"/>
  <c r="M854" i="80"/>
  <c r="M855" i="80"/>
  <c r="M856" i="80"/>
  <c r="M857" i="80"/>
  <c r="M858" i="80"/>
  <c r="M859" i="80"/>
  <c r="M860" i="80"/>
  <c r="M861" i="80"/>
  <c r="M862" i="80"/>
  <c r="M863" i="80"/>
  <c r="M864" i="80"/>
  <c r="M865" i="80"/>
  <c r="M866" i="80"/>
  <c r="M867" i="80"/>
  <c r="M868" i="80"/>
  <c r="M869" i="80"/>
  <c r="M870" i="80"/>
  <c r="M871" i="80"/>
  <c r="M872" i="80"/>
  <c r="M873" i="80"/>
  <c r="M874" i="80"/>
  <c r="M875" i="80"/>
  <c r="M876" i="80"/>
  <c r="M877" i="80"/>
  <c r="M878" i="80"/>
  <c r="M879" i="80"/>
  <c r="M880" i="80"/>
  <c r="M881" i="80"/>
  <c r="M882" i="80"/>
  <c r="M883" i="80"/>
  <c r="M884" i="80"/>
  <c r="M885" i="80"/>
  <c r="M886" i="80"/>
  <c r="M887" i="80"/>
  <c r="M888" i="80"/>
  <c r="M889" i="80"/>
  <c r="M890" i="80"/>
  <c r="M891" i="80"/>
  <c r="M892" i="80"/>
  <c r="M893" i="80"/>
  <c r="M894" i="80"/>
  <c r="M895" i="80"/>
  <c r="M896" i="80"/>
  <c r="M897" i="80"/>
  <c r="M898" i="80"/>
  <c r="M899" i="80"/>
  <c r="M900" i="80"/>
  <c r="M901" i="80"/>
  <c r="M902" i="80"/>
  <c r="M903" i="80"/>
  <c r="M904" i="80"/>
  <c r="M905" i="80"/>
  <c r="M906" i="80"/>
  <c r="M907" i="80"/>
  <c r="M908" i="80"/>
  <c r="M909" i="80"/>
  <c r="M910" i="80"/>
  <c r="M911" i="80"/>
  <c r="M912" i="80"/>
  <c r="M913" i="80"/>
  <c r="M914" i="80"/>
  <c r="M915" i="80"/>
  <c r="M916" i="80"/>
  <c r="M917" i="80"/>
  <c r="M918" i="80"/>
  <c r="M919" i="80"/>
  <c r="M920" i="80"/>
  <c r="M921" i="80"/>
  <c r="M922" i="80"/>
  <c r="M923" i="80"/>
  <c r="M924" i="80"/>
  <c r="M925" i="80"/>
  <c r="M926" i="80"/>
  <c r="M927" i="80"/>
  <c r="M928" i="80"/>
  <c r="M929" i="80"/>
  <c r="M930" i="80"/>
  <c r="M931" i="80"/>
  <c r="M932" i="80"/>
  <c r="M933" i="80"/>
  <c r="M934" i="80"/>
  <c r="M935" i="80"/>
  <c r="M936" i="80"/>
  <c r="M937" i="80"/>
  <c r="M938" i="80"/>
  <c r="M939" i="80"/>
  <c r="M940" i="80"/>
  <c r="M941" i="80"/>
  <c r="M942" i="80"/>
  <c r="M943" i="80"/>
  <c r="M944" i="80"/>
  <c r="M945" i="80"/>
  <c r="M946" i="80"/>
  <c r="M947" i="80"/>
  <c r="M948" i="80"/>
  <c r="M949" i="80"/>
  <c r="M950" i="80"/>
  <c r="M951" i="80"/>
  <c r="M952" i="80"/>
  <c r="M953" i="80"/>
  <c r="M954" i="80"/>
  <c r="M955" i="80"/>
  <c r="M956" i="80"/>
  <c r="M957" i="80"/>
  <c r="M958" i="80"/>
  <c r="M959" i="80"/>
  <c r="M960" i="80"/>
  <c r="M961" i="80"/>
  <c r="M962" i="80"/>
  <c r="M963" i="80"/>
  <c r="M964" i="80"/>
  <c r="M965" i="80"/>
  <c r="M966" i="80"/>
  <c r="M967" i="80"/>
  <c r="M968" i="80"/>
  <c r="M969" i="80"/>
  <c r="M970" i="80"/>
  <c r="M971" i="80"/>
  <c r="M972" i="80"/>
  <c r="M973" i="80"/>
  <c r="M974" i="80"/>
  <c r="M975" i="80"/>
  <c r="M976" i="80"/>
  <c r="M977" i="80"/>
  <c r="M978" i="80"/>
  <c r="M979" i="80"/>
  <c r="M980" i="80"/>
  <c r="M981" i="80"/>
  <c r="M982" i="80"/>
  <c r="M983" i="80"/>
  <c r="M984" i="80"/>
  <c r="M985" i="80"/>
  <c r="M986" i="80"/>
  <c r="M987" i="80"/>
  <c r="M988" i="80"/>
  <c r="M989" i="80"/>
  <c r="M990" i="80"/>
  <c r="M991" i="80"/>
  <c r="M992" i="80"/>
  <c r="M993" i="80"/>
  <c r="M994" i="80"/>
  <c r="M995" i="80"/>
  <c r="M996" i="80"/>
  <c r="M997" i="80"/>
  <c r="M998" i="80"/>
  <c r="M999" i="80"/>
  <c r="M1000" i="80"/>
  <c r="M1001" i="80"/>
  <c r="M1002" i="80"/>
  <c r="M1003" i="80"/>
  <c r="M1004" i="80"/>
  <c r="M1005" i="80"/>
  <c r="M1006" i="80"/>
  <c r="M1007" i="80"/>
  <c r="M1008" i="80"/>
  <c r="M1009" i="80"/>
  <c r="M1010" i="80"/>
  <c r="M1011" i="80"/>
  <c r="M1012" i="80"/>
  <c r="M1013" i="80"/>
  <c r="M1014" i="80"/>
  <c r="M1015" i="80"/>
  <c r="M1016" i="80"/>
  <c r="M1017" i="80"/>
  <c r="M1018" i="80"/>
  <c r="M1019" i="80"/>
  <c r="M1020" i="80"/>
  <c r="M1021" i="80"/>
  <c r="M1022" i="80"/>
  <c r="M1023" i="80"/>
  <c r="M1024" i="80"/>
  <c r="M1025" i="80"/>
  <c r="M1026" i="80"/>
  <c r="M1027" i="80"/>
  <c r="M1028" i="80"/>
  <c r="M1029" i="80"/>
  <c r="M1030" i="80"/>
  <c r="M1031" i="80"/>
  <c r="M1032" i="80"/>
  <c r="M1033" i="80"/>
  <c r="M1034" i="80"/>
  <c r="M1035" i="80"/>
  <c r="M1036" i="80"/>
  <c r="M1037" i="80"/>
  <c r="M1038" i="80"/>
  <c r="M1039" i="80"/>
  <c r="M1040" i="80"/>
  <c r="M1041" i="80"/>
  <c r="M1042" i="80"/>
  <c r="M1043" i="80"/>
  <c r="M1044" i="80"/>
  <c r="M1045" i="80"/>
  <c r="M1046" i="80"/>
  <c r="M1047" i="80"/>
  <c r="M1048" i="80"/>
  <c r="M1049" i="80"/>
  <c r="M1050" i="80"/>
  <c r="M1051" i="80"/>
  <c r="M1052" i="80"/>
  <c r="M1053" i="80"/>
  <c r="M1054" i="80"/>
  <c r="M1055" i="80"/>
  <c r="M1056" i="80"/>
  <c r="M1057" i="80"/>
  <c r="M1058" i="80"/>
  <c r="M1059" i="80"/>
  <c r="M1060" i="80"/>
  <c r="M1061" i="80"/>
  <c r="M1062" i="80"/>
  <c r="M1063" i="80"/>
  <c r="M1064" i="80"/>
  <c r="M1065" i="80"/>
  <c r="M1066" i="80"/>
  <c r="M1067" i="80"/>
  <c r="M1068" i="80"/>
  <c r="M1069" i="80"/>
  <c r="M1070" i="80"/>
  <c r="M1071" i="80"/>
  <c r="M1072" i="80"/>
  <c r="M1073" i="80"/>
  <c r="M1074" i="80"/>
  <c r="M1075" i="80"/>
  <c r="M1076" i="80"/>
  <c r="M1077" i="80"/>
  <c r="M1078" i="80"/>
  <c r="M1079" i="80"/>
  <c r="M1080" i="80"/>
  <c r="M1081" i="80"/>
  <c r="M1082" i="80"/>
  <c r="M1083" i="80"/>
  <c r="M1084" i="80"/>
  <c r="M1085" i="80"/>
  <c r="M1086" i="80"/>
  <c r="M1087" i="80"/>
  <c r="M1088" i="80"/>
  <c r="M1089" i="80"/>
  <c r="M1090" i="80"/>
  <c r="M1091" i="80"/>
  <c r="M1092" i="80"/>
  <c r="M1093" i="80"/>
  <c r="M1094" i="80"/>
  <c r="M1095" i="80"/>
  <c r="M1096" i="80"/>
  <c r="M1097" i="80"/>
  <c r="M1098" i="80"/>
  <c r="M1099" i="80"/>
  <c r="M1100" i="80"/>
  <c r="M1101" i="80"/>
  <c r="M1102" i="80"/>
  <c r="M1103" i="80"/>
  <c r="M1104" i="80"/>
  <c r="M1105" i="80"/>
  <c r="M1106" i="80"/>
  <c r="M1107" i="80"/>
  <c r="M1108" i="80"/>
  <c r="M1109" i="80"/>
  <c r="M1110" i="80"/>
  <c r="M1111" i="80"/>
  <c r="M1112" i="80"/>
  <c r="M1113" i="80"/>
  <c r="M1114" i="80"/>
  <c r="M1115" i="80"/>
  <c r="M1116" i="80"/>
  <c r="M1117" i="80"/>
  <c r="M1118" i="80"/>
  <c r="M1119" i="80"/>
  <c r="M1120" i="80"/>
  <c r="M1121" i="80"/>
  <c r="M1122" i="80"/>
  <c r="M1123" i="80"/>
  <c r="M1124" i="80"/>
  <c r="M1125" i="80"/>
  <c r="M1126" i="80"/>
  <c r="M1127" i="80"/>
  <c r="M1128" i="80"/>
  <c r="M1129" i="80"/>
  <c r="M1130" i="80"/>
  <c r="M1131" i="80"/>
  <c r="M1132" i="80"/>
  <c r="M1133" i="80"/>
  <c r="M1134" i="80"/>
  <c r="M1135" i="80"/>
  <c r="M1136" i="80"/>
  <c r="M1137" i="80"/>
  <c r="M1138" i="80"/>
  <c r="M1139" i="80"/>
  <c r="M1140" i="80"/>
  <c r="M1141" i="80"/>
  <c r="M1142" i="80"/>
  <c r="M1143" i="80"/>
  <c r="M1144" i="80"/>
  <c r="M1145" i="80"/>
  <c r="M1146" i="80"/>
  <c r="M1147" i="80"/>
  <c r="M1148" i="80"/>
  <c r="M1149" i="80"/>
  <c r="M1150" i="80"/>
  <c r="M1151" i="80"/>
  <c r="M1152" i="80"/>
  <c r="M1153" i="80"/>
  <c r="M1154" i="80"/>
  <c r="M1155" i="80"/>
  <c r="M1156" i="80"/>
  <c r="M1157" i="80"/>
  <c r="M1158" i="80"/>
  <c r="M1159" i="80"/>
  <c r="M1160" i="80"/>
  <c r="M1161" i="80"/>
  <c r="M1162" i="80"/>
  <c r="M1163" i="80"/>
  <c r="M1164" i="80"/>
  <c r="M1165" i="80"/>
  <c r="M1166" i="80"/>
  <c r="M1167" i="80"/>
  <c r="M1168" i="80"/>
  <c r="M1169" i="80"/>
  <c r="M1170" i="80"/>
  <c r="M1171" i="80"/>
  <c r="M1172" i="80"/>
  <c r="M1173" i="80"/>
  <c r="M1174" i="80"/>
  <c r="M1175" i="80"/>
  <c r="M1176" i="80"/>
  <c r="M1177" i="80"/>
  <c r="M1178" i="80"/>
  <c r="M1179" i="80"/>
  <c r="M1180" i="80"/>
  <c r="M1181" i="80"/>
  <c r="M1182" i="80"/>
  <c r="M1183" i="80"/>
  <c r="M1184" i="80"/>
  <c r="M1185" i="80"/>
  <c r="M1186" i="80"/>
  <c r="M1187" i="80"/>
  <c r="M1188" i="80"/>
  <c r="M1189" i="80"/>
  <c r="M1190" i="80"/>
  <c r="M1191" i="80"/>
  <c r="M1192" i="80"/>
  <c r="M1193" i="80"/>
  <c r="M1194" i="80"/>
  <c r="M1195" i="80"/>
  <c r="M1196" i="80"/>
  <c r="M1197" i="80"/>
  <c r="M1198" i="80"/>
  <c r="M1199" i="80"/>
  <c r="M1200" i="80"/>
  <c r="M1201" i="80"/>
  <c r="M1202" i="80"/>
  <c r="M1203" i="80"/>
  <c r="M1204" i="80"/>
  <c r="M1205" i="80"/>
  <c r="M1206" i="80"/>
  <c r="M1207" i="80"/>
  <c r="M1208" i="80"/>
  <c r="M1209" i="80"/>
  <c r="M1210" i="80"/>
  <c r="M1211" i="80"/>
  <c r="M1212" i="80"/>
  <c r="M1213" i="80"/>
  <c r="M1214" i="80"/>
  <c r="M1215" i="80"/>
  <c r="M1216" i="80"/>
  <c r="M1217" i="80"/>
  <c r="M1218" i="80"/>
  <c r="M1219" i="80"/>
  <c r="M1220" i="80"/>
  <c r="M1221" i="80"/>
  <c r="M1222" i="80"/>
  <c r="M1223" i="80"/>
  <c r="M1224" i="80"/>
  <c r="M1225" i="80"/>
  <c r="M1226" i="80"/>
  <c r="M1227" i="80"/>
  <c r="M1228" i="80"/>
  <c r="M1229" i="80"/>
  <c r="M1230" i="80"/>
  <c r="M1231" i="80"/>
  <c r="M1232" i="80"/>
  <c r="M1233" i="80"/>
  <c r="M1234" i="80"/>
  <c r="M1235" i="80"/>
  <c r="M1236" i="80"/>
  <c r="M1237" i="80"/>
  <c r="M1238" i="80"/>
  <c r="M1239" i="80"/>
  <c r="M1240" i="80"/>
  <c r="M1241" i="80"/>
  <c r="M1242" i="80"/>
  <c r="M1243" i="80"/>
  <c r="M1244" i="80"/>
  <c r="M1245" i="80"/>
  <c r="M1246" i="80"/>
  <c r="M1247" i="80"/>
  <c r="M1248" i="80"/>
  <c r="M1249" i="80"/>
  <c r="M1250" i="80"/>
  <c r="M1251" i="80"/>
  <c r="M1252" i="80"/>
  <c r="M1253" i="80"/>
  <c r="M1254" i="80"/>
  <c r="M1255" i="80"/>
  <c r="M1256" i="80"/>
  <c r="M1257" i="80"/>
  <c r="M1258" i="80"/>
  <c r="M1259" i="80"/>
  <c r="M1260" i="80"/>
  <c r="M1261" i="80"/>
  <c r="M1262" i="80"/>
  <c r="M1263" i="80"/>
  <c r="M1264" i="80"/>
  <c r="M1265" i="80"/>
  <c r="M1266" i="80"/>
  <c r="M1267" i="80"/>
  <c r="M1268" i="80"/>
  <c r="M1269" i="80"/>
  <c r="M1270" i="80"/>
  <c r="M1271" i="80"/>
  <c r="M1272" i="80"/>
  <c r="M1273" i="80"/>
  <c r="M1274" i="80"/>
  <c r="M1275" i="80"/>
  <c r="M1276" i="80"/>
  <c r="M1277" i="80"/>
  <c r="M1278" i="80"/>
  <c r="M1279" i="80"/>
  <c r="M1280" i="80"/>
  <c r="M1281" i="80"/>
  <c r="M1282" i="80"/>
  <c r="M1283" i="80"/>
  <c r="M1284" i="80"/>
  <c r="M1285" i="80"/>
  <c r="M1286" i="80"/>
  <c r="M1287" i="80"/>
  <c r="M1288" i="80"/>
  <c r="M1289" i="80"/>
  <c r="M1290" i="80"/>
  <c r="M1291" i="80"/>
  <c r="M1292" i="80"/>
  <c r="M1293" i="80"/>
  <c r="M1294" i="80"/>
  <c r="M1295" i="80"/>
  <c r="M1296" i="80"/>
  <c r="M1297" i="80"/>
  <c r="M1298" i="80"/>
  <c r="M1299" i="80"/>
  <c r="M1300" i="80"/>
  <c r="M1301" i="80"/>
  <c r="M1302" i="80"/>
  <c r="M1303" i="80"/>
  <c r="M1304" i="80"/>
  <c r="M1305" i="80"/>
  <c r="M1306" i="80"/>
  <c r="M1307" i="80"/>
  <c r="M1308" i="80"/>
  <c r="M1309" i="80"/>
  <c r="M1310" i="80"/>
  <c r="M1311" i="80"/>
  <c r="M1312" i="80"/>
  <c r="M1313" i="80"/>
  <c r="M1314" i="80"/>
  <c r="M1315" i="80"/>
  <c r="M1316" i="80"/>
  <c r="M1317" i="80"/>
  <c r="M1318" i="80"/>
  <c r="M1319" i="80"/>
  <c r="M1320" i="80"/>
  <c r="M1321" i="80"/>
  <c r="M1322" i="80"/>
  <c r="M1323" i="80"/>
  <c r="M1324" i="80"/>
  <c r="M1325" i="80"/>
  <c r="M1326" i="80"/>
  <c r="M1327" i="80"/>
  <c r="M1328" i="80"/>
  <c r="M1329" i="80"/>
  <c r="M1330" i="80"/>
  <c r="M1331" i="80"/>
  <c r="M1332" i="80"/>
  <c r="M1333" i="80"/>
  <c r="M1334" i="80"/>
  <c r="M1335" i="80"/>
  <c r="M1336" i="80"/>
  <c r="M1337" i="80"/>
  <c r="M1338" i="80"/>
  <c r="M1339" i="80"/>
  <c r="M1340" i="80"/>
  <c r="M1341" i="80"/>
  <c r="M1342" i="80"/>
  <c r="M1343" i="80"/>
  <c r="M1344" i="80"/>
  <c r="K4" i="80"/>
  <c r="L4" i="80"/>
  <c r="K5" i="80"/>
  <c r="L5" i="80"/>
  <c r="K6" i="80"/>
  <c r="L6" i="80"/>
  <c r="K7" i="80"/>
  <c r="L7" i="80"/>
  <c r="K8" i="80"/>
  <c r="L8" i="80"/>
  <c r="K9" i="80"/>
  <c r="L9" i="80"/>
  <c r="K10" i="80"/>
  <c r="L10" i="80"/>
  <c r="K11" i="80"/>
  <c r="L11" i="80"/>
  <c r="K12" i="80"/>
  <c r="L12" i="80"/>
  <c r="K13" i="80"/>
  <c r="L13" i="80"/>
  <c r="K14" i="80"/>
  <c r="L14" i="80"/>
  <c r="K15" i="80"/>
  <c r="L15" i="80"/>
  <c r="K16" i="80"/>
  <c r="L16" i="80"/>
  <c r="K17" i="80"/>
  <c r="L17" i="80"/>
  <c r="K18" i="80"/>
  <c r="L18" i="80"/>
  <c r="K19" i="80"/>
  <c r="L19" i="80"/>
  <c r="K20" i="80"/>
  <c r="L20" i="80"/>
  <c r="K21" i="80"/>
  <c r="L21" i="80"/>
  <c r="K22" i="80"/>
  <c r="L22" i="80"/>
  <c r="K23" i="80"/>
  <c r="L23" i="80"/>
  <c r="K24" i="80"/>
  <c r="L24" i="80"/>
  <c r="K25" i="80"/>
  <c r="L25" i="80"/>
  <c r="K26" i="80"/>
  <c r="L26" i="80"/>
  <c r="K27" i="80"/>
  <c r="L27" i="80"/>
  <c r="K28" i="80"/>
  <c r="L28" i="80"/>
  <c r="K29" i="80"/>
  <c r="L29" i="80"/>
  <c r="K30" i="80"/>
  <c r="L30" i="80"/>
  <c r="K31" i="80"/>
  <c r="L31" i="80"/>
  <c r="K32" i="80"/>
  <c r="L32" i="80"/>
  <c r="K33" i="80"/>
  <c r="L33" i="80"/>
  <c r="K34" i="80"/>
  <c r="L34" i="80"/>
  <c r="K35" i="80"/>
  <c r="L35" i="80"/>
  <c r="K36" i="80"/>
  <c r="L36" i="80"/>
  <c r="K37" i="80"/>
  <c r="L37" i="80"/>
  <c r="K38" i="80"/>
  <c r="L38" i="80"/>
  <c r="K39" i="80"/>
  <c r="L39" i="80"/>
  <c r="K40" i="80"/>
  <c r="L40" i="80"/>
  <c r="K41" i="80"/>
  <c r="L41" i="80"/>
  <c r="K42" i="80"/>
  <c r="L42" i="80"/>
  <c r="K43" i="80"/>
  <c r="L43" i="80"/>
  <c r="K44" i="80"/>
  <c r="L44" i="80"/>
  <c r="K45" i="80"/>
  <c r="L45" i="80"/>
  <c r="K46" i="80"/>
  <c r="L46" i="80"/>
  <c r="K47" i="80"/>
  <c r="L47" i="80"/>
  <c r="K48" i="80"/>
  <c r="L48" i="80"/>
  <c r="K49" i="80"/>
  <c r="L49" i="80"/>
  <c r="K50" i="80"/>
  <c r="L50" i="80"/>
  <c r="K51" i="80"/>
  <c r="L51" i="80"/>
  <c r="K52" i="80"/>
  <c r="L52" i="80"/>
  <c r="K53" i="80"/>
  <c r="L53" i="80"/>
  <c r="K54" i="80"/>
  <c r="L54" i="80"/>
  <c r="K55" i="80"/>
  <c r="L55" i="80"/>
  <c r="K56" i="80"/>
  <c r="L56" i="80"/>
  <c r="K57" i="80"/>
  <c r="L57" i="80"/>
  <c r="K58" i="80"/>
  <c r="L58" i="80"/>
  <c r="K59" i="80"/>
  <c r="L59" i="80"/>
  <c r="K60" i="80"/>
  <c r="L60" i="80"/>
  <c r="K61" i="80"/>
  <c r="L61" i="80"/>
  <c r="K62" i="80"/>
  <c r="L62" i="80"/>
  <c r="K63" i="80"/>
  <c r="L63" i="80"/>
  <c r="K64" i="80"/>
  <c r="L64" i="80"/>
  <c r="K65" i="80"/>
  <c r="L65" i="80"/>
  <c r="K66" i="80"/>
  <c r="L66" i="80"/>
  <c r="K67" i="80"/>
  <c r="L67" i="80"/>
  <c r="K68" i="80"/>
  <c r="L68" i="80"/>
  <c r="K69" i="80"/>
  <c r="L69" i="80"/>
  <c r="K70" i="80"/>
  <c r="L70" i="80"/>
  <c r="K71" i="80"/>
  <c r="L71" i="80"/>
  <c r="K72" i="80"/>
  <c r="L72" i="80"/>
  <c r="K73" i="80"/>
  <c r="L73" i="80"/>
  <c r="K74" i="80"/>
  <c r="L74" i="80"/>
  <c r="K75" i="80"/>
  <c r="L75" i="80"/>
  <c r="K76" i="80"/>
  <c r="L76" i="80"/>
  <c r="K77" i="80"/>
  <c r="L77" i="80"/>
  <c r="K78" i="80"/>
  <c r="L78" i="80"/>
  <c r="K79" i="80"/>
  <c r="L79" i="80"/>
  <c r="K80" i="80"/>
  <c r="L80" i="80"/>
  <c r="K81" i="80"/>
  <c r="L81" i="80"/>
  <c r="K82" i="80"/>
  <c r="L82" i="80"/>
  <c r="K83" i="80"/>
  <c r="L83" i="80"/>
  <c r="K84" i="80"/>
  <c r="L84" i="80"/>
  <c r="K85" i="80"/>
  <c r="L85" i="80"/>
  <c r="K86" i="80"/>
  <c r="L86" i="80"/>
  <c r="K87" i="80"/>
  <c r="L87" i="80"/>
  <c r="K88" i="80"/>
  <c r="L88" i="80"/>
  <c r="K89" i="80"/>
  <c r="L89" i="80"/>
  <c r="K90" i="80"/>
  <c r="L90" i="80"/>
  <c r="K91" i="80"/>
  <c r="L91" i="80"/>
  <c r="K92" i="80"/>
  <c r="L92" i="80"/>
  <c r="K93" i="80"/>
  <c r="L93" i="80"/>
  <c r="K94" i="80"/>
  <c r="L94" i="80"/>
  <c r="K95" i="80"/>
  <c r="L95" i="80"/>
  <c r="K96" i="80"/>
  <c r="L96" i="80"/>
  <c r="K97" i="80"/>
  <c r="L97" i="80"/>
  <c r="K98" i="80"/>
  <c r="L98" i="80"/>
  <c r="K99" i="80"/>
  <c r="L99" i="80"/>
  <c r="K100" i="80"/>
  <c r="L100" i="80"/>
  <c r="K101" i="80"/>
  <c r="L101" i="80"/>
  <c r="K102" i="80"/>
  <c r="L102" i="80"/>
  <c r="K103" i="80"/>
  <c r="L103" i="80"/>
  <c r="K104" i="80"/>
  <c r="L104" i="80"/>
  <c r="K105" i="80"/>
  <c r="L105" i="80"/>
  <c r="K106" i="80"/>
  <c r="L106" i="80"/>
  <c r="K107" i="80"/>
  <c r="L107" i="80"/>
  <c r="K108" i="80"/>
  <c r="L108" i="80"/>
  <c r="K109" i="80"/>
  <c r="L109" i="80"/>
  <c r="K110" i="80"/>
  <c r="L110" i="80"/>
  <c r="K111" i="80"/>
  <c r="L111" i="80"/>
  <c r="K112" i="80"/>
  <c r="L112" i="80"/>
  <c r="L113" i="80"/>
  <c r="K114" i="80"/>
  <c r="L114" i="80"/>
  <c r="K115" i="80"/>
  <c r="L115" i="80"/>
  <c r="K116" i="80"/>
  <c r="L116" i="80"/>
  <c r="L117" i="80"/>
  <c r="K118" i="80"/>
  <c r="L118" i="80"/>
  <c r="K119" i="80"/>
  <c r="L119" i="80"/>
  <c r="K120" i="80"/>
  <c r="L120" i="80"/>
  <c r="K121" i="80"/>
  <c r="L121" i="80"/>
  <c r="K122" i="80"/>
  <c r="L122" i="80"/>
  <c r="K123" i="80"/>
  <c r="L123" i="80"/>
  <c r="K124" i="80"/>
  <c r="L124" i="80"/>
  <c r="K125" i="80"/>
  <c r="L125" i="80"/>
  <c r="K126" i="80"/>
  <c r="L126" i="80"/>
  <c r="K127" i="80"/>
  <c r="L127" i="80"/>
  <c r="K128" i="80"/>
  <c r="L128" i="80"/>
  <c r="K129" i="80"/>
  <c r="L129" i="80"/>
  <c r="K130" i="80"/>
  <c r="L130" i="80"/>
  <c r="K131" i="80"/>
  <c r="L131" i="80"/>
  <c r="K132" i="80"/>
  <c r="L132" i="80"/>
  <c r="K133" i="80"/>
  <c r="L133" i="80"/>
  <c r="K134" i="80"/>
  <c r="L134" i="80"/>
  <c r="K135" i="80"/>
  <c r="L135" i="80"/>
  <c r="K136" i="80"/>
  <c r="L136" i="80"/>
  <c r="K137" i="80"/>
  <c r="L137" i="80"/>
  <c r="K138" i="80"/>
  <c r="L138" i="80"/>
  <c r="K139" i="80"/>
  <c r="L139" i="80"/>
  <c r="K140" i="80"/>
  <c r="L140" i="80"/>
  <c r="K141" i="80"/>
  <c r="L141" i="80"/>
  <c r="K142" i="80"/>
  <c r="L142" i="80"/>
  <c r="K143" i="80"/>
  <c r="L143" i="80"/>
  <c r="K144" i="80"/>
  <c r="L144" i="80"/>
  <c r="K145" i="80"/>
  <c r="L145" i="80"/>
  <c r="K146" i="80"/>
  <c r="L146" i="80"/>
  <c r="K147" i="80"/>
  <c r="L147" i="80"/>
  <c r="K148" i="80"/>
  <c r="L148" i="80"/>
  <c r="K149" i="80"/>
  <c r="L149" i="80"/>
  <c r="K150" i="80"/>
  <c r="L150" i="80"/>
  <c r="K151" i="80"/>
  <c r="L151" i="80"/>
  <c r="K152" i="80"/>
  <c r="L152" i="80"/>
  <c r="K153" i="80"/>
  <c r="L153" i="80"/>
  <c r="K154" i="80"/>
  <c r="L154" i="80"/>
  <c r="K155" i="80"/>
  <c r="L155" i="80"/>
  <c r="K156" i="80"/>
  <c r="L156" i="80"/>
  <c r="K157" i="80"/>
  <c r="L157" i="80"/>
  <c r="K158" i="80"/>
  <c r="L158" i="80"/>
  <c r="K159" i="80"/>
  <c r="L159" i="80"/>
  <c r="K160" i="80"/>
  <c r="L160" i="80"/>
  <c r="K161" i="80"/>
  <c r="L161" i="80"/>
  <c r="K162" i="80"/>
  <c r="L162" i="80"/>
  <c r="K163" i="80"/>
  <c r="L163" i="80"/>
  <c r="K164" i="80"/>
  <c r="L164" i="80"/>
  <c r="K165" i="80"/>
  <c r="L165" i="80"/>
  <c r="K166" i="80"/>
  <c r="L166" i="80"/>
  <c r="K167" i="80"/>
  <c r="L167" i="80"/>
  <c r="K168" i="80"/>
  <c r="L168" i="80"/>
  <c r="K169" i="80"/>
  <c r="L169" i="80"/>
  <c r="K170" i="80"/>
  <c r="L170" i="80"/>
  <c r="K171" i="80"/>
  <c r="L171" i="80"/>
  <c r="K172" i="80"/>
  <c r="L172" i="80"/>
  <c r="K173" i="80"/>
  <c r="L173" i="80"/>
  <c r="K174" i="80"/>
  <c r="L174" i="80"/>
  <c r="K175" i="80"/>
  <c r="L175" i="80"/>
  <c r="K176" i="80"/>
  <c r="L176" i="80"/>
  <c r="K177" i="80"/>
  <c r="L177" i="80"/>
  <c r="K178" i="80"/>
  <c r="L178" i="80"/>
  <c r="K179" i="80"/>
  <c r="L179" i="80"/>
  <c r="K180" i="80"/>
  <c r="L180" i="80"/>
  <c r="K181" i="80"/>
  <c r="L181" i="80"/>
  <c r="K182" i="80"/>
  <c r="L182" i="80"/>
  <c r="K183" i="80"/>
  <c r="L183" i="80"/>
  <c r="K184" i="80"/>
  <c r="L184" i="80"/>
  <c r="K185" i="80"/>
  <c r="L185" i="80"/>
  <c r="K186" i="80"/>
  <c r="L186" i="80"/>
  <c r="K187" i="80"/>
  <c r="L187" i="80"/>
  <c r="K188" i="80"/>
  <c r="L188" i="80"/>
  <c r="K189" i="80"/>
  <c r="L189" i="80"/>
  <c r="K190" i="80"/>
  <c r="L190" i="80"/>
  <c r="K191" i="80"/>
  <c r="L191" i="80"/>
  <c r="K192" i="80"/>
  <c r="L192" i="80"/>
  <c r="K193" i="80"/>
  <c r="L193" i="80"/>
  <c r="K194" i="80"/>
  <c r="L194" i="80"/>
  <c r="K195" i="80"/>
  <c r="L195" i="80"/>
  <c r="K196" i="80"/>
  <c r="L196" i="80"/>
  <c r="K197" i="80"/>
  <c r="L197" i="80"/>
  <c r="K198" i="80"/>
  <c r="L198" i="80"/>
  <c r="K199" i="80"/>
  <c r="L199" i="80"/>
  <c r="K200" i="80"/>
  <c r="L200" i="80"/>
  <c r="K201" i="80"/>
  <c r="L201" i="80"/>
  <c r="K202" i="80"/>
  <c r="L202" i="80"/>
  <c r="K203" i="80"/>
  <c r="L203" i="80"/>
  <c r="K204" i="80"/>
  <c r="L204" i="80"/>
  <c r="K205" i="80"/>
  <c r="L205" i="80"/>
  <c r="K206" i="80"/>
  <c r="L206" i="80"/>
  <c r="K207" i="80"/>
  <c r="L207" i="80"/>
  <c r="K208" i="80"/>
  <c r="L208" i="80"/>
  <c r="K209" i="80"/>
  <c r="L209" i="80"/>
  <c r="K210" i="80"/>
  <c r="L210" i="80"/>
  <c r="K211" i="80"/>
  <c r="L211" i="80"/>
  <c r="K212" i="80"/>
  <c r="L212" i="80"/>
  <c r="K213" i="80"/>
  <c r="L213" i="80"/>
  <c r="K214" i="80"/>
  <c r="L214" i="80"/>
  <c r="K215" i="80"/>
  <c r="L215" i="80"/>
  <c r="K216" i="80"/>
  <c r="L216" i="80"/>
  <c r="K217" i="80"/>
  <c r="L217" i="80"/>
  <c r="K218" i="80"/>
  <c r="L218" i="80"/>
  <c r="K219" i="80"/>
  <c r="L219" i="80"/>
  <c r="K220" i="80"/>
  <c r="L220" i="80"/>
  <c r="K221" i="80"/>
  <c r="L221" i="80"/>
  <c r="K222" i="80"/>
  <c r="L222" i="80"/>
  <c r="K223" i="80"/>
  <c r="L223" i="80"/>
  <c r="K224" i="80"/>
  <c r="L224" i="80"/>
  <c r="K225" i="80"/>
  <c r="L225" i="80"/>
  <c r="K226" i="80"/>
  <c r="L226" i="80"/>
  <c r="K227" i="80"/>
  <c r="L227" i="80"/>
  <c r="K228" i="80"/>
  <c r="L228" i="80"/>
  <c r="K229" i="80"/>
  <c r="L229" i="80"/>
  <c r="K230" i="80"/>
  <c r="L230" i="80"/>
  <c r="K231" i="80"/>
  <c r="L231" i="80"/>
  <c r="K232" i="80"/>
  <c r="L232" i="80"/>
  <c r="K233" i="80"/>
  <c r="L233" i="80"/>
  <c r="K234" i="80"/>
  <c r="L234" i="80"/>
  <c r="K235" i="80"/>
  <c r="L235" i="80"/>
  <c r="K236" i="80"/>
  <c r="L236" i="80"/>
  <c r="K237" i="80"/>
  <c r="L237" i="80"/>
  <c r="K238" i="80"/>
  <c r="L238" i="80"/>
  <c r="K239" i="80"/>
  <c r="L239" i="80"/>
  <c r="K240" i="80"/>
  <c r="L240" i="80"/>
  <c r="K241" i="80"/>
  <c r="L241" i="80"/>
  <c r="K242" i="80"/>
  <c r="L242" i="80"/>
  <c r="K243" i="80"/>
  <c r="L243" i="80"/>
  <c r="K244" i="80"/>
  <c r="L244" i="80"/>
  <c r="K245" i="80"/>
  <c r="L245" i="80"/>
  <c r="K246" i="80"/>
  <c r="L246" i="80"/>
  <c r="K247" i="80"/>
  <c r="L247" i="80"/>
  <c r="K248" i="80"/>
  <c r="L248" i="80"/>
  <c r="K249" i="80"/>
  <c r="L249" i="80"/>
  <c r="K250" i="80"/>
  <c r="L250" i="80"/>
  <c r="K251" i="80"/>
  <c r="L251" i="80"/>
  <c r="L252" i="80"/>
  <c r="K253" i="80"/>
  <c r="L253" i="80"/>
  <c r="K254" i="80"/>
  <c r="L254" i="80"/>
  <c r="K255" i="80"/>
  <c r="L255" i="80"/>
  <c r="K256" i="80"/>
  <c r="L256" i="80"/>
  <c r="K257" i="80"/>
  <c r="L257" i="80"/>
  <c r="K258" i="80"/>
  <c r="L258" i="80"/>
  <c r="K259" i="80"/>
  <c r="L259" i="80"/>
  <c r="K260" i="80"/>
  <c r="L260" i="80"/>
  <c r="K261" i="80"/>
  <c r="L261" i="80"/>
  <c r="K262" i="80"/>
  <c r="L262" i="80"/>
  <c r="K263" i="80"/>
  <c r="L263" i="80"/>
  <c r="K264" i="80"/>
  <c r="L264" i="80"/>
  <c r="K265" i="80"/>
  <c r="L265" i="80"/>
  <c r="K266" i="80"/>
  <c r="L266" i="80"/>
  <c r="K267" i="80"/>
  <c r="L267" i="80"/>
  <c r="K268" i="80"/>
  <c r="L268" i="80"/>
  <c r="K269" i="80"/>
  <c r="L269" i="80"/>
  <c r="K270" i="80"/>
  <c r="L270" i="80"/>
  <c r="K271" i="80"/>
  <c r="L271" i="80"/>
  <c r="K272" i="80"/>
  <c r="L272" i="80"/>
  <c r="K273" i="80"/>
  <c r="L273" i="80"/>
  <c r="K274" i="80"/>
  <c r="L274" i="80"/>
  <c r="K275" i="80"/>
  <c r="L275" i="80"/>
  <c r="K276" i="80"/>
  <c r="L276" i="80"/>
  <c r="K277" i="80"/>
  <c r="L277" i="80"/>
  <c r="K278" i="80"/>
  <c r="L278" i="80"/>
  <c r="K279" i="80"/>
  <c r="L279" i="80"/>
  <c r="K280" i="80"/>
  <c r="L280" i="80"/>
  <c r="K281" i="80"/>
  <c r="L281" i="80"/>
  <c r="K282" i="80"/>
  <c r="L282" i="80"/>
  <c r="K283" i="80"/>
  <c r="L283" i="80"/>
  <c r="K284" i="80"/>
  <c r="L284" i="80"/>
  <c r="K285" i="80"/>
  <c r="L285" i="80"/>
  <c r="K286" i="80"/>
  <c r="L286" i="80"/>
  <c r="K287" i="80"/>
  <c r="L287" i="80"/>
  <c r="K288" i="80"/>
  <c r="L288" i="80"/>
  <c r="K289" i="80"/>
  <c r="L289" i="80"/>
  <c r="K290" i="80"/>
  <c r="L290" i="80"/>
  <c r="K291" i="80"/>
  <c r="L291" i="80"/>
  <c r="K292" i="80"/>
  <c r="L292" i="80"/>
  <c r="K293" i="80"/>
  <c r="L293" i="80"/>
  <c r="K294" i="80"/>
  <c r="L294" i="80"/>
  <c r="K295" i="80"/>
  <c r="L295" i="80"/>
  <c r="K296" i="80"/>
  <c r="L296" i="80"/>
  <c r="K297" i="80"/>
  <c r="L297" i="80"/>
  <c r="K298" i="80"/>
  <c r="L298" i="80"/>
  <c r="K299" i="80"/>
  <c r="L299" i="80"/>
  <c r="K300" i="80"/>
  <c r="L300" i="80"/>
  <c r="K301" i="80"/>
  <c r="L301" i="80"/>
  <c r="K302" i="80"/>
  <c r="L302" i="80"/>
  <c r="K303" i="80"/>
  <c r="L303" i="80"/>
  <c r="K304" i="80"/>
  <c r="L304" i="80"/>
  <c r="K305" i="80"/>
  <c r="L305" i="80"/>
  <c r="K306" i="80"/>
  <c r="L306" i="80"/>
  <c r="K307" i="80"/>
  <c r="L307" i="80"/>
  <c r="K308" i="80"/>
  <c r="L308" i="80"/>
  <c r="K309" i="80"/>
  <c r="L309" i="80"/>
  <c r="K310" i="80"/>
  <c r="L310" i="80"/>
  <c r="K311" i="80"/>
  <c r="L311" i="80"/>
  <c r="K312" i="80"/>
  <c r="L312" i="80"/>
  <c r="K313" i="80"/>
  <c r="L313" i="80"/>
  <c r="K314" i="80"/>
  <c r="L314" i="80"/>
  <c r="K315" i="80"/>
  <c r="L315" i="80"/>
  <c r="K316" i="80"/>
  <c r="L316" i="80"/>
  <c r="K317" i="80"/>
  <c r="L317" i="80"/>
  <c r="K318" i="80"/>
  <c r="L318" i="80"/>
  <c r="K319" i="80"/>
  <c r="L319" i="80"/>
  <c r="K320" i="80"/>
  <c r="L320" i="80"/>
  <c r="K321" i="80"/>
  <c r="L321" i="80"/>
  <c r="K322" i="80"/>
  <c r="L322" i="80"/>
  <c r="K323" i="80"/>
  <c r="L323" i="80"/>
  <c r="K324" i="80"/>
  <c r="L324" i="80"/>
  <c r="K325" i="80"/>
  <c r="L325" i="80"/>
  <c r="K326" i="80"/>
  <c r="L326" i="80"/>
  <c r="K327" i="80"/>
  <c r="L327" i="80"/>
  <c r="K328" i="80"/>
  <c r="L328" i="80"/>
  <c r="K329" i="80"/>
  <c r="L329" i="80"/>
  <c r="K330" i="80"/>
  <c r="L330" i="80"/>
  <c r="K331" i="80"/>
  <c r="L331" i="80"/>
  <c r="K332" i="80"/>
  <c r="L332" i="80"/>
  <c r="K333" i="80"/>
  <c r="L333" i="80"/>
  <c r="K334" i="80"/>
  <c r="L334" i="80"/>
  <c r="K335" i="80"/>
  <c r="L335" i="80"/>
  <c r="K336" i="80"/>
  <c r="L336" i="80"/>
  <c r="K337" i="80"/>
  <c r="L337" i="80"/>
  <c r="K338" i="80"/>
  <c r="L338" i="80"/>
  <c r="K339" i="80"/>
  <c r="L339" i="80"/>
  <c r="K340" i="80"/>
  <c r="L340" i="80"/>
  <c r="K341" i="80"/>
  <c r="L341" i="80"/>
  <c r="K342" i="80"/>
  <c r="L342" i="80"/>
  <c r="K343" i="80"/>
  <c r="L343" i="80"/>
  <c r="K344" i="80"/>
  <c r="L344" i="80"/>
  <c r="K345" i="80"/>
  <c r="L345" i="80"/>
  <c r="K346" i="80"/>
  <c r="L346" i="80"/>
  <c r="K347" i="80"/>
  <c r="L347" i="80"/>
  <c r="K348" i="80"/>
  <c r="L348" i="80"/>
  <c r="K349" i="80"/>
  <c r="L349" i="80"/>
  <c r="K350" i="80"/>
  <c r="L350" i="80"/>
  <c r="K351" i="80"/>
  <c r="L351" i="80"/>
  <c r="K352" i="80"/>
  <c r="L352" i="80"/>
  <c r="K353" i="80"/>
  <c r="L353" i="80"/>
  <c r="K354" i="80"/>
  <c r="L354" i="80"/>
  <c r="K355" i="80"/>
  <c r="L355" i="80"/>
  <c r="K356" i="80"/>
  <c r="L356" i="80"/>
  <c r="K357" i="80"/>
  <c r="L357" i="80"/>
  <c r="K358" i="80"/>
  <c r="L358" i="80"/>
  <c r="K359" i="80"/>
  <c r="L359" i="80"/>
  <c r="K360" i="80"/>
  <c r="L360" i="80"/>
  <c r="K361" i="80"/>
  <c r="L361" i="80"/>
  <c r="K362" i="80"/>
  <c r="L362" i="80"/>
  <c r="K363" i="80"/>
  <c r="L363" i="80"/>
  <c r="K364" i="80"/>
  <c r="L364" i="80"/>
  <c r="K365" i="80"/>
  <c r="L365" i="80"/>
  <c r="K366" i="80"/>
  <c r="L366" i="80"/>
  <c r="K367" i="80"/>
  <c r="L367" i="80"/>
  <c r="K368" i="80"/>
  <c r="L368" i="80"/>
  <c r="K369" i="80"/>
  <c r="L369" i="80"/>
  <c r="K370" i="80"/>
  <c r="L370" i="80"/>
  <c r="K371" i="80"/>
  <c r="L371" i="80"/>
  <c r="K372" i="80"/>
  <c r="L372" i="80"/>
  <c r="K373" i="80"/>
  <c r="L373" i="80"/>
  <c r="K374" i="80"/>
  <c r="L374" i="80"/>
  <c r="K375" i="80"/>
  <c r="L375" i="80"/>
  <c r="K376" i="80"/>
  <c r="L376" i="80"/>
  <c r="K377" i="80"/>
  <c r="L377" i="80"/>
  <c r="K378" i="80"/>
  <c r="L378" i="80"/>
  <c r="K379" i="80"/>
  <c r="L379" i="80"/>
  <c r="K380" i="80"/>
  <c r="L380" i="80"/>
  <c r="K381" i="80"/>
  <c r="L381" i="80"/>
  <c r="K382" i="80"/>
  <c r="L382" i="80"/>
  <c r="K383" i="80"/>
  <c r="L383" i="80"/>
  <c r="K384" i="80"/>
  <c r="L384" i="80"/>
  <c r="K385" i="80"/>
  <c r="L385" i="80"/>
  <c r="K386" i="80"/>
  <c r="L386" i="80"/>
  <c r="K387" i="80"/>
  <c r="L387" i="80"/>
  <c r="K388" i="80"/>
  <c r="L388" i="80"/>
  <c r="K389" i="80"/>
  <c r="L389" i="80"/>
  <c r="K390" i="80"/>
  <c r="L390" i="80"/>
  <c r="K391" i="80"/>
  <c r="L391" i="80"/>
  <c r="K392" i="80"/>
  <c r="L392" i="80"/>
  <c r="K393" i="80"/>
  <c r="L393" i="80"/>
  <c r="K394" i="80"/>
  <c r="L394" i="80"/>
  <c r="K395" i="80"/>
  <c r="L395" i="80"/>
  <c r="K396" i="80"/>
  <c r="L396" i="80"/>
  <c r="K397" i="80"/>
  <c r="L397" i="80"/>
  <c r="K398" i="80"/>
  <c r="L398" i="80"/>
  <c r="K399" i="80"/>
  <c r="L399" i="80"/>
  <c r="K400" i="80"/>
  <c r="L400" i="80"/>
  <c r="K401" i="80"/>
  <c r="L401" i="80"/>
  <c r="K402" i="80"/>
  <c r="L402" i="80"/>
  <c r="K403" i="80"/>
  <c r="L403" i="80"/>
  <c r="K404" i="80"/>
  <c r="L404" i="80"/>
  <c r="K405" i="80"/>
  <c r="L405" i="80"/>
  <c r="K406" i="80"/>
  <c r="L406" i="80"/>
  <c r="K407" i="80"/>
  <c r="L407" i="80"/>
  <c r="K408" i="80"/>
  <c r="L408" i="80"/>
  <c r="K409" i="80"/>
  <c r="L409" i="80"/>
  <c r="K410" i="80"/>
  <c r="L410" i="80"/>
  <c r="K411" i="80"/>
  <c r="L411" i="80"/>
  <c r="K412" i="80"/>
  <c r="L412" i="80"/>
  <c r="K413" i="80"/>
  <c r="L413" i="80"/>
  <c r="K414" i="80"/>
  <c r="L414" i="80"/>
  <c r="K415" i="80"/>
  <c r="L415" i="80"/>
  <c r="K416" i="80"/>
  <c r="L416" i="80"/>
  <c r="K417" i="80"/>
  <c r="L417" i="80"/>
  <c r="K418" i="80"/>
  <c r="L418" i="80"/>
  <c r="K419" i="80"/>
  <c r="L419" i="80"/>
  <c r="K420" i="80"/>
  <c r="L420" i="80"/>
  <c r="K421" i="80"/>
  <c r="L421" i="80"/>
  <c r="K422" i="80"/>
  <c r="L422" i="80"/>
  <c r="K423" i="80"/>
  <c r="L423" i="80"/>
  <c r="K424" i="80"/>
  <c r="L424" i="80"/>
  <c r="K425" i="80"/>
  <c r="L425" i="80"/>
  <c r="K426" i="80"/>
  <c r="L426" i="80"/>
  <c r="K427" i="80"/>
  <c r="L427" i="80"/>
  <c r="K428" i="80"/>
  <c r="L428" i="80"/>
  <c r="K429" i="80"/>
  <c r="L429" i="80"/>
  <c r="K430" i="80"/>
  <c r="L430" i="80"/>
  <c r="K431" i="80"/>
  <c r="L431" i="80"/>
  <c r="K432" i="80"/>
  <c r="L432" i="80"/>
  <c r="K433" i="80"/>
  <c r="L433" i="80"/>
  <c r="K434" i="80"/>
  <c r="L434" i="80"/>
  <c r="K435" i="80"/>
  <c r="L435" i="80"/>
  <c r="K436" i="80"/>
  <c r="L436" i="80"/>
  <c r="K437" i="80"/>
  <c r="L437" i="80"/>
  <c r="K438" i="80"/>
  <c r="L438" i="80"/>
  <c r="K439" i="80"/>
  <c r="L439" i="80"/>
  <c r="K440" i="80"/>
  <c r="L440" i="80"/>
  <c r="K441" i="80"/>
  <c r="L441" i="80"/>
  <c r="K442" i="80"/>
  <c r="L442" i="80"/>
  <c r="K443" i="80"/>
  <c r="L443" i="80"/>
  <c r="K444" i="80"/>
  <c r="L444" i="80"/>
  <c r="K445" i="80"/>
  <c r="L445" i="80"/>
  <c r="K446" i="80"/>
  <c r="L446" i="80"/>
  <c r="K447" i="80"/>
  <c r="L447" i="80"/>
  <c r="K448" i="80"/>
  <c r="L448" i="80"/>
  <c r="K449" i="80"/>
  <c r="L449" i="80"/>
  <c r="K450" i="80"/>
  <c r="L450" i="80"/>
  <c r="K451" i="80"/>
  <c r="L451" i="80"/>
  <c r="K452" i="80"/>
  <c r="L452" i="80"/>
  <c r="K453" i="80"/>
  <c r="L453" i="80"/>
  <c r="K454" i="80"/>
  <c r="L454" i="80"/>
  <c r="K455" i="80"/>
  <c r="L455" i="80"/>
  <c r="K456" i="80"/>
  <c r="L456" i="80"/>
  <c r="K457" i="80"/>
  <c r="L457" i="80"/>
  <c r="K458" i="80"/>
  <c r="L458" i="80"/>
  <c r="K459" i="80"/>
  <c r="L459" i="80"/>
  <c r="K460" i="80"/>
  <c r="L460" i="80"/>
  <c r="K461" i="80"/>
  <c r="L461" i="80"/>
  <c r="K462" i="80"/>
  <c r="L462" i="80"/>
  <c r="K463" i="80"/>
  <c r="L463" i="80"/>
  <c r="K464" i="80"/>
  <c r="L464" i="80"/>
  <c r="K465" i="80"/>
  <c r="L465" i="80"/>
  <c r="K466" i="80"/>
  <c r="L466" i="80"/>
  <c r="K467" i="80"/>
  <c r="L467" i="80"/>
  <c r="K468" i="80"/>
  <c r="L468" i="80"/>
  <c r="K469" i="80"/>
  <c r="L469" i="80"/>
  <c r="K470" i="80"/>
  <c r="L470" i="80"/>
  <c r="K471" i="80"/>
  <c r="L471" i="80"/>
  <c r="K472" i="80"/>
  <c r="L472" i="80"/>
  <c r="K473" i="80"/>
  <c r="L473" i="80"/>
  <c r="K474" i="80"/>
  <c r="L474" i="80"/>
  <c r="K475" i="80"/>
  <c r="L475" i="80"/>
  <c r="K476" i="80"/>
  <c r="L476" i="80"/>
  <c r="K477" i="80"/>
  <c r="L477" i="80"/>
  <c r="K478" i="80"/>
  <c r="L478" i="80"/>
  <c r="K479" i="80"/>
  <c r="L479" i="80"/>
  <c r="K480" i="80"/>
  <c r="L480" i="80"/>
  <c r="K481" i="80"/>
  <c r="L481" i="80"/>
  <c r="K482" i="80"/>
  <c r="L482" i="80"/>
  <c r="K483" i="80"/>
  <c r="L483" i="80"/>
  <c r="K484" i="80"/>
  <c r="L484" i="80"/>
  <c r="K485" i="80"/>
  <c r="L485" i="80"/>
  <c r="K486" i="80"/>
  <c r="L486" i="80"/>
  <c r="K487" i="80"/>
  <c r="L487" i="80"/>
  <c r="K488" i="80"/>
  <c r="L488" i="80"/>
  <c r="K489" i="80"/>
  <c r="L489" i="80"/>
  <c r="K490" i="80"/>
  <c r="L490" i="80"/>
  <c r="K491" i="80"/>
  <c r="L491" i="80"/>
  <c r="K492" i="80"/>
  <c r="L492" i="80"/>
  <c r="K493" i="80"/>
  <c r="L493" i="80"/>
  <c r="K494" i="80"/>
  <c r="L494" i="80"/>
  <c r="K495" i="80"/>
  <c r="L495" i="80"/>
  <c r="K496" i="80"/>
  <c r="L496" i="80"/>
  <c r="K497" i="80"/>
  <c r="L497" i="80"/>
  <c r="K498" i="80"/>
  <c r="L498" i="80"/>
  <c r="K499" i="80"/>
  <c r="L499" i="80"/>
  <c r="K500" i="80"/>
  <c r="L500" i="80"/>
  <c r="K501" i="80"/>
  <c r="L501" i="80"/>
  <c r="K502" i="80"/>
  <c r="L502" i="80"/>
  <c r="K503" i="80"/>
  <c r="L503" i="80"/>
  <c r="K504" i="80"/>
  <c r="L504" i="80"/>
  <c r="K505" i="80"/>
  <c r="L505" i="80"/>
  <c r="K506" i="80"/>
  <c r="L506" i="80"/>
  <c r="K507" i="80"/>
  <c r="L507" i="80"/>
  <c r="K508" i="80"/>
  <c r="L508" i="80"/>
  <c r="K509" i="80"/>
  <c r="L509" i="80"/>
  <c r="K510" i="80"/>
  <c r="L510" i="80"/>
  <c r="K511" i="80"/>
  <c r="L511" i="80"/>
  <c r="K512" i="80"/>
  <c r="L512" i="80"/>
  <c r="K513" i="80"/>
  <c r="L513" i="80"/>
  <c r="K514" i="80"/>
  <c r="L514" i="80"/>
  <c r="K515" i="80"/>
  <c r="L515" i="80"/>
  <c r="K516" i="80"/>
  <c r="L516" i="80"/>
  <c r="K517" i="80"/>
  <c r="L517" i="80"/>
  <c r="K518" i="80"/>
  <c r="L518" i="80"/>
  <c r="K519" i="80"/>
  <c r="L519" i="80"/>
  <c r="K520" i="80"/>
  <c r="L520" i="80"/>
  <c r="K521" i="80"/>
  <c r="L521" i="80"/>
  <c r="K522" i="80"/>
  <c r="L522" i="80"/>
  <c r="K523" i="80"/>
  <c r="L523" i="80"/>
  <c r="K524" i="80"/>
  <c r="L524" i="80"/>
  <c r="K525" i="80"/>
  <c r="L525" i="80"/>
  <c r="K526" i="80"/>
  <c r="L526" i="80"/>
  <c r="K527" i="80"/>
  <c r="L527" i="80"/>
  <c r="K528" i="80"/>
  <c r="L528" i="80"/>
  <c r="K529" i="80"/>
  <c r="L529" i="80"/>
  <c r="K530" i="80"/>
  <c r="L530" i="80"/>
  <c r="K531" i="80"/>
  <c r="L531" i="80"/>
  <c r="K532" i="80"/>
  <c r="L532" i="80"/>
  <c r="K533" i="80"/>
  <c r="L533" i="80"/>
  <c r="K534" i="80"/>
  <c r="L534" i="80"/>
  <c r="K535" i="80"/>
  <c r="L535" i="80"/>
  <c r="K536" i="80"/>
  <c r="L536" i="80"/>
  <c r="K537" i="80"/>
  <c r="L537" i="80"/>
  <c r="K538" i="80"/>
  <c r="L538" i="80"/>
  <c r="K539" i="80"/>
  <c r="L539" i="80"/>
  <c r="K540" i="80"/>
  <c r="L540" i="80"/>
  <c r="K541" i="80"/>
  <c r="L541" i="80"/>
  <c r="K542" i="80"/>
  <c r="L542" i="80"/>
  <c r="K543" i="80"/>
  <c r="L543" i="80"/>
  <c r="K544" i="80"/>
  <c r="L544" i="80"/>
  <c r="K545" i="80"/>
  <c r="L545" i="80"/>
  <c r="K546" i="80"/>
  <c r="L546" i="80"/>
  <c r="K547" i="80"/>
  <c r="L547" i="80"/>
  <c r="K548" i="80"/>
  <c r="L548" i="80"/>
  <c r="K549" i="80"/>
  <c r="L549" i="80"/>
  <c r="K550" i="80"/>
  <c r="L550" i="80"/>
  <c r="K551" i="80"/>
  <c r="L551" i="80"/>
  <c r="K552" i="80"/>
  <c r="L552" i="80"/>
  <c r="K553" i="80"/>
  <c r="L553" i="80"/>
  <c r="K554" i="80"/>
  <c r="L554" i="80"/>
  <c r="K555" i="80"/>
  <c r="L555" i="80"/>
  <c r="K556" i="80"/>
  <c r="L556" i="80"/>
  <c r="K557" i="80"/>
  <c r="L557" i="80"/>
  <c r="K558" i="80"/>
  <c r="L558" i="80"/>
  <c r="K559" i="80"/>
  <c r="L559" i="80"/>
  <c r="K560" i="80"/>
  <c r="L560" i="80"/>
  <c r="K561" i="80"/>
  <c r="L561" i="80"/>
  <c r="K562" i="80"/>
  <c r="L562" i="80"/>
  <c r="K563" i="80"/>
  <c r="L563" i="80"/>
  <c r="K564" i="80"/>
  <c r="L564" i="80"/>
  <c r="K565" i="80"/>
  <c r="L565" i="80"/>
  <c r="K566" i="80"/>
  <c r="L566" i="80"/>
  <c r="K567" i="80"/>
  <c r="L567" i="80"/>
  <c r="K568" i="80"/>
  <c r="L568" i="80"/>
  <c r="K569" i="80"/>
  <c r="L569" i="80"/>
  <c r="K570" i="80"/>
  <c r="L570" i="80"/>
  <c r="K571" i="80"/>
  <c r="L571" i="80"/>
  <c r="K572" i="80"/>
  <c r="L572" i="80"/>
  <c r="K573" i="80"/>
  <c r="L573" i="80"/>
  <c r="K574" i="80"/>
  <c r="L574" i="80"/>
  <c r="K575" i="80"/>
  <c r="L575" i="80"/>
  <c r="K576" i="80"/>
  <c r="L576" i="80"/>
  <c r="K577" i="80"/>
  <c r="L577" i="80"/>
  <c r="K578" i="80"/>
  <c r="L578" i="80"/>
  <c r="K579" i="80"/>
  <c r="L579" i="80"/>
  <c r="K580" i="80"/>
  <c r="L580" i="80"/>
  <c r="K581" i="80"/>
  <c r="L581" i="80"/>
  <c r="K582" i="80"/>
  <c r="L582" i="80"/>
  <c r="K583" i="80"/>
  <c r="L583" i="80"/>
  <c r="K584" i="80"/>
  <c r="L584" i="80"/>
  <c r="K585" i="80"/>
  <c r="L585" i="80"/>
  <c r="K586" i="80"/>
  <c r="L586" i="80"/>
  <c r="K587" i="80"/>
  <c r="L587" i="80"/>
  <c r="K588" i="80"/>
  <c r="L588" i="80"/>
  <c r="K589" i="80"/>
  <c r="L589" i="80"/>
  <c r="K590" i="80"/>
  <c r="L590" i="80"/>
  <c r="K591" i="80"/>
  <c r="L591" i="80"/>
  <c r="K592" i="80"/>
  <c r="L592" i="80"/>
  <c r="K593" i="80"/>
  <c r="L593" i="80"/>
  <c r="K594" i="80"/>
  <c r="L594" i="80"/>
  <c r="K595" i="80"/>
  <c r="L595" i="80"/>
  <c r="K596" i="80"/>
  <c r="L596" i="80"/>
  <c r="K597" i="80"/>
  <c r="L597" i="80"/>
  <c r="K598" i="80"/>
  <c r="L598" i="80"/>
  <c r="K599" i="80"/>
  <c r="L599" i="80"/>
  <c r="K600" i="80"/>
  <c r="L600" i="80"/>
  <c r="K601" i="80"/>
  <c r="L601" i="80"/>
  <c r="K602" i="80"/>
  <c r="L602" i="80"/>
  <c r="K603" i="80"/>
  <c r="L603" i="80"/>
  <c r="K604" i="80"/>
  <c r="L604" i="80"/>
  <c r="K605" i="80"/>
  <c r="L605" i="80"/>
  <c r="K606" i="80"/>
  <c r="L606" i="80"/>
  <c r="K607" i="80"/>
  <c r="L607" i="80"/>
  <c r="K608" i="80"/>
  <c r="L608" i="80"/>
  <c r="K609" i="80"/>
  <c r="L609" i="80"/>
  <c r="K610" i="80"/>
  <c r="L610" i="80"/>
  <c r="K611" i="80"/>
  <c r="L611" i="80"/>
  <c r="K612" i="80"/>
  <c r="L612" i="80"/>
  <c r="K613" i="80"/>
  <c r="L613" i="80"/>
  <c r="K614" i="80"/>
  <c r="L614" i="80"/>
  <c r="K615" i="80"/>
  <c r="L615" i="80"/>
  <c r="K616" i="80"/>
  <c r="L616" i="80"/>
  <c r="K617" i="80"/>
  <c r="L617" i="80"/>
  <c r="K618" i="80"/>
  <c r="L618" i="80"/>
  <c r="K619" i="80"/>
  <c r="L619" i="80"/>
  <c r="K620" i="80"/>
  <c r="L620" i="80"/>
  <c r="K621" i="80"/>
  <c r="L621" i="80"/>
  <c r="K622" i="80"/>
  <c r="L622" i="80"/>
  <c r="K623" i="80"/>
  <c r="L623" i="80"/>
  <c r="K624" i="80"/>
  <c r="L624" i="80"/>
  <c r="K625" i="80"/>
  <c r="L625" i="80"/>
  <c r="K626" i="80"/>
  <c r="L626" i="80"/>
  <c r="K627" i="80"/>
  <c r="L627" i="80"/>
  <c r="K628" i="80"/>
  <c r="L628" i="80"/>
  <c r="K629" i="80"/>
  <c r="L629" i="80"/>
  <c r="K630" i="80"/>
  <c r="L630" i="80"/>
  <c r="K631" i="80"/>
  <c r="L631" i="80"/>
  <c r="K632" i="80"/>
  <c r="L632" i="80"/>
  <c r="K633" i="80"/>
  <c r="L633" i="80"/>
  <c r="K634" i="80"/>
  <c r="L634" i="80"/>
  <c r="K635" i="80"/>
  <c r="L635" i="80"/>
  <c r="K636" i="80"/>
  <c r="L636" i="80"/>
  <c r="K637" i="80"/>
  <c r="L637" i="80"/>
  <c r="K638" i="80"/>
  <c r="L638" i="80"/>
  <c r="K639" i="80"/>
  <c r="L639" i="80"/>
  <c r="K640" i="80"/>
  <c r="L640" i="80"/>
  <c r="K641" i="80"/>
  <c r="L641" i="80"/>
  <c r="K642" i="80"/>
  <c r="L642" i="80"/>
  <c r="K643" i="80"/>
  <c r="L643" i="80"/>
  <c r="K644" i="80"/>
  <c r="L644" i="80"/>
  <c r="K645" i="80"/>
  <c r="L645" i="80"/>
  <c r="K646" i="80"/>
  <c r="L646" i="80"/>
  <c r="K647" i="80"/>
  <c r="L647" i="80"/>
  <c r="K648" i="80"/>
  <c r="L648" i="80"/>
  <c r="K649" i="80"/>
  <c r="L649" i="80"/>
  <c r="K650" i="80"/>
  <c r="L650" i="80"/>
  <c r="K651" i="80"/>
  <c r="L651" i="80"/>
  <c r="K652" i="80"/>
  <c r="L652" i="80"/>
  <c r="K653" i="80"/>
  <c r="L653" i="80"/>
  <c r="K654" i="80"/>
  <c r="L654" i="80"/>
  <c r="K655" i="80"/>
  <c r="L655" i="80"/>
  <c r="K656" i="80"/>
  <c r="L656" i="80"/>
  <c r="K657" i="80"/>
  <c r="L657" i="80"/>
  <c r="K658" i="80"/>
  <c r="L658" i="80"/>
  <c r="K659" i="80"/>
  <c r="L659" i="80"/>
  <c r="K660" i="80"/>
  <c r="L660" i="80"/>
  <c r="K661" i="80"/>
  <c r="L661" i="80"/>
  <c r="K662" i="80"/>
  <c r="L662" i="80"/>
  <c r="K663" i="80"/>
  <c r="L663" i="80"/>
  <c r="K664" i="80"/>
  <c r="L664" i="80"/>
  <c r="K665" i="80"/>
  <c r="L665" i="80"/>
  <c r="K666" i="80"/>
  <c r="L666" i="80"/>
  <c r="K667" i="80"/>
  <c r="L667" i="80"/>
  <c r="K668" i="80"/>
  <c r="L668" i="80"/>
  <c r="K669" i="80"/>
  <c r="L669" i="80"/>
  <c r="K670" i="80"/>
  <c r="L670" i="80"/>
  <c r="K671" i="80"/>
  <c r="L671" i="80"/>
  <c r="K672" i="80"/>
  <c r="L672" i="80"/>
  <c r="K673" i="80"/>
  <c r="L673" i="80"/>
  <c r="K674" i="80"/>
  <c r="L674" i="80"/>
  <c r="K675" i="80"/>
  <c r="L675" i="80"/>
  <c r="K676" i="80"/>
  <c r="L676" i="80"/>
  <c r="K677" i="80"/>
  <c r="L677" i="80"/>
  <c r="K678" i="80"/>
  <c r="L678" i="80"/>
  <c r="K679" i="80"/>
  <c r="L679" i="80"/>
  <c r="K680" i="80"/>
  <c r="L680" i="80"/>
  <c r="K681" i="80"/>
  <c r="L681" i="80"/>
  <c r="K682" i="80"/>
  <c r="L682" i="80"/>
  <c r="K683" i="80"/>
  <c r="L683" i="80"/>
  <c r="K684" i="80"/>
  <c r="L684" i="80"/>
  <c r="K685" i="80"/>
  <c r="L685" i="80"/>
  <c r="K686" i="80"/>
  <c r="L686" i="80"/>
  <c r="K687" i="80"/>
  <c r="L687" i="80"/>
  <c r="K688" i="80"/>
  <c r="L688" i="80"/>
  <c r="K689" i="80"/>
  <c r="L689" i="80"/>
  <c r="K690" i="80"/>
  <c r="L690" i="80"/>
  <c r="K691" i="80"/>
  <c r="L691" i="80"/>
  <c r="K692" i="80"/>
  <c r="L692" i="80"/>
  <c r="K693" i="80"/>
  <c r="L693" i="80"/>
  <c r="K694" i="80"/>
  <c r="L694" i="80"/>
  <c r="K695" i="80"/>
  <c r="L695" i="80"/>
  <c r="K696" i="80"/>
  <c r="L696" i="80"/>
  <c r="K697" i="80"/>
  <c r="L697" i="80"/>
  <c r="K698" i="80"/>
  <c r="L698" i="80"/>
  <c r="K699" i="80"/>
  <c r="L699" i="80"/>
  <c r="K700" i="80"/>
  <c r="L700" i="80"/>
  <c r="K701" i="80"/>
  <c r="L701" i="80"/>
  <c r="K702" i="80"/>
  <c r="L702" i="80"/>
  <c r="K703" i="80"/>
  <c r="L703" i="80"/>
  <c r="K704" i="80"/>
  <c r="L704" i="80"/>
  <c r="K705" i="80"/>
  <c r="L705" i="80"/>
  <c r="K706" i="80"/>
  <c r="L706" i="80"/>
  <c r="K707" i="80"/>
  <c r="L707" i="80"/>
  <c r="K708" i="80"/>
  <c r="L708" i="80"/>
  <c r="K709" i="80"/>
  <c r="L709" i="80"/>
  <c r="K710" i="80"/>
  <c r="L710" i="80"/>
  <c r="K711" i="80"/>
  <c r="L711" i="80"/>
  <c r="K712" i="80"/>
  <c r="L712" i="80"/>
  <c r="K713" i="80"/>
  <c r="L713" i="80"/>
  <c r="K714" i="80"/>
  <c r="L714" i="80"/>
  <c r="K715" i="80"/>
  <c r="L715" i="80"/>
  <c r="K716" i="80"/>
  <c r="L716" i="80"/>
  <c r="K717" i="80"/>
  <c r="L717" i="80"/>
  <c r="K718" i="80"/>
  <c r="L718" i="80"/>
  <c r="K719" i="80"/>
  <c r="L719" i="80"/>
  <c r="K720" i="80"/>
  <c r="L720" i="80"/>
  <c r="K721" i="80"/>
  <c r="L721" i="80"/>
  <c r="K722" i="80"/>
  <c r="L722" i="80"/>
  <c r="K723" i="80"/>
  <c r="L723" i="80"/>
  <c r="K724" i="80"/>
  <c r="L724" i="80"/>
  <c r="K725" i="80"/>
  <c r="L725" i="80"/>
  <c r="K726" i="80"/>
  <c r="L726" i="80"/>
  <c r="K727" i="80"/>
  <c r="L727" i="80"/>
  <c r="K728" i="80"/>
  <c r="L728" i="80"/>
  <c r="K729" i="80"/>
  <c r="L729" i="80"/>
  <c r="K730" i="80"/>
  <c r="L730" i="80"/>
  <c r="K731" i="80"/>
  <c r="L731" i="80"/>
  <c r="K732" i="80"/>
  <c r="L732" i="80"/>
  <c r="K733" i="80"/>
  <c r="L733" i="80"/>
  <c r="K734" i="80"/>
  <c r="L734" i="80"/>
  <c r="K735" i="80"/>
  <c r="L735" i="80"/>
  <c r="K736" i="80"/>
  <c r="L736" i="80"/>
  <c r="K737" i="80"/>
  <c r="L737" i="80"/>
  <c r="K738" i="80"/>
  <c r="L738" i="80"/>
  <c r="K739" i="80"/>
  <c r="L739" i="80"/>
  <c r="K740" i="80"/>
  <c r="L740" i="80"/>
  <c r="K741" i="80"/>
  <c r="L741" i="80"/>
  <c r="K742" i="80"/>
  <c r="L742" i="80"/>
  <c r="K743" i="80"/>
  <c r="L743" i="80"/>
  <c r="K744" i="80"/>
  <c r="L744" i="80"/>
  <c r="K745" i="80"/>
  <c r="L745" i="80"/>
  <c r="K746" i="80"/>
  <c r="L746" i="80"/>
  <c r="K747" i="80"/>
  <c r="L747" i="80"/>
  <c r="K748" i="80"/>
  <c r="L748" i="80"/>
  <c r="K749" i="80"/>
  <c r="L749" i="80"/>
  <c r="K750" i="80"/>
  <c r="L750" i="80"/>
  <c r="K751" i="80"/>
  <c r="L751" i="80"/>
  <c r="K752" i="80"/>
  <c r="L752" i="80"/>
  <c r="K753" i="80"/>
  <c r="L753" i="80"/>
  <c r="K754" i="80"/>
  <c r="L754" i="80"/>
  <c r="K755" i="80"/>
  <c r="L755" i="80"/>
  <c r="K756" i="80"/>
  <c r="L756" i="80"/>
  <c r="K757" i="80"/>
  <c r="L757" i="80"/>
  <c r="K758" i="80"/>
  <c r="L758" i="80"/>
  <c r="K759" i="80"/>
  <c r="L759" i="80"/>
  <c r="K760" i="80"/>
  <c r="L760" i="80"/>
  <c r="K761" i="80"/>
  <c r="L761" i="80"/>
  <c r="K762" i="80"/>
  <c r="L762" i="80"/>
  <c r="K763" i="80"/>
  <c r="L763" i="80"/>
  <c r="K764" i="80"/>
  <c r="L764" i="80"/>
  <c r="K765" i="80"/>
  <c r="L765" i="80"/>
  <c r="K766" i="80"/>
  <c r="L766" i="80"/>
  <c r="K767" i="80"/>
  <c r="L767" i="80"/>
  <c r="K768" i="80"/>
  <c r="L768" i="80"/>
  <c r="K769" i="80"/>
  <c r="L769" i="80"/>
  <c r="K770" i="80"/>
  <c r="L770" i="80"/>
  <c r="K771" i="80"/>
  <c r="L771" i="80"/>
  <c r="K772" i="80"/>
  <c r="L772" i="80"/>
  <c r="K773" i="80"/>
  <c r="L773" i="80"/>
  <c r="K774" i="80"/>
  <c r="L774" i="80"/>
  <c r="K775" i="80"/>
  <c r="L775" i="80"/>
  <c r="K776" i="80"/>
  <c r="L776" i="80"/>
  <c r="K777" i="80"/>
  <c r="L777" i="80"/>
  <c r="K778" i="80"/>
  <c r="L778" i="80"/>
  <c r="K779" i="80"/>
  <c r="L779" i="80"/>
  <c r="K780" i="80"/>
  <c r="L780" i="80"/>
  <c r="K781" i="80"/>
  <c r="L781" i="80"/>
  <c r="K782" i="80"/>
  <c r="L782" i="80"/>
  <c r="K783" i="80"/>
  <c r="L783" i="80"/>
  <c r="K784" i="80"/>
  <c r="L784" i="80"/>
  <c r="K785" i="80"/>
  <c r="L785" i="80"/>
  <c r="K786" i="80"/>
  <c r="L786" i="80"/>
  <c r="K787" i="80"/>
  <c r="L787" i="80"/>
  <c r="K788" i="80"/>
  <c r="L788" i="80"/>
  <c r="K789" i="80"/>
  <c r="L789" i="80"/>
  <c r="K790" i="80"/>
  <c r="L790" i="80"/>
  <c r="K791" i="80"/>
  <c r="L791" i="80"/>
  <c r="K792" i="80"/>
  <c r="L792" i="80"/>
  <c r="K793" i="80"/>
  <c r="L793" i="80"/>
  <c r="K794" i="80"/>
  <c r="L794" i="80"/>
  <c r="K795" i="80"/>
  <c r="L795" i="80"/>
  <c r="K796" i="80"/>
  <c r="L796" i="80"/>
  <c r="K797" i="80"/>
  <c r="L797" i="80"/>
  <c r="K798" i="80"/>
  <c r="L798" i="80"/>
  <c r="K799" i="80"/>
  <c r="L799" i="80"/>
  <c r="K800" i="80"/>
  <c r="L800" i="80"/>
  <c r="K801" i="80"/>
  <c r="L801" i="80"/>
  <c r="K802" i="80"/>
  <c r="L802" i="80"/>
  <c r="K803" i="80"/>
  <c r="L803" i="80"/>
  <c r="K804" i="80"/>
  <c r="L804" i="80"/>
  <c r="K805" i="80"/>
  <c r="L805" i="80"/>
  <c r="K806" i="80"/>
  <c r="L806" i="80"/>
  <c r="K807" i="80"/>
  <c r="L807" i="80"/>
  <c r="K808" i="80"/>
  <c r="L808" i="80"/>
  <c r="K809" i="80"/>
  <c r="L809" i="80"/>
  <c r="K810" i="80"/>
  <c r="L810" i="80"/>
  <c r="K811" i="80"/>
  <c r="L811" i="80"/>
  <c r="K812" i="80"/>
  <c r="L812" i="80"/>
  <c r="K813" i="80"/>
  <c r="L813" i="80"/>
  <c r="K814" i="80"/>
  <c r="L814" i="80"/>
  <c r="K815" i="80"/>
  <c r="L815" i="80"/>
  <c r="K816" i="80"/>
  <c r="L816" i="80"/>
  <c r="K817" i="80"/>
  <c r="L817" i="80"/>
  <c r="K818" i="80"/>
  <c r="L818" i="80"/>
  <c r="K819" i="80"/>
  <c r="L819" i="80"/>
  <c r="K820" i="80"/>
  <c r="L820" i="80"/>
  <c r="K821" i="80"/>
  <c r="L821" i="80"/>
  <c r="K822" i="80"/>
  <c r="L822" i="80"/>
  <c r="K823" i="80"/>
  <c r="L823" i="80"/>
  <c r="K824" i="80"/>
  <c r="L824" i="80"/>
  <c r="K825" i="80"/>
  <c r="L825" i="80"/>
  <c r="K826" i="80"/>
  <c r="L826" i="80"/>
  <c r="K827" i="80"/>
  <c r="L827" i="80"/>
  <c r="K828" i="80"/>
  <c r="L828" i="80"/>
  <c r="K829" i="80"/>
  <c r="L829" i="80"/>
  <c r="K830" i="80"/>
  <c r="L830" i="80"/>
  <c r="K831" i="80"/>
  <c r="L831" i="80"/>
  <c r="K832" i="80"/>
  <c r="L832" i="80"/>
  <c r="K833" i="80"/>
  <c r="L833" i="80"/>
  <c r="K834" i="80"/>
  <c r="L834" i="80"/>
  <c r="K835" i="80"/>
  <c r="L835" i="80"/>
  <c r="K836" i="80"/>
  <c r="L836" i="80"/>
  <c r="K837" i="80"/>
  <c r="L837" i="80"/>
  <c r="K838" i="80"/>
  <c r="L838" i="80"/>
  <c r="K839" i="80"/>
  <c r="L839" i="80"/>
  <c r="L840" i="80"/>
  <c r="K841" i="80"/>
  <c r="L841" i="80"/>
  <c r="K842" i="80"/>
  <c r="L842" i="80"/>
  <c r="K843" i="80"/>
  <c r="L843" i="80"/>
  <c r="K844" i="80"/>
  <c r="L844" i="80"/>
  <c r="K845" i="80"/>
  <c r="L845" i="80"/>
  <c r="K846" i="80"/>
  <c r="L846" i="80"/>
  <c r="K847" i="80"/>
  <c r="L847" i="80"/>
  <c r="K848" i="80"/>
  <c r="L848" i="80"/>
  <c r="K849" i="80"/>
  <c r="L849" i="80"/>
  <c r="K850" i="80"/>
  <c r="L850" i="80"/>
  <c r="K851" i="80"/>
  <c r="L851" i="80"/>
  <c r="K852" i="80"/>
  <c r="L852" i="80"/>
  <c r="K853" i="80"/>
  <c r="L853" i="80"/>
  <c r="K854" i="80"/>
  <c r="L854" i="80"/>
  <c r="K855" i="80"/>
  <c r="L855" i="80"/>
  <c r="K856" i="80"/>
  <c r="L856" i="80"/>
  <c r="K857" i="80"/>
  <c r="L857" i="80"/>
  <c r="K858" i="80"/>
  <c r="L858" i="80"/>
  <c r="K859" i="80"/>
  <c r="L859" i="80"/>
  <c r="K860" i="80"/>
  <c r="L860" i="80"/>
  <c r="K861" i="80"/>
  <c r="L861" i="80"/>
  <c r="K862" i="80"/>
  <c r="L862" i="80"/>
  <c r="K863" i="80"/>
  <c r="L863" i="80"/>
  <c r="K864" i="80"/>
  <c r="L864" i="80"/>
  <c r="K865" i="80"/>
  <c r="L865" i="80"/>
  <c r="K866" i="80"/>
  <c r="L866" i="80"/>
  <c r="K867" i="80"/>
  <c r="L867" i="80"/>
  <c r="K868" i="80"/>
  <c r="L868" i="80"/>
  <c r="K869" i="80"/>
  <c r="L869" i="80"/>
  <c r="K870" i="80"/>
  <c r="L870" i="80"/>
  <c r="K871" i="80"/>
  <c r="L871" i="80"/>
  <c r="K872" i="80"/>
  <c r="L872" i="80"/>
  <c r="K873" i="80"/>
  <c r="L873" i="80"/>
  <c r="K874" i="80"/>
  <c r="L874" i="80"/>
  <c r="K875" i="80"/>
  <c r="L875" i="80"/>
  <c r="K876" i="80"/>
  <c r="L876" i="80"/>
  <c r="K877" i="80"/>
  <c r="L877" i="80"/>
  <c r="K878" i="80"/>
  <c r="L878" i="80"/>
  <c r="K879" i="80"/>
  <c r="L879" i="80"/>
  <c r="K880" i="80"/>
  <c r="L880" i="80"/>
  <c r="K881" i="80"/>
  <c r="L881" i="80"/>
  <c r="K882" i="80"/>
  <c r="L882" i="80"/>
  <c r="K883" i="80"/>
  <c r="L883" i="80"/>
  <c r="K884" i="80"/>
  <c r="L884" i="80"/>
  <c r="K885" i="80"/>
  <c r="L885" i="80"/>
  <c r="K886" i="80"/>
  <c r="L886" i="80"/>
  <c r="K887" i="80"/>
  <c r="L887" i="80"/>
  <c r="K888" i="80"/>
  <c r="L888" i="80"/>
  <c r="K889" i="80"/>
  <c r="L889" i="80"/>
  <c r="K890" i="80"/>
  <c r="L890" i="80"/>
  <c r="K891" i="80"/>
  <c r="L891" i="80"/>
  <c r="K892" i="80"/>
  <c r="L892" i="80"/>
  <c r="K893" i="80"/>
  <c r="L893" i="80"/>
  <c r="K894" i="80"/>
  <c r="L894" i="80"/>
  <c r="K895" i="80"/>
  <c r="L895" i="80"/>
  <c r="K896" i="80"/>
  <c r="L896" i="80"/>
  <c r="K897" i="80"/>
  <c r="L897" i="80"/>
  <c r="K898" i="80"/>
  <c r="L898" i="80"/>
  <c r="K899" i="80"/>
  <c r="L899" i="80"/>
  <c r="K900" i="80"/>
  <c r="L900" i="80"/>
  <c r="K901" i="80"/>
  <c r="L901" i="80"/>
  <c r="K902" i="80"/>
  <c r="L902" i="80"/>
  <c r="K903" i="80"/>
  <c r="L903" i="80"/>
  <c r="K904" i="80"/>
  <c r="L904" i="80"/>
  <c r="K905" i="80"/>
  <c r="L905" i="80"/>
  <c r="K906" i="80"/>
  <c r="L906" i="80"/>
  <c r="K907" i="80"/>
  <c r="L907" i="80"/>
  <c r="K908" i="80"/>
  <c r="L908" i="80"/>
  <c r="K909" i="80"/>
  <c r="L909" i="80"/>
  <c r="K910" i="80"/>
  <c r="L910" i="80"/>
  <c r="K911" i="80"/>
  <c r="L911" i="80"/>
  <c r="K912" i="80"/>
  <c r="L912" i="80"/>
  <c r="K913" i="80"/>
  <c r="L913" i="80"/>
  <c r="K914" i="80"/>
  <c r="L914" i="80"/>
  <c r="K915" i="80"/>
  <c r="L915" i="80"/>
  <c r="K916" i="80"/>
  <c r="L916" i="80"/>
  <c r="K917" i="80"/>
  <c r="L917" i="80"/>
  <c r="K918" i="80"/>
  <c r="L918" i="80"/>
  <c r="K919" i="80"/>
  <c r="L919" i="80"/>
  <c r="K920" i="80"/>
  <c r="L920" i="80"/>
  <c r="K921" i="80"/>
  <c r="L921" i="80"/>
  <c r="K922" i="80"/>
  <c r="L922" i="80"/>
  <c r="K923" i="80"/>
  <c r="L923" i="80"/>
  <c r="K924" i="80"/>
  <c r="L924" i="80"/>
  <c r="K925" i="80"/>
  <c r="L925" i="80"/>
  <c r="K926" i="80"/>
  <c r="L926" i="80"/>
  <c r="K927" i="80"/>
  <c r="L927" i="80"/>
  <c r="K928" i="80"/>
  <c r="L928" i="80"/>
  <c r="K929" i="80"/>
  <c r="L929" i="80"/>
  <c r="K930" i="80"/>
  <c r="L930" i="80"/>
  <c r="K931" i="80"/>
  <c r="L931" i="80"/>
  <c r="K932" i="80"/>
  <c r="L932" i="80"/>
  <c r="K933" i="80"/>
  <c r="L933" i="80"/>
  <c r="K934" i="80"/>
  <c r="L934" i="80"/>
  <c r="K935" i="80"/>
  <c r="L935" i="80"/>
  <c r="K936" i="80"/>
  <c r="L936" i="80"/>
  <c r="K937" i="80"/>
  <c r="L937" i="80"/>
  <c r="K938" i="80"/>
  <c r="L938" i="80"/>
  <c r="K939" i="80"/>
  <c r="L939" i="80"/>
  <c r="K940" i="80"/>
  <c r="L940" i="80"/>
  <c r="K941" i="80"/>
  <c r="L941" i="80"/>
  <c r="K942" i="80"/>
  <c r="L942" i="80"/>
  <c r="K943" i="80"/>
  <c r="L943" i="80"/>
  <c r="K944" i="80"/>
  <c r="L944" i="80"/>
  <c r="K945" i="80"/>
  <c r="L945" i="80"/>
  <c r="K946" i="80"/>
  <c r="L946" i="80"/>
  <c r="K947" i="80"/>
  <c r="L947" i="80"/>
  <c r="K948" i="80"/>
  <c r="L948" i="80"/>
  <c r="K949" i="80"/>
  <c r="L949" i="80"/>
  <c r="K950" i="80"/>
  <c r="L950" i="80"/>
  <c r="K951" i="80"/>
  <c r="L951" i="80"/>
  <c r="K952" i="80"/>
  <c r="L952" i="80"/>
  <c r="K953" i="80"/>
  <c r="L953" i="80"/>
  <c r="K954" i="80"/>
  <c r="L954" i="80"/>
  <c r="K955" i="80"/>
  <c r="L955" i="80"/>
  <c r="K956" i="80"/>
  <c r="L956" i="80"/>
  <c r="K957" i="80"/>
  <c r="L957" i="80"/>
  <c r="K958" i="80"/>
  <c r="L958" i="80"/>
  <c r="K959" i="80"/>
  <c r="L959" i="80"/>
  <c r="K960" i="80"/>
  <c r="L960" i="80"/>
  <c r="K961" i="80"/>
  <c r="L961" i="80"/>
  <c r="K962" i="80"/>
  <c r="L962" i="80"/>
  <c r="K963" i="80"/>
  <c r="L963" i="80"/>
  <c r="K964" i="80"/>
  <c r="L964" i="80"/>
  <c r="K965" i="80"/>
  <c r="L965" i="80"/>
  <c r="K966" i="80"/>
  <c r="L966" i="80"/>
  <c r="K967" i="80"/>
  <c r="L967" i="80"/>
  <c r="K968" i="80"/>
  <c r="L968" i="80"/>
  <c r="K969" i="80"/>
  <c r="L969" i="80"/>
  <c r="K970" i="80"/>
  <c r="L970" i="80"/>
  <c r="K971" i="80"/>
  <c r="L971" i="80"/>
  <c r="K972" i="80"/>
  <c r="L972" i="80"/>
  <c r="K973" i="80"/>
  <c r="L973" i="80"/>
  <c r="K974" i="80"/>
  <c r="L974" i="80"/>
  <c r="K975" i="80"/>
  <c r="L975" i="80"/>
  <c r="K976" i="80"/>
  <c r="L976" i="80"/>
  <c r="K977" i="80"/>
  <c r="L977" i="80"/>
  <c r="K978" i="80"/>
  <c r="L978" i="80"/>
  <c r="K979" i="80"/>
  <c r="L979" i="80"/>
  <c r="K980" i="80"/>
  <c r="L980" i="80"/>
  <c r="K981" i="80"/>
  <c r="L981" i="80"/>
  <c r="K982" i="80"/>
  <c r="L982" i="80"/>
  <c r="K983" i="80"/>
  <c r="L983" i="80"/>
  <c r="K984" i="80"/>
  <c r="L984" i="80"/>
  <c r="K985" i="80"/>
  <c r="L985" i="80"/>
  <c r="K986" i="80"/>
  <c r="L986" i="80"/>
  <c r="K987" i="80"/>
  <c r="L987" i="80"/>
  <c r="K988" i="80"/>
  <c r="L988" i="80"/>
  <c r="K989" i="80"/>
  <c r="L989" i="80"/>
  <c r="K990" i="80"/>
  <c r="L990" i="80"/>
  <c r="K991" i="80"/>
  <c r="L991" i="80"/>
  <c r="K992" i="80"/>
  <c r="L992" i="80"/>
  <c r="K993" i="80"/>
  <c r="L993" i="80"/>
  <c r="K994" i="80"/>
  <c r="L994" i="80"/>
  <c r="A652" i="77" s="1"/>
  <c r="AR652" i="77" s="1"/>
  <c r="K995" i="80"/>
  <c r="L995" i="80"/>
  <c r="K996" i="80"/>
  <c r="L996" i="80"/>
  <c r="K997" i="80"/>
  <c r="L997" i="80"/>
  <c r="K998" i="80"/>
  <c r="L998" i="80"/>
  <c r="K999" i="80"/>
  <c r="L999" i="80"/>
  <c r="K1000" i="80"/>
  <c r="L1000" i="80"/>
  <c r="K1001" i="80"/>
  <c r="L1001" i="80"/>
  <c r="K1002" i="80"/>
  <c r="L1002" i="80"/>
  <c r="K1003" i="80"/>
  <c r="L1003" i="80"/>
  <c r="K1004" i="80"/>
  <c r="L1004" i="80"/>
  <c r="K1005" i="80"/>
  <c r="L1005" i="80"/>
  <c r="K1006" i="80"/>
  <c r="L1006" i="80"/>
  <c r="K1007" i="80"/>
  <c r="L1007" i="80"/>
  <c r="K1008" i="80"/>
  <c r="L1008" i="80"/>
  <c r="K1009" i="80"/>
  <c r="L1009" i="80"/>
  <c r="K1010" i="80"/>
  <c r="L1010" i="80"/>
  <c r="K1011" i="80"/>
  <c r="L1011" i="80"/>
  <c r="K1012" i="80"/>
  <c r="L1012" i="80"/>
  <c r="K1013" i="80"/>
  <c r="L1013" i="80"/>
  <c r="K1014" i="80"/>
  <c r="L1014" i="80"/>
  <c r="K1015" i="80"/>
  <c r="L1015" i="80"/>
  <c r="K1016" i="80"/>
  <c r="L1016" i="80"/>
  <c r="K1017" i="80"/>
  <c r="L1017" i="80"/>
  <c r="K1018" i="80"/>
  <c r="L1018" i="80"/>
  <c r="K1019" i="80"/>
  <c r="L1019" i="80"/>
  <c r="K1020" i="80"/>
  <c r="L1020" i="80"/>
  <c r="K1021" i="80"/>
  <c r="L1021" i="80"/>
  <c r="K1022" i="80"/>
  <c r="L1022" i="80"/>
  <c r="K1023" i="80"/>
  <c r="L1023" i="80"/>
  <c r="K1024" i="80"/>
  <c r="L1024" i="80"/>
  <c r="K1025" i="80"/>
  <c r="L1025" i="80"/>
  <c r="K1026" i="80"/>
  <c r="L1026" i="80"/>
  <c r="K1027" i="80"/>
  <c r="L1027" i="80"/>
  <c r="K1028" i="80"/>
  <c r="L1028" i="80"/>
  <c r="L1029" i="80"/>
  <c r="K1030" i="80"/>
  <c r="L1030" i="80"/>
  <c r="K1031" i="80"/>
  <c r="L1031" i="80"/>
  <c r="L1032" i="80"/>
  <c r="K1033" i="80"/>
  <c r="L1033" i="80"/>
  <c r="K1034" i="80"/>
  <c r="L1034" i="80"/>
  <c r="K1035" i="80"/>
  <c r="L1035" i="80"/>
  <c r="K1036" i="80"/>
  <c r="L1036" i="80"/>
  <c r="K1037" i="80"/>
  <c r="L1037" i="80"/>
  <c r="K1038" i="80"/>
  <c r="L1038" i="80"/>
  <c r="K1039" i="80"/>
  <c r="L1039" i="80"/>
  <c r="K1040" i="80"/>
  <c r="L1040" i="80"/>
  <c r="K1041" i="80"/>
  <c r="L1041" i="80"/>
  <c r="K1042" i="80"/>
  <c r="L1042" i="80"/>
  <c r="K1043" i="80"/>
  <c r="L1043" i="80"/>
  <c r="K1044" i="80"/>
  <c r="L1044" i="80"/>
  <c r="K1045" i="80"/>
  <c r="L1045" i="80"/>
  <c r="K1046" i="80"/>
  <c r="L1046" i="80"/>
  <c r="K1047" i="80"/>
  <c r="L1047" i="80"/>
  <c r="K1048" i="80"/>
  <c r="L1048" i="80"/>
  <c r="K1049" i="80"/>
  <c r="L1049" i="80"/>
  <c r="K1050" i="80"/>
  <c r="L1050" i="80"/>
  <c r="K1051" i="80"/>
  <c r="L1051" i="80"/>
  <c r="K1052" i="80"/>
  <c r="L1052" i="80"/>
  <c r="K1053" i="80"/>
  <c r="L1053" i="80"/>
  <c r="K1054" i="80"/>
  <c r="L1054" i="80"/>
  <c r="K1055" i="80"/>
  <c r="L1055" i="80"/>
  <c r="K1056" i="80"/>
  <c r="L1056" i="80"/>
  <c r="K1057" i="80"/>
  <c r="L1057" i="80"/>
  <c r="K1058" i="80"/>
  <c r="L1058" i="80"/>
  <c r="K1059" i="80"/>
  <c r="L1059" i="80"/>
  <c r="L1060" i="80"/>
  <c r="K1061" i="80"/>
  <c r="L1061" i="80"/>
  <c r="K1062" i="80"/>
  <c r="L1062" i="80"/>
  <c r="K1063" i="80"/>
  <c r="L1063" i="80"/>
  <c r="K1064" i="80"/>
  <c r="L1064" i="80"/>
  <c r="K1065" i="80"/>
  <c r="L1065" i="80"/>
  <c r="K1066" i="80"/>
  <c r="L1066" i="80"/>
  <c r="K1067" i="80"/>
  <c r="L1067" i="80"/>
  <c r="K1068" i="80"/>
  <c r="L1068" i="80"/>
  <c r="K1069" i="80"/>
  <c r="L1069" i="80"/>
  <c r="K1070" i="80"/>
  <c r="L1070" i="80"/>
  <c r="K1071" i="80"/>
  <c r="L1071" i="80"/>
  <c r="K1072" i="80"/>
  <c r="L1072" i="80"/>
  <c r="K1073" i="80"/>
  <c r="L1073" i="80"/>
  <c r="K1074" i="80"/>
  <c r="L1074" i="80"/>
  <c r="K1075" i="80"/>
  <c r="L1075" i="80"/>
  <c r="K1076" i="80"/>
  <c r="L1076" i="80"/>
  <c r="K1077" i="80"/>
  <c r="L1077" i="80"/>
  <c r="K1078" i="80"/>
  <c r="L1078" i="80"/>
  <c r="K1079" i="80"/>
  <c r="L1079" i="80"/>
  <c r="K1080" i="80"/>
  <c r="L1080" i="80"/>
  <c r="K1081" i="80"/>
  <c r="L1081" i="80"/>
  <c r="K1082" i="80"/>
  <c r="L1082" i="80"/>
  <c r="K1083" i="80"/>
  <c r="L1083" i="80"/>
  <c r="K1084" i="80"/>
  <c r="L1084" i="80"/>
  <c r="K1085" i="80"/>
  <c r="L1085" i="80"/>
  <c r="K1086" i="80"/>
  <c r="L1086" i="80"/>
  <c r="K1087" i="80"/>
  <c r="L1087" i="80"/>
  <c r="K1088" i="80"/>
  <c r="L1088" i="80"/>
  <c r="K1089" i="80"/>
  <c r="L1089" i="80"/>
  <c r="K1090" i="80"/>
  <c r="L1090" i="80"/>
  <c r="K1091" i="80"/>
  <c r="L1091" i="80"/>
  <c r="K1092" i="80"/>
  <c r="L1092" i="80"/>
  <c r="K1093" i="80"/>
  <c r="L1093" i="80"/>
  <c r="K1094" i="80"/>
  <c r="L1094" i="80"/>
  <c r="K1095" i="80"/>
  <c r="L1095" i="80"/>
  <c r="K1096" i="80"/>
  <c r="L1096" i="80"/>
  <c r="K1097" i="80"/>
  <c r="L1097" i="80"/>
  <c r="K1098" i="80"/>
  <c r="L1098" i="80"/>
  <c r="K1099" i="80"/>
  <c r="L1099" i="80"/>
  <c r="K1100" i="80"/>
  <c r="L1100" i="80"/>
  <c r="K1101" i="80"/>
  <c r="L1101" i="80"/>
  <c r="K1102" i="80"/>
  <c r="L1102" i="80"/>
  <c r="K1103" i="80"/>
  <c r="L1103" i="80"/>
  <c r="K1104" i="80"/>
  <c r="L1104" i="80"/>
  <c r="K1105" i="80"/>
  <c r="L1105" i="80"/>
  <c r="K1106" i="80"/>
  <c r="L1106" i="80"/>
  <c r="K1107" i="80"/>
  <c r="L1107" i="80"/>
  <c r="K1108" i="80"/>
  <c r="L1108" i="80"/>
  <c r="K1109" i="80"/>
  <c r="L1109" i="80"/>
  <c r="K1110" i="80"/>
  <c r="L1110" i="80"/>
  <c r="K1111" i="80"/>
  <c r="L1111" i="80"/>
  <c r="K1112" i="80"/>
  <c r="L1112" i="80"/>
  <c r="K1113" i="80"/>
  <c r="L1113" i="80"/>
  <c r="K1114" i="80"/>
  <c r="L1114" i="80"/>
  <c r="K1115" i="80"/>
  <c r="L1115" i="80"/>
  <c r="K1116" i="80"/>
  <c r="L1116" i="80"/>
  <c r="K1117" i="80"/>
  <c r="L1117" i="80"/>
  <c r="K1118" i="80"/>
  <c r="L1118" i="80"/>
  <c r="K1119" i="80"/>
  <c r="L1119" i="80"/>
  <c r="K1120" i="80"/>
  <c r="L1120" i="80"/>
  <c r="K1121" i="80"/>
  <c r="L1121" i="80"/>
  <c r="K1122" i="80"/>
  <c r="L1122" i="80"/>
  <c r="K1123" i="80"/>
  <c r="L1123" i="80"/>
  <c r="K1124" i="80"/>
  <c r="L1124" i="80"/>
  <c r="K1125" i="80"/>
  <c r="L1125" i="80"/>
  <c r="K1126" i="80"/>
  <c r="L1126" i="80"/>
  <c r="K1127" i="80"/>
  <c r="L1127" i="80"/>
  <c r="K1128" i="80"/>
  <c r="L1128" i="80"/>
  <c r="K1129" i="80"/>
  <c r="L1129" i="80"/>
  <c r="K1130" i="80"/>
  <c r="L1130" i="80"/>
  <c r="K1131" i="80"/>
  <c r="L1131" i="80"/>
  <c r="K1132" i="80"/>
  <c r="L1132" i="80"/>
  <c r="K1133" i="80"/>
  <c r="L1133" i="80"/>
  <c r="K1134" i="80"/>
  <c r="L1134" i="80"/>
  <c r="K1135" i="80"/>
  <c r="L1135" i="80"/>
  <c r="K1136" i="80"/>
  <c r="L1136" i="80"/>
  <c r="K1137" i="80"/>
  <c r="L1137" i="80"/>
  <c r="K1138" i="80"/>
  <c r="L1138" i="80"/>
  <c r="K1139" i="80"/>
  <c r="L1139" i="80"/>
  <c r="K1140" i="80"/>
  <c r="L1140" i="80"/>
  <c r="K1141" i="80"/>
  <c r="L1141" i="80"/>
  <c r="K1142" i="80"/>
  <c r="L1142" i="80"/>
  <c r="K1143" i="80"/>
  <c r="L1143" i="80"/>
  <c r="K1144" i="80"/>
  <c r="L1144" i="80"/>
  <c r="K1145" i="80"/>
  <c r="L1145" i="80"/>
  <c r="K1146" i="80"/>
  <c r="L1146" i="80"/>
  <c r="K1147" i="80"/>
  <c r="L1147" i="80"/>
  <c r="K1148" i="80"/>
  <c r="L1148" i="80"/>
  <c r="K1149" i="80"/>
  <c r="L1149" i="80"/>
  <c r="K1150" i="80"/>
  <c r="L1150" i="80"/>
  <c r="K1151" i="80"/>
  <c r="L1151" i="80"/>
  <c r="K1152" i="80"/>
  <c r="L1152" i="80"/>
  <c r="K1153" i="80"/>
  <c r="L1153" i="80"/>
  <c r="K1154" i="80"/>
  <c r="L1154" i="80"/>
  <c r="K1155" i="80"/>
  <c r="L1155" i="80"/>
  <c r="K1156" i="80"/>
  <c r="L1156" i="80"/>
  <c r="K1157" i="80"/>
  <c r="L1157" i="80"/>
  <c r="K1158" i="80"/>
  <c r="L1158" i="80"/>
  <c r="K1159" i="80"/>
  <c r="L1159" i="80"/>
  <c r="K1160" i="80"/>
  <c r="L1160" i="80"/>
  <c r="K1161" i="80"/>
  <c r="L1161" i="80"/>
  <c r="K1162" i="80"/>
  <c r="L1162" i="80"/>
  <c r="K1163" i="80"/>
  <c r="L1163" i="80"/>
  <c r="K1164" i="80"/>
  <c r="L1164" i="80"/>
  <c r="K1165" i="80"/>
  <c r="L1165" i="80"/>
  <c r="K1166" i="80"/>
  <c r="L1166" i="80"/>
  <c r="K1167" i="80"/>
  <c r="L1167" i="80"/>
  <c r="K1168" i="80"/>
  <c r="L1168" i="80"/>
  <c r="K1169" i="80"/>
  <c r="L1169" i="80"/>
  <c r="K1170" i="80"/>
  <c r="L1170" i="80"/>
  <c r="K1171" i="80"/>
  <c r="L1171" i="80"/>
  <c r="L1172" i="80"/>
  <c r="K1173" i="80"/>
  <c r="L1173" i="80"/>
  <c r="K1174" i="80"/>
  <c r="L1174" i="80"/>
  <c r="K1175" i="80"/>
  <c r="L1175" i="80"/>
  <c r="K1176" i="80"/>
  <c r="L1176" i="80"/>
  <c r="K1177" i="80"/>
  <c r="L1177" i="80"/>
  <c r="K1178" i="80"/>
  <c r="L1178" i="80"/>
  <c r="K1179" i="80"/>
  <c r="L1179" i="80"/>
  <c r="K1180" i="80"/>
  <c r="L1180" i="80"/>
  <c r="K1181" i="80"/>
  <c r="L1181" i="80"/>
  <c r="K1182" i="80"/>
  <c r="L1182" i="80"/>
  <c r="K1183" i="80"/>
  <c r="L1183" i="80"/>
  <c r="K1184" i="80"/>
  <c r="L1184" i="80"/>
  <c r="K1185" i="80"/>
  <c r="L1185" i="80"/>
  <c r="K1186" i="80"/>
  <c r="L1186" i="80"/>
  <c r="K1187" i="80"/>
  <c r="L1187" i="80"/>
  <c r="K1188" i="80"/>
  <c r="L1188" i="80"/>
  <c r="K1189" i="80"/>
  <c r="L1189" i="80"/>
  <c r="K1190" i="80"/>
  <c r="L1190" i="80"/>
  <c r="K1191" i="80"/>
  <c r="L1191" i="80"/>
  <c r="K1192" i="80"/>
  <c r="L1192" i="80"/>
  <c r="K1193" i="80"/>
  <c r="L1193" i="80"/>
  <c r="K1194" i="80"/>
  <c r="L1194" i="80"/>
  <c r="K1195" i="80"/>
  <c r="L1195" i="80"/>
  <c r="K1196" i="80"/>
  <c r="L1196" i="80"/>
  <c r="K1197" i="80"/>
  <c r="L1197" i="80"/>
  <c r="K1198" i="80"/>
  <c r="L1198" i="80"/>
  <c r="K1199" i="80"/>
  <c r="L1199" i="80"/>
  <c r="K1200" i="80"/>
  <c r="L1200" i="80"/>
  <c r="K1201" i="80"/>
  <c r="L1201" i="80"/>
  <c r="L1202" i="80"/>
  <c r="K1203" i="80"/>
  <c r="L1203" i="80"/>
  <c r="K1204" i="80"/>
  <c r="L1204" i="80"/>
  <c r="K1205" i="80"/>
  <c r="L1205" i="80"/>
  <c r="K1206" i="80"/>
  <c r="L1206" i="80"/>
  <c r="K1207" i="80"/>
  <c r="L1207" i="80"/>
  <c r="K1208" i="80"/>
  <c r="L1208" i="80"/>
  <c r="K1209" i="80"/>
  <c r="L1209" i="80"/>
  <c r="K1210" i="80"/>
  <c r="L1210" i="80"/>
  <c r="K1211" i="80"/>
  <c r="L1211" i="80"/>
  <c r="K1212" i="80"/>
  <c r="L1212" i="80"/>
  <c r="K1213" i="80"/>
  <c r="L1213" i="80"/>
  <c r="K1214" i="80"/>
  <c r="L1214" i="80"/>
  <c r="K1215" i="80"/>
  <c r="L1215" i="80"/>
  <c r="K1216" i="80"/>
  <c r="L1216" i="80"/>
  <c r="K1217" i="80"/>
  <c r="L1217" i="80"/>
  <c r="K1218" i="80"/>
  <c r="L1218" i="80"/>
  <c r="K1219" i="80"/>
  <c r="L1219" i="80"/>
  <c r="K1220" i="80"/>
  <c r="L1220" i="80"/>
  <c r="K1221" i="80"/>
  <c r="L1221" i="80"/>
  <c r="K1222" i="80"/>
  <c r="L1222" i="80"/>
  <c r="K1223" i="80"/>
  <c r="L1223" i="80"/>
  <c r="K1224" i="80"/>
  <c r="L1224" i="80"/>
  <c r="K1225" i="80"/>
  <c r="L1225" i="80"/>
  <c r="K1226" i="80"/>
  <c r="L1226" i="80"/>
  <c r="K1227" i="80"/>
  <c r="L1227" i="80"/>
  <c r="K1228" i="80"/>
  <c r="L1228" i="80"/>
  <c r="K1229" i="80"/>
  <c r="L1229" i="80"/>
  <c r="K1230" i="80"/>
  <c r="L1230" i="80"/>
  <c r="K1231" i="80"/>
  <c r="L1231" i="80"/>
  <c r="K1232" i="80"/>
  <c r="L1232" i="80"/>
  <c r="K1233" i="80"/>
  <c r="L1233" i="80"/>
  <c r="K1234" i="80"/>
  <c r="L1234" i="80"/>
  <c r="K1235" i="80"/>
  <c r="L1235" i="80"/>
  <c r="K1236" i="80"/>
  <c r="L1236" i="80"/>
  <c r="K1237" i="80"/>
  <c r="L1237" i="80"/>
  <c r="K1238" i="80"/>
  <c r="L1238" i="80"/>
  <c r="K1239" i="80"/>
  <c r="L1239" i="80"/>
  <c r="K1240" i="80"/>
  <c r="L1240" i="80"/>
  <c r="K1241" i="80"/>
  <c r="L1241" i="80"/>
  <c r="K1242" i="80"/>
  <c r="L1242" i="80"/>
  <c r="K1243" i="80"/>
  <c r="L1243" i="80"/>
  <c r="K1244" i="80"/>
  <c r="L1244" i="80"/>
  <c r="K1245" i="80"/>
  <c r="L1245" i="80"/>
  <c r="K1246" i="80"/>
  <c r="L1246" i="80"/>
  <c r="K1247" i="80"/>
  <c r="L1247" i="80"/>
  <c r="K1248" i="80"/>
  <c r="L1248" i="80"/>
  <c r="K1249" i="80"/>
  <c r="L1249" i="80"/>
  <c r="K1250" i="80"/>
  <c r="L1250" i="80"/>
  <c r="K1251" i="80"/>
  <c r="L1251" i="80"/>
  <c r="K1252" i="80"/>
  <c r="L1252" i="80"/>
  <c r="K1253" i="80"/>
  <c r="L1253" i="80"/>
  <c r="K1254" i="80"/>
  <c r="L1254" i="80"/>
  <c r="K1255" i="80"/>
  <c r="L1255" i="80"/>
  <c r="K1256" i="80"/>
  <c r="L1256" i="80"/>
  <c r="K1257" i="80"/>
  <c r="L1257" i="80"/>
  <c r="K1258" i="80"/>
  <c r="L1258" i="80"/>
  <c r="K1259" i="80"/>
  <c r="L1259" i="80"/>
  <c r="K1260" i="80"/>
  <c r="L1260" i="80"/>
  <c r="K1261" i="80"/>
  <c r="L1261" i="80"/>
  <c r="K1262" i="80"/>
  <c r="L1262" i="80"/>
  <c r="K1263" i="80"/>
  <c r="L1263" i="80"/>
  <c r="K1264" i="80"/>
  <c r="L1264" i="80"/>
  <c r="K1265" i="80"/>
  <c r="L1265" i="80"/>
  <c r="K1266" i="80"/>
  <c r="L1266" i="80"/>
  <c r="K1267" i="80"/>
  <c r="L1267" i="80"/>
  <c r="K1268" i="80"/>
  <c r="L1268" i="80"/>
  <c r="K1269" i="80"/>
  <c r="L1269" i="80"/>
  <c r="K1270" i="80"/>
  <c r="L1270" i="80"/>
  <c r="K1271" i="80"/>
  <c r="L1271" i="80"/>
  <c r="K1272" i="80"/>
  <c r="L1272" i="80"/>
  <c r="K1273" i="80"/>
  <c r="L1273" i="80"/>
  <c r="K1274" i="80"/>
  <c r="L1274" i="80"/>
  <c r="K1275" i="80"/>
  <c r="L1275" i="80"/>
  <c r="K1276" i="80"/>
  <c r="L1276" i="80"/>
  <c r="K1277" i="80"/>
  <c r="L1277" i="80"/>
  <c r="K1278" i="80"/>
  <c r="L1278" i="80"/>
  <c r="K1279" i="80"/>
  <c r="L1279" i="80"/>
  <c r="K1280" i="80"/>
  <c r="L1280" i="80"/>
  <c r="K1281" i="80"/>
  <c r="L1281" i="80"/>
  <c r="K1282" i="80"/>
  <c r="L1282" i="80"/>
  <c r="K1283" i="80"/>
  <c r="L1283" i="80"/>
  <c r="K1284" i="80"/>
  <c r="L1284" i="80"/>
  <c r="K1285" i="80"/>
  <c r="L1285" i="80"/>
  <c r="K1286" i="80"/>
  <c r="L1286" i="80"/>
  <c r="K1287" i="80"/>
  <c r="L1287" i="80"/>
  <c r="K1288" i="80"/>
  <c r="L1288" i="80"/>
  <c r="K1289" i="80"/>
  <c r="L1289" i="80"/>
  <c r="K1290" i="80"/>
  <c r="L1290" i="80"/>
  <c r="K1291" i="80"/>
  <c r="L1291" i="80"/>
  <c r="K1292" i="80"/>
  <c r="L1292" i="80"/>
  <c r="K1293" i="80"/>
  <c r="L1293" i="80"/>
  <c r="K1294" i="80"/>
  <c r="L1294" i="80"/>
  <c r="K1295" i="80"/>
  <c r="L1295" i="80"/>
  <c r="K1296" i="80"/>
  <c r="L1296" i="80"/>
  <c r="K1297" i="80"/>
  <c r="L1297" i="80"/>
  <c r="K1298" i="80"/>
  <c r="L1298" i="80"/>
  <c r="K1299" i="80"/>
  <c r="L1299" i="80"/>
  <c r="K1300" i="80"/>
  <c r="L1300" i="80"/>
  <c r="K1301" i="80"/>
  <c r="L1301" i="80"/>
  <c r="K1302" i="80"/>
  <c r="L1302" i="80"/>
  <c r="K1303" i="80"/>
  <c r="L1303" i="80"/>
  <c r="K1304" i="80"/>
  <c r="L1304" i="80"/>
  <c r="K1305" i="80"/>
  <c r="L1305" i="80"/>
  <c r="K1306" i="80"/>
  <c r="L1306" i="80"/>
  <c r="K1307" i="80"/>
  <c r="L1307" i="80"/>
  <c r="K1308" i="80"/>
  <c r="L1308" i="80"/>
  <c r="K1309" i="80"/>
  <c r="L1309" i="80"/>
  <c r="K1310" i="80"/>
  <c r="L1310" i="80"/>
  <c r="K1311" i="80"/>
  <c r="L1311" i="80"/>
  <c r="K1312" i="80"/>
  <c r="L1312" i="80"/>
  <c r="K1313" i="80"/>
  <c r="L1313" i="80"/>
  <c r="K1314" i="80"/>
  <c r="L1314" i="80"/>
  <c r="K1315" i="80"/>
  <c r="L1315" i="80"/>
  <c r="K1316" i="80"/>
  <c r="L1316" i="80"/>
  <c r="K1317" i="80"/>
  <c r="L1317" i="80"/>
  <c r="K1318" i="80"/>
  <c r="L1318" i="80"/>
  <c r="K1319" i="80"/>
  <c r="L1319" i="80"/>
  <c r="K1320" i="80"/>
  <c r="L1320" i="80"/>
  <c r="K1321" i="80"/>
  <c r="L1321" i="80"/>
  <c r="K1322" i="80"/>
  <c r="L1322" i="80"/>
  <c r="K1323" i="80"/>
  <c r="L1323" i="80"/>
  <c r="K1324" i="80"/>
  <c r="L1324" i="80"/>
  <c r="K1325" i="80"/>
  <c r="L1325" i="80"/>
  <c r="K1326" i="80"/>
  <c r="L1326" i="80"/>
  <c r="K1327" i="80"/>
  <c r="L1327" i="80"/>
  <c r="K1328" i="80"/>
  <c r="L1328" i="80"/>
  <c r="K1329" i="80"/>
  <c r="L1329" i="80"/>
  <c r="K1330" i="80"/>
  <c r="L1330" i="80"/>
  <c r="K1331" i="80"/>
  <c r="L1331" i="80"/>
  <c r="K1332" i="80"/>
  <c r="L1332" i="80"/>
  <c r="K1333" i="80"/>
  <c r="L1333" i="80"/>
  <c r="K1334" i="80"/>
  <c r="L1334" i="80"/>
  <c r="K1335" i="80"/>
  <c r="L1335" i="80"/>
  <c r="K1336" i="80"/>
  <c r="L1336" i="80"/>
  <c r="K1337" i="80"/>
  <c r="L1337" i="80"/>
  <c r="K1338" i="80"/>
  <c r="L1338" i="80"/>
  <c r="K1339" i="80"/>
  <c r="L1339" i="80"/>
  <c r="K1340" i="80"/>
  <c r="L1340" i="80"/>
  <c r="K1341" i="80"/>
  <c r="L1341" i="80"/>
  <c r="K1342" i="80"/>
  <c r="L1342" i="80"/>
  <c r="K1343" i="80"/>
  <c r="L1343" i="80"/>
  <c r="K1344" i="80"/>
  <c r="L1344" i="80"/>
  <c r="AX652" i="77" l="1"/>
  <c r="AY652" i="77"/>
  <c r="BA652" i="77"/>
  <c r="A599" i="77"/>
  <c r="AR599" i="77" s="1"/>
  <c r="A600" i="77"/>
  <c r="AR600" i="77" s="1"/>
  <c r="A597" i="77"/>
  <c r="AR597" i="77" s="1"/>
  <c r="A596" i="77"/>
  <c r="AR596" i="77" s="1"/>
  <c r="A598" i="77"/>
  <c r="AR598" i="77" s="1"/>
  <c r="A633" i="77"/>
  <c r="AR633" i="77" s="1"/>
  <c r="A628" i="77"/>
  <c r="AR628" i="77" s="1"/>
  <c r="A624" i="77"/>
  <c r="AR624" i="77" s="1"/>
  <c r="A622" i="77"/>
  <c r="AR622" i="77" s="1"/>
  <c r="A619" i="77"/>
  <c r="AR619" i="77" s="1"/>
  <c r="A616" i="77"/>
  <c r="AR616" i="77" s="1"/>
  <c r="A614" i="77"/>
  <c r="AR614" i="77" s="1"/>
  <c r="A650" i="77"/>
  <c r="AR650" i="77" s="1"/>
  <c r="A647" i="77"/>
  <c r="AR647" i="77" s="1"/>
  <c r="A644" i="77"/>
  <c r="AR644" i="77" s="1"/>
  <c r="A641" i="77"/>
  <c r="AR641" i="77" s="1"/>
  <c r="A638" i="77"/>
  <c r="AR638" i="77" s="1"/>
  <c r="A617" i="77"/>
  <c r="AR617" i="77" s="1"/>
  <c r="A645" i="77"/>
  <c r="AR645" i="77" s="1"/>
  <c r="A639" i="77"/>
  <c r="AR639" i="77" s="1"/>
  <c r="A618" i="77"/>
  <c r="AR618" i="77" s="1"/>
  <c r="A615" i="77"/>
  <c r="AR615" i="77" s="1"/>
  <c r="A648" i="77"/>
  <c r="AR648" i="77" s="1"/>
  <c r="A646" i="77"/>
  <c r="AR646" i="77" s="1"/>
  <c r="A642" i="77"/>
  <c r="AR642" i="77" s="1"/>
  <c r="A640" i="77"/>
  <c r="AR640" i="77" s="1"/>
  <c r="A634" i="77"/>
  <c r="AR634" i="77" s="1"/>
  <c r="A630" i="77"/>
  <c r="AR630" i="77" s="1"/>
  <c r="A625" i="77"/>
  <c r="AR625" i="77" s="1"/>
  <c r="A635" i="77"/>
  <c r="AR635" i="77" s="1"/>
  <c r="A631" i="77"/>
  <c r="AR631" i="77" s="1"/>
  <c r="A626" i="77"/>
  <c r="AR626" i="77" s="1"/>
  <c r="A623" i="77"/>
  <c r="AR623" i="77" s="1"/>
  <c r="A620" i="77"/>
  <c r="AR620" i="77" s="1"/>
  <c r="A632" i="77"/>
  <c r="AR632" i="77" s="1"/>
  <c r="A627" i="77"/>
  <c r="AR627" i="77" s="1"/>
  <c r="A621" i="77"/>
  <c r="AR621" i="77" s="1"/>
  <c r="A649" i="77"/>
  <c r="AR649" i="77" s="1"/>
  <c r="A637" i="77"/>
  <c r="AR637" i="77" s="1"/>
  <c r="A643" i="77"/>
  <c r="AR643" i="77" s="1"/>
  <c r="A636" i="77"/>
  <c r="AR636" i="77" s="1"/>
  <c r="A610" i="77"/>
  <c r="AR610" i="77" s="1"/>
  <c r="A612" i="77"/>
  <c r="AR612" i="77" s="1"/>
  <c r="A613" i="77"/>
  <c r="AR613" i="77" s="1"/>
  <c r="A611" i="77"/>
  <c r="AR611" i="77" s="1"/>
  <c r="A593" i="77"/>
  <c r="AR593" i="77" s="1"/>
  <c r="A592" i="77"/>
  <c r="AR592" i="77" s="1"/>
  <c r="A589" i="77"/>
  <c r="AR589" i="77" s="1"/>
  <c r="A584" i="77"/>
  <c r="A582" i="77"/>
  <c r="A587" i="77"/>
  <c r="AR587" i="77" s="1"/>
  <c r="A585" i="77"/>
  <c r="AR585" i="77" s="1"/>
  <c r="A583" i="77"/>
  <c r="AR583" i="77" s="1"/>
  <c r="A594" i="77"/>
  <c r="AR594" i="77" s="1"/>
  <c r="A595" i="77"/>
  <c r="AR595" i="77" s="1"/>
  <c r="A590" i="77"/>
  <c r="AR590" i="77" s="1"/>
  <c r="A591" i="77"/>
  <c r="AR591" i="77" s="1"/>
  <c r="A588" i="77"/>
  <c r="AR588" i="77" s="1"/>
  <c r="A586" i="77"/>
  <c r="AR586" i="77" s="1"/>
  <c r="A561" i="77"/>
  <c r="AR561" i="77" s="1"/>
  <c r="A565" i="77"/>
  <c r="AR565" i="77" s="1"/>
  <c r="A569" i="77"/>
  <c r="AR569" i="77" s="1"/>
  <c r="A573" i="77"/>
  <c r="AR573" i="77" s="1"/>
  <c r="A562" i="77"/>
  <c r="AR562" i="77" s="1"/>
  <c r="A566" i="77"/>
  <c r="AR566" i="77" s="1"/>
  <c r="A570" i="77"/>
  <c r="AR570" i="77" s="1"/>
  <c r="A574" i="77"/>
  <c r="AR574" i="77" s="1"/>
  <c r="A559" i="77"/>
  <c r="AR559" i="77" s="1"/>
  <c r="A563" i="77"/>
  <c r="AR563" i="77" s="1"/>
  <c r="A567" i="77"/>
  <c r="AR567" i="77" s="1"/>
  <c r="A571" i="77"/>
  <c r="AR571" i="77" s="1"/>
  <c r="A575" i="77"/>
  <c r="AR575" i="77" s="1"/>
  <c r="A568" i="77"/>
  <c r="AR568" i="77" s="1"/>
  <c r="A564" i="77"/>
  <c r="AR564" i="77" s="1"/>
  <c r="A572" i="77"/>
  <c r="AR572" i="77" s="1"/>
  <c r="A560" i="77"/>
  <c r="AR560" i="77" s="1"/>
  <c r="A580" i="77"/>
  <c r="AR580" i="77" s="1"/>
  <c r="A578" i="77"/>
  <c r="AR578" i="77" s="1"/>
  <c r="A576" i="77"/>
  <c r="AR576" i="77" s="1"/>
  <c r="A558" i="77"/>
  <c r="AR558" i="77" s="1"/>
  <c r="A581" i="77"/>
  <c r="AR581" i="77" s="1"/>
  <c r="A579" i="77"/>
  <c r="AR579" i="77" s="1"/>
  <c r="A577" i="77"/>
  <c r="AR577" i="77" s="1"/>
  <c r="A557" i="77"/>
  <c r="AR557" i="77" s="1"/>
  <c r="A556" i="77"/>
  <c r="AR556" i="77" s="1"/>
  <c r="A609" i="77"/>
  <c r="AR609" i="77" s="1"/>
  <c r="A601" i="77"/>
  <c r="AR601" i="77" s="1"/>
  <c r="A602" i="77"/>
  <c r="AR602" i="77" s="1"/>
  <c r="AD255" i="77"/>
  <c r="AD225" i="77"/>
  <c r="AF225" i="77" s="1"/>
  <c r="AE225" i="77" s="1"/>
  <c r="BD225" i="77" s="1"/>
  <c r="A338" i="77"/>
  <c r="AR338" i="77" s="1"/>
  <c r="A337" i="77"/>
  <c r="AR337" i="77" s="1"/>
  <c r="A336" i="77"/>
  <c r="AR336" i="77" s="1"/>
  <c r="A334" i="77"/>
  <c r="A339" i="77"/>
  <c r="AR339" i="77" s="1"/>
  <c r="A335" i="77"/>
  <c r="AR335" i="77" s="1"/>
  <c r="A340" i="77"/>
  <c r="AR340" i="77" s="1"/>
  <c r="A299" i="77"/>
  <c r="AR299" i="77" s="1"/>
  <c r="A298" i="77"/>
  <c r="AR298" i="77" s="1"/>
  <c r="A276" i="77"/>
  <c r="AR276" i="77" s="1"/>
  <c r="A275" i="77"/>
  <c r="AR275" i="77" s="1"/>
  <c r="A282" i="77"/>
  <c r="AR282" i="77" s="1"/>
  <c r="A283" i="77"/>
  <c r="AR283" i="77" s="1"/>
  <c r="A290" i="77"/>
  <c r="AR290" i="77" s="1"/>
  <c r="A261" i="77"/>
  <c r="AR261" i="77" s="1"/>
  <c r="A260" i="77"/>
  <c r="AR260" i="77" s="1"/>
  <c r="A289" i="77"/>
  <c r="AR289" i="77" s="1"/>
  <c r="A316" i="77"/>
  <c r="AR316" i="77" s="1"/>
  <c r="A317" i="77"/>
  <c r="A306" i="77"/>
  <c r="AR306" i="77" s="1"/>
  <c r="A315" i="77"/>
  <c r="A304" i="77"/>
  <c r="A305" i="77"/>
  <c r="AR305" i="77" s="1"/>
  <c r="A294" i="77"/>
  <c r="AR294" i="77" s="1"/>
  <c r="A292" i="77"/>
  <c r="AR292" i="77" s="1"/>
  <c r="A288" i="77"/>
  <c r="AR288" i="77" s="1"/>
  <c r="A286" i="77"/>
  <c r="A284" i="77"/>
  <c r="AR284" i="77" s="1"/>
  <c r="A280" i="77"/>
  <c r="AR280" i="77" s="1"/>
  <c r="A278" i="77"/>
  <c r="AR278" i="77" s="1"/>
  <c r="A274" i="77"/>
  <c r="AR274" i="77" s="1"/>
  <c r="A272" i="77"/>
  <c r="A270" i="77"/>
  <c r="AR270" i="77" s="1"/>
  <c r="A268" i="77"/>
  <c r="AR268" i="77" s="1"/>
  <c r="A266" i="77"/>
  <c r="AR266" i="77" s="1"/>
  <c r="A264" i="77"/>
  <c r="A262" i="77"/>
  <c r="AR262" i="77" s="1"/>
  <c r="A258" i="77"/>
  <c r="AR258" i="77" s="1"/>
  <c r="A287" i="77"/>
  <c r="AR287" i="77" s="1"/>
  <c r="A277" i="77"/>
  <c r="AR277" i="77" s="1"/>
  <c r="A263" i="77"/>
  <c r="AR263" i="77" s="1"/>
  <c r="A291" i="77"/>
  <c r="AR291" i="77" s="1"/>
  <c r="A279" i="77"/>
  <c r="A271" i="77"/>
  <c r="AR271" i="77" s="1"/>
  <c r="A285" i="77"/>
  <c r="AR285" i="77" s="1"/>
  <c r="A269" i="77"/>
  <c r="AR269" i="77" s="1"/>
  <c r="A257" i="77"/>
  <c r="A281" i="77"/>
  <c r="AR281" i="77" s="1"/>
  <c r="A267" i="77"/>
  <c r="AR267" i="77" s="1"/>
  <c r="A330" i="77"/>
  <c r="AR330" i="77" s="1"/>
  <c r="A328" i="77"/>
  <c r="AR328" i="77" s="1"/>
  <c r="A326" i="77"/>
  <c r="A324" i="77"/>
  <c r="AR324" i="77" s="1"/>
  <c r="A322" i="77"/>
  <c r="AR322" i="77" s="1"/>
  <c r="A320" i="77"/>
  <c r="AR320" i="77" s="1"/>
  <c r="A318" i="77"/>
  <c r="A313" i="77"/>
  <c r="A311" i="77"/>
  <c r="A309" i="77"/>
  <c r="A307" i="77"/>
  <c r="A302" i="77"/>
  <c r="AR302" i="77" s="1"/>
  <c r="A300" i="77"/>
  <c r="A296" i="77"/>
  <c r="AR296" i="77" s="1"/>
  <c r="A265" i="77"/>
  <c r="AR265" i="77" s="1"/>
  <c r="A259" i="77"/>
  <c r="AR259" i="77" s="1"/>
  <c r="A327" i="77"/>
  <c r="AR327" i="77" s="1"/>
  <c r="A319" i="77"/>
  <c r="A308" i="77"/>
  <c r="AR308" i="77" s="1"/>
  <c r="A329" i="77"/>
  <c r="AR329" i="77" s="1"/>
  <c r="A312" i="77"/>
  <c r="AR312" i="77" s="1"/>
  <c r="A273" i="77"/>
  <c r="AR273" i="77" s="1"/>
  <c r="A331" i="77"/>
  <c r="AR331" i="77" s="1"/>
  <c r="A325" i="77"/>
  <c r="AR325" i="77" s="1"/>
  <c r="A314" i="77"/>
  <c r="AR314" i="77" s="1"/>
  <c r="A303" i="77"/>
  <c r="AR303" i="77" s="1"/>
  <c r="A293" i="77"/>
  <c r="A323" i="77"/>
  <c r="AR323" i="77" s="1"/>
  <c r="A301" i="77"/>
  <c r="AR301" i="77" s="1"/>
  <c r="A321" i="77"/>
  <c r="A295" i="77"/>
  <c r="AR295" i="77" s="1"/>
  <c r="A310" i="77"/>
  <c r="AR310" i="77" s="1"/>
  <c r="A297" i="77"/>
  <c r="AR297" i="77" s="1"/>
  <c r="A202" i="77"/>
  <c r="AR202" i="77" s="1"/>
  <c r="A188" i="77"/>
  <c r="AR188" i="77" s="1"/>
  <c r="A165" i="77"/>
  <c r="AR165" i="77" s="1"/>
  <c r="A148" i="77"/>
  <c r="AR148" i="77" s="1"/>
  <c r="A150" i="77"/>
  <c r="AR150" i="77" s="1"/>
  <c r="A149" i="77"/>
  <c r="AR149" i="77" s="1"/>
  <c r="A208" i="77"/>
  <c r="AR208" i="77" s="1"/>
  <c r="A206" i="77"/>
  <c r="AR206" i="77" s="1"/>
  <c r="A204" i="77"/>
  <c r="A201" i="77"/>
  <c r="AR201" i="77" s="1"/>
  <c r="A199" i="77"/>
  <c r="AR199" i="77" s="1"/>
  <c r="A197" i="77"/>
  <c r="AR197" i="77" s="1"/>
  <c r="A195" i="77"/>
  <c r="AR195" i="77" s="1"/>
  <c r="A193" i="77"/>
  <c r="AR193" i="77" s="1"/>
  <c r="A191" i="77"/>
  <c r="A189" i="77"/>
  <c r="AR189" i="77" s="1"/>
  <c r="A186" i="77"/>
  <c r="AR186" i="77" s="1"/>
  <c r="A184" i="77"/>
  <c r="AR184" i="77" s="1"/>
  <c r="A181" i="77"/>
  <c r="AR181" i="77" s="1"/>
  <c r="A177" i="77"/>
  <c r="AR177" i="77" s="1"/>
  <c r="A173" i="77"/>
  <c r="AR173" i="77" s="1"/>
  <c r="A169" i="77"/>
  <c r="AR169" i="77" s="1"/>
  <c r="A164" i="77"/>
  <c r="AR164" i="77" s="1"/>
  <c r="A160" i="77"/>
  <c r="AR160" i="77" s="1"/>
  <c r="A156" i="77"/>
  <c r="AR156" i="77" s="1"/>
  <c r="A152" i="77"/>
  <c r="AR152" i="77" s="1"/>
  <c r="A203" i="77"/>
  <c r="AR203" i="77" s="1"/>
  <c r="A194" i="77"/>
  <c r="AR194" i="77" s="1"/>
  <c r="A185" i="77"/>
  <c r="AR185" i="77" s="1"/>
  <c r="A180" i="77"/>
  <c r="AR180" i="77" s="1"/>
  <c r="A176" i="77"/>
  <c r="AR176" i="77" s="1"/>
  <c r="A172" i="77"/>
  <c r="AR172" i="77" s="1"/>
  <c r="A168" i="77"/>
  <c r="AR168" i="77" s="1"/>
  <c r="A163" i="77"/>
  <c r="AR163" i="77" s="1"/>
  <c r="A159" i="77"/>
  <c r="AR159" i="77" s="1"/>
  <c r="A155" i="77"/>
  <c r="AR155" i="77" s="1"/>
  <c r="A151" i="77"/>
  <c r="AR151" i="77" s="1"/>
  <c r="A205" i="77"/>
  <c r="AR205" i="77" s="1"/>
  <c r="A196" i="77"/>
  <c r="AR196" i="77" s="1"/>
  <c r="A187" i="77"/>
  <c r="AR187" i="77" s="1"/>
  <c r="A209" i="77"/>
  <c r="AR209" i="77" s="1"/>
  <c r="A192" i="77"/>
  <c r="AR192" i="77" s="1"/>
  <c r="A183" i="77"/>
  <c r="AR183" i="77" s="1"/>
  <c r="A182" i="77"/>
  <c r="AR182" i="77" s="1"/>
  <c r="A179" i="77"/>
  <c r="AR179" i="77" s="1"/>
  <c r="A178" i="77"/>
  <c r="A175" i="77"/>
  <c r="AR175" i="77" s="1"/>
  <c r="A174" i="77"/>
  <c r="AR174" i="77" s="1"/>
  <c r="A171" i="77"/>
  <c r="AR171" i="77" s="1"/>
  <c r="A170" i="77"/>
  <c r="AR170" i="77" s="1"/>
  <c r="A167" i="77"/>
  <c r="A166" i="77"/>
  <c r="AR166" i="77" s="1"/>
  <c r="A162" i="77"/>
  <c r="AR162" i="77" s="1"/>
  <c r="A161" i="77"/>
  <c r="AR161" i="77" s="1"/>
  <c r="A158" i="77"/>
  <c r="AR158" i="77" s="1"/>
  <c r="A157" i="77"/>
  <c r="AR157" i="77" s="1"/>
  <c r="A154" i="77"/>
  <c r="A153" i="77"/>
  <c r="AR153" i="77" s="1"/>
  <c r="A147" i="77"/>
  <c r="A207" i="77"/>
  <c r="AR207" i="77" s="1"/>
  <c r="A190" i="77"/>
  <c r="AR190" i="77" s="1"/>
  <c r="A198" i="77"/>
  <c r="AR198" i="77" s="1"/>
  <c r="A200" i="77"/>
  <c r="AR200" i="77" s="1"/>
  <c r="A145" i="77"/>
  <c r="AR145" i="77" s="1"/>
  <c r="A140" i="77"/>
  <c r="AR140" i="77" s="1"/>
  <c r="A144" i="77"/>
  <c r="AR144" i="77" s="1"/>
  <c r="A141" i="77"/>
  <c r="AR141" i="77" s="1"/>
  <c r="A142" i="77"/>
  <c r="AR142" i="77" s="1"/>
  <c r="A146" i="77"/>
  <c r="AR146" i="77" s="1"/>
  <c r="A143" i="77"/>
  <c r="A139" i="77"/>
  <c r="A507" i="77"/>
  <c r="AR507" i="77" s="1"/>
  <c r="A512" i="77"/>
  <c r="AR512" i="77" s="1"/>
  <c r="A510" i="77"/>
  <c r="AR510" i="77" s="1"/>
  <c r="A508" i="77"/>
  <c r="AR508" i="77" s="1"/>
  <c r="A505" i="77"/>
  <c r="A503" i="77"/>
  <c r="A501" i="77"/>
  <c r="A499" i="77"/>
  <c r="A497" i="77"/>
  <c r="A495" i="77"/>
  <c r="A493" i="77"/>
  <c r="A491" i="77"/>
  <c r="A513" i="77"/>
  <c r="AR513" i="77" s="1"/>
  <c r="A504" i="77"/>
  <c r="AR504" i="77" s="1"/>
  <c r="A496" i="77"/>
  <c r="AR496" i="77" s="1"/>
  <c r="A511" i="77"/>
  <c r="AR511" i="77" s="1"/>
  <c r="A502" i="77"/>
  <c r="AR502" i="77" s="1"/>
  <c r="A494" i="77"/>
  <c r="AR494" i="77" s="1"/>
  <c r="A509" i="77"/>
  <c r="AR509" i="77" s="1"/>
  <c r="A500" i="77"/>
  <c r="AR500" i="77" s="1"/>
  <c r="A492" i="77"/>
  <c r="AR492" i="77" s="1"/>
  <c r="A506" i="77"/>
  <c r="AR506" i="77" s="1"/>
  <c r="A498" i="77"/>
  <c r="AR498" i="77" s="1"/>
  <c r="A357" i="77"/>
  <c r="AR357" i="77" s="1"/>
  <c r="A355" i="77"/>
  <c r="AR355" i="77" s="1"/>
  <c r="A353" i="77"/>
  <c r="AR353" i="77" s="1"/>
  <c r="A401" i="77"/>
  <c r="A399" i="77"/>
  <c r="A397" i="77"/>
  <c r="A395" i="77"/>
  <c r="AR395" i="77" s="1"/>
  <c r="A393" i="77"/>
  <c r="AR393" i="77" s="1"/>
  <c r="A391" i="77"/>
  <c r="A389" i="77"/>
  <c r="A387" i="77"/>
  <c r="A385" i="77"/>
  <c r="AR385" i="77" s="1"/>
  <c r="A383" i="77"/>
  <c r="AR383" i="77" s="1"/>
  <c r="A381" i="77"/>
  <c r="AR381" i="77" s="1"/>
  <c r="A379" i="77"/>
  <c r="AR379" i="77" s="1"/>
  <c r="A377" i="77"/>
  <c r="A375" i="77"/>
  <c r="AR375" i="77" s="1"/>
  <c r="A373" i="77"/>
  <c r="AR373" i="77" s="1"/>
  <c r="A371" i="77"/>
  <c r="AR371" i="77" s="1"/>
  <c r="A369" i="77"/>
  <c r="A367" i="77"/>
  <c r="AR367" i="77" s="1"/>
  <c r="A365" i="77"/>
  <c r="AR365" i="77" s="1"/>
  <c r="A363" i="77"/>
  <c r="AR363" i="77" s="1"/>
  <c r="A402" i="77"/>
  <c r="AR402" i="77" s="1"/>
  <c r="A394" i="77"/>
  <c r="A386" i="77"/>
  <c r="AR386" i="77" s="1"/>
  <c r="A378" i="77"/>
  <c r="AR378" i="77" s="1"/>
  <c r="A370" i="77"/>
  <c r="AR370" i="77" s="1"/>
  <c r="A362" i="77"/>
  <c r="A361" i="77"/>
  <c r="AR361" i="77" s="1"/>
  <c r="A356" i="77"/>
  <c r="AR356" i="77" s="1"/>
  <c r="A350" i="77"/>
  <c r="AR350" i="77" s="1"/>
  <c r="A346" i="77"/>
  <c r="AR346" i="77" s="1"/>
  <c r="A342" i="77"/>
  <c r="AR342" i="77" s="1"/>
  <c r="A400" i="77"/>
  <c r="AR400" i="77" s="1"/>
  <c r="A392" i="77"/>
  <c r="AR392" i="77" s="1"/>
  <c r="A384" i="77"/>
  <c r="AR384" i="77" s="1"/>
  <c r="A376" i="77"/>
  <c r="AR376" i="77" s="1"/>
  <c r="A368" i="77"/>
  <c r="AR368" i="77" s="1"/>
  <c r="A360" i="77"/>
  <c r="AR360" i="77" s="1"/>
  <c r="A354" i="77"/>
  <c r="AR354" i="77" s="1"/>
  <c r="A349" i="77"/>
  <c r="A345" i="77"/>
  <c r="A341" i="77"/>
  <c r="A438" i="77"/>
  <c r="AR438" i="77" s="1"/>
  <c r="A436" i="77"/>
  <c r="AR436" i="77" s="1"/>
  <c r="A434" i="77"/>
  <c r="AR434" i="77" s="1"/>
  <c r="A432" i="77"/>
  <c r="AR432" i="77" s="1"/>
  <c r="A430" i="77"/>
  <c r="AR430" i="77" s="1"/>
  <c r="A428" i="77"/>
  <c r="AR428" i="77" s="1"/>
  <c r="A426" i="77"/>
  <c r="A424" i="77"/>
  <c r="AR424" i="77" s="1"/>
  <c r="A422" i="77"/>
  <c r="AR422" i="77" s="1"/>
  <c r="A420" i="77"/>
  <c r="AR420" i="77" s="1"/>
  <c r="A418" i="77"/>
  <c r="A416" i="77"/>
  <c r="AR416" i="77" s="1"/>
  <c r="A414" i="77"/>
  <c r="AR414" i="77" s="1"/>
  <c r="A412" i="77"/>
  <c r="AR412" i="77" s="1"/>
  <c r="A410" i="77"/>
  <c r="A408" i="77"/>
  <c r="AR408" i="77" s="1"/>
  <c r="A406" i="77"/>
  <c r="AR406" i="77" s="1"/>
  <c r="A404" i="77"/>
  <c r="AR404" i="77" s="1"/>
  <c r="A398" i="77"/>
  <c r="AR398" i="77" s="1"/>
  <c r="A382" i="77"/>
  <c r="A390" i="77"/>
  <c r="AR390" i="77" s="1"/>
  <c r="A388" i="77"/>
  <c r="AR388" i="77" s="1"/>
  <c r="A359" i="77"/>
  <c r="A352" i="77"/>
  <c r="AR352" i="77" s="1"/>
  <c r="A348" i="77"/>
  <c r="AR348" i="77" s="1"/>
  <c r="A344" i="77"/>
  <c r="AR344" i="77" s="1"/>
  <c r="A431" i="77"/>
  <c r="AR431" i="77" s="1"/>
  <c r="A423" i="77"/>
  <c r="AR423" i="77" s="1"/>
  <c r="A415" i="77"/>
  <c r="AR415" i="77" s="1"/>
  <c r="A407" i="77"/>
  <c r="AR407" i="77" s="1"/>
  <c r="A396" i="77"/>
  <c r="AR396" i="77" s="1"/>
  <c r="A374" i="77"/>
  <c r="AR374" i="77" s="1"/>
  <c r="A372" i="77"/>
  <c r="A358" i="77"/>
  <c r="AR358" i="77" s="1"/>
  <c r="A351" i="77"/>
  <c r="AR351" i="77" s="1"/>
  <c r="A347" i="77"/>
  <c r="AR347" i="77" s="1"/>
  <c r="A343" i="77"/>
  <c r="AR343" i="77" s="1"/>
  <c r="A437" i="77"/>
  <c r="AR437" i="77" s="1"/>
  <c r="A429" i="77"/>
  <c r="A421" i="77"/>
  <c r="A413" i="77"/>
  <c r="A405" i="77"/>
  <c r="AR405" i="77" s="1"/>
  <c r="A364" i="77"/>
  <c r="AR364" i="77" s="1"/>
  <c r="A435" i="77"/>
  <c r="AR435" i="77" s="1"/>
  <c r="A427" i="77"/>
  <c r="AR427" i="77" s="1"/>
  <c r="A419" i="77"/>
  <c r="AR419" i="77" s="1"/>
  <c r="A411" i="77"/>
  <c r="AR411" i="77" s="1"/>
  <c r="A403" i="77"/>
  <c r="A380" i="77"/>
  <c r="AR380" i="77" s="1"/>
  <c r="A366" i="77"/>
  <c r="AR366" i="77" s="1"/>
  <c r="A433" i="77"/>
  <c r="AR433" i="77" s="1"/>
  <c r="A409" i="77"/>
  <c r="AR409" i="77" s="1"/>
  <c r="A425" i="77"/>
  <c r="AR425" i="77" s="1"/>
  <c r="A439" i="77"/>
  <c r="AR439" i="77" s="1"/>
  <c r="A417" i="77"/>
  <c r="AR417" i="77" s="1"/>
  <c r="AD513" i="77"/>
  <c r="AF513" i="77" s="1"/>
  <c r="AE513" i="77" s="1"/>
  <c r="BD513" i="77" s="1"/>
  <c r="A488" i="77"/>
  <c r="AR488" i="77" s="1"/>
  <c r="A484" i="77"/>
  <c r="AR484" i="77" s="1"/>
  <c r="A480" i="77"/>
  <c r="AR480" i="77" s="1"/>
  <c r="A458" i="77"/>
  <c r="A456" i="77"/>
  <c r="A487" i="77"/>
  <c r="AR487" i="77" s="1"/>
  <c r="A483" i="77"/>
  <c r="AR483" i="77" s="1"/>
  <c r="A479" i="77"/>
  <c r="A476" i="77"/>
  <c r="AR476" i="77" s="1"/>
  <c r="A474" i="77"/>
  <c r="A472" i="77"/>
  <c r="A470" i="77"/>
  <c r="A468" i="77"/>
  <c r="A466" i="77"/>
  <c r="A464" i="77"/>
  <c r="A462" i="77"/>
  <c r="A460" i="77"/>
  <c r="A475" i="77"/>
  <c r="AR475" i="77" s="1"/>
  <c r="A467" i="77"/>
  <c r="AR467" i="77" s="1"/>
  <c r="A459" i="77"/>
  <c r="AR459" i="77" s="1"/>
  <c r="A490" i="77"/>
  <c r="AR490" i="77" s="1"/>
  <c r="A489" i="77"/>
  <c r="AR489" i="77" s="1"/>
  <c r="A482" i="77"/>
  <c r="AR482" i="77" s="1"/>
  <c r="A481" i="77"/>
  <c r="A473" i="77"/>
  <c r="AR473" i="77" s="1"/>
  <c r="A465" i="77"/>
  <c r="AR465" i="77" s="1"/>
  <c r="A457" i="77"/>
  <c r="AR457" i="77" s="1"/>
  <c r="A471" i="77"/>
  <c r="AR471" i="77" s="1"/>
  <c r="A463" i="77"/>
  <c r="AR463" i="77" s="1"/>
  <c r="A485" i="77"/>
  <c r="AR485" i="77" s="1"/>
  <c r="A478" i="77"/>
  <c r="AR478" i="77" s="1"/>
  <c r="A486" i="77"/>
  <c r="AR486" i="77" s="1"/>
  <c r="A461" i="77"/>
  <c r="AR461" i="77" s="1"/>
  <c r="A469" i="77"/>
  <c r="AR469" i="77" s="1"/>
  <c r="A477" i="77"/>
  <c r="A519" i="77"/>
  <c r="AR519" i="77" s="1"/>
  <c r="A518" i="77"/>
  <c r="AR518" i="77" s="1"/>
  <c r="A516" i="77"/>
  <c r="AR516" i="77" s="1"/>
  <c r="A514" i="77"/>
  <c r="A554" i="77"/>
  <c r="AR554" i="77" s="1"/>
  <c r="A552" i="77"/>
  <c r="AR552" i="77" s="1"/>
  <c r="A551" i="77"/>
  <c r="AR551" i="77" s="1"/>
  <c r="A549" i="77"/>
  <c r="AR549" i="77" s="1"/>
  <c r="A547" i="77"/>
  <c r="AR547" i="77" s="1"/>
  <c r="A545" i="77"/>
  <c r="AR545" i="77" s="1"/>
  <c r="A543" i="77"/>
  <c r="AR543" i="77" s="1"/>
  <c r="A541" i="77"/>
  <c r="A539" i="77"/>
  <c r="AR539" i="77" s="1"/>
  <c r="A537" i="77"/>
  <c r="AR537" i="77" s="1"/>
  <c r="A535" i="77"/>
  <c r="A533" i="77"/>
  <c r="AR533" i="77" s="1"/>
  <c r="A531" i="77"/>
  <c r="AR531" i="77" s="1"/>
  <c r="A529" i="77"/>
  <c r="A527" i="77"/>
  <c r="AR527" i="77" s="1"/>
  <c r="A525" i="77"/>
  <c r="AR525" i="77" s="1"/>
  <c r="A523" i="77"/>
  <c r="A521" i="77"/>
  <c r="AR521" i="77" s="1"/>
  <c r="A544" i="77"/>
  <c r="A536" i="77"/>
  <c r="AR536" i="77" s="1"/>
  <c r="A528" i="77"/>
  <c r="AR528" i="77" s="1"/>
  <c r="A520" i="77"/>
  <c r="A517" i="77"/>
  <c r="A515" i="77"/>
  <c r="AR515" i="77" s="1"/>
  <c r="A553" i="77"/>
  <c r="AR553" i="77" s="1"/>
  <c r="A542" i="77"/>
  <c r="AR542" i="77" s="1"/>
  <c r="A534" i="77"/>
  <c r="AR534" i="77" s="1"/>
  <c r="A526" i="77"/>
  <c r="A548" i="77"/>
  <c r="AR548" i="77" s="1"/>
  <c r="A540" i="77"/>
  <c r="AR540" i="77" s="1"/>
  <c r="A532" i="77"/>
  <c r="A524" i="77"/>
  <c r="AR524" i="77" s="1"/>
  <c r="A555" i="77"/>
  <c r="AR555" i="77" s="1"/>
  <c r="A538" i="77"/>
  <c r="A522" i="77"/>
  <c r="AR522" i="77" s="1"/>
  <c r="A530" i="77"/>
  <c r="AR530" i="77" s="1"/>
  <c r="A546" i="77"/>
  <c r="AR546" i="77" s="1"/>
  <c r="A550" i="77"/>
  <c r="AR550" i="77" s="1"/>
  <c r="A451" i="77"/>
  <c r="AR451" i="77" s="1"/>
  <c r="A452" i="77"/>
  <c r="A450" i="77"/>
  <c r="A453" i="77"/>
  <c r="AR453" i="77" s="1"/>
  <c r="A442" i="77"/>
  <c r="A447" i="77"/>
  <c r="AR447" i="77" s="1"/>
  <c r="A445" i="77"/>
  <c r="A443" i="77"/>
  <c r="AR443" i="77" s="1"/>
  <c r="A444" i="77"/>
  <c r="AR444" i="77" s="1"/>
  <c r="A446" i="77"/>
  <c r="AR446" i="77" s="1"/>
  <c r="A454" i="77"/>
  <c r="A448" i="77"/>
  <c r="A440" i="77"/>
  <c r="A449" i="77"/>
  <c r="AR449" i="77" s="1"/>
  <c r="A441" i="77"/>
  <c r="AR441" i="77" s="1"/>
  <c r="A455" i="77"/>
  <c r="AR455" i="77" s="1"/>
  <c r="A122" i="77"/>
  <c r="AR122" i="77" s="1"/>
  <c r="A109" i="77"/>
  <c r="AR109" i="77" s="1"/>
  <c r="A108" i="77"/>
  <c r="AR108" i="77" s="1"/>
  <c r="A107" i="77"/>
  <c r="AR107" i="77" s="1"/>
  <c r="A88" i="77"/>
  <c r="AR88" i="77" s="1"/>
  <c r="A81" i="77"/>
  <c r="AR81" i="77" s="1"/>
  <c r="A44" i="77"/>
  <c r="AR44" i="77" s="1"/>
  <c r="A80" i="77"/>
  <c r="AR80" i="77" s="1"/>
  <c r="A50" i="77"/>
  <c r="AR50" i="77" s="1"/>
  <c r="A105" i="77"/>
  <c r="AR105" i="77" s="1"/>
  <c r="A38" i="77"/>
  <c r="AR38" i="77" s="1"/>
  <c r="A32" i="77"/>
  <c r="AR32" i="77" s="1"/>
  <c r="A87" i="77"/>
  <c r="AR87" i="77" s="1"/>
  <c r="A51" i="77"/>
  <c r="AR51" i="77" s="1"/>
  <c r="A43" i="77"/>
  <c r="AR43" i="77" s="1"/>
  <c r="A101" i="77"/>
  <c r="AR101" i="77" s="1"/>
  <c r="A33" i="77"/>
  <c r="AR33" i="77" s="1"/>
  <c r="A102" i="77"/>
  <c r="AR102" i="77" s="1"/>
  <c r="A120" i="77"/>
  <c r="AR120" i="77" s="1"/>
  <c r="A332" i="77"/>
  <c r="AR332" i="77" s="1"/>
  <c r="A333" i="77"/>
  <c r="AR333" i="77" s="1"/>
  <c r="A235" i="77"/>
  <c r="AR235" i="77" s="1"/>
  <c r="A228" i="77"/>
  <c r="AR228" i="77" s="1"/>
  <c r="A212" i="77"/>
  <c r="AR212" i="77" s="1"/>
  <c r="A227" i="77"/>
  <c r="AR227" i="77" s="1"/>
  <c r="A232" i="77"/>
  <c r="AR232" i="77" s="1"/>
  <c r="A229" i="77"/>
  <c r="AR229" i="77" s="1"/>
  <c r="A242" i="77"/>
  <c r="AR242" i="77" s="1"/>
  <c r="A226" i="77"/>
  <c r="A244" i="77"/>
  <c r="AR244" i="77" s="1"/>
  <c r="A241" i="77"/>
  <c r="A239" i="77"/>
  <c r="A237" i="77"/>
  <c r="A234" i="77"/>
  <c r="A231" i="77"/>
  <c r="AR231" i="77" s="1"/>
  <c r="A225" i="77"/>
  <c r="AR225" i="77" s="1"/>
  <c r="A221" i="77"/>
  <c r="AR221" i="77" s="1"/>
  <c r="A219" i="77"/>
  <c r="AR219" i="77" s="1"/>
  <c r="A217" i="77"/>
  <c r="AR217" i="77" s="1"/>
  <c r="A215" i="77"/>
  <c r="AR215" i="77" s="1"/>
  <c r="A213" i="77"/>
  <c r="AR213" i="77" s="1"/>
  <c r="A210" i="77"/>
  <c r="A240" i="77"/>
  <c r="AR240" i="77" s="1"/>
  <c r="A230" i="77"/>
  <c r="A220" i="77"/>
  <c r="A211" i="77"/>
  <c r="AR211" i="77" s="1"/>
  <c r="A243" i="77"/>
  <c r="A233" i="77"/>
  <c r="AR233" i="77" s="1"/>
  <c r="A224" i="77"/>
  <c r="AR224" i="77" s="1"/>
  <c r="A214" i="77"/>
  <c r="A238" i="77"/>
  <c r="AR238" i="77" s="1"/>
  <c r="A256" i="77"/>
  <c r="AR256" i="77" s="1"/>
  <c r="A236" i="77"/>
  <c r="AR236" i="77" s="1"/>
  <c r="A255" i="77"/>
  <c r="AR255" i="77" s="1"/>
  <c r="A252" i="77"/>
  <c r="AR252" i="77" s="1"/>
  <c r="A250" i="77"/>
  <c r="AR250" i="77" s="1"/>
  <c r="A248" i="77"/>
  <c r="AR248" i="77" s="1"/>
  <c r="A246" i="77"/>
  <c r="AR246" i="77" s="1"/>
  <c r="A253" i="77"/>
  <c r="AR253" i="77" s="1"/>
  <c r="A245" i="77"/>
  <c r="A216" i="77"/>
  <c r="A249" i="77"/>
  <c r="A251" i="77"/>
  <c r="AR251" i="77" s="1"/>
  <c r="A218" i="77"/>
  <c r="A254" i="77"/>
  <c r="AR254" i="77" s="1"/>
  <c r="A247" i="77"/>
  <c r="BI318" i="77"/>
  <c r="AN318" i="77"/>
  <c r="AQ215" i="77"/>
  <c r="BJ175" i="77"/>
  <c r="BK175" i="77" s="1"/>
  <c r="BG175" i="77"/>
  <c r="BH175" i="77" s="1"/>
  <c r="BJ170" i="77"/>
  <c r="BK170" i="77" s="1"/>
  <c r="BG170" i="77"/>
  <c r="BH170" i="77" s="1"/>
  <c r="BJ168" i="77"/>
  <c r="BK168" i="77" s="1"/>
  <c r="BG168" i="77"/>
  <c r="BH168" i="77" s="1"/>
  <c r="BJ171" i="77"/>
  <c r="BK171" i="77" s="1"/>
  <c r="BG171" i="77"/>
  <c r="BH171" i="77" s="1"/>
  <c r="BJ169" i="77"/>
  <c r="BK169" i="77" s="1"/>
  <c r="BG169" i="77"/>
  <c r="BH169" i="77" s="1"/>
  <c r="BJ173" i="77"/>
  <c r="BK173" i="77" s="1"/>
  <c r="BG173" i="77"/>
  <c r="BH173" i="77" s="1"/>
  <c r="BJ177" i="77"/>
  <c r="BK177" i="77" s="1"/>
  <c r="BG177" i="77"/>
  <c r="BH177" i="77" s="1"/>
  <c r="BJ176" i="77"/>
  <c r="BK176" i="77" s="1"/>
  <c r="BG176" i="77"/>
  <c r="BH176" i="77" s="1"/>
  <c r="BJ174" i="77"/>
  <c r="BK174" i="77" s="1"/>
  <c r="BG174" i="77"/>
  <c r="BH174" i="77" s="1"/>
  <c r="BJ172" i="77"/>
  <c r="BK172" i="77" s="1"/>
  <c r="BG172" i="77"/>
  <c r="BH172" i="77" s="1"/>
  <c r="BL175" i="77"/>
  <c r="BL167" i="77"/>
  <c r="BL168" i="77"/>
  <c r="BL177" i="77"/>
  <c r="BL169" i="77"/>
  <c r="BL176" i="77"/>
  <c r="BL170" i="77"/>
  <c r="BL171" i="77"/>
  <c r="BE663" i="77"/>
  <c r="BG104" i="77"/>
  <c r="BH104" i="77" s="1"/>
  <c r="BJ83" i="77"/>
  <c r="BK83" i="77" s="1"/>
  <c r="BJ72" i="77"/>
  <c r="BK72" i="77" s="1"/>
  <c r="BJ85" i="77"/>
  <c r="BK85" i="77" s="1"/>
  <c r="BG131" i="77"/>
  <c r="BH131" i="77" s="1"/>
  <c r="BG100" i="77"/>
  <c r="BH100" i="77" s="1"/>
  <c r="BJ111" i="77"/>
  <c r="BK111" i="77" s="1"/>
  <c r="BJ76" i="77"/>
  <c r="BK76" i="77" s="1"/>
  <c r="BG68" i="77"/>
  <c r="BH68" i="77" s="1"/>
  <c r="BG31" i="77"/>
  <c r="BH31" i="77" s="1"/>
  <c r="BJ71" i="77"/>
  <c r="BK71" i="77" s="1"/>
  <c r="BG23" i="77"/>
  <c r="BH23" i="77" s="1"/>
  <c r="BG42" i="77"/>
  <c r="BH42" i="77" s="1"/>
  <c r="BG126" i="77"/>
  <c r="BH126" i="77" s="1"/>
  <c r="AQ103" i="77"/>
  <c r="BG106" i="77"/>
  <c r="BH106" i="77" s="1"/>
  <c r="BJ78" i="77"/>
  <c r="BK78" i="77" s="1"/>
  <c r="BJ98" i="77"/>
  <c r="BK98" i="77" s="1"/>
  <c r="BJ96" i="77"/>
  <c r="BK96" i="77" s="1"/>
  <c r="BG19" i="77"/>
  <c r="BH19" i="77" s="1"/>
  <c r="BG67" i="77"/>
  <c r="BH67" i="77" s="1"/>
  <c r="BG69" i="77"/>
  <c r="BH69" i="77" s="1"/>
  <c r="BG34" i="77"/>
  <c r="BH34" i="77" s="1"/>
  <c r="BG56" i="77"/>
  <c r="BH56" i="77" s="1"/>
  <c r="BG114" i="77"/>
  <c r="BH114" i="77" s="1"/>
  <c r="BJ128" i="77"/>
  <c r="BK128" i="77" s="1"/>
  <c r="BG55" i="77"/>
  <c r="BH55" i="77" s="1"/>
  <c r="BJ90" i="77"/>
  <c r="BK90" i="77" s="1"/>
  <c r="BG53" i="77"/>
  <c r="BH53" i="77" s="1"/>
  <c r="BJ75" i="77"/>
  <c r="BK75" i="77" s="1"/>
  <c r="BJ97" i="77"/>
  <c r="BK97" i="77" s="1"/>
  <c r="BG57" i="77"/>
  <c r="BH57" i="77" s="1"/>
  <c r="BG46" i="77"/>
  <c r="BH46" i="77" s="1"/>
  <c r="BG27" i="77"/>
  <c r="BH27" i="77" s="1"/>
  <c r="BG49" i="77"/>
  <c r="BH49" i="77" s="1"/>
  <c r="BG21" i="77"/>
  <c r="BH21" i="77" s="1"/>
  <c r="BJ110" i="77"/>
  <c r="BK110" i="77" s="1"/>
  <c r="BG48" i="77"/>
  <c r="BH48" i="77" s="1"/>
  <c r="BJ129" i="77"/>
  <c r="BK129" i="77" s="1"/>
  <c r="BJ89" i="77"/>
  <c r="BK89" i="77" s="1"/>
  <c r="BJ112" i="77"/>
  <c r="BK112" i="77" s="1"/>
  <c r="BG30" i="77"/>
  <c r="BH30" i="77" s="1"/>
  <c r="BJ74" i="77"/>
  <c r="BK74" i="77" s="1"/>
  <c r="BJ82" i="77"/>
  <c r="BK82" i="77" s="1"/>
  <c r="BG26" i="77"/>
  <c r="BH26" i="77" s="1"/>
  <c r="BJ86" i="77"/>
  <c r="BK86" i="77" s="1"/>
  <c r="BG52" i="77"/>
  <c r="BH52" i="77" s="1"/>
  <c r="BG41" i="77"/>
  <c r="BH41" i="77" s="1"/>
  <c r="BJ79" i="77"/>
  <c r="BK79" i="77" s="1"/>
  <c r="BG45" i="77"/>
  <c r="BH45" i="77" s="1"/>
  <c r="BG25" i="77"/>
  <c r="BH25" i="77" s="1"/>
  <c r="BG35" i="77"/>
  <c r="BH35" i="77" s="1"/>
  <c r="BG28" i="77"/>
  <c r="BH28" i="77" s="1"/>
  <c r="BG24" i="77"/>
  <c r="BH24" i="77" s="1"/>
  <c r="BJ73" i="77"/>
  <c r="BK73" i="77" s="1"/>
  <c r="AQ29" i="77"/>
  <c r="AQ130" i="77"/>
  <c r="A124" i="77"/>
  <c r="AR124" i="77" s="1"/>
  <c r="A119" i="77"/>
  <c r="A91" i="77"/>
  <c r="A65" i="77"/>
  <c r="AR65" i="77" s="1"/>
  <c r="A117" i="77"/>
  <c r="A94" i="77"/>
  <c r="AR94" i="77" s="1"/>
  <c r="A92" i="77"/>
  <c r="AR92" i="77" s="1"/>
  <c r="A123" i="77"/>
  <c r="AR123" i="77" s="1"/>
  <c r="A64" i="77"/>
  <c r="AR64" i="77" s="1"/>
  <c r="A58" i="77"/>
  <c r="A62" i="77"/>
  <c r="A59" i="77"/>
  <c r="AR59" i="77" s="1"/>
  <c r="A121" i="77"/>
  <c r="AR121" i="77" s="1"/>
  <c r="A118" i="77"/>
  <c r="AR118" i="77" s="1"/>
  <c r="A125" i="77"/>
  <c r="A93" i="77"/>
  <c r="AR93" i="77" s="1"/>
  <c r="A61" i="77"/>
  <c r="AR61" i="77" s="1"/>
  <c r="A63" i="77"/>
  <c r="AR63" i="77" s="1"/>
  <c r="A60" i="77"/>
  <c r="AR60" i="77" s="1"/>
  <c r="A66" i="77"/>
  <c r="A57" i="77"/>
  <c r="AR57" i="77" s="1"/>
  <c r="A55" i="77"/>
  <c r="AR55" i="77" s="1"/>
  <c r="A47" i="77"/>
  <c r="A45" i="77"/>
  <c r="AR45" i="77" s="1"/>
  <c r="A41" i="77"/>
  <c r="AR41" i="77" s="1"/>
  <c r="A35" i="77"/>
  <c r="AR35" i="77" s="1"/>
  <c r="A31" i="77"/>
  <c r="AR31" i="77" s="1"/>
  <c r="A21" i="77"/>
  <c r="AR21" i="77" s="1"/>
  <c r="A16" i="77"/>
  <c r="AR16" i="77" s="1"/>
  <c r="A14" i="77"/>
  <c r="A135" i="77"/>
  <c r="AR135" i="77" s="1"/>
  <c r="A131" i="77"/>
  <c r="AR131" i="77" s="1"/>
  <c r="A129" i="77"/>
  <c r="AR129" i="77" s="1"/>
  <c r="A128" i="77"/>
  <c r="AR128" i="77" s="1"/>
  <c r="A113" i="77"/>
  <c r="A112" i="77"/>
  <c r="AR112" i="77" s="1"/>
  <c r="A111" i="77"/>
  <c r="AR111" i="77" s="1"/>
  <c r="A110" i="77"/>
  <c r="AR110" i="77" s="1"/>
  <c r="A104" i="77"/>
  <c r="AR104" i="77" s="1"/>
  <c r="A103" i="77"/>
  <c r="A69" i="77"/>
  <c r="AR69" i="77" s="1"/>
  <c r="A67" i="77"/>
  <c r="AR67" i="77" s="1"/>
  <c r="A37" i="77"/>
  <c r="AR37" i="77" s="1"/>
  <c r="A29" i="77"/>
  <c r="A28" i="77"/>
  <c r="AR28" i="77" s="1"/>
  <c r="A27" i="77"/>
  <c r="AR27" i="77" s="1"/>
  <c r="A26" i="77"/>
  <c r="AR26" i="77" s="1"/>
  <c r="A25" i="77"/>
  <c r="AR25" i="77" s="1"/>
  <c r="A24" i="77"/>
  <c r="AR24" i="77" s="1"/>
  <c r="A23" i="77"/>
  <c r="AR23" i="77" s="1"/>
  <c r="A20" i="77"/>
  <c r="A15" i="77"/>
  <c r="AR15" i="77" s="1"/>
  <c r="A11" i="77"/>
  <c r="AR11" i="77" s="1"/>
  <c r="A132" i="77"/>
  <c r="AR132" i="77" s="1"/>
  <c r="A97" i="77"/>
  <c r="AR97" i="77" s="1"/>
  <c r="A56" i="77"/>
  <c r="AR56" i="77" s="1"/>
  <c r="A46" i="77"/>
  <c r="AR46" i="77" s="1"/>
  <c r="A42" i="77"/>
  <c r="AR42" i="77" s="1"/>
  <c r="A39" i="77"/>
  <c r="AR39" i="77" s="1"/>
  <c r="A36" i="77"/>
  <c r="A34" i="77"/>
  <c r="AR34" i="77" s="1"/>
  <c r="A30" i="77"/>
  <c r="AR30" i="77" s="1"/>
  <c r="A22" i="77"/>
  <c r="A18" i="77"/>
  <c r="A12" i="77"/>
  <c r="AR12" i="77" s="1"/>
  <c r="A10" i="77"/>
  <c r="A136" i="77"/>
  <c r="AR136" i="77" s="1"/>
  <c r="A134" i="77"/>
  <c r="AR134" i="77" s="1"/>
  <c r="A130" i="77"/>
  <c r="A127" i="77"/>
  <c r="A116" i="77"/>
  <c r="AR116" i="77" s="1"/>
  <c r="A106" i="77"/>
  <c r="AR106" i="77" s="1"/>
  <c r="A100" i="77"/>
  <c r="AR100" i="77" s="1"/>
  <c r="A68" i="77"/>
  <c r="AR68" i="77" s="1"/>
  <c r="A54" i="77"/>
  <c r="A53" i="77"/>
  <c r="AR53" i="77" s="1"/>
  <c r="A52" i="77"/>
  <c r="AR52" i="77" s="1"/>
  <c r="A49" i="77"/>
  <c r="AR49" i="77" s="1"/>
  <c r="A48" i="77"/>
  <c r="AR48" i="77" s="1"/>
  <c r="A40" i="77"/>
  <c r="A19" i="77"/>
  <c r="AR19" i="77" s="1"/>
  <c r="A17" i="77"/>
  <c r="AR17" i="77" s="1"/>
  <c r="A13" i="77"/>
  <c r="AR13" i="77" s="1"/>
  <c r="A133" i="77"/>
  <c r="AR133" i="77" s="1"/>
  <c r="A126" i="77"/>
  <c r="AR126" i="77" s="1"/>
  <c r="A115" i="77"/>
  <c r="A114" i="77"/>
  <c r="AR114" i="77" s="1"/>
  <c r="A99" i="77"/>
  <c r="A90" i="77"/>
  <c r="AR90" i="77" s="1"/>
  <c r="A85" i="77"/>
  <c r="AR85" i="77" s="1"/>
  <c r="A96" i="77"/>
  <c r="AR96" i="77" s="1"/>
  <c r="A89" i="77"/>
  <c r="AR89" i="77" s="1"/>
  <c r="A83" i="77"/>
  <c r="AR83" i="77" s="1"/>
  <c r="A79" i="77"/>
  <c r="AR79" i="77" s="1"/>
  <c r="A138" i="77"/>
  <c r="AR138" i="77" s="1"/>
  <c r="A98" i="77"/>
  <c r="AR98" i="77" s="1"/>
  <c r="A86" i="77"/>
  <c r="AR86" i="77" s="1"/>
  <c r="A77" i="77"/>
  <c r="A76" i="77"/>
  <c r="AR76" i="77" s="1"/>
  <c r="A75" i="77"/>
  <c r="AR75" i="77" s="1"/>
  <c r="A74" i="77"/>
  <c r="AR74" i="77" s="1"/>
  <c r="A73" i="77"/>
  <c r="AR73" i="77" s="1"/>
  <c r="A72" i="77"/>
  <c r="AR72" i="77" s="1"/>
  <c r="A71" i="77"/>
  <c r="AR71" i="77" s="1"/>
  <c r="A95" i="77"/>
  <c r="A84" i="77"/>
  <c r="A82" i="77"/>
  <c r="AR82" i="77" s="1"/>
  <c r="A78" i="77"/>
  <c r="AR78" i="77" s="1"/>
  <c r="A70" i="77"/>
  <c r="A137" i="77"/>
  <c r="AR137" i="77" s="1"/>
  <c r="BC6" i="77"/>
  <c r="BB6" i="77"/>
  <c r="BL652" i="77" l="1"/>
  <c r="BE652" i="77"/>
  <c r="AY610" i="77"/>
  <c r="BA610" i="77"/>
  <c r="AX610" i="77"/>
  <c r="BA650" i="77"/>
  <c r="AY650" i="77"/>
  <c r="AX650" i="77"/>
  <c r="BA616" i="77"/>
  <c r="AY616" i="77"/>
  <c r="AX616" i="77"/>
  <c r="BA628" i="77"/>
  <c r="AX628" i="77"/>
  <c r="AY628" i="77"/>
  <c r="AY632" i="77"/>
  <c r="BB632" i="77"/>
  <c r="BA632" i="77"/>
  <c r="AX632" i="77"/>
  <c r="AY631" i="77"/>
  <c r="BB631" i="77"/>
  <c r="BA631" i="77"/>
  <c r="AX631" i="77"/>
  <c r="AY649" i="77"/>
  <c r="BA649" i="77"/>
  <c r="AX649" i="77"/>
  <c r="BA646" i="77"/>
  <c r="AX646" i="77"/>
  <c r="AY646" i="77"/>
  <c r="AX639" i="77"/>
  <c r="BC639" i="77"/>
  <c r="AY639" i="77"/>
  <c r="BA639" i="77"/>
  <c r="AX630" i="77"/>
  <c r="BL630" i="77" s="1"/>
  <c r="BA630" i="77"/>
  <c r="AY630" i="77"/>
  <c r="AY598" i="77"/>
  <c r="AX598" i="77"/>
  <c r="BA598" i="77"/>
  <c r="AY611" i="77"/>
  <c r="AX611" i="77"/>
  <c r="BA611" i="77"/>
  <c r="AX644" i="77"/>
  <c r="BA644" i="77"/>
  <c r="AY644" i="77"/>
  <c r="AY619" i="77"/>
  <c r="BA619" i="77"/>
  <c r="AX619" i="77"/>
  <c r="BA633" i="77"/>
  <c r="BB633" i="77"/>
  <c r="AY633" i="77"/>
  <c r="AX633" i="77"/>
  <c r="BA620" i="77"/>
  <c r="AX620" i="77"/>
  <c r="AY620" i="77"/>
  <c r="AY635" i="77"/>
  <c r="AX635" i="77"/>
  <c r="BA635" i="77"/>
  <c r="AX636" i="77"/>
  <c r="AY636" i="77"/>
  <c r="BA636" i="77"/>
  <c r="AX648" i="77"/>
  <c r="AY648" i="77"/>
  <c r="BA648" i="77"/>
  <c r="AY645" i="77"/>
  <c r="AX645" i="77"/>
  <c r="BA645" i="77"/>
  <c r="AX634" i="77"/>
  <c r="BB634" i="77"/>
  <c r="BA634" i="77"/>
  <c r="AY634" i="77"/>
  <c r="AY597" i="77"/>
  <c r="BA597" i="77"/>
  <c r="AX597" i="77"/>
  <c r="AX613" i="77"/>
  <c r="AY613" i="77"/>
  <c r="BA613" i="77"/>
  <c r="BA638" i="77"/>
  <c r="AX638" i="77"/>
  <c r="AY638" i="77"/>
  <c r="AX647" i="77"/>
  <c r="BA647" i="77"/>
  <c r="AY647" i="77"/>
  <c r="AY622" i="77"/>
  <c r="AX622" i="77"/>
  <c r="BA622" i="77"/>
  <c r="AX621" i="77"/>
  <c r="BA621" i="77"/>
  <c r="AY621" i="77"/>
  <c r="AY623" i="77"/>
  <c r="BA623" i="77"/>
  <c r="AX623" i="77"/>
  <c r="AY637" i="77"/>
  <c r="BA637" i="77"/>
  <c r="AX637" i="77"/>
  <c r="AX640" i="77"/>
  <c r="AY640" i="77"/>
  <c r="BC640" i="77"/>
  <c r="BA640" i="77"/>
  <c r="AY615" i="77"/>
  <c r="AX615" i="77"/>
  <c r="BA615" i="77"/>
  <c r="AX617" i="77"/>
  <c r="BA617" i="77"/>
  <c r="AY617" i="77"/>
  <c r="BA599" i="77"/>
  <c r="BB599" i="77"/>
  <c r="AY599" i="77"/>
  <c r="AX599" i="77"/>
  <c r="AX600" i="77"/>
  <c r="AY600" i="77"/>
  <c r="BC600" i="77"/>
  <c r="BA600" i="77"/>
  <c r="BA612" i="77"/>
  <c r="AX612" i="77"/>
  <c r="AY612" i="77"/>
  <c r="AY641" i="77"/>
  <c r="AX641" i="77"/>
  <c r="BC641" i="77"/>
  <c r="BA641" i="77"/>
  <c r="AY614" i="77"/>
  <c r="BA614" i="77"/>
  <c r="AX614" i="77"/>
  <c r="BA624" i="77"/>
  <c r="AY624" i="77"/>
  <c r="AX624" i="77"/>
  <c r="AY627" i="77"/>
  <c r="AX627" i="77"/>
  <c r="BA627" i="77"/>
  <c r="AY626" i="77"/>
  <c r="BA626" i="77"/>
  <c r="AX626" i="77"/>
  <c r="AX643" i="77"/>
  <c r="AY643" i="77"/>
  <c r="BA643" i="77"/>
  <c r="BA642" i="77"/>
  <c r="BC642" i="77"/>
  <c r="AX642" i="77"/>
  <c r="AY642" i="77"/>
  <c r="AY618" i="77"/>
  <c r="AX618" i="77"/>
  <c r="BA618" i="77"/>
  <c r="AX625" i="77"/>
  <c r="AY625" i="77"/>
  <c r="BA625" i="77"/>
  <c r="AX596" i="77"/>
  <c r="BA596" i="77"/>
  <c r="AY596" i="77"/>
  <c r="AX580" i="77"/>
  <c r="AY580" i="77"/>
  <c r="BA580" i="77"/>
  <c r="AY579" i="77"/>
  <c r="BA579" i="77"/>
  <c r="AX579" i="77"/>
  <c r="AX559" i="77"/>
  <c r="BA559" i="77"/>
  <c r="AY559" i="77"/>
  <c r="BA574" i="77"/>
  <c r="AY574" i="77"/>
  <c r="AX574" i="77"/>
  <c r="BA573" i="77"/>
  <c r="AY573" i="77"/>
  <c r="AX573" i="77"/>
  <c r="AX572" i="77"/>
  <c r="BA572" i="77"/>
  <c r="AY572" i="77"/>
  <c r="AX584" i="77"/>
  <c r="AL584" i="77"/>
  <c r="AR584" i="77" s="1"/>
  <c r="BA584" i="77"/>
  <c r="AY584" i="77"/>
  <c r="AY593" i="77"/>
  <c r="AX593" i="77"/>
  <c r="BA593" i="77"/>
  <c r="AY586" i="77"/>
  <c r="BA586" i="77"/>
  <c r="AX586" i="77"/>
  <c r="BA587" i="77"/>
  <c r="AY587" i="77"/>
  <c r="AX587" i="77"/>
  <c r="AX601" i="77"/>
  <c r="BA601" i="77"/>
  <c r="AY601" i="77"/>
  <c r="AX556" i="77"/>
  <c r="AY556" i="77"/>
  <c r="BA556" i="77"/>
  <c r="AX581" i="77"/>
  <c r="AY581" i="77"/>
  <c r="BA581" i="77"/>
  <c r="AX563" i="77"/>
  <c r="BA563" i="77"/>
  <c r="AY563" i="77"/>
  <c r="BA570" i="77"/>
  <c r="AY570" i="77"/>
  <c r="AX570" i="77"/>
  <c r="BA569" i="77"/>
  <c r="AY569" i="77"/>
  <c r="AX569" i="77"/>
  <c r="AX568" i="77"/>
  <c r="BA568" i="77"/>
  <c r="AY568" i="77"/>
  <c r="AY582" i="77"/>
  <c r="AL582" i="77"/>
  <c r="AX582" i="77"/>
  <c r="BA582" i="77"/>
  <c r="BA591" i="77"/>
  <c r="AX591" i="77"/>
  <c r="AY591" i="77"/>
  <c r="AX588" i="77"/>
  <c r="AY588" i="77"/>
  <c r="BA588" i="77"/>
  <c r="AY594" i="77"/>
  <c r="BA594" i="77"/>
  <c r="AX594" i="77"/>
  <c r="AR582" i="77"/>
  <c r="BA609" i="77"/>
  <c r="AY609" i="77"/>
  <c r="AX609" i="77"/>
  <c r="BA576" i="77"/>
  <c r="AY576" i="77"/>
  <c r="AX576" i="77"/>
  <c r="AX557" i="77"/>
  <c r="AY557" i="77"/>
  <c r="BA557" i="77"/>
  <c r="AX558" i="77"/>
  <c r="BA558" i="77"/>
  <c r="AY558" i="77"/>
  <c r="AX571" i="77"/>
  <c r="BA571" i="77"/>
  <c r="AY571" i="77"/>
  <c r="BA566" i="77"/>
  <c r="AY566" i="77"/>
  <c r="AX566" i="77"/>
  <c r="BA565" i="77"/>
  <c r="AY565" i="77"/>
  <c r="AX565" i="77"/>
  <c r="AX564" i="77"/>
  <c r="BA564" i="77"/>
  <c r="AY564" i="77"/>
  <c r="AX589" i="77"/>
  <c r="BA589" i="77"/>
  <c r="AY589" i="77"/>
  <c r="AY590" i="77"/>
  <c r="AX590" i="77"/>
  <c r="BA590" i="77"/>
  <c r="BA583" i="77"/>
  <c r="AD583" i="77"/>
  <c r="AF583" i="77" s="1"/>
  <c r="AE583" i="77" s="1"/>
  <c r="AX583" i="77"/>
  <c r="AY583" i="77"/>
  <c r="AY578" i="77"/>
  <c r="BA578" i="77"/>
  <c r="AX578" i="77"/>
  <c r="BA577" i="77"/>
  <c r="AX577" i="77"/>
  <c r="AY577" i="77"/>
  <c r="AX575" i="77"/>
  <c r="BA575" i="77"/>
  <c r="AY575" i="77"/>
  <c r="AX567" i="77"/>
  <c r="AY567" i="77"/>
  <c r="BA567" i="77"/>
  <c r="AX562" i="77"/>
  <c r="AY562" i="77"/>
  <c r="BA562" i="77"/>
  <c r="BA561" i="77"/>
  <c r="AX561" i="77"/>
  <c r="AY561" i="77"/>
  <c r="AX560" i="77"/>
  <c r="AY560" i="77"/>
  <c r="BA560" i="77"/>
  <c r="AX592" i="77"/>
  <c r="AY592" i="77"/>
  <c r="BA592" i="77"/>
  <c r="BA595" i="77"/>
  <c r="AY595" i="77"/>
  <c r="AX595" i="77"/>
  <c r="AX585" i="77"/>
  <c r="AD585" i="77"/>
  <c r="AF585" i="77" s="1"/>
  <c r="AE585" i="77" s="1"/>
  <c r="AM585" i="77" s="1"/>
  <c r="BG585" i="77" s="1"/>
  <c r="BH585" i="77" s="1"/>
  <c r="BA585" i="77"/>
  <c r="AY585" i="77"/>
  <c r="AY602" i="77"/>
  <c r="AX602" i="77"/>
  <c r="BA602" i="77"/>
  <c r="BA192" i="77"/>
  <c r="AY192" i="77"/>
  <c r="AX192" i="77"/>
  <c r="AX156" i="77"/>
  <c r="BA156" i="77"/>
  <c r="AY156" i="77"/>
  <c r="AX190" i="77"/>
  <c r="BA190" i="77"/>
  <c r="AY190" i="77"/>
  <c r="BA162" i="77"/>
  <c r="AX162" i="77"/>
  <c r="AY162" i="77"/>
  <c r="AD151" i="77"/>
  <c r="AF151" i="77" s="1"/>
  <c r="AE151" i="77" s="1"/>
  <c r="BA151" i="77"/>
  <c r="AY151" i="77"/>
  <c r="AX151" i="77"/>
  <c r="AY176" i="77"/>
  <c r="BA176" i="77"/>
  <c r="AX176" i="77"/>
  <c r="AY202" i="77"/>
  <c r="AX202" i="77"/>
  <c r="BA202" i="77"/>
  <c r="AD327" i="77"/>
  <c r="AF327" i="77" s="1"/>
  <c r="AE327" i="77" s="1"/>
  <c r="AX327" i="77"/>
  <c r="BA327" i="77"/>
  <c r="AY327" i="77"/>
  <c r="AX301" i="77"/>
  <c r="BA301" i="77"/>
  <c r="AY301" i="77"/>
  <c r="AL264" i="77"/>
  <c r="AR264" i="77" s="1"/>
  <c r="AX264" i="77"/>
  <c r="BA264" i="77"/>
  <c r="AY264" i="77"/>
  <c r="AY273" i="77"/>
  <c r="BA273" i="77"/>
  <c r="AX273" i="77"/>
  <c r="AY295" i="77"/>
  <c r="BA295" i="77"/>
  <c r="AX295" i="77"/>
  <c r="AL307" i="77"/>
  <c r="AR307" i="77" s="1"/>
  <c r="AY307" i="77"/>
  <c r="AX307" i="77"/>
  <c r="BA307" i="77"/>
  <c r="AL326" i="77"/>
  <c r="AR326" i="77" s="1"/>
  <c r="AY326" i="77"/>
  <c r="AX326" i="77"/>
  <c r="BA326" i="77"/>
  <c r="AY270" i="77"/>
  <c r="AX270" i="77"/>
  <c r="BA270" i="77"/>
  <c r="BB268" i="77"/>
  <c r="BA268" i="77"/>
  <c r="AX268" i="77"/>
  <c r="AY268" i="77"/>
  <c r="AY316" i="77"/>
  <c r="BA316" i="77"/>
  <c r="AD316" i="77"/>
  <c r="AF316" i="77" s="1"/>
  <c r="AE316" i="77" s="1"/>
  <c r="AM316" i="77" s="1"/>
  <c r="AX316" i="77"/>
  <c r="AY261" i="77"/>
  <c r="AX261" i="77"/>
  <c r="BA261" i="77"/>
  <c r="AX339" i="77"/>
  <c r="AY339" i="77"/>
  <c r="BA339" i="77"/>
  <c r="BA433" i="77"/>
  <c r="AX433" i="77"/>
  <c r="AY433" i="77"/>
  <c r="AD419" i="77"/>
  <c r="AF419" i="77" s="1"/>
  <c r="AE419" i="77" s="1"/>
  <c r="AM419" i="77" s="1"/>
  <c r="BA419" i="77"/>
  <c r="AY419" i="77"/>
  <c r="AX419" i="77"/>
  <c r="AL413" i="77"/>
  <c r="AR413" i="77" s="1"/>
  <c r="BA413" i="77"/>
  <c r="AY413" i="77"/>
  <c r="AX413" i="77"/>
  <c r="BA358" i="77"/>
  <c r="AY358" i="77"/>
  <c r="AX358" i="77"/>
  <c r="AL382" i="77"/>
  <c r="AR382" i="77" s="1"/>
  <c r="AY382" i="77"/>
  <c r="BA382" i="77"/>
  <c r="AX382" i="77"/>
  <c r="AL410" i="77"/>
  <c r="AR410" i="77" s="1"/>
  <c r="AY410" i="77"/>
  <c r="BA410" i="77"/>
  <c r="AX410" i="77"/>
  <c r="AL491" i="77"/>
  <c r="AR491" i="77" s="1"/>
  <c r="AX491" i="77"/>
  <c r="BA491" i="77"/>
  <c r="AY491" i="77"/>
  <c r="AD449" i="77"/>
  <c r="AF449" i="77" s="1"/>
  <c r="AE449" i="77" s="1"/>
  <c r="AY449" i="77"/>
  <c r="AX449" i="77"/>
  <c r="BA449" i="77"/>
  <c r="AL448" i="77"/>
  <c r="AR448" i="77" s="1"/>
  <c r="AX448" i="77"/>
  <c r="AY448" i="77"/>
  <c r="BA448" i="77"/>
  <c r="AY443" i="77"/>
  <c r="BA443" i="77"/>
  <c r="AX443" i="77"/>
  <c r="AY451" i="77"/>
  <c r="AX451" i="77"/>
  <c r="AD451" i="77"/>
  <c r="AF451" i="77" s="1"/>
  <c r="AE451" i="77" s="1"/>
  <c r="BA451" i="77"/>
  <c r="AD475" i="77"/>
  <c r="AF475" i="77" s="1"/>
  <c r="AE475" i="77" s="1"/>
  <c r="AM475" i="77" s="1"/>
  <c r="AX475" i="77"/>
  <c r="BA475" i="77"/>
  <c r="AY475" i="77"/>
  <c r="AD461" i="77"/>
  <c r="AF461" i="77" s="1"/>
  <c r="AE461" i="77" s="1"/>
  <c r="AM461" i="77" s="1"/>
  <c r="AX461" i="77"/>
  <c r="BA461" i="77"/>
  <c r="AY461" i="77"/>
  <c r="AD463" i="77"/>
  <c r="AF463" i="77" s="1"/>
  <c r="AE463" i="77" s="1"/>
  <c r="AM463" i="77" s="1"/>
  <c r="BA463" i="77"/>
  <c r="AX463" i="77"/>
  <c r="AY463" i="77"/>
  <c r="AY457" i="77"/>
  <c r="BA457" i="77"/>
  <c r="AX457" i="77"/>
  <c r="BB489" i="77"/>
  <c r="AY489" i="77"/>
  <c r="BA489" i="77"/>
  <c r="AX489" i="77"/>
  <c r="BA490" i="77"/>
  <c r="AY490" i="77"/>
  <c r="AX490" i="77"/>
  <c r="BC490" i="77"/>
  <c r="AL466" i="77"/>
  <c r="AR466" i="77" s="1"/>
  <c r="BA466" i="77"/>
  <c r="AX466" i="77"/>
  <c r="AY466" i="77"/>
  <c r="AL474" i="77"/>
  <c r="AR474" i="77" s="1"/>
  <c r="BA474" i="77"/>
  <c r="AY474" i="77"/>
  <c r="AX474" i="77"/>
  <c r="BA487" i="77"/>
  <c r="AX487" i="77"/>
  <c r="AY487" i="77"/>
  <c r="BA213" i="77"/>
  <c r="AY213" i="77"/>
  <c r="AX213" i="77"/>
  <c r="AL247" i="77"/>
  <c r="AR247" i="77" s="1"/>
  <c r="AX247" i="77"/>
  <c r="BA247" i="77"/>
  <c r="AY247" i="77"/>
  <c r="AD240" i="77"/>
  <c r="AF240" i="77" s="1"/>
  <c r="AE240" i="77" s="1"/>
  <c r="AX240" i="77"/>
  <c r="BA240" i="77"/>
  <c r="AY240" i="77"/>
  <c r="AL220" i="77"/>
  <c r="BA220" i="77"/>
  <c r="AX220" i="77"/>
  <c r="AY220" i="77"/>
  <c r="AL230" i="77"/>
  <c r="AR230" i="77" s="1"/>
  <c r="BA230" i="77"/>
  <c r="AY230" i="77"/>
  <c r="AX230" i="77"/>
  <c r="AD248" i="77"/>
  <c r="AF248" i="77" s="1"/>
  <c r="AE248" i="77" s="1"/>
  <c r="AY248" i="77"/>
  <c r="AX248" i="77"/>
  <c r="BA248" i="77"/>
  <c r="AL216" i="77"/>
  <c r="AR216" i="77" s="1"/>
  <c r="AX216" i="77"/>
  <c r="AY216" i="77"/>
  <c r="BA216" i="77"/>
  <c r="AL245" i="77"/>
  <c r="AR245" i="77" s="1"/>
  <c r="AX245" i="77"/>
  <c r="AY245" i="77"/>
  <c r="BA245" i="77"/>
  <c r="BA233" i="77"/>
  <c r="AX233" i="77"/>
  <c r="AY233" i="77"/>
  <c r="AY212" i="77"/>
  <c r="BA212" i="77"/>
  <c r="AX212" i="77"/>
  <c r="AY229" i="77"/>
  <c r="AX229" i="77"/>
  <c r="BA229" i="77"/>
  <c r="AD536" i="77"/>
  <c r="AF536" i="77" s="1"/>
  <c r="AE536" i="77" s="1"/>
  <c r="AM536" i="77" s="1"/>
  <c r="AX536" i="77"/>
  <c r="AY536" i="77"/>
  <c r="BA536" i="77"/>
  <c r="AD530" i="77"/>
  <c r="AF530" i="77" s="1"/>
  <c r="AE530" i="77" s="1"/>
  <c r="AX530" i="77"/>
  <c r="AY530" i="77"/>
  <c r="BA530" i="77"/>
  <c r="AL532" i="77"/>
  <c r="AR532" i="77" s="1"/>
  <c r="BA532" i="77"/>
  <c r="AX532" i="77"/>
  <c r="AY532" i="77"/>
  <c r="AL526" i="77"/>
  <c r="AR526" i="77" s="1"/>
  <c r="AY526" i="77"/>
  <c r="BA526" i="77"/>
  <c r="AX526" i="77"/>
  <c r="AL517" i="77"/>
  <c r="AR517" i="77" s="1"/>
  <c r="AX517" i="77"/>
  <c r="AY517" i="77"/>
  <c r="BA517" i="77"/>
  <c r="AD527" i="77"/>
  <c r="AF527" i="77" s="1"/>
  <c r="AE527" i="77" s="1"/>
  <c r="AM527" i="77" s="1"/>
  <c r="BA527" i="77"/>
  <c r="AY527" i="77"/>
  <c r="AX527" i="77"/>
  <c r="AL535" i="77"/>
  <c r="AR535" i="77" s="1"/>
  <c r="BA535" i="77"/>
  <c r="AX535" i="77"/>
  <c r="AY535" i="77"/>
  <c r="AD543" i="77"/>
  <c r="AF543" i="77" s="1"/>
  <c r="AE543" i="77" s="1"/>
  <c r="AM543" i="77" s="1"/>
  <c r="BA543" i="77"/>
  <c r="AY543" i="77"/>
  <c r="AX543" i="77"/>
  <c r="BB554" i="77"/>
  <c r="BA554" i="77"/>
  <c r="AX554" i="77"/>
  <c r="AY554" i="77"/>
  <c r="AX108" i="77"/>
  <c r="AY108" i="77"/>
  <c r="BA108" i="77"/>
  <c r="AX50" i="77"/>
  <c r="AY50" i="77"/>
  <c r="BA50" i="77"/>
  <c r="AY120" i="77"/>
  <c r="BA120" i="77"/>
  <c r="AX120" i="77"/>
  <c r="AY140" i="77"/>
  <c r="AD140" i="77"/>
  <c r="AF140" i="77" s="1"/>
  <c r="AE140" i="77" s="1"/>
  <c r="AM140" i="77" s="1"/>
  <c r="BA140" i="77"/>
  <c r="AX140" i="77"/>
  <c r="AY203" i="77"/>
  <c r="AX203" i="77"/>
  <c r="BA203" i="77"/>
  <c r="AX173" i="77"/>
  <c r="BA173" i="77"/>
  <c r="AY173" i="77"/>
  <c r="AD207" i="77"/>
  <c r="AF207" i="77" s="1"/>
  <c r="AE207" i="77" s="1"/>
  <c r="AM207" i="77" s="1"/>
  <c r="AY207" i="77"/>
  <c r="BA207" i="77"/>
  <c r="AX207" i="77"/>
  <c r="AY179" i="77"/>
  <c r="BA179" i="77"/>
  <c r="AX179" i="77"/>
  <c r="AX196" i="77"/>
  <c r="AY196" i="77"/>
  <c r="BA196" i="77"/>
  <c r="AX168" i="77"/>
  <c r="AY168" i="77"/>
  <c r="BA168" i="77"/>
  <c r="AY150" i="77"/>
  <c r="BA150" i="77"/>
  <c r="AX150" i="77"/>
  <c r="AD150" i="77"/>
  <c r="AF150" i="77" s="1"/>
  <c r="AE150" i="77" s="1"/>
  <c r="BA325" i="77"/>
  <c r="AY325" i="77"/>
  <c r="AX325" i="77"/>
  <c r="AL318" i="77"/>
  <c r="AR318" i="77" s="1"/>
  <c r="AD318" i="77"/>
  <c r="AF318" i="77" s="1"/>
  <c r="AE318" i="77" s="1"/>
  <c r="AM318" i="77" s="1"/>
  <c r="BA318" i="77"/>
  <c r="AX318" i="77"/>
  <c r="AY318" i="77"/>
  <c r="AL286" i="77"/>
  <c r="AR286" i="77" s="1"/>
  <c r="AY286" i="77"/>
  <c r="AX286" i="77"/>
  <c r="BA286" i="77"/>
  <c r="AY284" i="77"/>
  <c r="BA284" i="77"/>
  <c r="AX284" i="77"/>
  <c r="AX315" i="77"/>
  <c r="AL315" i="77"/>
  <c r="AY315" i="77"/>
  <c r="BA315" i="77"/>
  <c r="AY276" i="77"/>
  <c r="BA276" i="77"/>
  <c r="AX276" i="77"/>
  <c r="AX337" i="77"/>
  <c r="AY337" i="77"/>
  <c r="BA337" i="77"/>
  <c r="AL362" i="77"/>
  <c r="AR362" i="77" s="1"/>
  <c r="AY362" i="77"/>
  <c r="AX362" i="77"/>
  <c r="BA362" i="77"/>
  <c r="BA378" i="77"/>
  <c r="AX378" i="77"/>
  <c r="AY378" i="77"/>
  <c r="AX388" i="77"/>
  <c r="AY388" i="77"/>
  <c r="BA388" i="77"/>
  <c r="AX396" i="77"/>
  <c r="BA396" i="77"/>
  <c r="AY396" i="77"/>
  <c r="AL418" i="77"/>
  <c r="AR418" i="77" s="1"/>
  <c r="AY418" i="77"/>
  <c r="AX418" i="77"/>
  <c r="BA418" i="77"/>
  <c r="AL426" i="77"/>
  <c r="AR426" i="77" s="1"/>
  <c r="BA426" i="77"/>
  <c r="AY426" i="77"/>
  <c r="AX426" i="77"/>
  <c r="AY434" i="77"/>
  <c r="BA434" i="77"/>
  <c r="AX434" i="77"/>
  <c r="BA354" i="77"/>
  <c r="AY354" i="77"/>
  <c r="AX354" i="77"/>
  <c r="BA376" i="77"/>
  <c r="AX376" i="77"/>
  <c r="AY376" i="77"/>
  <c r="AD342" i="77"/>
  <c r="AF342" i="77" s="1"/>
  <c r="AE342" i="77" s="1"/>
  <c r="AM342" i="77" s="1"/>
  <c r="BA342" i="77"/>
  <c r="AX342" i="77"/>
  <c r="AY342" i="77"/>
  <c r="AD350" i="77"/>
  <c r="AF350" i="77" s="1"/>
  <c r="AE350" i="77" s="1"/>
  <c r="AM350" i="77" s="1"/>
  <c r="AX350" i="77"/>
  <c r="BA350" i="77"/>
  <c r="AY350" i="77"/>
  <c r="AD361" i="77"/>
  <c r="AF361" i="77" s="1"/>
  <c r="AE361" i="77" s="1"/>
  <c r="AM361" i="77" s="1"/>
  <c r="AX361" i="77"/>
  <c r="AY361" i="77"/>
  <c r="BA361" i="77"/>
  <c r="AX363" i="77"/>
  <c r="AY363" i="77"/>
  <c r="BA363" i="77"/>
  <c r="AD371" i="77"/>
  <c r="AF371" i="77" s="1"/>
  <c r="AE371" i="77" s="1"/>
  <c r="AM371" i="77" s="1"/>
  <c r="BA371" i="77"/>
  <c r="AX371" i="77"/>
  <c r="AY371" i="77"/>
  <c r="AX379" i="77"/>
  <c r="BA379" i="77"/>
  <c r="AY379" i="77"/>
  <c r="AL387" i="77"/>
  <c r="AR387" i="77" s="1"/>
  <c r="AX387" i="77"/>
  <c r="BA387" i="77"/>
  <c r="AY387" i="77"/>
  <c r="AX395" i="77"/>
  <c r="BA395" i="77"/>
  <c r="AY395" i="77"/>
  <c r="AY353" i="77"/>
  <c r="AX353" i="77"/>
  <c r="BA353" i="77"/>
  <c r="BA504" i="77"/>
  <c r="AY504" i="77"/>
  <c r="AX504" i="77"/>
  <c r="AY508" i="77"/>
  <c r="BA508" i="77"/>
  <c r="AX508" i="77"/>
  <c r="AX143" i="77"/>
  <c r="AL143" i="77"/>
  <c r="BJ143" i="77" s="1"/>
  <c r="BK143" i="77" s="1"/>
  <c r="BA143" i="77"/>
  <c r="AY143" i="77"/>
  <c r="BA185" i="77"/>
  <c r="AX185" i="77"/>
  <c r="AY185" i="77"/>
  <c r="BA159" i="77"/>
  <c r="AY159" i="77"/>
  <c r="AX159" i="77"/>
  <c r="AL499" i="77"/>
  <c r="AR499" i="77" s="1"/>
  <c r="AY499" i="77"/>
  <c r="BA499" i="77"/>
  <c r="AX499" i="77"/>
  <c r="AY33" i="77"/>
  <c r="BA33" i="77"/>
  <c r="AX33" i="77"/>
  <c r="AY146" i="77"/>
  <c r="AD146" i="77"/>
  <c r="AF146" i="77" s="1"/>
  <c r="AE146" i="77" s="1"/>
  <c r="AM146" i="77" s="1"/>
  <c r="AX146" i="77"/>
  <c r="BA146" i="77"/>
  <c r="AX142" i="77"/>
  <c r="BA142" i="77"/>
  <c r="AY142" i="77"/>
  <c r="AD142" i="77"/>
  <c r="AF142" i="77" s="1"/>
  <c r="AE142" i="77" s="1"/>
  <c r="AM142" i="77" s="1"/>
  <c r="BA194" i="77"/>
  <c r="AX194" i="77"/>
  <c r="AY194" i="77"/>
  <c r="AX186" i="77"/>
  <c r="BA186" i="77"/>
  <c r="AY186" i="77"/>
  <c r="AL204" i="77"/>
  <c r="AR204" i="77" s="1"/>
  <c r="AX204" i="77"/>
  <c r="BA204" i="77"/>
  <c r="AY204" i="77"/>
  <c r="AY160" i="77"/>
  <c r="BA160" i="77"/>
  <c r="AX160" i="77"/>
  <c r="AY177" i="77"/>
  <c r="BA177" i="77"/>
  <c r="AX177" i="77"/>
  <c r="BA193" i="77"/>
  <c r="AX193" i="77"/>
  <c r="AY193" i="77"/>
  <c r="AL147" i="77"/>
  <c r="AX147" i="77"/>
  <c r="BA147" i="77"/>
  <c r="AY147" i="77"/>
  <c r="AL167" i="77"/>
  <c r="AR167" i="77" s="1"/>
  <c r="BA167" i="77"/>
  <c r="AY167" i="77"/>
  <c r="AX167" i="77"/>
  <c r="AX183" i="77"/>
  <c r="AY183" i="77"/>
  <c r="BA183" i="77"/>
  <c r="AX199" i="77"/>
  <c r="BA199" i="77"/>
  <c r="AY199" i="77"/>
  <c r="AD153" i="77"/>
  <c r="AF153" i="77" s="1"/>
  <c r="AE153" i="77" s="1"/>
  <c r="BA153" i="77"/>
  <c r="AY153" i="77"/>
  <c r="AX153" i="77"/>
  <c r="AY161" i="77"/>
  <c r="AX161" i="77"/>
  <c r="BA161" i="77"/>
  <c r="AX170" i="77"/>
  <c r="BA170" i="77"/>
  <c r="AY170" i="77"/>
  <c r="AL178" i="77"/>
  <c r="AR178" i="77" s="1"/>
  <c r="AY178" i="77"/>
  <c r="AX178" i="77"/>
  <c r="BA178" i="77"/>
  <c r="AY148" i="77"/>
  <c r="BA148" i="77"/>
  <c r="AX148" i="77"/>
  <c r="AD148" i="77"/>
  <c r="AF148" i="77" s="1"/>
  <c r="AE148" i="77" s="1"/>
  <c r="AY165" i="77"/>
  <c r="AX165" i="77"/>
  <c r="BA165" i="77"/>
  <c r="AL257" i="77"/>
  <c r="BA257" i="77"/>
  <c r="AX257" i="77"/>
  <c r="AY257" i="77"/>
  <c r="BA297" i="77"/>
  <c r="AY297" i="77"/>
  <c r="AX297" i="77"/>
  <c r="AY285" i="77"/>
  <c r="BA285" i="77"/>
  <c r="AX285" i="77"/>
  <c r="AD312" i="77"/>
  <c r="AF312" i="77" s="1"/>
  <c r="AE312" i="77" s="1"/>
  <c r="AM312" i="77" s="1"/>
  <c r="BA312" i="77"/>
  <c r="AY312" i="77"/>
  <c r="AX312" i="77"/>
  <c r="BA288" i="77"/>
  <c r="AY288" i="77"/>
  <c r="AX288" i="77"/>
  <c r="BA331" i="77"/>
  <c r="AY331" i="77"/>
  <c r="AX331" i="77"/>
  <c r="BA266" i="77"/>
  <c r="AY266" i="77"/>
  <c r="AX266" i="77"/>
  <c r="BA277" i="77"/>
  <c r="AY277" i="77"/>
  <c r="AX277" i="77"/>
  <c r="AX296" i="77"/>
  <c r="AY296" i="77"/>
  <c r="BA296" i="77"/>
  <c r="AL309" i="77"/>
  <c r="AX309" i="77"/>
  <c r="BA309" i="77"/>
  <c r="AY309" i="77"/>
  <c r="AD320" i="77"/>
  <c r="AF320" i="77" s="1"/>
  <c r="AE320" i="77" s="1"/>
  <c r="AM320" i="77" s="1"/>
  <c r="AX320" i="77"/>
  <c r="BA320" i="77"/>
  <c r="AY320" i="77"/>
  <c r="AY328" i="77"/>
  <c r="BA328" i="77"/>
  <c r="AX328" i="77"/>
  <c r="AL293" i="77"/>
  <c r="AR293" i="77" s="1"/>
  <c r="AY293" i="77"/>
  <c r="BA293" i="77"/>
  <c r="AX293" i="77"/>
  <c r="AY271" i="77"/>
  <c r="AX271" i="77"/>
  <c r="BA271" i="77"/>
  <c r="AX291" i="77"/>
  <c r="AY291" i="77"/>
  <c r="BA291" i="77"/>
  <c r="AD305" i="77"/>
  <c r="AF305" i="77" s="1"/>
  <c r="AE305" i="77" s="1"/>
  <c r="AM305" i="77" s="1"/>
  <c r="BA305" i="77"/>
  <c r="AY305" i="77"/>
  <c r="AX305" i="77"/>
  <c r="AY283" i="77"/>
  <c r="BA283" i="77"/>
  <c r="AX283" i="77"/>
  <c r="AY290" i="77"/>
  <c r="AX290" i="77"/>
  <c r="BA290" i="77"/>
  <c r="AX298" i="77"/>
  <c r="AY298" i="77"/>
  <c r="BA298" i="77"/>
  <c r="AY335" i="77"/>
  <c r="BA335" i="77"/>
  <c r="AX335" i="77"/>
  <c r="AY338" i="77"/>
  <c r="AX338" i="77"/>
  <c r="BA338" i="77"/>
  <c r="AX431" i="77"/>
  <c r="AY431" i="77"/>
  <c r="BA431" i="77"/>
  <c r="AY409" i="77"/>
  <c r="AX409" i="77"/>
  <c r="BA409" i="77"/>
  <c r="AY386" i="77"/>
  <c r="BA386" i="77"/>
  <c r="AX386" i="77"/>
  <c r="BA427" i="77"/>
  <c r="AY427" i="77"/>
  <c r="AX427" i="77"/>
  <c r="AD370" i="77"/>
  <c r="AF370" i="77" s="1"/>
  <c r="AE370" i="77" s="1"/>
  <c r="AM370" i="77" s="1"/>
  <c r="AY370" i="77"/>
  <c r="AX370" i="77"/>
  <c r="BA370" i="77"/>
  <c r="AL421" i="77"/>
  <c r="AX421" i="77"/>
  <c r="AY421" i="77"/>
  <c r="BA421" i="77"/>
  <c r="AD343" i="77"/>
  <c r="AF343" i="77" s="1"/>
  <c r="AE343" i="77" s="1"/>
  <c r="AM343" i="77" s="1"/>
  <c r="AX343" i="77"/>
  <c r="BA343" i="77"/>
  <c r="AY343" i="77"/>
  <c r="AD390" i="77"/>
  <c r="AF390" i="77" s="1"/>
  <c r="AE390" i="77" s="1"/>
  <c r="BA390" i="77"/>
  <c r="AY390" i="77"/>
  <c r="AX390" i="77"/>
  <c r="BA404" i="77"/>
  <c r="AY404" i="77"/>
  <c r="AX404" i="77"/>
  <c r="AD412" i="77"/>
  <c r="AF412" i="77" s="1"/>
  <c r="AE412" i="77" s="1"/>
  <c r="AM412" i="77" s="1"/>
  <c r="AX412" i="77"/>
  <c r="AY412" i="77"/>
  <c r="BA412" i="77"/>
  <c r="AD420" i="77"/>
  <c r="AF420" i="77" s="1"/>
  <c r="AE420" i="77" s="1"/>
  <c r="AM420" i="77" s="1"/>
  <c r="BA420" i="77"/>
  <c r="AY420" i="77"/>
  <c r="AX420" i="77"/>
  <c r="BA428" i="77"/>
  <c r="AX428" i="77"/>
  <c r="AY428" i="77"/>
  <c r="BA436" i="77"/>
  <c r="AY436" i="77"/>
  <c r="AX436" i="77"/>
  <c r="AL341" i="77"/>
  <c r="AR341" i="77" s="1"/>
  <c r="AY341" i="77"/>
  <c r="AX341" i="77"/>
  <c r="BA341" i="77"/>
  <c r="AD360" i="77"/>
  <c r="AF360" i="77" s="1"/>
  <c r="AE360" i="77" s="1"/>
  <c r="AM360" i="77" s="1"/>
  <c r="AX360" i="77"/>
  <c r="AY360" i="77"/>
  <c r="BA360" i="77"/>
  <c r="AY384" i="77"/>
  <c r="BA384" i="77"/>
  <c r="AX384" i="77"/>
  <c r="AD344" i="77"/>
  <c r="AF344" i="77" s="1"/>
  <c r="AE344" i="77" s="1"/>
  <c r="AM344" i="77" s="1"/>
  <c r="BA344" i="77"/>
  <c r="AX344" i="77"/>
  <c r="AY344" i="77"/>
  <c r="AD352" i="77"/>
  <c r="AF352" i="77" s="1"/>
  <c r="AE352" i="77" s="1"/>
  <c r="AM352" i="77" s="1"/>
  <c r="AY352" i="77"/>
  <c r="BA352" i="77"/>
  <c r="AX352" i="77"/>
  <c r="AY365" i="77"/>
  <c r="BA365" i="77"/>
  <c r="AX365" i="77"/>
  <c r="BA373" i="77"/>
  <c r="AX373" i="77"/>
  <c r="AY373" i="77"/>
  <c r="BA381" i="77"/>
  <c r="AY381" i="77"/>
  <c r="AX381" i="77"/>
  <c r="AL389" i="77"/>
  <c r="AR389" i="77" s="1"/>
  <c r="AX389" i="77"/>
  <c r="BA389" i="77"/>
  <c r="AY389" i="77"/>
  <c r="AL397" i="77"/>
  <c r="AR397" i="77" s="1"/>
  <c r="AX397" i="77"/>
  <c r="BA397" i="77"/>
  <c r="AY397" i="77"/>
  <c r="AY355" i="77"/>
  <c r="BA355" i="77"/>
  <c r="AX355" i="77"/>
  <c r="BA513" i="77"/>
  <c r="AX513" i="77"/>
  <c r="AY513" i="77"/>
  <c r="AD492" i="77"/>
  <c r="AF492" i="77" s="1"/>
  <c r="AE492" i="77" s="1"/>
  <c r="BA492" i="77"/>
  <c r="AX492" i="77"/>
  <c r="AY492" i="77"/>
  <c r="AD494" i="77"/>
  <c r="AF494" i="77" s="1"/>
  <c r="AE494" i="77" s="1"/>
  <c r="AX494" i="77"/>
  <c r="BA494" i="77"/>
  <c r="AY494" i="77"/>
  <c r="AL493" i="77"/>
  <c r="AX493" i="77"/>
  <c r="AY493" i="77"/>
  <c r="BA493" i="77"/>
  <c r="AL501" i="77"/>
  <c r="AY501" i="77"/>
  <c r="AX501" i="77"/>
  <c r="BA501" i="77"/>
  <c r="BB510" i="77"/>
  <c r="AY510" i="77"/>
  <c r="AX510" i="77"/>
  <c r="BA510" i="77"/>
  <c r="AY507" i="77"/>
  <c r="BA507" i="77"/>
  <c r="AX507" i="77"/>
  <c r="BI507" i="77" s="1"/>
  <c r="AD455" i="77"/>
  <c r="AF455" i="77" s="1"/>
  <c r="AE455" i="77" s="1"/>
  <c r="AY455" i="77"/>
  <c r="BA455" i="77"/>
  <c r="AX455" i="77"/>
  <c r="AL454" i="77"/>
  <c r="AR454" i="77" s="1"/>
  <c r="AX454" i="77"/>
  <c r="BA454" i="77"/>
  <c r="AY454" i="77"/>
  <c r="AY447" i="77"/>
  <c r="BA447" i="77"/>
  <c r="AX447" i="77"/>
  <c r="AY453" i="77"/>
  <c r="BA453" i="77"/>
  <c r="AD453" i="77"/>
  <c r="AF453" i="77" s="1"/>
  <c r="AE453" i="77" s="1"/>
  <c r="AX453" i="77"/>
  <c r="AD467" i="77"/>
  <c r="AF467" i="77" s="1"/>
  <c r="AE467" i="77" s="1"/>
  <c r="AM467" i="77" s="1"/>
  <c r="AX467" i="77"/>
  <c r="AY467" i="77"/>
  <c r="BA467" i="77"/>
  <c r="AD469" i="77"/>
  <c r="AF469" i="77" s="1"/>
  <c r="AE469" i="77" s="1"/>
  <c r="AM469" i="77" s="1"/>
  <c r="AX469" i="77"/>
  <c r="BA469" i="77"/>
  <c r="AY469" i="77"/>
  <c r="AD471" i="77"/>
  <c r="AF471" i="77" s="1"/>
  <c r="AE471" i="77" s="1"/>
  <c r="AM471" i="77" s="1"/>
  <c r="BA471" i="77"/>
  <c r="AX471" i="77"/>
  <c r="AY471" i="77"/>
  <c r="AD465" i="77"/>
  <c r="AF465" i="77" s="1"/>
  <c r="AE465" i="77" s="1"/>
  <c r="AM465" i="77" s="1"/>
  <c r="AY465" i="77"/>
  <c r="BA465" i="77"/>
  <c r="AX465" i="77"/>
  <c r="AX478" i="77"/>
  <c r="BA478" i="77"/>
  <c r="AY478" i="77"/>
  <c r="AL460" i="77"/>
  <c r="BA460" i="77"/>
  <c r="AX460" i="77"/>
  <c r="AY460" i="77"/>
  <c r="AL468" i="77"/>
  <c r="AR468" i="77" s="1"/>
  <c r="BA468" i="77"/>
  <c r="AX468" i="77"/>
  <c r="AY468" i="77"/>
  <c r="BA476" i="77"/>
  <c r="AX476" i="77"/>
  <c r="AY476" i="77"/>
  <c r="AL456" i="77"/>
  <c r="AR456" i="77" s="1"/>
  <c r="AY456" i="77"/>
  <c r="BA456" i="77"/>
  <c r="AX456" i="77"/>
  <c r="AY253" i="77"/>
  <c r="AX253" i="77"/>
  <c r="BA253" i="77"/>
  <c r="AD215" i="77"/>
  <c r="AF215" i="77" s="1"/>
  <c r="AE215" i="77" s="1"/>
  <c r="AM215" i="77" s="1"/>
  <c r="BG215" i="77" s="1"/>
  <c r="BH215" i="77" s="1"/>
  <c r="BA215" i="77"/>
  <c r="AY215" i="77"/>
  <c r="AX215" i="77"/>
  <c r="BA211" i="77"/>
  <c r="AY211" i="77"/>
  <c r="AX211" i="77"/>
  <c r="BA251" i="77"/>
  <c r="AX251" i="77"/>
  <c r="AY251" i="77"/>
  <c r="AY225" i="77"/>
  <c r="BA225" i="77"/>
  <c r="AX225" i="77"/>
  <c r="AD221" i="77"/>
  <c r="AF221" i="77" s="1"/>
  <c r="AE221" i="77" s="1"/>
  <c r="AM221" i="77" s="1"/>
  <c r="BA221" i="77"/>
  <c r="AY221" i="77"/>
  <c r="AX221" i="77"/>
  <c r="AY231" i="77"/>
  <c r="BA231" i="77"/>
  <c r="AX231" i="77"/>
  <c r="AY250" i="77"/>
  <c r="BA250" i="77"/>
  <c r="AX250" i="77"/>
  <c r="AD219" i="77"/>
  <c r="AF219" i="77" s="1"/>
  <c r="AE219" i="77" s="1"/>
  <c r="AY219" i="77"/>
  <c r="AX219" i="77"/>
  <c r="BA219" i="77"/>
  <c r="AX254" i="77"/>
  <c r="AY254" i="77"/>
  <c r="BA254" i="77"/>
  <c r="AL237" i="77"/>
  <c r="AR237" i="77" s="1"/>
  <c r="AX237" i="77"/>
  <c r="AY237" i="77"/>
  <c r="BA237" i="77"/>
  <c r="AY228" i="77"/>
  <c r="BA228" i="77"/>
  <c r="AX228" i="77"/>
  <c r="AY232" i="77"/>
  <c r="AX232" i="77"/>
  <c r="BA232" i="77"/>
  <c r="AD528" i="77"/>
  <c r="AF528" i="77" s="1"/>
  <c r="AE528" i="77" s="1"/>
  <c r="AM528" i="77" s="1"/>
  <c r="AX528" i="77"/>
  <c r="BA528" i="77"/>
  <c r="AY528" i="77"/>
  <c r="AL520" i="77"/>
  <c r="AR520" i="77" s="1"/>
  <c r="AX520" i="77"/>
  <c r="AY520" i="77"/>
  <c r="BA520" i="77"/>
  <c r="AL538" i="77"/>
  <c r="AR538" i="77" s="1"/>
  <c r="AX538" i="77"/>
  <c r="AY538" i="77"/>
  <c r="BA538" i="77"/>
  <c r="AD540" i="77"/>
  <c r="AF540" i="77" s="1"/>
  <c r="AE540" i="77" s="1"/>
  <c r="BA540" i="77"/>
  <c r="AY540" i="77"/>
  <c r="AX540" i="77"/>
  <c r="BC555" i="77"/>
  <c r="BA555" i="77"/>
  <c r="AX555" i="77"/>
  <c r="AY555" i="77"/>
  <c r="AD534" i="77"/>
  <c r="AF534" i="77" s="1"/>
  <c r="AE534" i="77" s="1"/>
  <c r="AM534" i="77" s="1"/>
  <c r="AY534" i="77"/>
  <c r="BA534" i="77"/>
  <c r="AX534" i="77"/>
  <c r="BB553" i="77"/>
  <c r="AY553" i="77"/>
  <c r="BA553" i="77"/>
  <c r="AX553" i="77"/>
  <c r="AD521" i="77"/>
  <c r="AF521" i="77" s="1"/>
  <c r="AE521" i="77" s="1"/>
  <c r="BA521" i="77"/>
  <c r="AX521" i="77"/>
  <c r="AY521" i="77"/>
  <c r="AL529" i="77"/>
  <c r="AR529" i="77" s="1"/>
  <c r="BA529" i="77"/>
  <c r="AX529" i="77"/>
  <c r="AY529" i="77"/>
  <c r="AD537" i="77"/>
  <c r="AF537" i="77" s="1"/>
  <c r="AE537" i="77" s="1"/>
  <c r="AM537" i="77" s="1"/>
  <c r="BA537" i="77"/>
  <c r="AX537" i="77"/>
  <c r="AY537" i="77"/>
  <c r="AD545" i="77"/>
  <c r="AF545" i="77" s="1"/>
  <c r="AE545" i="77" s="1"/>
  <c r="AM545" i="77" s="1"/>
  <c r="BA545" i="77"/>
  <c r="AX545" i="77"/>
  <c r="AY545" i="77"/>
  <c r="BA549" i="77"/>
  <c r="AX549" i="77"/>
  <c r="AY549" i="77"/>
  <c r="AL514" i="77"/>
  <c r="AY514" i="77"/>
  <c r="AX514" i="77"/>
  <c r="BA514" i="77"/>
  <c r="AY101" i="77"/>
  <c r="AX101" i="77"/>
  <c r="BA101" i="77"/>
  <c r="AY109" i="77"/>
  <c r="BA109" i="77"/>
  <c r="AX109" i="77"/>
  <c r="AY51" i="77"/>
  <c r="AX51" i="77"/>
  <c r="BA51" i="77"/>
  <c r="AY44" i="77"/>
  <c r="AX44" i="77"/>
  <c r="BA44" i="77"/>
  <c r="AX32" i="77"/>
  <c r="BA32" i="77"/>
  <c r="AY32" i="77"/>
  <c r="AY141" i="77"/>
  <c r="BA141" i="77"/>
  <c r="AD141" i="77"/>
  <c r="AF141" i="77" s="1"/>
  <c r="AE141" i="77" s="1"/>
  <c r="AM141" i="77" s="1"/>
  <c r="AX141" i="77"/>
  <c r="AY144" i="77"/>
  <c r="AD144" i="77"/>
  <c r="AF144" i="77" s="1"/>
  <c r="AE144" i="77" s="1"/>
  <c r="AM144" i="77" s="1"/>
  <c r="BA144" i="77"/>
  <c r="AX144" i="77"/>
  <c r="AX195" i="77"/>
  <c r="AY195" i="77"/>
  <c r="BA195" i="77"/>
  <c r="BA189" i="77"/>
  <c r="AY189" i="77"/>
  <c r="AX189" i="77"/>
  <c r="AD206" i="77"/>
  <c r="AF206" i="77" s="1"/>
  <c r="AE206" i="77" s="1"/>
  <c r="AM206" i="77" s="1"/>
  <c r="BA206" i="77"/>
  <c r="AX206" i="77"/>
  <c r="AY206" i="77"/>
  <c r="AX164" i="77"/>
  <c r="AY164" i="77"/>
  <c r="BA164" i="77"/>
  <c r="BA181" i="77"/>
  <c r="AX181" i="77"/>
  <c r="AY181" i="77"/>
  <c r="BA198" i="77"/>
  <c r="AY198" i="77"/>
  <c r="AX198" i="77"/>
  <c r="AL154" i="77"/>
  <c r="AR154" i="77" s="1"/>
  <c r="AY154" i="77"/>
  <c r="BA154" i="77"/>
  <c r="AX154" i="77"/>
  <c r="AX171" i="77"/>
  <c r="BA171" i="77"/>
  <c r="AY171" i="77"/>
  <c r="AY187" i="77"/>
  <c r="BA187" i="77"/>
  <c r="AX187" i="77"/>
  <c r="AD205" i="77"/>
  <c r="AF205" i="77" s="1"/>
  <c r="AE205" i="77" s="1"/>
  <c r="AM205" i="77" s="1"/>
  <c r="BA205" i="77"/>
  <c r="AY205" i="77"/>
  <c r="AX205" i="77"/>
  <c r="AX155" i="77"/>
  <c r="AY155" i="77"/>
  <c r="BA155" i="77"/>
  <c r="AY163" i="77"/>
  <c r="AX163" i="77"/>
  <c r="BA163" i="77"/>
  <c r="BA172" i="77"/>
  <c r="AX172" i="77"/>
  <c r="AY172" i="77"/>
  <c r="BA180" i="77"/>
  <c r="AY180" i="77"/>
  <c r="AX180" i="77"/>
  <c r="AY149" i="77"/>
  <c r="AD149" i="77"/>
  <c r="AF149" i="77" s="1"/>
  <c r="AE149" i="77" s="1"/>
  <c r="BA149" i="77"/>
  <c r="AX149" i="77"/>
  <c r="AL319" i="77"/>
  <c r="AX319" i="77"/>
  <c r="AY319" i="77"/>
  <c r="BA319" i="77"/>
  <c r="AD310" i="77"/>
  <c r="AF310" i="77" s="1"/>
  <c r="AE310" i="77" s="1"/>
  <c r="AX310" i="77"/>
  <c r="BA310" i="77"/>
  <c r="AY310" i="77"/>
  <c r="AY292" i="77"/>
  <c r="BA292" i="77"/>
  <c r="AX292" i="77"/>
  <c r="AY323" i="77"/>
  <c r="BA323" i="77"/>
  <c r="AX323" i="77"/>
  <c r="AL321" i="77"/>
  <c r="AR321" i="77" s="1"/>
  <c r="AX321" i="77"/>
  <c r="BA321" i="77"/>
  <c r="AY321" i="77"/>
  <c r="BA303" i="77"/>
  <c r="AY303" i="77"/>
  <c r="AX303" i="77"/>
  <c r="BC269" i="77"/>
  <c r="BA269" i="77"/>
  <c r="AX269" i="77"/>
  <c r="AY269" i="77"/>
  <c r="BA259" i="77"/>
  <c r="AY259" i="77"/>
  <c r="AX259" i="77"/>
  <c r="AY278" i="77"/>
  <c r="BA278" i="77"/>
  <c r="AX278" i="77"/>
  <c r="AL300" i="77"/>
  <c r="AR300" i="77" s="1"/>
  <c r="BA300" i="77"/>
  <c r="AX300" i="77"/>
  <c r="AY300" i="77"/>
  <c r="AL311" i="77"/>
  <c r="AR311" i="77" s="1"/>
  <c r="BA311" i="77"/>
  <c r="AY311" i="77"/>
  <c r="AX311" i="77"/>
  <c r="AX322" i="77"/>
  <c r="AY322" i="77"/>
  <c r="BA322" i="77"/>
  <c r="AX263" i="77"/>
  <c r="BA263" i="77"/>
  <c r="AY263" i="77"/>
  <c r="AX274" i="77"/>
  <c r="BA274" i="77"/>
  <c r="AY274" i="77"/>
  <c r="BA258" i="77"/>
  <c r="AY258" i="77"/>
  <c r="AX258" i="77"/>
  <c r="AL272" i="77"/>
  <c r="AR272" i="77" s="1"/>
  <c r="BA272" i="77"/>
  <c r="AY272" i="77"/>
  <c r="AX272" i="77"/>
  <c r="BA294" i="77"/>
  <c r="AY294" i="77"/>
  <c r="AX294" i="77"/>
  <c r="AY304" i="77"/>
  <c r="BA304" i="77"/>
  <c r="AL304" i="77"/>
  <c r="BG304" i="77" s="1"/>
  <c r="BH304" i="77" s="1"/>
  <c r="AX304" i="77"/>
  <c r="AX289" i="77"/>
  <c r="AY289" i="77"/>
  <c r="BA289" i="77"/>
  <c r="AX282" i="77"/>
  <c r="BA282" i="77"/>
  <c r="AY282" i="77"/>
  <c r="AY299" i="77"/>
  <c r="AX299" i="77"/>
  <c r="BA299" i="77"/>
  <c r="AL334" i="77"/>
  <c r="BA334" i="77"/>
  <c r="AY334" i="77"/>
  <c r="AX334" i="77"/>
  <c r="AX423" i="77"/>
  <c r="AY423" i="77"/>
  <c r="BA423" i="77"/>
  <c r="AY407" i="77"/>
  <c r="AX407" i="77"/>
  <c r="BA407" i="77"/>
  <c r="AX417" i="77"/>
  <c r="AY417" i="77"/>
  <c r="BA417" i="77"/>
  <c r="BC439" i="77"/>
  <c r="BA439" i="77"/>
  <c r="AX439" i="77"/>
  <c r="AY439" i="77"/>
  <c r="AL403" i="77"/>
  <c r="AR403" i="77" s="1"/>
  <c r="AX403" i="77"/>
  <c r="BA403" i="77"/>
  <c r="AY403" i="77"/>
  <c r="AD435" i="77"/>
  <c r="AF435" i="77" s="1"/>
  <c r="AE435" i="77" s="1"/>
  <c r="BD435" i="77" s="1"/>
  <c r="AY435" i="77"/>
  <c r="BA435" i="77"/>
  <c r="AX435" i="77"/>
  <c r="AD402" i="77"/>
  <c r="AF402" i="77" s="1"/>
  <c r="AE402" i="77" s="1"/>
  <c r="AX402" i="77"/>
  <c r="AY402" i="77"/>
  <c r="BA402" i="77"/>
  <c r="AL429" i="77"/>
  <c r="AR429" i="77" s="1"/>
  <c r="BA429" i="77"/>
  <c r="AY429" i="77"/>
  <c r="AX429" i="77"/>
  <c r="AD347" i="77"/>
  <c r="AF347" i="77" s="1"/>
  <c r="AE347" i="77" s="1"/>
  <c r="AM347" i="77" s="1"/>
  <c r="BA347" i="77"/>
  <c r="AX347" i="77"/>
  <c r="AY347" i="77"/>
  <c r="AL372" i="77"/>
  <c r="AR372" i="77" s="1"/>
  <c r="AX372" i="77"/>
  <c r="BA372" i="77"/>
  <c r="AY372" i="77"/>
  <c r="BA366" i="77"/>
  <c r="AX366" i="77"/>
  <c r="AY366" i="77"/>
  <c r="AD398" i="77"/>
  <c r="AF398" i="77" s="1"/>
  <c r="AE398" i="77" s="1"/>
  <c r="AM398" i="77" s="1"/>
  <c r="BA398" i="77"/>
  <c r="AY398" i="77"/>
  <c r="AX398" i="77"/>
  <c r="AY406" i="77"/>
  <c r="AX406" i="77"/>
  <c r="BA406" i="77"/>
  <c r="AX414" i="77"/>
  <c r="AY414" i="77"/>
  <c r="BA414" i="77"/>
  <c r="AY422" i="77"/>
  <c r="AX422" i="77"/>
  <c r="BA422" i="77"/>
  <c r="AY430" i="77"/>
  <c r="AX430" i="77"/>
  <c r="BA430" i="77"/>
  <c r="BB438" i="77"/>
  <c r="BA438" i="77"/>
  <c r="AX438" i="77"/>
  <c r="AY438" i="77"/>
  <c r="AL345" i="77"/>
  <c r="AR345" i="77" s="1"/>
  <c r="BA345" i="77"/>
  <c r="AY345" i="77"/>
  <c r="AX345" i="77"/>
  <c r="AY392" i="77"/>
  <c r="BA392" i="77"/>
  <c r="AX392" i="77"/>
  <c r="AD346" i="77"/>
  <c r="AF346" i="77" s="1"/>
  <c r="AE346" i="77" s="1"/>
  <c r="AM346" i="77" s="1"/>
  <c r="AY346" i="77"/>
  <c r="AX346" i="77"/>
  <c r="BA346" i="77"/>
  <c r="BA356" i="77"/>
  <c r="AY356" i="77"/>
  <c r="AX356" i="77"/>
  <c r="BA367" i="77"/>
  <c r="AY367" i="77"/>
  <c r="AX367" i="77"/>
  <c r="AY375" i="77"/>
  <c r="AX375" i="77"/>
  <c r="BA375" i="77"/>
  <c r="BA383" i="77"/>
  <c r="AX383" i="77"/>
  <c r="AY383" i="77"/>
  <c r="AL391" i="77"/>
  <c r="AR391" i="77" s="1"/>
  <c r="BA391" i="77"/>
  <c r="AY391" i="77"/>
  <c r="AX391" i="77"/>
  <c r="AL399" i="77"/>
  <c r="AX399" i="77"/>
  <c r="BA399" i="77"/>
  <c r="AY399" i="77"/>
  <c r="AY357" i="77"/>
  <c r="BA357" i="77"/>
  <c r="AX357" i="77"/>
  <c r="AD498" i="77"/>
  <c r="AF498" i="77" s="1"/>
  <c r="AE498" i="77" s="1"/>
  <c r="AM498" i="77" s="1"/>
  <c r="BA498" i="77"/>
  <c r="AX498" i="77"/>
  <c r="AY498" i="77"/>
  <c r="AY500" i="77"/>
  <c r="AX500" i="77"/>
  <c r="BA500" i="77"/>
  <c r="AX502" i="77"/>
  <c r="AY502" i="77"/>
  <c r="BA502" i="77"/>
  <c r="AL495" i="77"/>
  <c r="AR495" i="77" s="1"/>
  <c r="BA495" i="77"/>
  <c r="AX495" i="77"/>
  <c r="AY495" i="77"/>
  <c r="AL503" i="77"/>
  <c r="AR503" i="77" s="1"/>
  <c r="AY503" i="77"/>
  <c r="BA503" i="77"/>
  <c r="AX503" i="77"/>
  <c r="AY512" i="77"/>
  <c r="BA512" i="77"/>
  <c r="AX512" i="77"/>
  <c r="AY333" i="77"/>
  <c r="AX333" i="77"/>
  <c r="BA333" i="77"/>
  <c r="AD441" i="77"/>
  <c r="AF441" i="77" s="1"/>
  <c r="AE441" i="77" s="1"/>
  <c r="AM441" i="77" s="1"/>
  <c r="AX441" i="77"/>
  <c r="BA441" i="77"/>
  <c r="AY441" i="77"/>
  <c r="BA446" i="77"/>
  <c r="AX446" i="77"/>
  <c r="AY446" i="77"/>
  <c r="BA442" i="77"/>
  <c r="AY442" i="77"/>
  <c r="AL442" i="77"/>
  <c r="AX442" i="77"/>
  <c r="AX450" i="77"/>
  <c r="BA450" i="77"/>
  <c r="AY450" i="77"/>
  <c r="AL450" i="77"/>
  <c r="AR450" i="77" s="1"/>
  <c r="BA484" i="77"/>
  <c r="AX484" i="77"/>
  <c r="AY484" i="77"/>
  <c r="AL477" i="77"/>
  <c r="AX477" i="77"/>
  <c r="BA477" i="77"/>
  <c r="AY477" i="77"/>
  <c r="AD480" i="77"/>
  <c r="AF480" i="77" s="1"/>
  <c r="AE480" i="77" s="1"/>
  <c r="AM480" i="77" s="1"/>
  <c r="AY480" i="77"/>
  <c r="BA480" i="77"/>
  <c r="AX480" i="77"/>
  <c r="AD473" i="77"/>
  <c r="AF473" i="77" s="1"/>
  <c r="AE473" i="77" s="1"/>
  <c r="AM473" i="77" s="1"/>
  <c r="AY473" i="77"/>
  <c r="BA473" i="77"/>
  <c r="AX473" i="77"/>
  <c r="AD482" i="77"/>
  <c r="AF482" i="77" s="1"/>
  <c r="AE482" i="77" s="1"/>
  <c r="AM482" i="77" s="1"/>
  <c r="BA482" i="77"/>
  <c r="AX482" i="77"/>
  <c r="AY482" i="77"/>
  <c r="AL462" i="77"/>
  <c r="AR462" i="77" s="1"/>
  <c r="AX462" i="77"/>
  <c r="BA462" i="77"/>
  <c r="AY462" i="77"/>
  <c r="AL470" i="77"/>
  <c r="AX470" i="77"/>
  <c r="BA470" i="77"/>
  <c r="AY470" i="77"/>
  <c r="AL479" i="77"/>
  <c r="BA479" i="77"/>
  <c r="AX479" i="77"/>
  <c r="AY479" i="77"/>
  <c r="AL458" i="77"/>
  <c r="BA458" i="77"/>
  <c r="AY458" i="77"/>
  <c r="AX458" i="77"/>
  <c r="AD238" i="77"/>
  <c r="AF238" i="77" s="1"/>
  <c r="AE238" i="77" s="1"/>
  <c r="BA238" i="77"/>
  <c r="AY238" i="77"/>
  <c r="AX238" i="77"/>
  <c r="AL241" i="77"/>
  <c r="AR241" i="77" s="1"/>
  <c r="BA241" i="77"/>
  <c r="AY241" i="77"/>
  <c r="AX241" i="77"/>
  <c r="AL234" i="77"/>
  <c r="AY234" i="77"/>
  <c r="AX234" i="77"/>
  <c r="BA234" i="77"/>
  <c r="AY252" i="77"/>
  <c r="AX252" i="77"/>
  <c r="BA252" i="77"/>
  <c r="AY236" i="77"/>
  <c r="AX236" i="77"/>
  <c r="BA236" i="77"/>
  <c r="BA256" i="77"/>
  <c r="AY256" i="77"/>
  <c r="AX256" i="77"/>
  <c r="AL214" i="77"/>
  <c r="BA214" i="77"/>
  <c r="AX214" i="77"/>
  <c r="AY214" i="77"/>
  <c r="BA224" i="77"/>
  <c r="AX224" i="77"/>
  <c r="AY224" i="77"/>
  <c r="AL243" i="77"/>
  <c r="AY243" i="77"/>
  <c r="AX243" i="77"/>
  <c r="BA243" i="77"/>
  <c r="AY235" i="77"/>
  <c r="BA235" i="77"/>
  <c r="AX235" i="77"/>
  <c r="BA226" i="77"/>
  <c r="AX226" i="77"/>
  <c r="AY226" i="77"/>
  <c r="AL226" i="77"/>
  <c r="BG226" i="77" s="1"/>
  <c r="BH226" i="77" s="1"/>
  <c r="AL544" i="77"/>
  <c r="AX544" i="77"/>
  <c r="AY544" i="77"/>
  <c r="BA544" i="77"/>
  <c r="AD546" i="77"/>
  <c r="AF546" i="77" s="1"/>
  <c r="AE546" i="77" s="1"/>
  <c r="AM546" i="77" s="1"/>
  <c r="AX546" i="77"/>
  <c r="AY546" i="77"/>
  <c r="BA546" i="77"/>
  <c r="AY548" i="77"/>
  <c r="BA548" i="77"/>
  <c r="AX548" i="77"/>
  <c r="AD542" i="77"/>
  <c r="AF542" i="77" s="1"/>
  <c r="AE542" i="77" s="1"/>
  <c r="AM542" i="77" s="1"/>
  <c r="AY542" i="77"/>
  <c r="BA542" i="77"/>
  <c r="AX542" i="77"/>
  <c r="AL523" i="77"/>
  <c r="AR523" i="77" s="1"/>
  <c r="AX523" i="77"/>
  <c r="BA523" i="77"/>
  <c r="AY523" i="77"/>
  <c r="AD531" i="77"/>
  <c r="AF531" i="77" s="1"/>
  <c r="AE531" i="77" s="1"/>
  <c r="AX531" i="77"/>
  <c r="BA531" i="77"/>
  <c r="AY531" i="77"/>
  <c r="AD539" i="77"/>
  <c r="AF539" i="77" s="1"/>
  <c r="AE539" i="77" s="1"/>
  <c r="AX539" i="77"/>
  <c r="BA539" i="77"/>
  <c r="AY539" i="77"/>
  <c r="AX547" i="77"/>
  <c r="BA547" i="77"/>
  <c r="AY547" i="77"/>
  <c r="AD551" i="77"/>
  <c r="AF551" i="77" s="1"/>
  <c r="AE551" i="77" s="1"/>
  <c r="BD551" i="77" s="1"/>
  <c r="AX551" i="77"/>
  <c r="BA551" i="77"/>
  <c r="AY551" i="77"/>
  <c r="AD516" i="77"/>
  <c r="AF516" i="77" s="1"/>
  <c r="AE516" i="77" s="1"/>
  <c r="AY516" i="77"/>
  <c r="BA516" i="77"/>
  <c r="AX516" i="77"/>
  <c r="AD518" i="77"/>
  <c r="AF518" i="77" s="1"/>
  <c r="AE518" i="77" s="1"/>
  <c r="AY518" i="77"/>
  <c r="BA518" i="77"/>
  <c r="AX518" i="77"/>
  <c r="AY88" i="77"/>
  <c r="BA88" i="77"/>
  <c r="AX88" i="77"/>
  <c r="AY122" i="77"/>
  <c r="AX122" i="77"/>
  <c r="BA122" i="77"/>
  <c r="AX80" i="77"/>
  <c r="AY80" i="77"/>
  <c r="BA80" i="77"/>
  <c r="AY81" i="77"/>
  <c r="AX81" i="77"/>
  <c r="BA81" i="77"/>
  <c r="AY38" i="77"/>
  <c r="BA38" i="77"/>
  <c r="AX38" i="77"/>
  <c r="AD38" i="77"/>
  <c r="AF38" i="77" s="1"/>
  <c r="AE38" i="77" s="1"/>
  <c r="AY139" i="77"/>
  <c r="AL139" i="77"/>
  <c r="AR139" i="77" s="1"/>
  <c r="AX139" i="77"/>
  <c r="BA139" i="77"/>
  <c r="AY145" i="77"/>
  <c r="BA145" i="77"/>
  <c r="AD145" i="77"/>
  <c r="AF145" i="77" s="1"/>
  <c r="AE145" i="77" s="1"/>
  <c r="AM145" i="77" s="1"/>
  <c r="AX145" i="77"/>
  <c r="AD209" i="77"/>
  <c r="AF209" i="77" s="1"/>
  <c r="AE209" i="77" s="1"/>
  <c r="AM209" i="77" s="1"/>
  <c r="AY209" i="77"/>
  <c r="BA209" i="77"/>
  <c r="AX209" i="77"/>
  <c r="AY197" i="77"/>
  <c r="BA197" i="77"/>
  <c r="AX197" i="77"/>
  <c r="AY200" i="77"/>
  <c r="BA200" i="77"/>
  <c r="AX200" i="77"/>
  <c r="AD152" i="77"/>
  <c r="AF152" i="77" s="1"/>
  <c r="AE152" i="77" s="1"/>
  <c r="AX152" i="77"/>
  <c r="BA152" i="77"/>
  <c r="AY152" i="77"/>
  <c r="BA169" i="77"/>
  <c r="AY169" i="77"/>
  <c r="AX169" i="77"/>
  <c r="AX184" i="77"/>
  <c r="BA184" i="77"/>
  <c r="AY184" i="77"/>
  <c r="AY201" i="77"/>
  <c r="BA201" i="77"/>
  <c r="AX201" i="77"/>
  <c r="AX158" i="77"/>
  <c r="AY158" i="77"/>
  <c r="BA158" i="77"/>
  <c r="AY175" i="77"/>
  <c r="BA175" i="77"/>
  <c r="AX175" i="77"/>
  <c r="AL191" i="77"/>
  <c r="AX191" i="77"/>
  <c r="BA191" i="77"/>
  <c r="AY191" i="77"/>
  <c r="AD208" i="77"/>
  <c r="AF208" i="77" s="1"/>
  <c r="AE208" i="77" s="1"/>
  <c r="AM208" i="77" s="1"/>
  <c r="BA208" i="77"/>
  <c r="AY208" i="77"/>
  <c r="AX208" i="77"/>
  <c r="AX157" i="77"/>
  <c r="BA157" i="77"/>
  <c r="AY157" i="77"/>
  <c r="BA166" i="77"/>
  <c r="AY166" i="77"/>
  <c r="AX166" i="77"/>
  <c r="AY174" i="77"/>
  <c r="AX174" i="77"/>
  <c r="BA174" i="77"/>
  <c r="BA182" i="77"/>
  <c r="AY182" i="77"/>
  <c r="AX182" i="77"/>
  <c r="AY188" i="77"/>
  <c r="AX188" i="77"/>
  <c r="BA188" i="77"/>
  <c r="AD308" i="77"/>
  <c r="AF308" i="77" s="1"/>
  <c r="AE308" i="77" s="1"/>
  <c r="AX308" i="77"/>
  <c r="BA308" i="77"/>
  <c r="AY308" i="77"/>
  <c r="BA287" i="77"/>
  <c r="AX287" i="77"/>
  <c r="AY287" i="77"/>
  <c r="AD329" i="77"/>
  <c r="AF329" i="77" s="1"/>
  <c r="AE329" i="77" s="1"/>
  <c r="BD329" i="77" s="1"/>
  <c r="BA329" i="77"/>
  <c r="AY329" i="77"/>
  <c r="AX329" i="77"/>
  <c r="BA314" i="77"/>
  <c r="AX314" i="77"/>
  <c r="AY314" i="77"/>
  <c r="BA262" i="77"/>
  <c r="AY262" i="77"/>
  <c r="AX262" i="77"/>
  <c r="BA280" i="77"/>
  <c r="AY280" i="77"/>
  <c r="AX280" i="77"/>
  <c r="BA302" i="77"/>
  <c r="AY302" i="77"/>
  <c r="AX302" i="77"/>
  <c r="AL313" i="77"/>
  <c r="AY313" i="77"/>
  <c r="BA313" i="77"/>
  <c r="AX313" i="77"/>
  <c r="BA324" i="77"/>
  <c r="AY324" i="77"/>
  <c r="AX324" i="77"/>
  <c r="BA330" i="77"/>
  <c r="AY330" i="77"/>
  <c r="AX330" i="77"/>
  <c r="BA267" i="77"/>
  <c r="AY267" i="77"/>
  <c r="AX267" i="77"/>
  <c r="AX281" i="77"/>
  <c r="BA281" i="77"/>
  <c r="AY281" i="77"/>
  <c r="AD265" i="77"/>
  <c r="AF265" i="77" s="1"/>
  <c r="AE265" i="77" s="1"/>
  <c r="AM265" i="77" s="1"/>
  <c r="AY265" i="77"/>
  <c r="AX265" i="77"/>
  <c r="BA265" i="77"/>
  <c r="AL279" i="77"/>
  <c r="AR279" i="77" s="1"/>
  <c r="AY279" i="77"/>
  <c r="BA279" i="77"/>
  <c r="AX279" i="77"/>
  <c r="AY317" i="77"/>
  <c r="AX317" i="77"/>
  <c r="BA317" i="77"/>
  <c r="AL317" i="77"/>
  <c r="AR317" i="77" s="1"/>
  <c r="AD306" i="77"/>
  <c r="AF306" i="77" s="1"/>
  <c r="AE306" i="77" s="1"/>
  <c r="AM306" i="77" s="1"/>
  <c r="BA306" i="77"/>
  <c r="AY306" i="77"/>
  <c r="AX306" i="77"/>
  <c r="AX260" i="77"/>
  <c r="AY260" i="77"/>
  <c r="BA260" i="77"/>
  <c r="AX275" i="77"/>
  <c r="BA275" i="77"/>
  <c r="AY275" i="77"/>
  <c r="AY340" i="77"/>
  <c r="AX340" i="77"/>
  <c r="BA340" i="77"/>
  <c r="AX336" i="77"/>
  <c r="AY336" i="77"/>
  <c r="BA336" i="77"/>
  <c r="AX415" i="77"/>
  <c r="AY415" i="77"/>
  <c r="BA415" i="77"/>
  <c r="AX425" i="77"/>
  <c r="AY425" i="77"/>
  <c r="BA425" i="77"/>
  <c r="BA364" i="77"/>
  <c r="AY364" i="77"/>
  <c r="AX364" i="77"/>
  <c r="AD411" i="77"/>
  <c r="AF411" i="77" s="1"/>
  <c r="AE411" i="77" s="1"/>
  <c r="AM411" i="77" s="1"/>
  <c r="BA411" i="77"/>
  <c r="AY411" i="77"/>
  <c r="AX411" i="77"/>
  <c r="AY405" i="77"/>
  <c r="BA405" i="77"/>
  <c r="AX405" i="77"/>
  <c r="AX437" i="77"/>
  <c r="AY437" i="77"/>
  <c r="BA437" i="77"/>
  <c r="AD351" i="77"/>
  <c r="AF351" i="77" s="1"/>
  <c r="AE351" i="77" s="1"/>
  <c r="AM351" i="77" s="1"/>
  <c r="AX351" i="77"/>
  <c r="BA351" i="77"/>
  <c r="AY351" i="77"/>
  <c r="AL394" i="77"/>
  <c r="AR394" i="77" s="1"/>
  <c r="AX394" i="77"/>
  <c r="AY394" i="77"/>
  <c r="BA394" i="77"/>
  <c r="BA374" i="77"/>
  <c r="AY374" i="77"/>
  <c r="AX374" i="77"/>
  <c r="AX380" i="77"/>
  <c r="AY380" i="77"/>
  <c r="BA380" i="77"/>
  <c r="AX408" i="77"/>
  <c r="AY408" i="77"/>
  <c r="BA408" i="77"/>
  <c r="BA416" i="77"/>
  <c r="AX416" i="77"/>
  <c r="AY416" i="77"/>
  <c r="AX424" i="77"/>
  <c r="BA424" i="77"/>
  <c r="AY424" i="77"/>
  <c r="AX432" i="77"/>
  <c r="BA432" i="77"/>
  <c r="AY432" i="77"/>
  <c r="AL349" i="77"/>
  <c r="AY349" i="77"/>
  <c r="AX349" i="77"/>
  <c r="BA349" i="77"/>
  <c r="BA368" i="77"/>
  <c r="AY368" i="77"/>
  <c r="AX368" i="77"/>
  <c r="BA400" i="77"/>
  <c r="AY400" i="77"/>
  <c r="AX400" i="77"/>
  <c r="AD348" i="77"/>
  <c r="AF348" i="77" s="1"/>
  <c r="AE348" i="77" s="1"/>
  <c r="AM348" i="77" s="1"/>
  <c r="AX348" i="77"/>
  <c r="BA348" i="77"/>
  <c r="AY348" i="77"/>
  <c r="AL359" i="77"/>
  <c r="AR359" i="77" s="1"/>
  <c r="BA359" i="77"/>
  <c r="AY359" i="77"/>
  <c r="AX359" i="77"/>
  <c r="AL369" i="77"/>
  <c r="AY369" i="77"/>
  <c r="AX369" i="77"/>
  <c r="BA369" i="77"/>
  <c r="AL377" i="77"/>
  <c r="AR377" i="77" s="1"/>
  <c r="AY377" i="77"/>
  <c r="AX377" i="77"/>
  <c r="BA377" i="77"/>
  <c r="AX385" i="77"/>
  <c r="AY385" i="77"/>
  <c r="BA385" i="77"/>
  <c r="AX393" i="77"/>
  <c r="AY393" i="77"/>
  <c r="BA393" i="77"/>
  <c r="AL401" i="77"/>
  <c r="AY401" i="77"/>
  <c r="AX401" i="77"/>
  <c r="BA401" i="77"/>
  <c r="AY496" i="77"/>
  <c r="BA496" i="77"/>
  <c r="AX496" i="77"/>
  <c r="AD506" i="77"/>
  <c r="AF506" i="77" s="1"/>
  <c r="AE506" i="77" s="1"/>
  <c r="AY506" i="77"/>
  <c r="BA506" i="77"/>
  <c r="AX506" i="77"/>
  <c r="AY509" i="77"/>
  <c r="AX509" i="77"/>
  <c r="BA509" i="77"/>
  <c r="AX511" i="77"/>
  <c r="BC511" i="77"/>
  <c r="AY511" i="77"/>
  <c r="BA511" i="77"/>
  <c r="AL497" i="77"/>
  <c r="AR497" i="77" s="1"/>
  <c r="AY497" i="77"/>
  <c r="BA497" i="77"/>
  <c r="AX497" i="77"/>
  <c r="AL505" i="77"/>
  <c r="BA505" i="77"/>
  <c r="AX505" i="77"/>
  <c r="AY505" i="77"/>
  <c r="AY332" i="77"/>
  <c r="BA332" i="77"/>
  <c r="AX332" i="77"/>
  <c r="AL440" i="77"/>
  <c r="BA440" i="77"/>
  <c r="AY440" i="77"/>
  <c r="AX440" i="77"/>
  <c r="AY444" i="77"/>
  <c r="AX444" i="77"/>
  <c r="BA444" i="77"/>
  <c r="BA445" i="77"/>
  <c r="AY445" i="77"/>
  <c r="AX445" i="77"/>
  <c r="AL445" i="77"/>
  <c r="AX452" i="77"/>
  <c r="AL452" i="77"/>
  <c r="AR452" i="77" s="1"/>
  <c r="BA452" i="77"/>
  <c r="AY452" i="77"/>
  <c r="AD459" i="77"/>
  <c r="AF459" i="77" s="1"/>
  <c r="AE459" i="77" s="1"/>
  <c r="AX459" i="77"/>
  <c r="AY459" i="77"/>
  <c r="BA459" i="77"/>
  <c r="AX485" i="77"/>
  <c r="AY485" i="77"/>
  <c r="BA485" i="77"/>
  <c r="AY488" i="77"/>
  <c r="BA488" i="77"/>
  <c r="AX488" i="77"/>
  <c r="AL481" i="77"/>
  <c r="AY481" i="77"/>
  <c r="BA481" i="77"/>
  <c r="AX481" i="77"/>
  <c r="AD486" i="77"/>
  <c r="AF486" i="77" s="1"/>
  <c r="AE486" i="77" s="1"/>
  <c r="BD486" i="77" s="1"/>
  <c r="AX486" i="77"/>
  <c r="BA486" i="77"/>
  <c r="AY486" i="77"/>
  <c r="AL464" i="77"/>
  <c r="AY464" i="77"/>
  <c r="BA464" i="77"/>
  <c r="AX464" i="77"/>
  <c r="AL472" i="77"/>
  <c r="AR472" i="77" s="1"/>
  <c r="AY472" i="77"/>
  <c r="BA472" i="77"/>
  <c r="AX472" i="77"/>
  <c r="AX483" i="77"/>
  <c r="AY483" i="77"/>
  <c r="BA483" i="77"/>
  <c r="AD244" i="77"/>
  <c r="AF244" i="77" s="1"/>
  <c r="AE244" i="77" s="1"/>
  <c r="AX244" i="77"/>
  <c r="AY244" i="77"/>
  <c r="BA244" i="77"/>
  <c r="AL249" i="77"/>
  <c r="AR249" i="77" s="1"/>
  <c r="BA249" i="77"/>
  <c r="AX249" i="77"/>
  <c r="AY249" i="77"/>
  <c r="AL218" i="77"/>
  <c r="AR218" i="77" s="1"/>
  <c r="AX218" i="77"/>
  <c r="AY218" i="77"/>
  <c r="BA218" i="77"/>
  <c r="AD246" i="77"/>
  <c r="AF246" i="77" s="1"/>
  <c r="AE246" i="77" s="1"/>
  <c r="AX246" i="77"/>
  <c r="BA246" i="77"/>
  <c r="AY246" i="77"/>
  <c r="AF255" i="77"/>
  <c r="AE255" i="77" s="1"/>
  <c r="BD255" i="77" s="1"/>
  <c r="BA255" i="77"/>
  <c r="AY255" i="77"/>
  <c r="AX255" i="77"/>
  <c r="AL210" i="77"/>
  <c r="AR210" i="77" s="1"/>
  <c r="AY210" i="77"/>
  <c r="AX210" i="77"/>
  <c r="BA210" i="77"/>
  <c r="AL239" i="77"/>
  <c r="AX239" i="77"/>
  <c r="BA239" i="77"/>
  <c r="AY239" i="77"/>
  <c r="AD217" i="77"/>
  <c r="AF217" i="77" s="1"/>
  <c r="AE217" i="77" s="1"/>
  <c r="AM217" i="77" s="1"/>
  <c r="AY217" i="77"/>
  <c r="AX217" i="77"/>
  <c r="BA217" i="77"/>
  <c r="AX227" i="77"/>
  <c r="BA227" i="77"/>
  <c r="AY227" i="77"/>
  <c r="AY242" i="77"/>
  <c r="BA242" i="77"/>
  <c r="AX242" i="77"/>
  <c r="AX550" i="77"/>
  <c r="BA550" i="77"/>
  <c r="AY550" i="77"/>
  <c r="AD522" i="77"/>
  <c r="AF522" i="77" s="1"/>
  <c r="AE522" i="77" s="1"/>
  <c r="AX522" i="77"/>
  <c r="AY522" i="77"/>
  <c r="BA522" i="77"/>
  <c r="AD524" i="77"/>
  <c r="AF524" i="77" s="1"/>
  <c r="AE524" i="77" s="1"/>
  <c r="BA524" i="77"/>
  <c r="AY524" i="77"/>
  <c r="AX524" i="77"/>
  <c r="AD519" i="77"/>
  <c r="AF519" i="77" s="1"/>
  <c r="AE519" i="77" s="1"/>
  <c r="BA519" i="77"/>
  <c r="AX519" i="77"/>
  <c r="AY519" i="77"/>
  <c r="AD515" i="77"/>
  <c r="AF515" i="77" s="1"/>
  <c r="AE515" i="77" s="1"/>
  <c r="AX515" i="77"/>
  <c r="AY515" i="77"/>
  <c r="BA515" i="77"/>
  <c r="AD525" i="77"/>
  <c r="AF525" i="77" s="1"/>
  <c r="AE525" i="77" s="1"/>
  <c r="AY525" i="77"/>
  <c r="BA525" i="77"/>
  <c r="AX525" i="77"/>
  <c r="AD533" i="77"/>
  <c r="AF533" i="77" s="1"/>
  <c r="AE533" i="77" s="1"/>
  <c r="AM533" i="77" s="1"/>
  <c r="AY533" i="77"/>
  <c r="BA533" i="77"/>
  <c r="AX533" i="77"/>
  <c r="AL541" i="77"/>
  <c r="AY541" i="77"/>
  <c r="BA541" i="77"/>
  <c r="AX541" i="77"/>
  <c r="AY552" i="77"/>
  <c r="BA552" i="77"/>
  <c r="AX552" i="77"/>
  <c r="BA107" i="77"/>
  <c r="AY107" i="77"/>
  <c r="AX107" i="77"/>
  <c r="AX43" i="77"/>
  <c r="AY43" i="77"/>
  <c r="BA43" i="77"/>
  <c r="AX87" i="77"/>
  <c r="AY87" i="77"/>
  <c r="BA87" i="77"/>
  <c r="BA102" i="77"/>
  <c r="AX102" i="77"/>
  <c r="AY102" i="77"/>
  <c r="AY105" i="77"/>
  <c r="BA105" i="77"/>
  <c r="AX105" i="77"/>
  <c r="BG318" i="77"/>
  <c r="BH318" i="77" s="1"/>
  <c r="BA86" i="77"/>
  <c r="AY86" i="77"/>
  <c r="AX86" i="77"/>
  <c r="AY97" i="77"/>
  <c r="BA97" i="77"/>
  <c r="AX97" i="77"/>
  <c r="BA70" i="77"/>
  <c r="AY70" i="77"/>
  <c r="AX70" i="77"/>
  <c r="AL70" i="77"/>
  <c r="AY71" i="77"/>
  <c r="AX71" i="77"/>
  <c r="BA71" i="77"/>
  <c r="BA75" i="77"/>
  <c r="AY75" i="77"/>
  <c r="AX75" i="77"/>
  <c r="BA98" i="77"/>
  <c r="AX98" i="77"/>
  <c r="AY98" i="77"/>
  <c r="BC138" i="77"/>
  <c r="BA138" i="77"/>
  <c r="AY138" i="77"/>
  <c r="AX138" i="77"/>
  <c r="BA79" i="77"/>
  <c r="AX79" i="77"/>
  <c r="AY79" i="77"/>
  <c r="BA103" i="77"/>
  <c r="AY103" i="77"/>
  <c r="AX103" i="77"/>
  <c r="AL103" i="77"/>
  <c r="AR103" i="77" s="1"/>
  <c r="BA112" i="77"/>
  <c r="AX112" i="77"/>
  <c r="AY112" i="77"/>
  <c r="BA129" i="77"/>
  <c r="AY129" i="77"/>
  <c r="AX129" i="77"/>
  <c r="AY14" i="77"/>
  <c r="BA14" i="77"/>
  <c r="AX14" i="77"/>
  <c r="AL14" i="77"/>
  <c r="AR14" i="77" s="1"/>
  <c r="BA41" i="77"/>
  <c r="AX41" i="77"/>
  <c r="AY41" i="77"/>
  <c r="BA57" i="77"/>
  <c r="AY57" i="77"/>
  <c r="AX57" i="77"/>
  <c r="BA126" i="77"/>
  <c r="AY126" i="77"/>
  <c r="AX126" i="77"/>
  <c r="BA19" i="77"/>
  <c r="AX19" i="77"/>
  <c r="AY19" i="77"/>
  <c r="BA52" i="77"/>
  <c r="AY52" i="77"/>
  <c r="AX52" i="77"/>
  <c r="BA89" i="77"/>
  <c r="AY89" i="77"/>
  <c r="AX89" i="77"/>
  <c r="BA116" i="77"/>
  <c r="AX116" i="77"/>
  <c r="AY116" i="77"/>
  <c r="AD116" i="77"/>
  <c r="AF116" i="77" s="1"/>
  <c r="AE116" i="77" s="1"/>
  <c r="AY136" i="77"/>
  <c r="BA136" i="77"/>
  <c r="AX136" i="77"/>
  <c r="AY34" i="77"/>
  <c r="AX34" i="77"/>
  <c r="BA34" i="77"/>
  <c r="BA46" i="77"/>
  <c r="AY46" i="77"/>
  <c r="AX46" i="77"/>
  <c r="AY132" i="77"/>
  <c r="BA132" i="77"/>
  <c r="AX132" i="77"/>
  <c r="BA26" i="77"/>
  <c r="AX26" i="77"/>
  <c r="AY26" i="77"/>
  <c r="BA37" i="77"/>
  <c r="AY37" i="77"/>
  <c r="AX37" i="77"/>
  <c r="BA60" i="77"/>
  <c r="AX60" i="77"/>
  <c r="AY60" i="77"/>
  <c r="BA124" i="77"/>
  <c r="AY124" i="77"/>
  <c r="AX124" i="77"/>
  <c r="AY59" i="77"/>
  <c r="AX59" i="77"/>
  <c r="BA59" i="77"/>
  <c r="AY92" i="77"/>
  <c r="BA92" i="77"/>
  <c r="AX92" i="77"/>
  <c r="BA90" i="77"/>
  <c r="AY90" i="77"/>
  <c r="AX90" i="77"/>
  <c r="AY84" i="77"/>
  <c r="AX84" i="77"/>
  <c r="BA84" i="77"/>
  <c r="AL84" i="77"/>
  <c r="AR84" i="77" s="1"/>
  <c r="BA111" i="77"/>
  <c r="AX111" i="77"/>
  <c r="AY111" i="77"/>
  <c r="BA35" i="77"/>
  <c r="AY35" i="77"/>
  <c r="AX35" i="77"/>
  <c r="BA99" i="77"/>
  <c r="AX99" i="77"/>
  <c r="AY99" i="77"/>
  <c r="AL99" i="77"/>
  <c r="AR99" i="77" s="1"/>
  <c r="AY78" i="77"/>
  <c r="AX78" i="77"/>
  <c r="BA78" i="77"/>
  <c r="BA72" i="77"/>
  <c r="AX72" i="77"/>
  <c r="AY72" i="77"/>
  <c r="BA76" i="77"/>
  <c r="AY76" i="77"/>
  <c r="AX76" i="77"/>
  <c r="BA83" i="77"/>
  <c r="AX83" i="77"/>
  <c r="AY83" i="77"/>
  <c r="BA104" i="77"/>
  <c r="AY104" i="77"/>
  <c r="AX104" i="77"/>
  <c r="BA113" i="77"/>
  <c r="AY113" i="77"/>
  <c r="AX113" i="77"/>
  <c r="AL113" i="77"/>
  <c r="AR113" i="77" s="1"/>
  <c r="BA131" i="77"/>
  <c r="AX131" i="77"/>
  <c r="AY131" i="77"/>
  <c r="BA16" i="77"/>
  <c r="AY16" i="77"/>
  <c r="AX16" i="77"/>
  <c r="BA45" i="77"/>
  <c r="AY45" i="77"/>
  <c r="AX45" i="77"/>
  <c r="BA66" i="77"/>
  <c r="AX66" i="77"/>
  <c r="AY66" i="77"/>
  <c r="AL66" i="77"/>
  <c r="AR66" i="77" s="1"/>
  <c r="BA133" i="77"/>
  <c r="AX133" i="77"/>
  <c r="AY133" i="77"/>
  <c r="BA40" i="77"/>
  <c r="AX40" i="77"/>
  <c r="AY40" i="77"/>
  <c r="AL40" i="77"/>
  <c r="AR40" i="77" s="1"/>
  <c r="BA53" i="77"/>
  <c r="AX53" i="77"/>
  <c r="AY53" i="77"/>
  <c r="AY95" i="77"/>
  <c r="BA95" i="77"/>
  <c r="AX95" i="77"/>
  <c r="AL95" i="77"/>
  <c r="AR95" i="77" s="1"/>
  <c r="BA127" i="77"/>
  <c r="AX127" i="77"/>
  <c r="AY127" i="77"/>
  <c r="AL127" i="77"/>
  <c r="AR127" i="77" s="1"/>
  <c r="BA10" i="77"/>
  <c r="AX10" i="77"/>
  <c r="AY10" i="77"/>
  <c r="AL10" i="77"/>
  <c r="AR10" i="77" s="1"/>
  <c r="BA36" i="77"/>
  <c r="AY36" i="77"/>
  <c r="AX36" i="77"/>
  <c r="AL36" i="77"/>
  <c r="AR36" i="77" s="1"/>
  <c r="BA56" i="77"/>
  <c r="AY56" i="77"/>
  <c r="AX56" i="77"/>
  <c r="BA11" i="77"/>
  <c r="AY11" i="77"/>
  <c r="AX11" i="77"/>
  <c r="BA23" i="77"/>
  <c r="AY23" i="77"/>
  <c r="AX23" i="77"/>
  <c r="AY27" i="77"/>
  <c r="BA27" i="77"/>
  <c r="AX27" i="77"/>
  <c r="AY67" i="77"/>
  <c r="BA67" i="77"/>
  <c r="AX67" i="77"/>
  <c r="BA65" i="77"/>
  <c r="AX65" i="77"/>
  <c r="AY65" i="77"/>
  <c r="AY64" i="77"/>
  <c r="BA64" i="77"/>
  <c r="AX64" i="77"/>
  <c r="BA61" i="77"/>
  <c r="AY61" i="77"/>
  <c r="AX61" i="77"/>
  <c r="AY121" i="77"/>
  <c r="AX121" i="77"/>
  <c r="BA121" i="77"/>
  <c r="BA94" i="77"/>
  <c r="AY94" i="77"/>
  <c r="AX94" i="77"/>
  <c r="AR70" i="77"/>
  <c r="BB137" i="77"/>
  <c r="BA137" i="77"/>
  <c r="AY137" i="77"/>
  <c r="AX137" i="77"/>
  <c r="BA82" i="77"/>
  <c r="AY82" i="77"/>
  <c r="AX82" i="77"/>
  <c r="BA73" i="77"/>
  <c r="AX73" i="77"/>
  <c r="AY73" i="77"/>
  <c r="BA77" i="77"/>
  <c r="AX77" i="77"/>
  <c r="AY77" i="77"/>
  <c r="AL77" i="77"/>
  <c r="BA96" i="77"/>
  <c r="AX96" i="77"/>
  <c r="AY96" i="77"/>
  <c r="AY110" i="77"/>
  <c r="BA110" i="77"/>
  <c r="AX110" i="77"/>
  <c r="BA135" i="77"/>
  <c r="AX135" i="77"/>
  <c r="AY135" i="77"/>
  <c r="AD135" i="77"/>
  <c r="AF135" i="77" s="1"/>
  <c r="AE135" i="77" s="1"/>
  <c r="BD135" i="77" s="1"/>
  <c r="BA21" i="77"/>
  <c r="AY21" i="77"/>
  <c r="AX21" i="77"/>
  <c r="AY31" i="77"/>
  <c r="BA31" i="77"/>
  <c r="AX31" i="77"/>
  <c r="BA47" i="77"/>
  <c r="AX47" i="77"/>
  <c r="AY47" i="77"/>
  <c r="AL47" i="77"/>
  <c r="BA114" i="77"/>
  <c r="AY114" i="77"/>
  <c r="AX114" i="77"/>
  <c r="AY13" i="77"/>
  <c r="BA13" i="77"/>
  <c r="AX13" i="77"/>
  <c r="AY48" i="77"/>
  <c r="AX48" i="77"/>
  <c r="BA48" i="77"/>
  <c r="AY54" i="77"/>
  <c r="AX54" i="77"/>
  <c r="BA54" i="77"/>
  <c r="AL54" i="77"/>
  <c r="AR54" i="77" s="1"/>
  <c r="AY100" i="77"/>
  <c r="BA100" i="77"/>
  <c r="AX100" i="77"/>
  <c r="AY130" i="77"/>
  <c r="BA130" i="77"/>
  <c r="AX130" i="77"/>
  <c r="AL130" i="77"/>
  <c r="AR130" i="77" s="1"/>
  <c r="BA12" i="77"/>
  <c r="AX12" i="77"/>
  <c r="AY12" i="77"/>
  <c r="BA22" i="77"/>
  <c r="AX22" i="77"/>
  <c r="AY22" i="77"/>
  <c r="AL22" i="77"/>
  <c r="AR22" i="77" s="1"/>
  <c r="AY39" i="77"/>
  <c r="BA39" i="77"/>
  <c r="AX39" i="77"/>
  <c r="BA15" i="77"/>
  <c r="AY15" i="77"/>
  <c r="AX15" i="77"/>
  <c r="BA24" i="77"/>
  <c r="AY24" i="77"/>
  <c r="AX24" i="77"/>
  <c r="BA28" i="77"/>
  <c r="AX28" i="77"/>
  <c r="AY28" i="77"/>
  <c r="BA69" i="77"/>
  <c r="AY69" i="77"/>
  <c r="AX69" i="77"/>
  <c r="BA91" i="77"/>
  <c r="AY91" i="77"/>
  <c r="AX91" i="77"/>
  <c r="AL91" i="77"/>
  <c r="AY62" i="77"/>
  <c r="BA62" i="77"/>
  <c r="AX62" i="77"/>
  <c r="AL62" i="77"/>
  <c r="BA125" i="77"/>
  <c r="AY125" i="77"/>
  <c r="AX125" i="77"/>
  <c r="AL125" i="77"/>
  <c r="AR125" i="77" s="1"/>
  <c r="AY117" i="77"/>
  <c r="AX117" i="77"/>
  <c r="BA117" i="77"/>
  <c r="AL117" i="77"/>
  <c r="AR117" i="77" s="1"/>
  <c r="BA85" i="77"/>
  <c r="AY85" i="77"/>
  <c r="AX85" i="77"/>
  <c r="BA74" i="77"/>
  <c r="AY74" i="77"/>
  <c r="AX74" i="77"/>
  <c r="BA128" i="77"/>
  <c r="AY128" i="77"/>
  <c r="AX128" i="77"/>
  <c r="BA55" i="77"/>
  <c r="AY55" i="77"/>
  <c r="AX55" i="77"/>
  <c r="BA115" i="77"/>
  <c r="AY115" i="77"/>
  <c r="AX115" i="77"/>
  <c r="AL115" i="77"/>
  <c r="BA17" i="77"/>
  <c r="AY17" i="77"/>
  <c r="AX17" i="77"/>
  <c r="BA49" i="77"/>
  <c r="AX49" i="77"/>
  <c r="AY49" i="77"/>
  <c r="AY68" i="77"/>
  <c r="BA68" i="77"/>
  <c r="AX68" i="77"/>
  <c r="BA106" i="77"/>
  <c r="AY106" i="77"/>
  <c r="AX106" i="77"/>
  <c r="BA134" i="77"/>
  <c r="AY134" i="77"/>
  <c r="AX134" i="77"/>
  <c r="AY18" i="77"/>
  <c r="AX18" i="77"/>
  <c r="BA18" i="77"/>
  <c r="AL18" i="77"/>
  <c r="BA30" i="77"/>
  <c r="AX30" i="77"/>
  <c r="AY30" i="77"/>
  <c r="BA42" i="77"/>
  <c r="AY42" i="77"/>
  <c r="AX42" i="77"/>
  <c r="BA20" i="77"/>
  <c r="AX20" i="77"/>
  <c r="AY20" i="77"/>
  <c r="AL20" i="77"/>
  <c r="AY25" i="77"/>
  <c r="BA25" i="77"/>
  <c r="AX25" i="77"/>
  <c r="BA29" i="77"/>
  <c r="AY29" i="77"/>
  <c r="AX29" i="77"/>
  <c r="AL29" i="77"/>
  <c r="BA58" i="77"/>
  <c r="AY58" i="77"/>
  <c r="AX58" i="77"/>
  <c r="AL58" i="77"/>
  <c r="BA119" i="77"/>
  <c r="AX119" i="77"/>
  <c r="AY119" i="77"/>
  <c r="AL119" i="77"/>
  <c r="BA63" i="77"/>
  <c r="AX63" i="77"/>
  <c r="AY63" i="77"/>
  <c r="BA93" i="77"/>
  <c r="AX93" i="77"/>
  <c r="AY93" i="77"/>
  <c r="BA118" i="77"/>
  <c r="AX118" i="77"/>
  <c r="AY118" i="77"/>
  <c r="BA123" i="77"/>
  <c r="AY123" i="77"/>
  <c r="AX123" i="77"/>
  <c r="AD13" i="77"/>
  <c r="AF13" i="77" s="1"/>
  <c r="AE13" i="77" s="1"/>
  <c r="AM13" i="77" s="1"/>
  <c r="AD12" i="77"/>
  <c r="AF12" i="77" s="1"/>
  <c r="AE12" i="77" s="1"/>
  <c r="AM12" i="77" s="1"/>
  <c r="AD39" i="77"/>
  <c r="AF39" i="77" s="1"/>
  <c r="AE39" i="77" s="1"/>
  <c r="AD15" i="77"/>
  <c r="AF15" i="77" s="1"/>
  <c r="AE15" i="77" s="1"/>
  <c r="AM15" i="77" s="1"/>
  <c r="AD17" i="77"/>
  <c r="AF17" i="77" s="1"/>
  <c r="AE17" i="77" s="1"/>
  <c r="AM17" i="77" s="1"/>
  <c r="AD37" i="77"/>
  <c r="AF37" i="77" s="1"/>
  <c r="AE37" i="77" s="1"/>
  <c r="AD16" i="77"/>
  <c r="AF16" i="77" s="1"/>
  <c r="AE16" i="77" s="1"/>
  <c r="AM16" i="77" s="1"/>
  <c r="AF133" i="77"/>
  <c r="AE133" i="77" s="1"/>
  <c r="AD11" i="77"/>
  <c r="AF11" i="77" s="1"/>
  <c r="AE11" i="77" s="1"/>
  <c r="AM11" i="77" s="1"/>
  <c r="L3" i="80"/>
  <c r="K3" i="80"/>
  <c r="BL598" i="77" l="1"/>
  <c r="BL627" i="77"/>
  <c r="BL635" i="77"/>
  <c r="BE631" i="77"/>
  <c r="BL650" i="77"/>
  <c r="BE650" i="77"/>
  <c r="BE628" i="77"/>
  <c r="BE618" i="77"/>
  <c r="BI626" i="77"/>
  <c r="BE615" i="77"/>
  <c r="BE636" i="77"/>
  <c r="BE598" i="77"/>
  <c r="BL646" i="77"/>
  <c r="BE649" i="77"/>
  <c r="BI628" i="77"/>
  <c r="BL574" i="77"/>
  <c r="BL649" i="77"/>
  <c r="BI616" i="77"/>
  <c r="BI610" i="77"/>
  <c r="BL623" i="77"/>
  <c r="BI618" i="77"/>
  <c r="BE612" i="77"/>
  <c r="BE630" i="77"/>
  <c r="BE647" i="77"/>
  <c r="BL634" i="77"/>
  <c r="BE627" i="77"/>
  <c r="BL641" i="77"/>
  <c r="BL637" i="77"/>
  <c r="BI614" i="77"/>
  <c r="BL644" i="77"/>
  <c r="BL631" i="77"/>
  <c r="BE596" i="77"/>
  <c r="BE600" i="77"/>
  <c r="BE599" i="77"/>
  <c r="BE617" i="77"/>
  <c r="BE621" i="77"/>
  <c r="BE622" i="77"/>
  <c r="BL633" i="77"/>
  <c r="BE591" i="77"/>
  <c r="BE648" i="77"/>
  <c r="BL639" i="77"/>
  <c r="BL632" i="77"/>
  <c r="BI596" i="77"/>
  <c r="BE624" i="77"/>
  <c r="BE641" i="77"/>
  <c r="BL600" i="77"/>
  <c r="BL615" i="77"/>
  <c r="BE640" i="77"/>
  <c r="BE623" i="77"/>
  <c r="BL621" i="77"/>
  <c r="BE638" i="77"/>
  <c r="BL613" i="77"/>
  <c r="BE644" i="77"/>
  <c r="BI597" i="77"/>
  <c r="BE634" i="77"/>
  <c r="BL645" i="77"/>
  <c r="BL648" i="77"/>
  <c r="BE635" i="77"/>
  <c r="BE620" i="77"/>
  <c r="BE633" i="77"/>
  <c r="BE619" i="77"/>
  <c r="BE611" i="77"/>
  <c r="BL590" i="77"/>
  <c r="BL643" i="77"/>
  <c r="BE637" i="77"/>
  <c r="BE625" i="77"/>
  <c r="BE642" i="77"/>
  <c r="BE646" i="77"/>
  <c r="BE570" i="77"/>
  <c r="BE593" i="77"/>
  <c r="BI584" i="77"/>
  <c r="BE572" i="77"/>
  <c r="BE574" i="77"/>
  <c r="BL599" i="77"/>
  <c r="BL622" i="77"/>
  <c r="BL638" i="77"/>
  <c r="BL642" i="77"/>
  <c r="BL611" i="77"/>
  <c r="BI617" i="77"/>
  <c r="BL640" i="77"/>
  <c r="BL620" i="77"/>
  <c r="BE610" i="77"/>
  <c r="BL647" i="77"/>
  <c r="BI630" i="77"/>
  <c r="BE643" i="77"/>
  <c r="BI624" i="77"/>
  <c r="BI619" i="77"/>
  <c r="BE597" i="77"/>
  <c r="BE616" i="77"/>
  <c r="BE645" i="77"/>
  <c r="BE632" i="77"/>
  <c r="BI612" i="77"/>
  <c r="BL636" i="77"/>
  <c r="BE614" i="77"/>
  <c r="BL625" i="77"/>
  <c r="BE626" i="77"/>
  <c r="BI627" i="77"/>
  <c r="BE613" i="77"/>
  <c r="BE639" i="77"/>
  <c r="BL589" i="77"/>
  <c r="BL591" i="77"/>
  <c r="BI587" i="77"/>
  <c r="BE573" i="77"/>
  <c r="BI569" i="77"/>
  <c r="BI570" i="77"/>
  <c r="BI593" i="77"/>
  <c r="BI559" i="77"/>
  <c r="BL602" i="77"/>
  <c r="BI594" i="77"/>
  <c r="BE588" i="77"/>
  <c r="BI601" i="77"/>
  <c r="BE590" i="77"/>
  <c r="BE564" i="77"/>
  <c r="BI585" i="77"/>
  <c r="BI586" i="77"/>
  <c r="BI609" i="77"/>
  <c r="BE609" i="77"/>
  <c r="BI564" i="77"/>
  <c r="BE565" i="77"/>
  <c r="BE568" i="77"/>
  <c r="BI561" i="77"/>
  <c r="BE567" i="77"/>
  <c r="BE569" i="77"/>
  <c r="BE571" i="77"/>
  <c r="BE602" i="77"/>
  <c r="BE561" i="77"/>
  <c r="BI562" i="77"/>
  <c r="BE566" i="77"/>
  <c r="BI571" i="77"/>
  <c r="BI563" i="77"/>
  <c r="BE586" i="77"/>
  <c r="BE559" i="77"/>
  <c r="BI588" i="77"/>
  <c r="BI595" i="77"/>
  <c r="BI560" i="77"/>
  <c r="BL575" i="77"/>
  <c r="BE594" i="77"/>
  <c r="BI568" i="77"/>
  <c r="BE587" i="77"/>
  <c r="BL572" i="77"/>
  <c r="BL573" i="77"/>
  <c r="BI592" i="77"/>
  <c r="BI556" i="77"/>
  <c r="BE556" i="77"/>
  <c r="BI580" i="77"/>
  <c r="BE580" i="77"/>
  <c r="BI566" i="77"/>
  <c r="BE560" i="77"/>
  <c r="BL577" i="77"/>
  <c r="BE577" i="77"/>
  <c r="BI567" i="77"/>
  <c r="AM583" i="77"/>
  <c r="AQ583" i="77"/>
  <c r="BL583" i="77" s="1"/>
  <c r="BL582" i="77"/>
  <c r="BJ582" i="77"/>
  <c r="BK582" i="77" s="1"/>
  <c r="BE582" i="77"/>
  <c r="BE563" i="77"/>
  <c r="BL581" i="77"/>
  <c r="BE581" i="77"/>
  <c r="BG584" i="77"/>
  <c r="BH584" i="77" s="1"/>
  <c r="BE584" i="77"/>
  <c r="BI565" i="77"/>
  <c r="BE575" i="77"/>
  <c r="BE589" i="77"/>
  <c r="BI557" i="77"/>
  <c r="BE557" i="77"/>
  <c r="BE562" i="77"/>
  <c r="BE592" i="77"/>
  <c r="BE595" i="77"/>
  <c r="BE585" i="77"/>
  <c r="BE578" i="77"/>
  <c r="BL578" i="77"/>
  <c r="BE558" i="77"/>
  <c r="BI558" i="77"/>
  <c r="BL576" i="77"/>
  <c r="BE576" i="77"/>
  <c r="BE601" i="77"/>
  <c r="BE579" i="77"/>
  <c r="BL579" i="77"/>
  <c r="BI316" i="77"/>
  <c r="BL202" i="77"/>
  <c r="BE176" i="77"/>
  <c r="BJ318" i="77"/>
  <c r="BK318" i="77" s="1"/>
  <c r="BE337" i="77"/>
  <c r="BE159" i="77"/>
  <c r="BE212" i="77"/>
  <c r="BE203" i="77"/>
  <c r="BE340" i="77"/>
  <c r="BI122" i="77"/>
  <c r="BI235" i="77"/>
  <c r="BE357" i="77"/>
  <c r="BL430" i="77"/>
  <c r="BI299" i="77"/>
  <c r="BE274" i="77"/>
  <c r="BI321" i="77"/>
  <c r="BL144" i="77"/>
  <c r="BI141" i="77"/>
  <c r="BL88" i="77"/>
  <c r="BL509" i="77"/>
  <c r="BI348" i="77"/>
  <c r="BI394" i="77"/>
  <c r="BI336" i="77"/>
  <c r="BI260" i="77"/>
  <c r="BI281" i="77"/>
  <c r="BE330" i="77"/>
  <c r="BI262" i="77"/>
  <c r="BE329" i="77"/>
  <c r="BL208" i="77"/>
  <c r="BE158" i="77"/>
  <c r="BL209" i="77"/>
  <c r="BL145" i="77"/>
  <c r="BI468" i="77"/>
  <c r="BL542" i="77"/>
  <c r="BL546" i="77"/>
  <c r="BE235" i="77"/>
  <c r="BE224" i="77"/>
  <c r="BL473" i="77"/>
  <c r="BI480" i="77"/>
  <c r="BE446" i="77"/>
  <c r="BI441" i="77"/>
  <c r="BL109" i="77"/>
  <c r="BL353" i="77"/>
  <c r="BI276" i="77"/>
  <c r="BI176" i="77"/>
  <c r="BL425" i="77"/>
  <c r="BE302" i="77"/>
  <c r="BE256" i="77"/>
  <c r="BE250" i="77"/>
  <c r="BL465" i="77"/>
  <c r="BE447" i="77"/>
  <c r="BL355" i="77"/>
  <c r="BI370" i="77"/>
  <c r="BE290" i="77"/>
  <c r="BE50" i="77"/>
  <c r="BE108" i="77"/>
  <c r="BE229" i="77"/>
  <c r="BI216" i="77"/>
  <c r="BL474" i="77"/>
  <c r="BE443" i="77"/>
  <c r="BE299" i="77"/>
  <c r="BE289" i="77"/>
  <c r="BE323" i="77"/>
  <c r="BL507" i="77"/>
  <c r="BI33" i="77"/>
  <c r="BL491" i="77"/>
  <c r="BL419" i="77"/>
  <c r="BL270" i="77"/>
  <c r="BE202" i="77"/>
  <c r="BE43" i="77"/>
  <c r="BI533" i="77"/>
  <c r="BE227" i="77"/>
  <c r="BI382" i="77"/>
  <c r="BI298" i="77"/>
  <c r="BL535" i="77"/>
  <c r="BI387" i="77"/>
  <c r="BL196" i="77"/>
  <c r="BI105" i="77"/>
  <c r="BL107" i="77"/>
  <c r="BI306" i="77"/>
  <c r="BL446" i="77"/>
  <c r="BE44" i="77"/>
  <c r="BE228" i="77"/>
  <c r="BI305" i="77"/>
  <c r="BL146" i="77"/>
  <c r="BI508" i="77"/>
  <c r="BI379" i="77"/>
  <c r="BE276" i="77"/>
  <c r="BI50" i="77"/>
  <c r="BE81" i="77"/>
  <c r="BL81" i="77"/>
  <c r="BE51" i="77"/>
  <c r="BI51" i="77"/>
  <c r="BE298" i="77"/>
  <c r="BE261" i="77"/>
  <c r="BI261" i="77"/>
  <c r="BE295" i="77"/>
  <c r="BI295" i="77"/>
  <c r="BI366" i="77"/>
  <c r="BE366" i="77"/>
  <c r="BI282" i="77"/>
  <c r="BE282" i="77"/>
  <c r="BI102" i="77"/>
  <c r="BE87" i="77"/>
  <c r="BI217" i="77"/>
  <c r="BL357" i="77"/>
  <c r="BL403" i="77"/>
  <c r="BI249" i="77"/>
  <c r="BE486" i="77"/>
  <c r="BI293" i="77"/>
  <c r="BL429" i="77"/>
  <c r="BE164" i="77"/>
  <c r="BI520" i="77"/>
  <c r="BE32" i="77"/>
  <c r="BI44" i="77"/>
  <c r="BE101" i="77"/>
  <c r="BL537" i="77"/>
  <c r="BI237" i="77"/>
  <c r="BE215" i="77"/>
  <c r="BL253" i="77"/>
  <c r="BI307" i="77"/>
  <c r="BI343" i="77"/>
  <c r="BL431" i="77"/>
  <c r="BE271" i="77"/>
  <c r="BE165" i="77"/>
  <c r="BI164" i="77"/>
  <c r="BI302" i="77"/>
  <c r="BE353" i="77"/>
  <c r="BI361" i="77"/>
  <c r="BL350" i="77"/>
  <c r="BL203" i="77"/>
  <c r="BL218" i="77"/>
  <c r="BI245" i="77"/>
  <c r="BE122" i="77"/>
  <c r="BL438" i="77"/>
  <c r="BE406" i="77"/>
  <c r="BL545" i="77"/>
  <c r="BI232" i="77"/>
  <c r="BI228" i="77"/>
  <c r="BI43" i="77"/>
  <c r="BE107" i="77"/>
  <c r="BL552" i="77"/>
  <c r="BI227" i="77"/>
  <c r="BI210" i="77"/>
  <c r="BL472" i="77"/>
  <c r="BL486" i="77"/>
  <c r="BI444" i="77"/>
  <c r="BL497" i="77"/>
  <c r="BL511" i="77"/>
  <c r="BI340" i="77"/>
  <c r="BI275" i="77"/>
  <c r="BL317" i="77"/>
  <c r="BE200" i="77"/>
  <c r="BL418" i="77"/>
  <c r="BI391" i="77"/>
  <c r="BI392" i="77"/>
  <c r="BE438" i="77"/>
  <c r="BE414" i="77"/>
  <c r="BL406" i="77"/>
  <c r="BI289" i="77"/>
  <c r="BI272" i="77"/>
  <c r="BE303" i="77"/>
  <c r="BI229" i="77"/>
  <c r="BI32" i="77"/>
  <c r="BI471" i="77"/>
  <c r="BI178" i="77"/>
  <c r="BI320" i="77"/>
  <c r="BE297" i="77"/>
  <c r="BI183" i="77"/>
  <c r="BI167" i="77"/>
  <c r="BE508" i="77"/>
  <c r="BI395" i="77"/>
  <c r="BI371" i="77"/>
  <c r="BI363" i="77"/>
  <c r="BI396" i="77"/>
  <c r="BI337" i="77"/>
  <c r="BE318" i="77"/>
  <c r="BE196" i="77"/>
  <c r="BI140" i="77"/>
  <c r="BL536" i="77"/>
  <c r="BE188" i="77"/>
  <c r="BI503" i="77"/>
  <c r="BI181" i="77"/>
  <c r="BL242" i="77"/>
  <c r="BE425" i="77"/>
  <c r="BI265" i="77"/>
  <c r="BL330" i="77"/>
  <c r="BL329" i="77"/>
  <c r="BI175" i="77"/>
  <c r="BL80" i="77"/>
  <c r="BE88" i="77"/>
  <c r="BI548" i="77"/>
  <c r="BI450" i="77"/>
  <c r="BE333" i="77"/>
  <c r="BL422" i="77"/>
  <c r="BL414" i="77"/>
  <c r="AR143" i="77"/>
  <c r="BE143" i="77" s="1"/>
  <c r="BE355" i="77"/>
  <c r="BI344" i="77"/>
  <c r="BI360" i="77"/>
  <c r="BE431" i="77"/>
  <c r="BE338" i="77"/>
  <c r="BI290" i="77"/>
  <c r="BI283" i="77"/>
  <c r="BI297" i="77"/>
  <c r="BL199" i="77"/>
  <c r="BL204" i="77"/>
  <c r="BI142" i="77"/>
  <c r="BI159" i="77"/>
  <c r="BI120" i="77"/>
  <c r="BL108" i="77"/>
  <c r="BL543" i="77"/>
  <c r="BI527" i="77"/>
  <c r="BI212" i="77"/>
  <c r="BI461" i="77"/>
  <c r="BL475" i="77"/>
  <c r="BI443" i="77"/>
  <c r="BI448" i="77"/>
  <c r="BE507" i="77"/>
  <c r="AM246" i="77"/>
  <c r="BG246" i="77" s="1"/>
  <c r="BH246" i="77" s="1"/>
  <c r="AQ246" i="77"/>
  <c r="BI483" i="77"/>
  <c r="BE483" i="77"/>
  <c r="BJ464" i="77"/>
  <c r="BK464" i="77" s="1"/>
  <c r="BG481" i="77"/>
  <c r="BH481" i="77" s="1"/>
  <c r="BG401" i="77"/>
  <c r="BH401" i="77" s="1"/>
  <c r="BL424" i="77"/>
  <c r="BE424" i="77"/>
  <c r="BE287" i="77"/>
  <c r="BI287" i="77"/>
  <c r="BI452" i="77"/>
  <c r="BL452" i="77"/>
  <c r="BJ544" i="77"/>
  <c r="BK544" i="77" s="1"/>
  <c r="BG234" i="77"/>
  <c r="BH234" i="77" s="1"/>
  <c r="BG399" i="77"/>
  <c r="BH399" i="77" s="1"/>
  <c r="BG334" i="77"/>
  <c r="BH334" i="77" s="1"/>
  <c r="AM310" i="77"/>
  <c r="AQ310" i="77"/>
  <c r="BI310" i="77" s="1"/>
  <c r="BG319" i="77"/>
  <c r="BH319" i="77" s="1"/>
  <c r="BI163" i="77"/>
  <c r="BE163" i="77"/>
  <c r="BJ514" i="77"/>
  <c r="BK514" i="77" s="1"/>
  <c r="BL555" i="77"/>
  <c r="BE555" i="77"/>
  <c r="AM219" i="77"/>
  <c r="AQ219" i="77"/>
  <c r="BL219" i="77" s="1"/>
  <c r="BG460" i="77"/>
  <c r="BH460" i="77" s="1"/>
  <c r="BG501" i="77"/>
  <c r="BH501" i="77" s="1"/>
  <c r="BJ493" i="77"/>
  <c r="BK493" i="77" s="1"/>
  <c r="BL427" i="77"/>
  <c r="BE427" i="77"/>
  <c r="BG309" i="77"/>
  <c r="BH309" i="77" s="1"/>
  <c r="BG257" i="77"/>
  <c r="BH257" i="77" s="1"/>
  <c r="BE161" i="77"/>
  <c r="BI161" i="77"/>
  <c r="BE262" i="77"/>
  <c r="BI303" i="77"/>
  <c r="BE392" i="77"/>
  <c r="BI462" i="77"/>
  <c r="BE199" i="77"/>
  <c r="BG361" i="77"/>
  <c r="BH361" i="77" s="1"/>
  <c r="BE361" i="77"/>
  <c r="BG342" i="77"/>
  <c r="BH342" i="77" s="1"/>
  <c r="BE342" i="77"/>
  <c r="BL354" i="77"/>
  <c r="BE354" i="77"/>
  <c r="BE233" i="77"/>
  <c r="BI233" i="77"/>
  <c r="BG440" i="77"/>
  <c r="BH440" i="77" s="1"/>
  <c r="AR334" i="77"/>
  <c r="BI334" i="77" s="1"/>
  <c r="AR401" i="77"/>
  <c r="BI401" i="77" s="1"/>
  <c r="BI362" i="77"/>
  <c r="AM506" i="77"/>
  <c r="BG506" i="77" s="1"/>
  <c r="BH506" i="77" s="1"/>
  <c r="AQ506" i="77"/>
  <c r="BG359" i="77"/>
  <c r="BH359" i="77" s="1"/>
  <c r="BE359" i="77"/>
  <c r="BG348" i="77"/>
  <c r="BH348" i="77" s="1"/>
  <c r="BE348" i="77"/>
  <c r="BI368" i="77"/>
  <c r="BE368" i="77"/>
  <c r="BE432" i="77"/>
  <c r="BL432" i="77"/>
  <c r="BI380" i="77"/>
  <c r="BE380" i="77"/>
  <c r="BJ411" i="77"/>
  <c r="BK411" i="77" s="1"/>
  <c r="BE411" i="77"/>
  <c r="BL415" i="77"/>
  <c r="BE415" i="77"/>
  <c r="BG306" i="77"/>
  <c r="BH306" i="77" s="1"/>
  <c r="BE306" i="77"/>
  <c r="BG279" i="77"/>
  <c r="BH279" i="77" s="1"/>
  <c r="BE279" i="77"/>
  <c r="BG265" i="77"/>
  <c r="BH265" i="77" s="1"/>
  <c r="BE265" i="77"/>
  <c r="BE267" i="77"/>
  <c r="BL267" i="77"/>
  <c r="BI166" i="77"/>
  <c r="BE166" i="77"/>
  <c r="BE201" i="77"/>
  <c r="BL201" i="77"/>
  <c r="AM152" i="77"/>
  <c r="AQ152" i="77"/>
  <c r="BI152" i="77" s="1"/>
  <c r="BL197" i="77"/>
  <c r="BE197" i="77"/>
  <c r="BE145" i="77"/>
  <c r="BJ145" i="77"/>
  <c r="BK145" i="77" s="1"/>
  <c r="AR460" i="77"/>
  <c r="BI460" i="77" s="1"/>
  <c r="BL447" i="77"/>
  <c r="BE109" i="77"/>
  <c r="BE105" i="77"/>
  <c r="BE102" i="77"/>
  <c r="BE232" i="77"/>
  <c r="BI215" i="77"/>
  <c r="AM518" i="77"/>
  <c r="AQ518" i="77"/>
  <c r="BI518" i="77" s="1"/>
  <c r="AM516" i="77"/>
  <c r="AQ516" i="77"/>
  <c r="BL516" i="77" s="1"/>
  <c r="BJ546" i="77"/>
  <c r="BK546" i="77" s="1"/>
  <c r="BE546" i="77"/>
  <c r="BG214" i="77"/>
  <c r="BH214" i="77" s="1"/>
  <c r="BI236" i="77"/>
  <c r="BE236" i="77"/>
  <c r="BI482" i="77"/>
  <c r="BE484" i="77"/>
  <c r="BL484" i="77"/>
  <c r="BG441" i="77"/>
  <c r="BH441" i="77" s="1"/>
  <c r="BE441" i="77"/>
  <c r="BI338" i="77"/>
  <c r="BE283" i="77"/>
  <c r="AR309" i="77"/>
  <c r="BI309" i="77" s="1"/>
  <c r="AR399" i="77"/>
  <c r="BI399" i="77" s="1"/>
  <c r="BL410" i="77"/>
  <c r="BL512" i="77"/>
  <c r="BE512" i="77"/>
  <c r="BJ498" i="77"/>
  <c r="BK498" i="77" s="1"/>
  <c r="BE498" i="77"/>
  <c r="BI375" i="77"/>
  <c r="BE375" i="77"/>
  <c r="BL356" i="77"/>
  <c r="BE356" i="77"/>
  <c r="BI346" i="77"/>
  <c r="BG345" i="77"/>
  <c r="BH345" i="77" s="1"/>
  <c r="BE345" i="77"/>
  <c r="BI398" i="77"/>
  <c r="BI347" i="77"/>
  <c r="BL439" i="77"/>
  <c r="BE439" i="77"/>
  <c r="BI258" i="77"/>
  <c r="BE258" i="77"/>
  <c r="BI263" i="77"/>
  <c r="BE263" i="77"/>
  <c r="BI180" i="77"/>
  <c r="BE180" i="77"/>
  <c r="BL172" i="77"/>
  <c r="BE172" i="77"/>
  <c r="BI172" i="77"/>
  <c r="BL205" i="77"/>
  <c r="BI187" i="77"/>
  <c r="BE187" i="77"/>
  <c r="BL206" i="77"/>
  <c r="BE195" i="77"/>
  <c r="BL195" i="77"/>
  <c r="BL466" i="77"/>
  <c r="BI532" i="77"/>
  <c r="BI230" i="77"/>
  <c r="BE549" i="77"/>
  <c r="BL549" i="77"/>
  <c r="BI528" i="77"/>
  <c r="BE254" i="77"/>
  <c r="BG221" i="77"/>
  <c r="BH221" i="77" s="1"/>
  <c r="BE221" i="77"/>
  <c r="BG456" i="77"/>
  <c r="BH456" i="77" s="1"/>
  <c r="BE456" i="77"/>
  <c r="AM453" i="77"/>
  <c r="AQ453" i="77"/>
  <c r="BL453" i="77" s="1"/>
  <c r="AR257" i="77"/>
  <c r="BI257" i="77" s="1"/>
  <c r="AR501" i="77"/>
  <c r="BI501" i="77" s="1"/>
  <c r="BI397" i="77"/>
  <c r="BI365" i="77"/>
  <c r="BE365" i="77"/>
  <c r="BG360" i="77"/>
  <c r="BH360" i="77" s="1"/>
  <c r="BE360" i="77"/>
  <c r="BG341" i="77"/>
  <c r="BH341" i="77" s="1"/>
  <c r="BE341" i="77"/>
  <c r="BE436" i="77"/>
  <c r="BL436" i="77"/>
  <c r="BE428" i="77"/>
  <c r="BL428" i="77"/>
  <c r="BL412" i="77"/>
  <c r="AM390" i="77"/>
  <c r="BG390" i="77" s="1"/>
  <c r="BH390" i="77" s="1"/>
  <c r="AQ390" i="77"/>
  <c r="BG305" i="77"/>
  <c r="BH305" i="77" s="1"/>
  <c r="BE305" i="77"/>
  <c r="BE331" i="77"/>
  <c r="BL331" i="77"/>
  <c r="AM153" i="77"/>
  <c r="AQ153" i="77"/>
  <c r="BI153" i="77" s="1"/>
  <c r="BL193" i="77"/>
  <c r="BE193" i="77"/>
  <c r="BL194" i="77"/>
  <c r="BE194" i="77"/>
  <c r="BJ146" i="77"/>
  <c r="BK146" i="77" s="1"/>
  <c r="BE146" i="77"/>
  <c r="AR544" i="77"/>
  <c r="BL544" i="77" s="1"/>
  <c r="BE80" i="77"/>
  <c r="BI101" i="77"/>
  <c r="BE242" i="77"/>
  <c r="BE379" i="77"/>
  <c r="BE270" i="77"/>
  <c r="BI165" i="77"/>
  <c r="BG499" i="77"/>
  <c r="BH499" i="77" s="1"/>
  <c r="BE499" i="77"/>
  <c r="BI185" i="77"/>
  <c r="BE185" i="77"/>
  <c r="BE548" i="77"/>
  <c r="BL333" i="77"/>
  <c r="BE511" i="77"/>
  <c r="BI274" i="77"/>
  <c r="BE430" i="77"/>
  <c r="BG371" i="77"/>
  <c r="BH371" i="77" s="1"/>
  <c r="BE371" i="77"/>
  <c r="BJ426" i="77"/>
  <c r="BK426" i="77" s="1"/>
  <c r="BE426" i="77"/>
  <c r="BJ418" i="77"/>
  <c r="BK418" i="77" s="1"/>
  <c r="BE418" i="77"/>
  <c r="BG362" i="77"/>
  <c r="BH362" i="77" s="1"/>
  <c r="BE362" i="77"/>
  <c r="AM150" i="77"/>
  <c r="AQ150" i="77"/>
  <c r="BI150" i="77" s="1"/>
  <c r="BJ207" i="77"/>
  <c r="BK207" i="77" s="1"/>
  <c r="BE207" i="77"/>
  <c r="BI250" i="77"/>
  <c r="BE363" i="77"/>
  <c r="BG532" i="77"/>
  <c r="BH532" i="77" s="1"/>
  <c r="BE532" i="77"/>
  <c r="AM530" i="77"/>
  <c r="AQ530" i="77"/>
  <c r="BI530" i="77" s="1"/>
  <c r="AM248" i="77"/>
  <c r="AQ248" i="77"/>
  <c r="BL248" i="77" s="1"/>
  <c r="BG230" i="77"/>
  <c r="BH230" i="77" s="1"/>
  <c r="BE230" i="77"/>
  <c r="BG220" i="77"/>
  <c r="BH220" i="77" s="1"/>
  <c r="AM240" i="77"/>
  <c r="BG240" i="77" s="1"/>
  <c r="BH240" i="77" s="1"/>
  <c r="AQ240" i="77"/>
  <c r="BJ247" i="77"/>
  <c r="BK247" i="77" s="1"/>
  <c r="BE247" i="77"/>
  <c r="BL487" i="77"/>
  <c r="BE487" i="77"/>
  <c r="BG463" i="77"/>
  <c r="BH463" i="77" s="1"/>
  <c r="BE463" i="77"/>
  <c r="BG461" i="77"/>
  <c r="BH461" i="77" s="1"/>
  <c r="BE461" i="77"/>
  <c r="BJ475" i="77"/>
  <c r="BK475" i="77" s="1"/>
  <c r="BE475" i="77"/>
  <c r="BE336" i="77"/>
  <c r="BE275" i="77"/>
  <c r="BL271" i="77"/>
  <c r="BE181" i="77"/>
  <c r="BE183" i="77"/>
  <c r="BL200" i="77"/>
  <c r="BE396" i="77"/>
  <c r="BJ413" i="77"/>
  <c r="BK413" i="77" s="1"/>
  <c r="BE413" i="77"/>
  <c r="BJ419" i="77"/>
  <c r="BK419" i="77" s="1"/>
  <c r="BE419" i="77"/>
  <c r="BJ326" i="77"/>
  <c r="BK326" i="77" s="1"/>
  <c r="BE326" i="77"/>
  <c r="BG307" i="77"/>
  <c r="BH307" i="77" s="1"/>
  <c r="BE307" i="77"/>
  <c r="BI273" i="77"/>
  <c r="BE273" i="77"/>
  <c r="BE301" i="77"/>
  <c r="BI301" i="77"/>
  <c r="AM327" i="77"/>
  <c r="BJ327" i="77" s="1"/>
  <c r="BK327" i="77" s="1"/>
  <c r="AQ327" i="77"/>
  <c r="BE162" i="77"/>
  <c r="BI162" i="77"/>
  <c r="BI190" i="77"/>
  <c r="BE190" i="77"/>
  <c r="BL192" i="77"/>
  <c r="BE192" i="77"/>
  <c r="AR220" i="77"/>
  <c r="BI220" i="77" s="1"/>
  <c r="BJ472" i="77"/>
  <c r="BK472" i="77" s="1"/>
  <c r="BE472" i="77"/>
  <c r="BJ351" i="77"/>
  <c r="BK351" i="77" s="1"/>
  <c r="BE351" i="77"/>
  <c r="AR442" i="77"/>
  <c r="BI442" i="77" s="1"/>
  <c r="BG442" i="77"/>
  <c r="BH442" i="77" s="1"/>
  <c r="BE500" i="77"/>
  <c r="BI500" i="77"/>
  <c r="BE435" i="77"/>
  <c r="BL435" i="77"/>
  <c r="BL423" i="77"/>
  <c r="BE423" i="77"/>
  <c r="BI155" i="77"/>
  <c r="BE155" i="77"/>
  <c r="BI189" i="77"/>
  <c r="BE189" i="77"/>
  <c r="BL241" i="77"/>
  <c r="BI211" i="77"/>
  <c r="BE211" i="77"/>
  <c r="BG468" i="77"/>
  <c r="BH468" i="77" s="1"/>
  <c r="BE468" i="77"/>
  <c r="AM492" i="77"/>
  <c r="AQ492" i="77"/>
  <c r="BL492" i="77" s="1"/>
  <c r="BE291" i="77"/>
  <c r="BI291" i="77"/>
  <c r="BG320" i="77"/>
  <c r="BH320" i="77" s="1"/>
  <c r="BE320" i="77"/>
  <c r="BI277" i="77"/>
  <c r="BE277" i="77"/>
  <c r="BE288" i="77"/>
  <c r="BI288" i="77"/>
  <c r="AM148" i="77"/>
  <c r="BG148" i="77" s="1"/>
  <c r="BH148" i="77" s="1"/>
  <c r="AQ148" i="77"/>
  <c r="BJ204" i="77"/>
  <c r="BK204" i="77" s="1"/>
  <c r="BE204" i="77"/>
  <c r="BI139" i="77"/>
  <c r="BE281" i="77"/>
  <c r="BI499" i="77"/>
  <c r="BJ350" i="77"/>
  <c r="BK350" i="77" s="1"/>
  <c r="BE350" i="77"/>
  <c r="BI378" i="77"/>
  <c r="BE378" i="77"/>
  <c r="BI284" i="77"/>
  <c r="BE284" i="77"/>
  <c r="BL173" i="77"/>
  <c r="BI173" i="77"/>
  <c r="BE173" i="77"/>
  <c r="BL224" i="77"/>
  <c r="BJ536" i="77"/>
  <c r="BK536" i="77" s="1"/>
  <c r="BE536" i="77"/>
  <c r="AM449" i="77"/>
  <c r="AQ449" i="77"/>
  <c r="BI449" i="77" s="1"/>
  <c r="BI158" i="77"/>
  <c r="BE316" i="77"/>
  <c r="BG316" i="77"/>
  <c r="BH316" i="77" s="1"/>
  <c r="BI156" i="77"/>
  <c r="BE156" i="77"/>
  <c r="AR481" i="77"/>
  <c r="BI481" i="77" s="1"/>
  <c r="AR226" i="77"/>
  <c r="BJ541" i="77"/>
  <c r="BK541" i="77" s="1"/>
  <c r="AM525" i="77"/>
  <c r="AQ525" i="77"/>
  <c r="BI525" i="77" s="1"/>
  <c r="BE488" i="77"/>
  <c r="BL488" i="77"/>
  <c r="BJ452" i="77"/>
  <c r="BK452" i="77" s="1"/>
  <c r="BE452" i="77"/>
  <c r="BE550" i="77"/>
  <c r="BL550" i="77"/>
  <c r="BL485" i="77"/>
  <c r="BE485" i="77"/>
  <c r="AM459" i="77"/>
  <c r="AQ459" i="77"/>
  <c r="BL459" i="77" s="1"/>
  <c r="BL332" i="77"/>
  <c r="BE332" i="77"/>
  <c r="BE260" i="77"/>
  <c r="BI311" i="77"/>
  <c r="BI377" i="77"/>
  <c r="BI341" i="77"/>
  <c r="BG505" i="77"/>
  <c r="BH505" i="77" s="1"/>
  <c r="BJ497" i="77"/>
  <c r="BK497" i="77" s="1"/>
  <c r="BE497" i="77"/>
  <c r="BL496" i="77"/>
  <c r="BE496" i="77"/>
  <c r="BE385" i="77"/>
  <c r="BI385" i="77"/>
  <c r="BG377" i="77"/>
  <c r="BH377" i="77" s="1"/>
  <c r="BE377" i="77"/>
  <c r="BG369" i="77"/>
  <c r="BH369" i="77" s="1"/>
  <c r="BI400" i="77"/>
  <c r="BE400" i="77"/>
  <c r="BL416" i="77"/>
  <c r="BE416" i="77"/>
  <c r="BE408" i="77"/>
  <c r="BL408" i="77"/>
  <c r="BE374" i="77"/>
  <c r="BI374" i="77"/>
  <c r="BL411" i="77"/>
  <c r="BE364" i="77"/>
  <c r="BI364" i="77"/>
  <c r="BJ317" i="77"/>
  <c r="BK317" i="77" s="1"/>
  <c r="BE317" i="77"/>
  <c r="BI324" i="77"/>
  <c r="BL314" i="77"/>
  <c r="BE314" i="77"/>
  <c r="BI157" i="77"/>
  <c r="BE157" i="77"/>
  <c r="BJ208" i="77"/>
  <c r="BK208" i="77" s="1"/>
  <c r="BE208" i="77"/>
  <c r="BJ191" i="77"/>
  <c r="BK191" i="77" s="1"/>
  <c r="BE184" i="77"/>
  <c r="BI184" i="77"/>
  <c r="BG139" i="77"/>
  <c r="BH139" i="77" s="1"/>
  <c r="BE139" i="77"/>
  <c r="BI523" i="77"/>
  <c r="AM38" i="77"/>
  <c r="BG38" i="77" s="1"/>
  <c r="BH38" i="77" s="1"/>
  <c r="AQ38" i="77"/>
  <c r="BG243" i="77"/>
  <c r="BH243" i="77" s="1"/>
  <c r="AR319" i="77"/>
  <c r="BI319" i="77" s="1"/>
  <c r="BI154" i="77"/>
  <c r="BL495" i="77"/>
  <c r="BI359" i="77"/>
  <c r="BI502" i="77"/>
  <c r="BE502" i="77"/>
  <c r="BI383" i="77"/>
  <c r="BE383" i="77"/>
  <c r="BL417" i="77"/>
  <c r="BE417" i="77"/>
  <c r="BI294" i="77"/>
  <c r="BE294" i="77"/>
  <c r="BI322" i="77"/>
  <c r="BE322" i="77"/>
  <c r="BG311" i="77"/>
  <c r="BH311" i="77" s="1"/>
  <c r="BE311" i="77"/>
  <c r="BG300" i="77"/>
  <c r="BH300" i="77" s="1"/>
  <c r="BE300" i="77"/>
  <c r="BE259" i="77"/>
  <c r="BI259" i="77"/>
  <c r="BE269" i="77"/>
  <c r="BL269" i="77"/>
  <c r="BG321" i="77"/>
  <c r="BH321" i="77" s="1"/>
  <c r="BE321" i="77"/>
  <c r="BI292" i="77"/>
  <c r="BE292" i="77"/>
  <c r="BE171" i="77"/>
  <c r="BI171" i="77"/>
  <c r="BG154" i="77"/>
  <c r="BH154" i="77" s="1"/>
  <c r="BE154" i="77"/>
  <c r="AR514" i="77"/>
  <c r="BL514" i="77" s="1"/>
  <c r="BE120" i="77"/>
  <c r="AR243" i="77"/>
  <c r="BI243" i="77" s="1"/>
  <c r="BL247" i="77"/>
  <c r="BJ545" i="77"/>
  <c r="BK545" i="77" s="1"/>
  <c r="BE545" i="77"/>
  <c r="BJ537" i="77"/>
  <c r="BK537" i="77" s="1"/>
  <c r="BE537" i="77"/>
  <c r="BG529" i="77"/>
  <c r="BH529" i="77" s="1"/>
  <c r="BE529" i="77"/>
  <c r="AM521" i="77"/>
  <c r="AQ521" i="77"/>
  <c r="BI521" i="77" s="1"/>
  <c r="BG534" i="77"/>
  <c r="BH534" i="77" s="1"/>
  <c r="BE534" i="77"/>
  <c r="AM540" i="77"/>
  <c r="BJ540" i="77" s="1"/>
  <c r="BK540" i="77" s="1"/>
  <c r="AQ540" i="77"/>
  <c r="BJ538" i="77"/>
  <c r="BK538" i="77" s="1"/>
  <c r="BE538" i="77"/>
  <c r="BG520" i="77"/>
  <c r="BH520" i="77" s="1"/>
  <c r="BE520" i="77"/>
  <c r="BG528" i="77"/>
  <c r="BH528" i="77" s="1"/>
  <c r="BE528" i="77"/>
  <c r="BI221" i="77"/>
  <c r="BL225" i="77"/>
  <c r="BE225" i="77"/>
  <c r="BE251" i="77"/>
  <c r="BI251" i="77"/>
  <c r="BI469" i="77"/>
  <c r="BL467" i="77"/>
  <c r="BJ454" i="77"/>
  <c r="BK454" i="77" s="1"/>
  <c r="BE454" i="77"/>
  <c r="AM455" i="77"/>
  <c r="AQ455" i="77"/>
  <c r="BL455" i="77" s="1"/>
  <c r="AR304" i="77"/>
  <c r="BL326" i="77"/>
  <c r="BI188" i="77"/>
  <c r="AR493" i="77"/>
  <c r="BL493" i="77" s="1"/>
  <c r="BI389" i="77"/>
  <c r="BL510" i="77"/>
  <c r="BE510" i="77"/>
  <c r="BL513" i="77"/>
  <c r="BE513" i="77"/>
  <c r="BG397" i="77"/>
  <c r="BH397" i="77" s="1"/>
  <c r="BE397" i="77"/>
  <c r="BG389" i="77"/>
  <c r="BH389" i="77" s="1"/>
  <c r="BE389" i="77"/>
  <c r="BJ352" i="77"/>
  <c r="BK352" i="77" s="1"/>
  <c r="BE352" i="77"/>
  <c r="BG344" i="77"/>
  <c r="BH344" i="77" s="1"/>
  <c r="BE344" i="77"/>
  <c r="BJ420" i="77"/>
  <c r="BK420" i="77" s="1"/>
  <c r="BE420" i="77"/>
  <c r="BJ412" i="77"/>
  <c r="BK412" i="77" s="1"/>
  <c r="BE412" i="77"/>
  <c r="BL409" i="77"/>
  <c r="BE409" i="77"/>
  <c r="BI335" i="77"/>
  <c r="BE335" i="77"/>
  <c r="BL328" i="77"/>
  <c r="BE328" i="77"/>
  <c r="BL266" i="77"/>
  <c r="BE266" i="77"/>
  <c r="BG312" i="77"/>
  <c r="BH312" i="77" s="1"/>
  <c r="BE312" i="77"/>
  <c r="BE170" i="77"/>
  <c r="BI170" i="77"/>
  <c r="BE160" i="77"/>
  <c r="BI160" i="77"/>
  <c r="AR464" i="77"/>
  <c r="BL464" i="77" s="1"/>
  <c r="BI517" i="77"/>
  <c r="BL254" i="77"/>
  <c r="BE422" i="77"/>
  <c r="BE395" i="77"/>
  <c r="BE509" i="77"/>
  <c r="BL87" i="77"/>
  <c r="BI323" i="77"/>
  <c r="BI504" i="77"/>
  <c r="BE504" i="77"/>
  <c r="BG387" i="77"/>
  <c r="BH387" i="77" s="1"/>
  <c r="BE387" i="77"/>
  <c r="BI342" i="77"/>
  <c r="BI376" i="77"/>
  <c r="BE376" i="77"/>
  <c r="AR315" i="77"/>
  <c r="BI315" i="77" s="1"/>
  <c r="BG315" i="77"/>
  <c r="BH315" i="77" s="1"/>
  <c r="BG286" i="77"/>
  <c r="BH286" i="77" s="1"/>
  <c r="BE286" i="77"/>
  <c r="BL207" i="77"/>
  <c r="BG140" i="77"/>
  <c r="BH140" i="77" s="1"/>
  <c r="BE140" i="77"/>
  <c r="AR541" i="77"/>
  <c r="BL541" i="77" s="1"/>
  <c r="AR440" i="77"/>
  <c r="BI440" i="77" s="1"/>
  <c r="BG526" i="77"/>
  <c r="BH526" i="77" s="1"/>
  <c r="BE526" i="77"/>
  <c r="BG216" i="77"/>
  <c r="BH216" i="77" s="1"/>
  <c r="BE216" i="77"/>
  <c r="BE213" i="77"/>
  <c r="BI213" i="77"/>
  <c r="BJ474" i="77"/>
  <c r="BK474" i="77" s="1"/>
  <c r="BE474" i="77"/>
  <c r="BJ466" i="77"/>
  <c r="BK466" i="77" s="1"/>
  <c r="BE466" i="77"/>
  <c r="BJ410" i="77"/>
  <c r="BK410" i="77" s="1"/>
  <c r="BE410" i="77"/>
  <c r="BG382" i="77"/>
  <c r="BH382" i="77" s="1"/>
  <c r="BE382" i="77"/>
  <c r="BG264" i="77"/>
  <c r="BH264" i="77" s="1"/>
  <c r="BE264" i="77"/>
  <c r="BE552" i="77"/>
  <c r="BE444" i="77"/>
  <c r="BE33" i="77"/>
  <c r="BL256" i="77"/>
  <c r="AM519" i="77"/>
  <c r="AQ519" i="77"/>
  <c r="BI519" i="77" s="1"/>
  <c r="BG239" i="77"/>
  <c r="BH239" i="77" s="1"/>
  <c r="BG210" i="77"/>
  <c r="BH210" i="77" s="1"/>
  <c r="BE210" i="77"/>
  <c r="BG394" i="77"/>
  <c r="BH394" i="77" s="1"/>
  <c r="BE394" i="77"/>
  <c r="BE405" i="77"/>
  <c r="BL405" i="77"/>
  <c r="BJ313" i="77"/>
  <c r="BK313" i="77" s="1"/>
  <c r="BI280" i="77"/>
  <c r="BE280" i="77"/>
  <c r="BG391" i="77"/>
  <c r="BH391" i="77" s="1"/>
  <c r="BE391" i="77"/>
  <c r="BG398" i="77"/>
  <c r="BH398" i="77" s="1"/>
  <c r="BE398" i="77"/>
  <c r="BL407" i="77"/>
  <c r="BE407" i="77"/>
  <c r="BG272" i="77"/>
  <c r="BH272" i="77" s="1"/>
  <c r="BE272" i="77"/>
  <c r="BJ205" i="77"/>
  <c r="BK205" i="77" s="1"/>
  <c r="BE205" i="77"/>
  <c r="BJ144" i="77"/>
  <c r="BK144" i="77" s="1"/>
  <c r="BE144" i="77"/>
  <c r="BG237" i="77"/>
  <c r="BH237" i="77" s="1"/>
  <c r="BE237" i="77"/>
  <c r="BI279" i="77"/>
  <c r="AM494" i="77"/>
  <c r="AQ494" i="77"/>
  <c r="BL494" i="77" s="1"/>
  <c r="BE490" i="77"/>
  <c r="BL490" i="77"/>
  <c r="BG448" i="77"/>
  <c r="BH448" i="77" s="1"/>
  <c r="BE448" i="77"/>
  <c r="AR313" i="77"/>
  <c r="BI345" i="77"/>
  <c r="BJ491" i="77"/>
  <c r="BK491" i="77" s="1"/>
  <c r="BE491" i="77"/>
  <c r="BE268" i="77"/>
  <c r="BL268" i="77"/>
  <c r="BG533" i="77"/>
  <c r="BH533" i="77" s="1"/>
  <c r="BE533" i="77"/>
  <c r="AM515" i="77"/>
  <c r="AQ515" i="77"/>
  <c r="BL515" i="77" s="1"/>
  <c r="BG217" i="77"/>
  <c r="BH217" i="77" s="1"/>
  <c r="BE217" i="77"/>
  <c r="BE255" i="77"/>
  <c r="BL255" i="77"/>
  <c r="AM524" i="77"/>
  <c r="AQ524" i="77"/>
  <c r="BI524" i="77" s="1"/>
  <c r="AM522" i="77"/>
  <c r="AQ522" i="77"/>
  <c r="BI522" i="77" s="1"/>
  <c r="BJ218" i="77"/>
  <c r="BK218" i="77" s="1"/>
  <c r="BE218" i="77"/>
  <c r="BG249" i="77"/>
  <c r="BH249" i="77" s="1"/>
  <c r="BE249" i="77"/>
  <c r="AM244" i="77"/>
  <c r="AQ244" i="77"/>
  <c r="BI244" i="77" s="1"/>
  <c r="AR445" i="77"/>
  <c r="BL445" i="77" s="1"/>
  <c r="BJ445" i="77"/>
  <c r="BK445" i="77" s="1"/>
  <c r="BI300" i="77"/>
  <c r="AR505" i="77"/>
  <c r="BI505" i="77" s="1"/>
  <c r="AR369" i="77"/>
  <c r="BI369" i="77" s="1"/>
  <c r="BL413" i="77"/>
  <c r="BE393" i="77"/>
  <c r="BI393" i="77"/>
  <c r="BJ349" i="77"/>
  <c r="BK349" i="77" s="1"/>
  <c r="BL351" i="77"/>
  <c r="BL437" i="77"/>
  <c r="BE437" i="77"/>
  <c r="AM308" i="77"/>
  <c r="AQ308" i="77"/>
  <c r="BI308" i="77" s="1"/>
  <c r="BE182" i="77"/>
  <c r="BI182" i="77"/>
  <c r="BL174" i="77"/>
  <c r="BE174" i="77"/>
  <c r="BI174" i="77"/>
  <c r="BE175" i="77"/>
  <c r="BI169" i="77"/>
  <c r="BE169" i="77"/>
  <c r="BJ209" i="77"/>
  <c r="BK209" i="77" s="1"/>
  <c r="BE209" i="77"/>
  <c r="BI456" i="77"/>
  <c r="BL538" i="77"/>
  <c r="AR234" i="77"/>
  <c r="BI234" i="77" s="1"/>
  <c r="BL551" i="77"/>
  <c r="BE551" i="77"/>
  <c r="BE547" i="77"/>
  <c r="BL547" i="77"/>
  <c r="AM539" i="77"/>
  <c r="AQ539" i="77"/>
  <c r="BL539" i="77" s="1"/>
  <c r="AM531" i="77"/>
  <c r="AQ531" i="77"/>
  <c r="BI531" i="77" s="1"/>
  <c r="BG523" i="77"/>
  <c r="BH523" i="77" s="1"/>
  <c r="BE523" i="77"/>
  <c r="BJ542" i="77"/>
  <c r="BK542" i="77" s="1"/>
  <c r="BE542" i="77"/>
  <c r="BE252" i="77"/>
  <c r="BJ241" i="77"/>
  <c r="BK241" i="77" s="1"/>
  <c r="BE241" i="77"/>
  <c r="AM238" i="77"/>
  <c r="AQ238" i="77"/>
  <c r="BI238" i="77" s="1"/>
  <c r="BJ458" i="77"/>
  <c r="BK458" i="77" s="1"/>
  <c r="BG479" i="77"/>
  <c r="BH479" i="77" s="1"/>
  <c r="BG470" i="77"/>
  <c r="BH470" i="77" s="1"/>
  <c r="BG462" i="77"/>
  <c r="BH462" i="77" s="1"/>
  <c r="BE462" i="77"/>
  <c r="BG482" i="77"/>
  <c r="BH482" i="77" s="1"/>
  <c r="BE482" i="77"/>
  <c r="BJ473" i="77"/>
  <c r="BK473" i="77" s="1"/>
  <c r="BE473" i="77"/>
  <c r="BG480" i="77"/>
  <c r="BH480" i="77" s="1"/>
  <c r="BE480" i="77"/>
  <c r="BG477" i="77"/>
  <c r="BH477" i="77" s="1"/>
  <c r="BG450" i="77"/>
  <c r="BH450" i="77" s="1"/>
  <c r="BE450" i="77"/>
  <c r="BL426" i="77"/>
  <c r="BI372" i="77"/>
  <c r="BG503" i="77"/>
  <c r="BH503" i="77" s="1"/>
  <c r="BE503" i="77"/>
  <c r="BJ495" i="77"/>
  <c r="BK495" i="77" s="1"/>
  <c r="BE495" i="77"/>
  <c r="BL498" i="77"/>
  <c r="BI367" i="77"/>
  <c r="BE367" i="77"/>
  <c r="BG346" i="77"/>
  <c r="BH346" i="77" s="1"/>
  <c r="BE346" i="77"/>
  <c r="BG372" i="77"/>
  <c r="BH372" i="77" s="1"/>
  <c r="BE372" i="77"/>
  <c r="BG347" i="77"/>
  <c r="BH347" i="77" s="1"/>
  <c r="BE347" i="77"/>
  <c r="BJ429" i="77"/>
  <c r="BK429" i="77" s="1"/>
  <c r="BE429" i="77"/>
  <c r="AM402" i="77"/>
  <c r="AQ402" i="77"/>
  <c r="BI402" i="77" s="1"/>
  <c r="BJ403" i="77"/>
  <c r="BK403" i="77" s="1"/>
  <c r="BE403" i="77"/>
  <c r="BI278" i="77"/>
  <c r="BE278" i="77"/>
  <c r="AM149" i="77"/>
  <c r="BG149" i="77" s="1"/>
  <c r="BH149" i="77" s="1"/>
  <c r="AQ149" i="77"/>
  <c r="BE198" i="77"/>
  <c r="BL198" i="77"/>
  <c r="BJ206" i="77"/>
  <c r="BK206" i="77" s="1"/>
  <c r="BE206" i="77"/>
  <c r="BG141" i="77"/>
  <c r="BH141" i="77" s="1"/>
  <c r="BE141" i="77"/>
  <c r="BI529" i="77"/>
  <c r="BL454" i="77"/>
  <c r="AR214" i="77"/>
  <c r="BI214" i="77" s="1"/>
  <c r="BE553" i="77"/>
  <c r="BL553" i="77"/>
  <c r="BI534" i="77"/>
  <c r="BI231" i="77"/>
  <c r="BE231" i="77"/>
  <c r="BL476" i="77"/>
  <c r="BE476" i="77"/>
  <c r="BI478" i="77"/>
  <c r="BE478" i="77"/>
  <c r="BJ465" i="77"/>
  <c r="BK465" i="77" s="1"/>
  <c r="BE465" i="77"/>
  <c r="BG471" i="77"/>
  <c r="BH471" i="77" s="1"/>
  <c r="BE471" i="77"/>
  <c r="BG469" i="77"/>
  <c r="BH469" i="77" s="1"/>
  <c r="BE469" i="77"/>
  <c r="BJ467" i="77"/>
  <c r="BK467" i="77" s="1"/>
  <c r="BE467" i="77"/>
  <c r="BI264" i="77"/>
  <c r="BL318" i="77"/>
  <c r="AR349" i="77"/>
  <c r="BL349" i="77" s="1"/>
  <c r="BE381" i="77"/>
  <c r="BI381" i="77"/>
  <c r="BE373" i="77"/>
  <c r="BI373" i="77"/>
  <c r="BL352" i="77"/>
  <c r="BI384" i="77"/>
  <c r="BE384" i="77"/>
  <c r="BL420" i="77"/>
  <c r="BE404" i="77"/>
  <c r="BL404" i="77"/>
  <c r="BG343" i="77"/>
  <c r="BH343" i="77" s="1"/>
  <c r="BE343" i="77"/>
  <c r="BJ421" i="77"/>
  <c r="BK421" i="77" s="1"/>
  <c r="BG370" i="77"/>
  <c r="BH370" i="77" s="1"/>
  <c r="BE370" i="77"/>
  <c r="BI386" i="77"/>
  <c r="BE386" i="77"/>
  <c r="BG293" i="77"/>
  <c r="BH293" i="77" s="1"/>
  <c r="BE293" i="77"/>
  <c r="BI296" i="77"/>
  <c r="BE296" i="77"/>
  <c r="BI312" i="77"/>
  <c r="BI285" i="77"/>
  <c r="BE285" i="77"/>
  <c r="BG178" i="77"/>
  <c r="BH178" i="77" s="1"/>
  <c r="BE178" i="77"/>
  <c r="BG167" i="77"/>
  <c r="BH167" i="77" s="1"/>
  <c r="BE167" i="77"/>
  <c r="BG147" i="77"/>
  <c r="BH147" i="77" s="1"/>
  <c r="BI177" i="77"/>
  <c r="BE177" i="77"/>
  <c r="BI186" i="77"/>
  <c r="BE186" i="77"/>
  <c r="BE142" i="77"/>
  <c r="BG142" i="77"/>
  <c r="BH142" i="77" s="1"/>
  <c r="AR477" i="77"/>
  <c r="BI477" i="77" s="1"/>
  <c r="BI526" i="77"/>
  <c r="AR239" i="77"/>
  <c r="BI239" i="77" s="1"/>
  <c r="AR191" i="77"/>
  <c r="BL191" i="77" s="1"/>
  <c r="AR147" i="77"/>
  <c r="BI147" i="77" s="1"/>
  <c r="AR458" i="77"/>
  <c r="BL458" i="77" s="1"/>
  <c r="BL434" i="77"/>
  <c r="BE434" i="77"/>
  <c r="BI388" i="77"/>
  <c r="BE388" i="77"/>
  <c r="BE325" i="77"/>
  <c r="BI325" i="77"/>
  <c r="BI168" i="77"/>
  <c r="BE168" i="77"/>
  <c r="BE179" i="77"/>
  <c r="BI179" i="77"/>
  <c r="AR479" i="77"/>
  <c r="BI479" i="77" s="1"/>
  <c r="BL252" i="77"/>
  <c r="BE253" i="77"/>
  <c r="BL554" i="77"/>
  <c r="BE554" i="77"/>
  <c r="BJ543" i="77"/>
  <c r="BK543" i="77" s="1"/>
  <c r="BE543" i="77"/>
  <c r="BJ535" i="77"/>
  <c r="BK535" i="77" s="1"/>
  <c r="BE535" i="77"/>
  <c r="BG527" i="77"/>
  <c r="BH527" i="77" s="1"/>
  <c r="BE527" i="77"/>
  <c r="BG517" i="77"/>
  <c r="BH517" i="77" s="1"/>
  <c r="BE517" i="77"/>
  <c r="BG245" i="77"/>
  <c r="BH245" i="77" s="1"/>
  <c r="BE245" i="77"/>
  <c r="BL489" i="77"/>
  <c r="BE489" i="77"/>
  <c r="BI457" i="77"/>
  <c r="BE457" i="77"/>
  <c r="BI463" i="77"/>
  <c r="AM451" i="77"/>
  <c r="AQ451" i="77"/>
  <c r="BI451" i="77" s="1"/>
  <c r="BI286" i="77"/>
  <c r="BE324" i="77"/>
  <c r="AR421" i="77"/>
  <c r="BL421" i="77" s="1"/>
  <c r="BE358" i="77"/>
  <c r="BL358" i="77"/>
  <c r="BL433" i="77"/>
  <c r="BE433" i="77"/>
  <c r="BE339" i="77"/>
  <c r="BI339" i="77"/>
  <c r="AM151" i="77"/>
  <c r="AQ151" i="77"/>
  <c r="BI151" i="77" s="1"/>
  <c r="AR470" i="77"/>
  <c r="BI470" i="77" s="1"/>
  <c r="BL79" i="77"/>
  <c r="BL86" i="77"/>
  <c r="BE79" i="77"/>
  <c r="BI26" i="77"/>
  <c r="BL136" i="77"/>
  <c r="BE97" i="77"/>
  <c r="AM116" i="77"/>
  <c r="BG116" i="77" s="1"/>
  <c r="BH116" i="77" s="1"/>
  <c r="AQ116" i="77"/>
  <c r="BI64" i="77"/>
  <c r="BI45" i="77"/>
  <c r="BL83" i="77"/>
  <c r="BI19" i="77"/>
  <c r="BL138" i="77"/>
  <c r="BL75" i="77"/>
  <c r="BE71" i="77"/>
  <c r="BI34" i="77"/>
  <c r="BE136" i="77"/>
  <c r="BL97" i="77"/>
  <c r="BE86" i="77"/>
  <c r="BI131" i="77"/>
  <c r="BE35" i="77"/>
  <c r="BI59" i="77"/>
  <c r="BL16" i="77"/>
  <c r="BE132" i="77"/>
  <c r="BI36" i="77"/>
  <c r="BE59" i="77"/>
  <c r="BE92" i="77"/>
  <c r="AM39" i="77"/>
  <c r="BG39" i="77" s="1"/>
  <c r="BH39" i="77" s="1"/>
  <c r="AQ39" i="77"/>
  <c r="BI39" i="77" s="1"/>
  <c r="AM37" i="77"/>
  <c r="AQ37" i="77"/>
  <c r="BI37" i="77" s="1"/>
  <c r="BI35" i="77"/>
  <c r="BL14" i="77"/>
  <c r="BL92" i="77"/>
  <c r="BE124" i="77"/>
  <c r="BI46" i="77"/>
  <c r="BE89" i="77"/>
  <c r="BE56" i="77"/>
  <c r="BL76" i="77"/>
  <c r="BI52" i="77"/>
  <c r="BI57" i="77"/>
  <c r="BI41" i="77"/>
  <c r="BL94" i="77"/>
  <c r="BI61" i="77"/>
  <c r="BE64" i="77"/>
  <c r="BE74" i="77"/>
  <c r="BL137" i="77"/>
  <c r="BL129" i="77"/>
  <c r="BE112" i="77"/>
  <c r="BE138" i="77"/>
  <c r="BL98" i="77"/>
  <c r="BI104" i="77"/>
  <c r="BL78" i="77"/>
  <c r="BL90" i="77"/>
  <c r="BL82" i="77"/>
  <c r="BI113" i="77"/>
  <c r="BL132" i="77"/>
  <c r="BE94" i="77"/>
  <c r="BE57" i="77"/>
  <c r="BL124" i="77"/>
  <c r="BL93" i="77"/>
  <c r="BE78" i="77"/>
  <c r="BL127" i="77"/>
  <c r="BE137" i="77"/>
  <c r="BI66" i="77"/>
  <c r="BI22" i="77"/>
  <c r="BE41" i="77"/>
  <c r="BI10" i="77"/>
  <c r="BL70" i="77"/>
  <c r="BE121" i="77"/>
  <c r="BE61" i="77"/>
  <c r="BI11" i="77"/>
  <c r="BI56" i="77"/>
  <c r="BL95" i="77"/>
  <c r="BI126" i="77"/>
  <c r="BL117" i="77"/>
  <c r="BI12" i="77"/>
  <c r="BE31" i="77"/>
  <c r="BE30" i="77"/>
  <c r="BB664" i="77"/>
  <c r="BL133" i="77"/>
  <c r="BE60" i="77"/>
  <c r="BL89" i="77"/>
  <c r="BI123" i="77"/>
  <c r="BE118" i="77"/>
  <c r="BI49" i="77"/>
  <c r="BE28" i="77"/>
  <c r="BI48" i="77"/>
  <c r="BL96" i="77"/>
  <c r="BC664" i="77"/>
  <c r="BE129" i="77"/>
  <c r="BL112" i="77"/>
  <c r="BE25" i="77"/>
  <c r="BE68" i="77"/>
  <c r="BI69" i="77"/>
  <c r="BE26" i="77"/>
  <c r="BE34" i="77"/>
  <c r="BE98" i="77"/>
  <c r="BL85" i="77"/>
  <c r="BE100" i="77"/>
  <c r="BI31" i="77"/>
  <c r="BE110" i="77"/>
  <c r="BI106" i="77"/>
  <c r="BE55" i="77"/>
  <c r="BL74" i="77"/>
  <c r="BL15" i="77"/>
  <c r="BI114" i="77"/>
  <c r="BE75" i="77"/>
  <c r="BI103" i="77"/>
  <c r="BI125" i="77"/>
  <c r="BE69" i="77"/>
  <c r="BI28" i="77"/>
  <c r="BI100" i="77"/>
  <c r="BL110" i="77"/>
  <c r="BE82" i="77"/>
  <c r="BI121" i="77"/>
  <c r="BE65" i="77"/>
  <c r="BI23" i="77"/>
  <c r="BE53" i="77"/>
  <c r="BE104" i="77"/>
  <c r="BE83" i="77"/>
  <c r="BL84" i="77"/>
  <c r="BE90" i="77"/>
  <c r="BE126" i="77"/>
  <c r="BE93" i="77"/>
  <c r="BE63" i="77"/>
  <c r="BE42" i="77"/>
  <c r="BI30" i="77"/>
  <c r="BL134" i="77"/>
  <c r="BL17" i="77"/>
  <c r="BI24" i="77"/>
  <c r="BI130" i="77"/>
  <c r="BI13" i="77"/>
  <c r="BE27" i="77"/>
  <c r="BE45" i="77"/>
  <c r="BE46" i="77"/>
  <c r="BL118" i="77"/>
  <c r="BL128" i="77"/>
  <c r="BI54" i="77"/>
  <c r="BE21" i="77"/>
  <c r="BL135" i="77"/>
  <c r="BE73" i="77"/>
  <c r="BI67" i="77"/>
  <c r="BI40" i="77"/>
  <c r="BE131" i="77"/>
  <c r="BE76" i="77"/>
  <c r="BE72" i="77"/>
  <c r="BE111" i="77"/>
  <c r="BI60" i="77"/>
  <c r="BE52" i="77"/>
  <c r="BE19" i="77"/>
  <c r="BL71" i="77"/>
  <c r="BG11" i="77"/>
  <c r="BH11" i="77" s="1"/>
  <c r="BE11" i="77"/>
  <c r="BJ17" i="77"/>
  <c r="BK17" i="77" s="1"/>
  <c r="BE17" i="77"/>
  <c r="BG13" i="77"/>
  <c r="BH13" i="77" s="1"/>
  <c r="BE13" i="77"/>
  <c r="BG20" i="77"/>
  <c r="BH20" i="77" s="1"/>
  <c r="BG18" i="77"/>
  <c r="BH18" i="77" s="1"/>
  <c r="BE85" i="77"/>
  <c r="BJ117" i="77"/>
  <c r="BK117" i="77" s="1"/>
  <c r="BE117" i="77"/>
  <c r="BE22" i="77"/>
  <c r="BG22" i="77"/>
  <c r="BH22" i="77" s="1"/>
  <c r="BJ77" i="77"/>
  <c r="BI63" i="77"/>
  <c r="BE36" i="77"/>
  <c r="BG36" i="77"/>
  <c r="BH36" i="77" s="1"/>
  <c r="BE66" i="77"/>
  <c r="BG66" i="77"/>
  <c r="BH66" i="77" s="1"/>
  <c r="BE67" i="77"/>
  <c r="BE48" i="77"/>
  <c r="BI65" i="77"/>
  <c r="BG103" i="77"/>
  <c r="BH103" i="77" s="1"/>
  <c r="BE103" i="77"/>
  <c r="BJ70" i="77"/>
  <c r="BK70" i="77" s="1"/>
  <c r="BE70" i="77"/>
  <c r="BE128" i="77"/>
  <c r="BE114" i="77"/>
  <c r="BI27" i="77"/>
  <c r="BE12" i="77"/>
  <c r="BG12" i="77"/>
  <c r="BH12" i="77" s="1"/>
  <c r="BJ15" i="77"/>
  <c r="BK15" i="77" s="1"/>
  <c r="BE15" i="77"/>
  <c r="BG119" i="77"/>
  <c r="BH119" i="77" s="1"/>
  <c r="BG58" i="77"/>
  <c r="BH58" i="77" s="1"/>
  <c r="BG29" i="77"/>
  <c r="AR119" i="77"/>
  <c r="BE119" i="77" s="1"/>
  <c r="AR29" i="77"/>
  <c r="BE29" i="77" s="1"/>
  <c r="BI68" i="77"/>
  <c r="BG54" i="77"/>
  <c r="BH54" i="77" s="1"/>
  <c r="BE54" i="77"/>
  <c r="BI25" i="77"/>
  <c r="BE24" i="77"/>
  <c r="BI55" i="77"/>
  <c r="BG40" i="77"/>
  <c r="BH40" i="77" s="1"/>
  <c r="BE40" i="77"/>
  <c r="BL73" i="77"/>
  <c r="BL72" i="77"/>
  <c r="BE123" i="77"/>
  <c r="BE135" i="77"/>
  <c r="BE134" i="77"/>
  <c r="BE133" i="77"/>
  <c r="AR77" i="77"/>
  <c r="BL77" i="77" s="1"/>
  <c r="BL111" i="77"/>
  <c r="BE96" i="77"/>
  <c r="BE23" i="77"/>
  <c r="BJ16" i="77"/>
  <c r="BK16" i="77" s="1"/>
  <c r="BE16" i="77"/>
  <c r="BG115" i="77"/>
  <c r="BH115" i="77" s="1"/>
  <c r="AR20" i="77"/>
  <c r="BI20" i="77" s="1"/>
  <c r="BJ91" i="77"/>
  <c r="BK91" i="77" s="1"/>
  <c r="BG130" i="77"/>
  <c r="BH130" i="77" s="1"/>
  <c r="BE130" i="77"/>
  <c r="BG47" i="77"/>
  <c r="BH47" i="77" s="1"/>
  <c r="AR58" i="77"/>
  <c r="BI58" i="77" s="1"/>
  <c r="BJ127" i="77"/>
  <c r="BK127" i="77" s="1"/>
  <c r="BE127" i="77"/>
  <c r="BJ95" i="77"/>
  <c r="BK95" i="77" s="1"/>
  <c r="BE95" i="77"/>
  <c r="BE99" i="77"/>
  <c r="BG99" i="77"/>
  <c r="BH99" i="77" s="1"/>
  <c r="BI53" i="77"/>
  <c r="AR47" i="77"/>
  <c r="BI47" i="77" s="1"/>
  <c r="BI21" i="77"/>
  <c r="BI42" i="77"/>
  <c r="AR18" i="77"/>
  <c r="BI18" i="77" s="1"/>
  <c r="BE49" i="77"/>
  <c r="AR115" i="77"/>
  <c r="BI115" i="77" s="1"/>
  <c r="BG125" i="77"/>
  <c r="BH125" i="77" s="1"/>
  <c r="BE125" i="77"/>
  <c r="BG62" i="77"/>
  <c r="BH62" i="77" s="1"/>
  <c r="AR91" i="77"/>
  <c r="BL91" i="77" s="1"/>
  <c r="BG10" i="77"/>
  <c r="BH10" i="77" s="1"/>
  <c r="BE10" i="77"/>
  <c r="BG113" i="77"/>
  <c r="BH113" i="77" s="1"/>
  <c r="BE113" i="77"/>
  <c r="BJ84" i="77"/>
  <c r="BK84" i="77" s="1"/>
  <c r="BE84" i="77"/>
  <c r="BE106" i="77"/>
  <c r="AR62" i="77"/>
  <c r="BI62" i="77" s="1"/>
  <c r="BI99" i="77"/>
  <c r="BJ14" i="77"/>
  <c r="BK14" i="77" s="1"/>
  <c r="BE14" i="77"/>
  <c r="AP6" i="77"/>
  <c r="AP664" i="77" s="1"/>
  <c r="AO6" i="77"/>
  <c r="AO664" i="77" s="1"/>
  <c r="BJ583" i="77" l="1"/>
  <c r="BK583" i="77" s="1"/>
  <c r="BE583" i="77"/>
  <c r="BL143" i="77"/>
  <c r="BE477" i="77"/>
  <c r="BE214" i="77"/>
  <c r="BE458" i="77"/>
  <c r="BE445" i="77"/>
  <c r="BE470" i="77"/>
  <c r="BE315" i="77"/>
  <c r="BG151" i="77"/>
  <c r="BH151" i="77" s="1"/>
  <c r="BE151" i="77"/>
  <c r="BG522" i="77"/>
  <c r="BH522" i="77" s="1"/>
  <c r="BE522" i="77"/>
  <c r="BE240" i="77"/>
  <c r="BI240" i="77"/>
  <c r="BG153" i="77"/>
  <c r="BH153" i="77" s="1"/>
  <c r="BE153" i="77"/>
  <c r="BJ219" i="77"/>
  <c r="BK219" i="77" s="1"/>
  <c r="BE219" i="77"/>
  <c r="BE421" i="77"/>
  <c r="BG402" i="77"/>
  <c r="BH402" i="77" s="1"/>
  <c r="BE402" i="77"/>
  <c r="BG308" i="77"/>
  <c r="BH308" i="77" s="1"/>
  <c r="BE308" i="77"/>
  <c r="BI313" i="77"/>
  <c r="BL313" i="77"/>
  <c r="BJ494" i="77"/>
  <c r="BK494" i="77" s="1"/>
  <c r="BE494" i="77"/>
  <c r="BJ455" i="77"/>
  <c r="BK455" i="77" s="1"/>
  <c r="BE455" i="77"/>
  <c r="BE540" i="77"/>
  <c r="BL540" i="77"/>
  <c r="BE191" i="77"/>
  <c r="BE505" i="77"/>
  <c r="BE541" i="77"/>
  <c r="BE148" i="77"/>
  <c r="BI148" i="77"/>
  <c r="BJ516" i="77"/>
  <c r="BK516" i="77" s="1"/>
  <c r="BE516" i="77"/>
  <c r="BE309" i="77"/>
  <c r="BE493" i="77"/>
  <c r="BE460" i="77"/>
  <c r="BE399" i="77"/>
  <c r="BE544" i="77"/>
  <c r="BE401" i="77"/>
  <c r="BE464" i="77"/>
  <c r="BE246" i="77"/>
  <c r="BI246" i="77"/>
  <c r="BE147" i="77"/>
  <c r="BG531" i="77"/>
  <c r="BH531" i="77" s="1"/>
  <c r="BE531" i="77"/>
  <c r="BE149" i="77"/>
  <c r="BI149" i="77"/>
  <c r="BE479" i="77"/>
  <c r="BJ539" i="77"/>
  <c r="BK539" i="77" s="1"/>
  <c r="BE539" i="77"/>
  <c r="BG244" i="77"/>
  <c r="BH244" i="77" s="1"/>
  <c r="BE244" i="77"/>
  <c r="BG524" i="77"/>
  <c r="BH524" i="77" s="1"/>
  <c r="BE524" i="77"/>
  <c r="BG519" i="77"/>
  <c r="BH519" i="77" s="1"/>
  <c r="BE519" i="77"/>
  <c r="BG521" i="77"/>
  <c r="BH521" i="77" s="1"/>
  <c r="BE521" i="77"/>
  <c r="BE38" i="77"/>
  <c r="BI38" i="77"/>
  <c r="BJ459" i="77"/>
  <c r="BK459" i="77" s="1"/>
  <c r="BE459" i="77"/>
  <c r="BJ492" i="77"/>
  <c r="BK492" i="77" s="1"/>
  <c r="BE492" i="77"/>
  <c r="BE442" i="77"/>
  <c r="BE327" i="77"/>
  <c r="BL327" i="77"/>
  <c r="BE220" i="77"/>
  <c r="BG530" i="77"/>
  <c r="BH530" i="77" s="1"/>
  <c r="BE530" i="77"/>
  <c r="BG150" i="77"/>
  <c r="BH150" i="77" s="1"/>
  <c r="BE150" i="77"/>
  <c r="BJ453" i="77"/>
  <c r="BK453" i="77" s="1"/>
  <c r="BE453" i="77"/>
  <c r="BE440" i="77"/>
  <c r="BG310" i="77"/>
  <c r="BH310" i="77" s="1"/>
  <c r="BE310" i="77"/>
  <c r="BJ515" i="77"/>
  <c r="BK515" i="77" s="1"/>
  <c r="BE515" i="77"/>
  <c r="BG525" i="77"/>
  <c r="BH525" i="77" s="1"/>
  <c r="BE525" i="77"/>
  <c r="BG152" i="77"/>
  <c r="BH152" i="77" s="1"/>
  <c r="BE152" i="77"/>
  <c r="BE451" i="77"/>
  <c r="BG451" i="77"/>
  <c r="BH451" i="77" s="1"/>
  <c r="BG238" i="77"/>
  <c r="BH238" i="77" s="1"/>
  <c r="BE238" i="77"/>
  <c r="BE349" i="77"/>
  <c r="BE313" i="77"/>
  <c r="BE239" i="77"/>
  <c r="BE304" i="77"/>
  <c r="BI304" i="77"/>
  <c r="BE243" i="77"/>
  <c r="BE369" i="77"/>
  <c r="BE226" i="77"/>
  <c r="BI226" i="77"/>
  <c r="BG449" i="77"/>
  <c r="BH449" i="77" s="1"/>
  <c r="BE449" i="77"/>
  <c r="BJ248" i="77"/>
  <c r="BK248" i="77" s="1"/>
  <c r="BE248" i="77"/>
  <c r="BE390" i="77"/>
  <c r="BI390" i="77"/>
  <c r="BG518" i="77"/>
  <c r="BH518" i="77" s="1"/>
  <c r="BE518" i="77"/>
  <c r="BE506" i="77"/>
  <c r="BI506" i="77"/>
  <c r="BE257" i="77"/>
  <c r="BE501" i="77"/>
  <c r="BE514" i="77"/>
  <c r="BE319" i="77"/>
  <c r="BE334" i="77"/>
  <c r="BE234" i="77"/>
  <c r="BE481" i="77"/>
  <c r="BE116" i="77"/>
  <c r="BI116" i="77"/>
  <c r="BE39" i="77"/>
  <c r="BE37" i="77"/>
  <c r="BG37" i="77"/>
  <c r="BH37" i="77" s="1"/>
  <c r="BE115" i="77"/>
  <c r="BE77" i="77"/>
  <c r="BE58" i="77"/>
  <c r="BE62" i="77"/>
  <c r="BE47" i="77"/>
  <c r="BE91" i="77"/>
  <c r="BK77" i="77"/>
  <c r="BI119" i="77"/>
  <c r="BH29" i="77"/>
  <c r="BI29" i="77"/>
  <c r="BE18" i="77"/>
  <c r="BE20" i="77"/>
  <c r="AQ6" i="77"/>
  <c r="AQ664" i="77" s="1"/>
  <c r="BD6" i="77"/>
  <c r="BD664" i="77" s="1"/>
  <c r="AA7" i="77" l="1"/>
  <c r="AA8" i="77"/>
  <c r="AA9" i="77"/>
  <c r="W7" i="77"/>
  <c r="W8" i="77"/>
  <c r="W9" i="77"/>
  <c r="A7" i="77"/>
  <c r="AR7" i="77" s="1"/>
  <c r="A8" i="77"/>
  <c r="AR8" i="77" s="1"/>
  <c r="A9" i="77"/>
  <c r="AR9" i="77" s="1"/>
  <c r="AY7" i="77" l="1"/>
  <c r="BA7" i="77"/>
  <c r="AX7" i="77"/>
  <c r="AY9" i="77"/>
  <c r="BA9" i="77"/>
  <c r="AX9" i="77"/>
  <c r="BA8" i="77"/>
  <c r="AX8" i="77"/>
  <c r="AY8" i="77"/>
  <c r="AD7" i="77"/>
  <c r="AF7" i="77" s="1"/>
  <c r="AE7" i="77" s="1"/>
  <c r="AM7" i="77" s="1"/>
  <c r="AD8" i="77"/>
  <c r="AF8" i="77" s="1"/>
  <c r="AE8" i="77" s="1"/>
  <c r="AM8" i="77" s="1"/>
  <c r="AD9" i="77"/>
  <c r="AF9" i="77" s="1"/>
  <c r="AE9" i="77" s="1"/>
  <c r="AM9" i="77" s="1"/>
  <c r="BI7" i="77" l="1"/>
  <c r="BI9" i="77"/>
  <c r="BI8" i="77"/>
  <c r="BG7" i="77"/>
  <c r="BH7" i="77" s="1"/>
  <c r="BE7" i="77"/>
  <c r="BG9" i="77"/>
  <c r="BH9" i="77" s="1"/>
  <c r="BE9" i="77"/>
  <c r="BE8" i="77"/>
  <c r="BG8" i="77"/>
  <c r="BH8" i="77" s="1"/>
  <c r="AW6" i="77"/>
  <c r="AW664" i="77" s="1"/>
  <c r="AU6" i="77" l="1"/>
  <c r="AU664" i="77" s="1"/>
  <c r="AV6" i="77"/>
  <c r="AV664" i="77" s="1"/>
  <c r="AW1" i="77" l="1"/>
  <c r="W6" i="77" l="1"/>
  <c r="AT6" i="77"/>
  <c r="AT664" i="77" s="1"/>
  <c r="AS6" i="77"/>
  <c r="AS664" i="77" s="1"/>
  <c r="AN6" i="77"/>
  <c r="AN664" i="77" s="1"/>
  <c r="AM6" i="77"/>
  <c r="AM664" i="77" s="1"/>
  <c r="AZ6" i="77"/>
  <c r="AZ664" i="77" s="1"/>
  <c r="A6" i="77" l="1"/>
  <c r="AD6" i="77"/>
  <c r="AF6" i="77" s="1"/>
  <c r="AE6" i="77" s="1"/>
  <c r="AS1" i="77"/>
  <c r="AZ1" i="77"/>
  <c r="AT1" i="77"/>
  <c r="AU1" i="77"/>
  <c r="AP1" i="77"/>
  <c r="BC1" i="77"/>
  <c r="BD1" i="77"/>
  <c r="AY6" i="77" l="1"/>
  <c r="AY664" i="77" s="1"/>
  <c r="AX6" i="77"/>
  <c r="AX664" i="77" s="1"/>
  <c r="AL6" i="77"/>
  <c r="AL664" i="77" s="1"/>
  <c r="BA6" i="77"/>
  <c r="BA664" i="77" s="1"/>
  <c r="AO1" i="77"/>
  <c r="AN1" i="77"/>
  <c r="AV1" i="77"/>
  <c r="AX1" i="77" l="1"/>
  <c r="AR6" i="77"/>
  <c r="AR664" i="77" s="1"/>
  <c r="BG6" i="77"/>
  <c r="BG664" i="77" s="1"/>
  <c r="AL1" i="77"/>
  <c r="BL6" i="77"/>
  <c r="BL664" i="77" s="1"/>
  <c r="BJ6" i="77"/>
  <c r="BJ664" i="77" s="1"/>
  <c r="BB1" i="77"/>
  <c r="BA1" i="77"/>
  <c r="AY1" i="77"/>
  <c r="BK6" i="77" l="1"/>
  <c r="BK664" i="77" s="1"/>
  <c r="BI6" i="77"/>
  <c r="AR1" i="77"/>
  <c r="BH6" i="77"/>
  <c r="BH664" i="77" s="1"/>
  <c r="BG1" i="77"/>
  <c r="BE6" i="77"/>
  <c r="BE664" i="77" s="1"/>
  <c r="BF664" i="77" s="1"/>
  <c r="BL1" i="77"/>
  <c r="AQ1" i="77"/>
  <c r="AM1" i="77"/>
  <c r="BI664" i="77" l="1"/>
  <c r="BI1" i="77" s="1"/>
  <c r="BH1" i="77"/>
  <c r="BK1" i="77"/>
  <c r="BJ1" i="77"/>
  <c r="BM664" i="77" l="1"/>
  <c r="BE1" i="77"/>
  <c r="A1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Морозова Анастасия Дмитриевна</author>
    <author>Олег В. Игнатьев</author>
    <author/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Морозова Анастасия Дмитриевна:</t>
        </r>
        <r>
          <rPr>
            <sz val="9"/>
            <color indexed="81"/>
            <rFont val="Tahoma"/>
            <family val="2"/>
            <charset val="204"/>
          </rPr>
          <t xml:space="preserve">
Заполняются автоматически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Морозова Анастасия Дмитриевна:</t>
        </r>
        <r>
          <rPr>
            <sz val="9"/>
            <color indexed="81"/>
            <rFont val="Tahoma"/>
            <family val="2"/>
            <charset val="204"/>
          </rPr>
          <t xml:space="preserve">
Заполняются автоматически</t>
        </r>
      </text>
    </comment>
    <comment ref="F3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В соответствии с рабочим учебным планом</t>
        </r>
      </text>
    </comment>
    <comment ref="M3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Выбор значения из выпадающего списка</t>
        </r>
      </text>
    </comment>
    <comment ref="Q3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Выбор значения из выпадающего списка</t>
        </r>
      </text>
    </comment>
    <comment ref="R3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К - курсовая работа
М - история болезни</t>
        </r>
      </text>
    </comment>
    <comment ref="S3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К - курсоввой проект</t>
        </r>
      </text>
    </comment>
    <comment ref="AH3" authorId="1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Выбирается из списка
</t>
        </r>
      </text>
    </comment>
    <comment ref="AI3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Выбирается из списка</t>
        </r>
      </text>
    </comment>
    <comment ref="AK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Морозова Анастасия Дмитриевна:</t>
        </r>
        <r>
          <rPr>
            <sz val="9"/>
            <color indexed="81"/>
            <rFont val="Tahoma"/>
            <family val="2"/>
            <charset val="204"/>
          </rPr>
          <t xml:space="preserve">
Выбирается из списка</t>
        </r>
      </text>
    </comment>
    <comment ref="C4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11"/>
            <color indexed="81"/>
            <rFont val="Tahoma"/>
            <family val="2"/>
            <charset val="204"/>
          </rPr>
          <t>Необходимо найти Шифр в первой колонке на листе "Контингент ООП" и скопировать его в этот столбец!</t>
        </r>
      </text>
    </comment>
    <comment ref="D4" authorId="1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Заполняются автоматически</t>
        </r>
      </text>
    </comment>
    <comment ref="E4" authorId="1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Заполняются автоматическм</t>
        </r>
      </text>
    </comment>
    <comment ref="F4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Морозова Анастасия Дмитриевна:</t>
        </r>
        <r>
          <rPr>
            <sz val="9"/>
            <color indexed="81"/>
            <rFont val="Tahoma"/>
            <family val="2"/>
            <charset val="204"/>
          </rPr>
          <t xml:space="preserve">
Б.1. - Теоретическое обучение
Б.2. - Практики и НИР
Б.3. - Итоговая аттестация
ФТД - Факультативные дисциплины</t>
        </r>
      </text>
    </comment>
    <comment ref="W4" authorId="1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Олег В. Игнатьев:</t>
        </r>
        <r>
          <rPr>
            <sz val="9"/>
            <color indexed="81"/>
            <rFont val="Tahoma"/>
            <family val="2"/>
            <charset val="204"/>
          </rPr>
          <t xml:space="preserve">
Формируется автоматически</t>
        </r>
      </text>
    </comment>
    <comment ref="AB586" authorId="2" shapeId="0" xr:uid="{B18C7107-3E8C-44CC-8118-A866002B80C7}">
      <text>
        <r>
          <rPr>
            <sz val="10"/>
            <rFont val="Arial Cyr"/>
            <charset val="204"/>
          </rPr>
          <t xml:space="preserve">1. Аррохо Эрнандес Эноэль
2. Жилин Георгий Олегович
3. Иноземцев Владислав Юрьевич
4. </t>
        </r>
        <r>
          <rPr>
            <sz val="11"/>
            <rFont val="Times New Roman"/>
            <family val="1"/>
            <charset val="1"/>
          </rPr>
          <t>Сергеев Степан Викторович</t>
        </r>
      </text>
    </comment>
    <comment ref="AC586" authorId="2" shapeId="0" xr:uid="{C02783DB-765B-4090-95B0-2339A133FCD0}">
      <text>
        <r>
          <rPr>
            <sz val="10"/>
            <rFont val="Arial Cyr"/>
            <charset val="204"/>
          </rPr>
          <t>1. Кобе Фекаде Тадеге</t>
        </r>
      </text>
    </comment>
    <comment ref="AB587" authorId="2" shapeId="0" xr:uid="{8C677D73-BD57-4784-8E06-D507E3055CA9}">
      <text>
        <r>
          <rPr>
            <sz val="10"/>
            <rFont val="Arial Cyr"/>
            <charset val="204"/>
          </rPr>
          <t>1. Малышев Ксаверий Юрьевич</t>
        </r>
      </text>
    </comment>
    <comment ref="AC587" authorId="2" shapeId="0" xr:uid="{1100DE11-8F5D-4B3F-80A8-CE2CA12BFA1E}">
      <text>
        <r>
          <rPr>
            <sz val="10"/>
            <rFont val="Arial Cyr"/>
            <charset val="204"/>
          </rPr>
          <t>1. Ван Шивэй</t>
        </r>
      </text>
    </comment>
    <comment ref="AB588" authorId="2" shapeId="0" xr:uid="{1061C02B-1DC9-4F85-BB8F-2E123673CD34}">
      <text>
        <r>
          <rPr>
            <sz val="10"/>
            <rFont val="Arial Cyr"/>
            <charset val="204"/>
          </rPr>
          <t>1. Мукасеев Евгений Владимирович
2. Рукавишников Алексей Андреевич</t>
        </r>
      </text>
    </comment>
    <comment ref="AB589" authorId="2" shapeId="0" xr:uid="{EFA36110-3FBE-4860-B079-34CFDA74F070}">
      <text>
        <r>
          <rPr>
            <sz val="10"/>
            <rFont val="Arial Cyr"/>
            <charset val="204"/>
          </rPr>
          <t xml:space="preserve">1. Аррохо Эрнандес Эноэль
2. Жилин Георгий Олегович
3. Иноземцев Владислав Юрьевич
4. </t>
        </r>
        <r>
          <rPr>
            <sz val="11"/>
            <rFont val="Times New Roman"/>
            <family val="1"/>
            <charset val="1"/>
          </rPr>
          <t>Сергеев Степан Викторович</t>
        </r>
      </text>
    </comment>
    <comment ref="AC589" authorId="2" shapeId="0" xr:uid="{8167A0E3-021E-47DD-9A80-3EA3E581C55A}">
      <text>
        <r>
          <rPr>
            <sz val="10"/>
            <rFont val="Arial Cyr"/>
            <charset val="204"/>
          </rPr>
          <t>1. Кобе Фекаде Тадеге</t>
        </r>
      </text>
    </comment>
    <comment ref="AB590" authorId="2" shapeId="0" xr:uid="{D5BB8AC0-CAC6-498C-866C-51832F382CC6}">
      <text>
        <r>
          <rPr>
            <sz val="10"/>
            <rFont val="Arial Cyr"/>
            <charset val="204"/>
          </rPr>
          <t>1. Малышев Ксаверий Юрьевич</t>
        </r>
      </text>
    </comment>
    <comment ref="AC590" authorId="2" shapeId="0" xr:uid="{D2C04CF3-09CA-4704-A674-B206A2C1BBF3}">
      <text>
        <r>
          <rPr>
            <sz val="10"/>
            <rFont val="Arial Cyr"/>
            <charset val="204"/>
          </rPr>
          <t>1. Ван Шивэй</t>
        </r>
      </text>
    </comment>
    <comment ref="AB591" authorId="2" shapeId="0" xr:uid="{54C07CFA-05E1-40CF-ABA4-7B49C0AF3717}">
      <text>
        <r>
          <rPr>
            <sz val="10"/>
            <rFont val="Arial Cyr"/>
            <charset val="204"/>
          </rPr>
          <t>1. Мукасеев Евгений Владимирович
2. Рукавишников Алексей Андреевич</t>
        </r>
      </text>
    </comment>
    <comment ref="AB592" authorId="2" shapeId="0" xr:uid="{BF19CFB2-387F-4036-AD16-17C70968A1C2}">
      <text>
        <r>
          <rPr>
            <sz val="10"/>
            <rFont val="Arial Cyr"/>
            <charset val="204"/>
          </rPr>
          <t xml:space="preserve">1. Аррохо Эрнандес Эноэль
2. Жилин Георгий Олегович
3. Иноземцев Владислав Юрьевич
4. </t>
        </r>
        <r>
          <rPr>
            <sz val="11"/>
            <rFont val="Times New Roman"/>
            <family val="1"/>
            <charset val="1"/>
          </rPr>
          <t>Сергеев Степан Викторович</t>
        </r>
      </text>
    </comment>
    <comment ref="AC592" authorId="2" shapeId="0" xr:uid="{F9A54EDC-2907-4C36-8C14-285695181E28}">
      <text>
        <r>
          <rPr>
            <sz val="10"/>
            <rFont val="Arial Cyr"/>
            <charset val="204"/>
          </rPr>
          <t>1. Кобе Фекаде Тадеге</t>
        </r>
      </text>
    </comment>
    <comment ref="AB593" authorId="2" shapeId="0" xr:uid="{793D5D81-C8B5-4FB7-B8F6-68C7841A288C}">
      <text>
        <r>
          <rPr>
            <sz val="10"/>
            <rFont val="Arial Cyr"/>
            <charset val="204"/>
          </rPr>
          <t>1. Малышев Ксаверий Юрьевич</t>
        </r>
      </text>
    </comment>
    <comment ref="AC593" authorId="2" shapeId="0" xr:uid="{A794BF08-9447-45DE-8EE5-B870E68D8271}">
      <text>
        <r>
          <rPr>
            <sz val="10"/>
            <rFont val="Arial Cyr"/>
            <charset val="204"/>
          </rPr>
          <t>1. Ван Шивэй</t>
        </r>
      </text>
    </comment>
    <comment ref="AB594" authorId="2" shapeId="0" xr:uid="{F3C8133E-C1E4-4EAE-9635-56FD34B71758}">
      <text>
        <r>
          <rPr>
            <sz val="10"/>
            <rFont val="Arial Cyr"/>
            <charset val="204"/>
          </rPr>
          <t>1. Мукасеев Евгений Владимирович
2. Рукавишников Алексей Андреевич</t>
        </r>
      </text>
    </comment>
    <comment ref="AB596" authorId="2" shapeId="0" xr:uid="{DCDA09D2-04F2-4860-BB2E-5D56EF885DBE}">
      <text>
        <r>
          <rPr>
            <sz val="10"/>
            <rFont val="Arial Cyr"/>
            <charset val="204"/>
          </rPr>
          <t>1. Гамбарян Марк Микаелович</t>
        </r>
      </text>
    </comment>
    <comment ref="AB597" authorId="2" shapeId="0" xr:uid="{2BB0643C-8431-4F88-B0D4-19C2EECC1109}">
      <text>
        <r>
          <rPr>
            <sz val="10"/>
            <rFont val="Arial Cyr"/>
            <charset val="204"/>
          </rPr>
          <t>1. Гамбарян Марк Микаелович</t>
        </r>
      </text>
    </comment>
    <comment ref="AB598" authorId="2" shapeId="0" xr:uid="{7B8C61B2-2DDA-4A0F-9FEC-D9E35557674E}">
      <text>
        <r>
          <rPr>
            <sz val="10"/>
            <rFont val="Arial Cyr"/>
            <charset val="204"/>
          </rPr>
          <t>1. Гамбарян Марк Микаелович</t>
        </r>
      </text>
    </comment>
    <comment ref="AB599" authorId="2" shapeId="0" xr:uid="{61FBECA4-A826-47B0-A26C-17A145762895}">
      <text>
        <r>
          <rPr>
            <sz val="10"/>
            <rFont val="Arial Cyr"/>
            <charset val="204"/>
          </rPr>
          <t>1. Гамбарян Марк Микаелович</t>
        </r>
      </text>
    </comment>
    <comment ref="AB600" authorId="2" shapeId="0" xr:uid="{11E1B5F6-BD74-40BA-8B53-98DDAFC0A2F9}">
      <text>
        <r>
          <rPr>
            <sz val="10"/>
            <rFont val="Arial Cyr"/>
            <charset val="204"/>
          </rPr>
          <t>1. Гамбарян Марк Микаелович</t>
        </r>
      </text>
    </comment>
    <comment ref="AC601" authorId="2" shapeId="0" xr:uid="{F0AB1AFB-2C75-4939-8CAD-7DF66C5CB5A2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2" authorId="2" shapeId="0" xr:uid="{067B2CAC-3BFD-4101-A4BC-0B496F190101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3" authorId="2" shapeId="0" xr:uid="{FB73918B-3ACB-4025-9E37-4F9C3743A4F3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4" authorId="2" shapeId="0" xr:uid="{AE9A9FF1-508F-4B58-9AD0-00D5801776E1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5" authorId="2" shapeId="0" xr:uid="{8F84405F-F174-407B-816C-B8586513AA5D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6" authorId="2" shapeId="0" xr:uid="{77DB13AC-B08C-421B-A60E-5C38998ED109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7" authorId="2" shapeId="0" xr:uid="{A9B0D93F-E0F9-44A9-B474-7B53D6BC51F3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8" authorId="2" shapeId="0" xr:uid="{80533256-0FE1-46BA-97B3-E9E8C7B088F3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09" authorId="2" shapeId="0" xr:uid="{5AA95EBC-4D00-4211-9548-25E8EE25F0D2}">
      <text>
        <r>
          <rPr>
            <sz val="10"/>
            <rFont val="Arial Cyr"/>
            <charset val="204"/>
          </rPr>
          <t>1. Буатта Мохамед Адель</t>
        </r>
      </text>
    </comment>
    <comment ref="AC610" authorId="2" shapeId="0" xr:uid="{9ABA2E0F-9CCB-4955-BE7A-1F06F126112A}">
      <text>
        <r>
          <rPr>
            <sz val="10"/>
            <rFont val="Arial Cyr"/>
            <charset val="204"/>
          </rPr>
          <t xml:space="preserve">Мамонов А.А.
</t>
        </r>
      </text>
    </comment>
    <comment ref="AC611" authorId="2" shapeId="0" xr:uid="{0CE0C31E-1487-4E15-9483-EB48F2B65E8D}">
      <text>
        <r>
          <rPr>
            <sz val="10"/>
            <rFont val="Arial Cyr"/>
            <charset val="204"/>
          </rPr>
          <t xml:space="preserve">Мамонов А.А.
</t>
        </r>
      </text>
    </comment>
    <comment ref="AC612" authorId="2" shapeId="0" xr:uid="{7A6B12B6-3ECA-4F66-99E2-E92903C0614D}">
      <text>
        <r>
          <rPr>
            <sz val="10"/>
            <rFont val="Arial Cyr"/>
            <charset val="204"/>
          </rPr>
          <t xml:space="preserve">Мамонов А.А.
</t>
        </r>
      </text>
    </comment>
    <comment ref="AC613" authorId="2" shapeId="0" xr:uid="{B5FE74A0-5862-41C9-B65D-D43D957011BC}">
      <text>
        <r>
          <rPr>
            <sz val="10"/>
            <rFont val="Arial Cyr"/>
            <charset val="204"/>
          </rPr>
          <t xml:space="preserve">Мамонов А.А.
</t>
        </r>
      </text>
    </comment>
    <comment ref="AC614" authorId="2" shapeId="0" xr:uid="{194B68BE-00DC-4388-B809-0B395CE8EC67}">
      <text>
        <r>
          <rPr>
            <sz val="10"/>
            <rFont val="Arial Cyr"/>
            <charset val="204"/>
          </rPr>
          <t>1. Бакир Ахмад</t>
        </r>
      </text>
    </comment>
    <comment ref="AC615" authorId="2" shapeId="0" xr:uid="{E89C7BC3-BD5F-40F0-B7C3-E3505FA51B0C}">
      <text>
        <r>
          <rPr>
            <sz val="10"/>
            <rFont val="Arial Cyr"/>
            <charset val="204"/>
          </rPr>
          <t>1. Бакир Ахмад</t>
        </r>
      </text>
    </comment>
    <comment ref="AC616" authorId="2" shapeId="0" xr:uid="{5D17B352-0BC7-49F0-9767-B1EAF813B670}">
      <text>
        <r>
          <rPr>
            <sz val="10"/>
            <rFont val="Arial Cyr"/>
            <charset val="204"/>
          </rPr>
          <t>1. Ализаде Джабраил</t>
        </r>
      </text>
    </comment>
    <comment ref="AC617" authorId="2" shapeId="0" xr:uid="{623E0779-5DA5-48D0-985F-4069D37CC18E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18" authorId="2" shapeId="0" xr:uid="{0C957DBC-F5D0-44DA-A6FF-17854688D77E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19" authorId="2" shapeId="0" xr:uid="{5D61EA2C-7274-401F-B330-55DA2508DA66}">
      <text>
        <r>
          <rPr>
            <sz val="10"/>
            <rFont val="Arial Cyr"/>
            <charset val="204"/>
          </rPr>
          <t>1. Волков С.С.</t>
        </r>
      </text>
    </comment>
    <comment ref="AC620" authorId="2" shapeId="0" xr:uid="{9C65F7B1-B236-4413-9C10-4CD2214A7732}">
      <text>
        <r>
          <rPr>
            <sz val="10"/>
            <rFont val="Arial Cyr"/>
            <charset val="204"/>
          </rPr>
          <t>1. Ализаде Джабраил</t>
        </r>
      </text>
    </comment>
    <comment ref="AC621" authorId="2" shapeId="0" xr:uid="{B7341308-7525-494D-8374-521E1747B946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22" authorId="2" shapeId="0" xr:uid="{84B303B7-C370-4D70-A36F-F97207BBB447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23" authorId="2" shapeId="0" xr:uid="{695CA1A9-BE19-4911-B815-37BA95FAE968}">
      <text>
        <r>
          <rPr>
            <sz val="10"/>
            <rFont val="Arial Cyr"/>
            <charset val="204"/>
          </rPr>
          <t>1. Волков С.С.</t>
        </r>
      </text>
    </comment>
    <comment ref="AC624" authorId="2" shapeId="0" xr:uid="{EFCE2150-81E0-4020-B788-364AFD626371}">
      <text>
        <r>
          <rPr>
            <sz val="10"/>
            <rFont val="Arial Cyr"/>
            <charset val="204"/>
          </rPr>
          <t>1. Бакир Ахмад</t>
        </r>
      </text>
    </comment>
    <comment ref="AC625" authorId="2" shapeId="0" xr:uid="{F845BDBF-212E-45DF-8443-F364886516E1}">
      <text>
        <r>
          <rPr>
            <sz val="10"/>
            <rFont val="Arial Cyr"/>
            <charset val="204"/>
          </rPr>
          <t>1. Бакир Ахмад</t>
        </r>
      </text>
    </comment>
    <comment ref="AC626" authorId="2" shapeId="0" xr:uid="{B9DBDDDE-F222-49AB-BECA-59AA843904BD}">
      <text>
        <r>
          <rPr>
            <sz val="10"/>
            <rFont val="Arial Cyr"/>
            <charset val="204"/>
          </rPr>
          <t>1. Ализаде Джабраил</t>
        </r>
      </text>
    </comment>
    <comment ref="AC627" authorId="2" shapeId="0" xr:uid="{A6CD0AB1-12DE-4BCC-9EED-F188D9133214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28" authorId="2" shapeId="0" xr:uid="{47EB3F3A-C59D-473C-A69C-7AFED0497F5B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29" authorId="2" shapeId="0" xr:uid="{F5F4DD87-4F95-4A7A-B35F-95EBE1C2239E}">
      <text>
        <r>
          <rPr>
            <sz val="10"/>
            <rFont val="Arial Cyr"/>
            <charset val="204"/>
          </rPr>
          <t>1. Волков С.С.</t>
        </r>
      </text>
    </comment>
    <comment ref="AB630" authorId="2" shapeId="0" xr:uid="{F2F7912C-FDDB-4BA8-9633-7957C38B55D4}">
      <text>
        <r>
          <rPr>
            <sz val="10"/>
            <rFont val="Arial Cyr"/>
            <charset val="204"/>
          </rPr>
          <t>1. Волков С.С.</t>
        </r>
      </text>
    </comment>
    <comment ref="AC631" authorId="2" shapeId="0" xr:uid="{EF95AD57-86EB-43E9-AC99-D1E76DB0C436}">
      <text>
        <r>
          <rPr>
            <sz val="10"/>
            <rFont val="Arial Cyr"/>
            <charset val="204"/>
          </rPr>
          <t>1. Ализаде Джабраил</t>
        </r>
      </text>
    </comment>
    <comment ref="AC632" authorId="2" shapeId="0" xr:uid="{DF0A4226-EDDE-4289-8CD1-5A5BA3514693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33" authorId="2" shapeId="0" xr:uid="{B23955E1-8890-40E4-89B7-9D1D0B6B13DD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34" authorId="2" shapeId="0" xr:uid="{FD46CE81-5D78-405D-8C34-68E400027370}">
      <text>
        <r>
          <rPr>
            <sz val="10"/>
            <rFont val="Arial Cyr"/>
            <charset val="204"/>
          </rPr>
          <t>1. Волков С.С.</t>
        </r>
      </text>
    </comment>
    <comment ref="AC635" authorId="2" shapeId="0" xr:uid="{D6179B37-884F-4ECD-9DA5-C0026F6D7599}">
      <text>
        <r>
          <rPr>
            <sz val="10"/>
            <rFont val="Arial Cyr"/>
            <charset val="204"/>
          </rPr>
          <t>1. Ализаде Джабраил</t>
        </r>
      </text>
    </comment>
    <comment ref="AC636" authorId="2" shapeId="0" xr:uid="{495CEE2E-E8E0-4E3A-A912-76E77C3B522F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37" authorId="2" shapeId="0" xr:uid="{FDA715C6-39C4-4140-BB05-CCCF5C3F5188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38" authorId="2" shapeId="0" xr:uid="{FD96C943-AB19-4022-A597-11155E474F96}">
      <text>
        <r>
          <rPr>
            <sz val="10"/>
            <rFont val="Arial Cyr"/>
            <charset val="204"/>
          </rPr>
          <t>1. Волков С.С.</t>
        </r>
      </text>
    </comment>
    <comment ref="AC639" authorId="2" shapeId="0" xr:uid="{3033D5AA-65C3-458D-9C9B-4DCA71C8434B}">
      <text>
        <r>
          <rPr>
            <sz val="10"/>
            <rFont val="Arial Cyr"/>
            <charset val="204"/>
          </rPr>
          <t>1. Ализаде Джабраил</t>
        </r>
      </text>
    </comment>
    <comment ref="AC640" authorId="2" shapeId="0" xr:uid="{38953E50-A15E-431E-B31C-E6352E4167C8}">
      <text>
        <r>
          <rPr>
            <sz val="10"/>
            <rFont val="Arial Cyr"/>
            <charset val="204"/>
          </rPr>
          <t xml:space="preserve">1. </t>
        </r>
        <r>
          <rPr>
            <sz val="10"/>
            <rFont val="Arial"/>
            <family val="2"/>
            <charset val="1"/>
          </rPr>
          <t xml:space="preserve"> </t>
        </r>
        <r>
          <rPr>
            <sz val="11"/>
            <rFont val="Times New Roman"/>
            <family val="1"/>
            <charset val="1"/>
          </rPr>
          <t>Джегюеде Адейеми Марк Ауреле Эммануэль</t>
        </r>
      </text>
    </comment>
    <comment ref="AC641" authorId="2" shapeId="0" xr:uid="{6EC15B5C-6673-4AB8-B5F7-132B6D107E31}">
      <text>
        <r>
          <rPr>
            <sz val="10"/>
            <rFont val="Arial Cyr"/>
            <charset val="204"/>
          </rPr>
          <t>1. Мабу Моисе Эрманн
2. Тукая Жан Тукая</t>
        </r>
      </text>
    </comment>
    <comment ref="AB642" authorId="2" shapeId="0" xr:uid="{A10443CC-3FF3-4676-97C1-AB3F45087EB5}">
      <text>
        <r>
          <rPr>
            <sz val="10"/>
            <rFont val="Arial Cyr"/>
            <charset val="204"/>
          </rPr>
          <t>1. Волков С.С.</t>
        </r>
      </text>
    </comment>
  </commentList>
</comments>
</file>

<file path=xl/sharedStrings.xml><?xml version="1.0" encoding="utf-8"?>
<sst xmlns="http://schemas.openxmlformats.org/spreadsheetml/2006/main" count="20536" uniqueCount="3374">
  <si>
    <t>Лекций</t>
  </si>
  <si>
    <t>Значение</t>
  </si>
  <si>
    <t>Имя</t>
  </si>
  <si>
    <t>Пр. занятия</t>
  </si>
  <si>
    <t>Лаб. работы</t>
  </si>
  <si>
    <t>Форма обучения</t>
  </si>
  <si>
    <t>Курс. работы</t>
  </si>
  <si>
    <t>Курс. проекты</t>
  </si>
  <si>
    <t>Блок</t>
  </si>
  <si>
    <t>РУП</t>
  </si>
  <si>
    <t>РПП</t>
  </si>
  <si>
    <t>ЧГ</t>
  </si>
  <si>
    <t>ПГ</t>
  </si>
  <si>
    <t>ТКЛД</t>
  </si>
  <si>
    <t>ТКЛВ</t>
  </si>
  <si>
    <t>ТКЛЗ</t>
  </si>
  <si>
    <t>Дисциплина или вид учебной  работы</t>
  </si>
  <si>
    <t>ПЗ</t>
  </si>
  <si>
    <t>Вид работы</t>
  </si>
  <si>
    <t>Участие в работе ГЭК в качестве председателя</t>
  </si>
  <si>
    <t>Участие в работе ГЭК в качестве члена комиссии</t>
  </si>
  <si>
    <t>Групп</t>
  </si>
  <si>
    <t>В</t>
  </si>
  <si>
    <t>лек</t>
  </si>
  <si>
    <t>пр</t>
  </si>
  <si>
    <t>ВПКР</t>
  </si>
  <si>
    <t>ВПКП</t>
  </si>
  <si>
    <t>РДП</t>
  </si>
  <si>
    <t>Всего</t>
  </si>
  <si>
    <t xml:space="preserve">ГЭК </t>
  </si>
  <si>
    <t>ИТОГО</t>
  </si>
  <si>
    <t>№ п/п</t>
  </si>
  <si>
    <t>Единица объёма работы</t>
  </si>
  <si>
    <t>Норма времени (час.)</t>
  </si>
  <si>
    <t>Примечание</t>
  </si>
  <si>
    <t>1 поток</t>
  </si>
  <si>
    <t>За 1 акад. час по учебному плану</t>
  </si>
  <si>
    <t>От общего числа лекционных часов на изучение каждой дисциплины по учебному плану</t>
  </si>
  <si>
    <t>Л</t>
  </si>
  <si>
    <t>ЛР</t>
  </si>
  <si>
    <t>РБ</t>
  </si>
  <si>
    <t xml:space="preserve">условия привлечения </t>
  </si>
  <si>
    <t>Б</t>
  </si>
  <si>
    <t>НИРМ</t>
  </si>
  <si>
    <t>1 подгруппа</t>
  </si>
  <si>
    <t>Проведение занятий по русскому языку для иностранных обучающихся</t>
  </si>
  <si>
    <t>На каждую дисциплину в семестр</t>
  </si>
  <si>
    <t>Проведение промежуточной аттестации по дисциплинам учебного плана в соответствии с БРС университета</t>
  </si>
  <si>
    <t>Консультанту из числа ППС каф. Иностранных языков</t>
  </si>
  <si>
    <t>Проведение тестовой части Государственого итогового экзамена</t>
  </si>
  <si>
    <t>Руководство прикрепленными лицами</t>
  </si>
  <si>
    <t>ПрИн</t>
  </si>
  <si>
    <t>ПрРЯ</t>
  </si>
  <si>
    <t>ВПИБ</t>
  </si>
  <si>
    <t>РефАсп</t>
  </si>
  <si>
    <t>РефФил</t>
  </si>
  <si>
    <t>КдЭк</t>
  </si>
  <si>
    <t>ОфВед</t>
  </si>
  <si>
    <t>РУПЛеч</t>
  </si>
  <si>
    <t>ВПр</t>
  </si>
  <si>
    <t>НИРА</t>
  </si>
  <si>
    <t>НИРАИ</t>
  </si>
  <si>
    <t>РБИ</t>
  </si>
  <si>
    <t>РСМ</t>
  </si>
  <si>
    <t>РСМИ</t>
  </si>
  <si>
    <t>РРБ</t>
  </si>
  <si>
    <t>РРСМ</t>
  </si>
  <si>
    <t>ТГИЭ</t>
  </si>
  <si>
    <t>РукПЛ</t>
  </si>
  <si>
    <t>ТКиРА</t>
  </si>
  <si>
    <t>КРФРЯ</t>
  </si>
  <si>
    <t>ПАБРС</t>
  </si>
  <si>
    <t>НИРМИн</t>
  </si>
  <si>
    <t>Рецензирование ВКР</t>
  </si>
  <si>
    <t>Текущие консультации по дисциплине</t>
  </si>
  <si>
    <t>Оформление результатов ПА</t>
  </si>
  <si>
    <t>Вид ПА или ГИА</t>
  </si>
  <si>
    <t>Лекции</t>
  </si>
  <si>
    <t>За 1 акад. час по учебному плану на группу 24-30 чел.</t>
  </si>
  <si>
    <t>За 1 акад. час по учебному плану на подгруппу не менее 12 чел.</t>
  </si>
  <si>
    <t xml:space="preserve">За 1 акад. час по учебному плану на подгруппу не менее 12 чел. Для программ синхронного перевода - не менее 6 чел. </t>
  </si>
  <si>
    <t xml:space="preserve">Рецензирование реферата обучающегося в аспирантуре </t>
  </si>
  <si>
    <t>1 ак. группа</t>
  </si>
  <si>
    <t>Норматив</t>
  </si>
  <si>
    <t>Рассчетных</t>
  </si>
  <si>
    <t>Практика / Семинары</t>
  </si>
  <si>
    <t>Лаб. работы / Клинические занятия</t>
  </si>
  <si>
    <t>Вид учебной работы</t>
  </si>
  <si>
    <t>НИР</t>
  </si>
  <si>
    <t>Кандидатский экзамен</t>
  </si>
  <si>
    <t>Уровень ОП</t>
  </si>
  <si>
    <t>ПП</t>
  </si>
  <si>
    <t>История</t>
  </si>
  <si>
    <t>Философия</t>
  </si>
  <si>
    <t>лаб</t>
  </si>
  <si>
    <t>УП</t>
  </si>
  <si>
    <t>РК</t>
  </si>
  <si>
    <t>МДЭ</t>
  </si>
  <si>
    <t>ТЕСТ</t>
  </si>
  <si>
    <t>ВКР</t>
  </si>
  <si>
    <t>Физика</t>
  </si>
  <si>
    <t>Химия</t>
  </si>
  <si>
    <t>Зач</t>
  </si>
  <si>
    <t>Экз</t>
  </si>
  <si>
    <t>должность</t>
  </si>
  <si>
    <t>Объём учебной работы ППС</t>
  </si>
  <si>
    <t>К</t>
  </si>
  <si>
    <t>Фамилия И.О.  преподавателя</t>
  </si>
  <si>
    <t>Название кафедры / уч. департамента:</t>
  </si>
  <si>
    <t>Рецензирование рефератов аспирантов</t>
  </si>
  <si>
    <r>
      <t>1 обуч</t>
    </r>
    <r>
      <rPr>
        <sz val="12"/>
        <rFont val="Times New Roman"/>
        <family val="1"/>
        <charset val="204"/>
      </rPr>
      <t>.</t>
    </r>
  </si>
  <si>
    <r>
      <t xml:space="preserve">Рецензирование выпускных квалификационных работ </t>
    </r>
    <r>
      <rPr>
        <b/>
        <sz val="11"/>
        <rFont val="Times New Roman"/>
        <family val="1"/>
        <charset val="204"/>
      </rPr>
      <t>бакалавров</t>
    </r>
  </si>
  <si>
    <r>
      <t xml:space="preserve">Рецензирование выпускных квалификационных работ </t>
    </r>
    <r>
      <rPr>
        <b/>
        <sz val="11"/>
        <rFont val="Times New Roman"/>
        <family val="1"/>
        <charset val="204"/>
      </rPr>
      <t>специалистов, магистров</t>
    </r>
  </si>
  <si>
    <t>Бакалавриат</t>
  </si>
  <si>
    <t>Конструкторско-технологическое обеспечение машиностроительных производств</t>
  </si>
  <si>
    <t>Магистратура</t>
  </si>
  <si>
    <t>Строительство</t>
  </si>
  <si>
    <t>Теория и проектирование зданий и сооружений</t>
  </si>
  <si>
    <t>Теория и практика организационно-технологических и экономических решений в строительстве</t>
  </si>
  <si>
    <t>Двигатели внутреннего сгорания</t>
  </si>
  <si>
    <t>Нефтегазовое дело</t>
  </si>
  <si>
    <t>Архитектура</t>
  </si>
  <si>
    <t>Архитектура жилых, общественных и промышленных зданий</t>
  </si>
  <si>
    <t>Экономика</t>
  </si>
  <si>
    <t>Эксплуатация транспортно-технологических машин и комплексов</t>
  </si>
  <si>
    <t>Инженерно-физические технологии в наноиндустрии</t>
  </si>
  <si>
    <t>Дизайн архитектурной среды</t>
  </si>
  <si>
    <t>Прикладная математика и информатика</t>
  </si>
  <si>
    <t>Радиофизика</t>
  </si>
  <si>
    <t>Фундаментальная и прикладная химия</t>
  </si>
  <si>
    <t>Бизнес-информатика</t>
  </si>
  <si>
    <t>Лечебное дело</t>
  </si>
  <si>
    <t>Стоматология</t>
  </si>
  <si>
    <t>Фармация</t>
  </si>
  <si>
    <t>Сестринское дело</t>
  </si>
  <si>
    <t>Агробиотехнология</t>
  </si>
  <si>
    <t>Экономика недвижимости в АПК</t>
  </si>
  <si>
    <t>Филология</t>
  </si>
  <si>
    <t>Литературоведение</t>
  </si>
  <si>
    <t>Журналистика</t>
  </si>
  <si>
    <t>Современная международная журналистика</t>
  </si>
  <si>
    <t>Организация информационного производства</t>
  </si>
  <si>
    <t>Лингвистика</t>
  </si>
  <si>
    <t>Русский язык</t>
  </si>
  <si>
    <t>Психология</t>
  </si>
  <si>
    <t>Реклама и связи с общественностью</t>
  </si>
  <si>
    <t>Управление бизнес-коммуникациями</t>
  </si>
  <si>
    <t>Телевидение</t>
  </si>
  <si>
    <t>Знание и ценности: трансформации в изменяющемся мире</t>
  </si>
  <si>
    <t>Всемирная история и массовые коммуникации</t>
  </si>
  <si>
    <t>Социология</t>
  </si>
  <si>
    <t>Социология управления и социальный менеджмент</t>
  </si>
  <si>
    <t>Политология</t>
  </si>
  <si>
    <t>Искусства и гуманитарные науки</t>
  </si>
  <si>
    <t>Креативные индустрии и менеджмент в сфере культуры</t>
  </si>
  <si>
    <t>Международные отношения</t>
  </si>
  <si>
    <t>Зарубежное регионоведение: Китай, Арабский Восток</t>
  </si>
  <si>
    <t>Государственное и муниципальное управление</t>
  </si>
  <si>
    <t>Международная торговля</t>
  </si>
  <si>
    <t>Международный менеджмент</t>
  </si>
  <si>
    <t>Международный маркетинг</t>
  </si>
  <si>
    <t>Таможенное дело</t>
  </si>
  <si>
    <t>Международное право</t>
  </si>
  <si>
    <t>Корпоративный юрист</t>
  </si>
  <si>
    <t>Конституционное право и конституционное судопроизводство</t>
  </si>
  <si>
    <t>Теория коммуникации и международные связи с общественностью (PR)</t>
  </si>
  <si>
    <t>Психолого-педагогическое образование</t>
  </si>
  <si>
    <t>Зарубежное регионоведение</t>
  </si>
  <si>
    <t>Внешнеэкономическая деятельность</t>
  </si>
  <si>
    <t>Международные финансы и банки</t>
  </si>
  <si>
    <t>Рекламный менеджмент</t>
  </si>
  <si>
    <t>Управление связями с общественностью</t>
  </si>
  <si>
    <t>Гостиничное дело</t>
  </si>
  <si>
    <t>Туризм</t>
  </si>
  <si>
    <t>Планирование и развитие туризма</t>
  </si>
  <si>
    <t>Менеджмент высшего образования</t>
  </si>
  <si>
    <t>Менеджмент международного образования</t>
  </si>
  <si>
    <t>Биохимические технологии и нанотехнологии</t>
  </si>
  <si>
    <t>Управление наукоемкими отраслями</t>
  </si>
  <si>
    <t>Аспирантура</t>
  </si>
  <si>
    <t>Ординатура</t>
  </si>
  <si>
    <t>Мировая экономика</t>
  </si>
  <si>
    <t>Сведения о ППС</t>
  </si>
  <si>
    <t>Контингент обучающихся</t>
  </si>
  <si>
    <t>М</t>
  </si>
  <si>
    <t>РР</t>
  </si>
  <si>
    <t>ЧК</t>
  </si>
  <si>
    <t>ВП</t>
  </si>
  <si>
    <t>НР</t>
  </si>
  <si>
    <t>Коды видов учебных работ</t>
  </si>
  <si>
    <t>З</t>
  </si>
  <si>
    <t>заочная</t>
  </si>
  <si>
    <t>С</t>
  </si>
  <si>
    <t>А</t>
  </si>
  <si>
    <t>О</t>
  </si>
  <si>
    <t>бакалавриат</t>
  </si>
  <si>
    <t>магистратура</t>
  </si>
  <si>
    <t>аспирантура</t>
  </si>
  <si>
    <t>ординатура</t>
  </si>
  <si>
    <t>Д</t>
  </si>
  <si>
    <t>Должность</t>
  </si>
  <si>
    <t>ст.пр.</t>
  </si>
  <si>
    <t>преп.</t>
  </si>
  <si>
    <t>ассист.</t>
  </si>
  <si>
    <t>доц.</t>
  </si>
  <si>
    <t>проф.</t>
  </si>
  <si>
    <t>профессор</t>
  </si>
  <si>
    <t>доцент</t>
  </si>
  <si>
    <t>ст. преподаватель</t>
  </si>
  <si>
    <t>преподаватель</t>
  </si>
  <si>
    <t>ассистент</t>
  </si>
  <si>
    <t>Условия привлечения</t>
  </si>
  <si>
    <t>штат.</t>
  </si>
  <si>
    <t>внеш.</t>
  </si>
  <si>
    <t>внутр.</t>
  </si>
  <si>
    <t>почас.</t>
  </si>
  <si>
    <t>штатный</t>
  </si>
  <si>
    <t>внешний совместитель</t>
  </si>
  <si>
    <t>внутренний совместитель</t>
  </si>
  <si>
    <t>зачет</t>
  </si>
  <si>
    <t>экзамен</t>
  </si>
  <si>
    <t>выпускная квалификационная работа</t>
  </si>
  <si>
    <t>междисциплинарный экзамен</t>
  </si>
  <si>
    <t>РДИ</t>
  </si>
  <si>
    <t>РРФ</t>
  </si>
  <si>
    <t>Рецензирование реферата обучающегося в аспирантуре по философии</t>
  </si>
  <si>
    <t>УПМ</t>
  </si>
  <si>
    <t>РПЛ</t>
  </si>
  <si>
    <t>Чтение лекций</t>
  </si>
  <si>
    <t>Проведение практических занятий, семинаров</t>
  </si>
  <si>
    <t>Руководство учебной практикой "Лечебное дело".</t>
  </si>
  <si>
    <t>Руководство производственной практикой</t>
  </si>
  <si>
    <t>Проведение лабораторных работ и клинических занятий</t>
  </si>
  <si>
    <t>Консультации и рецензирование ВКР, выполняемых на иностранном языке</t>
  </si>
  <si>
    <t>специалитет</t>
  </si>
  <si>
    <t>РФ</t>
  </si>
  <si>
    <t>Фундаментальная информатика и информационные технологии</t>
  </si>
  <si>
    <t>Управление персоналом в кросс-культурной среде</t>
  </si>
  <si>
    <t>Современные финансовые технологии в инвестировании и банковском бизнесе</t>
  </si>
  <si>
    <t>Менеджмент довузовского образования</t>
  </si>
  <si>
    <t>аспир.</t>
  </si>
  <si>
    <t>аспирант</t>
  </si>
  <si>
    <t>договор почасовой оплаты</t>
  </si>
  <si>
    <t>Проведение кандидатских экзаменов (член комиссии)</t>
  </si>
  <si>
    <t>Код ОПОП ВО</t>
  </si>
  <si>
    <t>ОУП</t>
  </si>
  <si>
    <t>Наноинженерия</t>
  </si>
  <si>
    <t>Баллистическое проектирование космических комплексов и систем</t>
  </si>
  <si>
    <t>Математика</t>
  </si>
  <si>
    <t>Функциональные методы в дифференциальных уравнениях и междисциплинарных исследованиях</t>
  </si>
  <si>
    <t>Теория вероятностей и математическая статистика</t>
  </si>
  <si>
    <t>Математические модели в междисциплинарных исследованиях</t>
  </si>
  <si>
    <t>Математика и компьютерные науки</t>
  </si>
  <si>
    <t>Управление инфокоммуникациями и интеллектуальные системы</t>
  </si>
  <si>
    <t>Фундаментальная и прикладная физика</t>
  </si>
  <si>
    <t>Фармацевтический анализ в производстве и контроле качества лекарственных средств</t>
  </si>
  <si>
    <t>Агрономия</t>
  </si>
  <si>
    <t>Интегрированная защита растений</t>
  </si>
  <si>
    <t>Землеустройство и кадастры</t>
  </si>
  <si>
    <t>Технологии геодезических и кадастровых работ</t>
  </si>
  <si>
    <t>Ландшафтная архитектура</t>
  </si>
  <si>
    <t>Стандартизация и метрология</t>
  </si>
  <si>
    <t>Технологии обеспечения качества и безопасности пищевой продукции и производств</t>
  </si>
  <si>
    <t>Ветеринарно-санитарная экспертиза</t>
  </si>
  <si>
    <t>Экология и природопользование</t>
  </si>
  <si>
    <t>Энерго- и ресурсосберегающие процессы в химической технологии, нефтехимии и биотехнологии</t>
  </si>
  <si>
    <t>Русский язык как иностранный</t>
  </si>
  <si>
    <t>Психологическое консультирование</t>
  </si>
  <si>
    <t>Интегративные технологии в практической психологии</t>
  </si>
  <si>
    <t>Политические институты, процессы и технологии</t>
  </si>
  <si>
    <t>Экономика фирмы и отраслевых рынков</t>
  </si>
  <si>
    <t>Юриспруденция</t>
  </si>
  <si>
    <t>Международная защита прав человека</t>
  </si>
  <si>
    <t>Гражданское право, семейное право, предпринимательское право, международное частное право</t>
  </si>
  <si>
    <t>Гражданский процесс, арбитражный процесс</t>
  </si>
  <si>
    <t>Уголовное право, уголовный процесс и криминалистика</t>
  </si>
  <si>
    <t>Теория и история права и государства, сравнительно-правовые исследования</t>
  </si>
  <si>
    <t>Судебная власть, прокурорский надзор, организация правоохранительной деятельности, адвокатура, нотариат</t>
  </si>
  <si>
    <t>Судебно-экспертная деятельность в правоприменении</t>
  </si>
  <si>
    <t>Правовое обеспечение деятельности органов местного самоуправления</t>
  </si>
  <si>
    <t>Теория коммуникации и синхронный перевод</t>
  </si>
  <si>
    <t>Психолого-педагогические основы организационно-управленческой деятельности</t>
  </si>
  <si>
    <t>Зарубежное регионоведение: Европейский регион</t>
  </si>
  <si>
    <t>Инновационный менеджмент в промышленности</t>
  </si>
  <si>
    <t>Финансовое право, налоговое право, бюджетное право</t>
  </si>
  <si>
    <t>Уголовное право и криминология; уголовно-исполнительное право</t>
  </si>
  <si>
    <t>Трудовое право; право социального обеспечения</t>
  </si>
  <si>
    <t>Теория и история права и государства; история учений о праве и государстве</t>
  </si>
  <si>
    <t>Судебная деятельность, прокурорская деятельность, правозащитная и правоохранительная деятельность</t>
  </si>
  <si>
    <t>Муниципальное право</t>
  </si>
  <si>
    <t>Криминалистика; судебно-экспертная деятельность; оперативно-розыскная деятельность</t>
  </si>
  <si>
    <t>Конституционное право; конституционный судебный процесс</t>
  </si>
  <si>
    <t>Гражданское право; предпринимательское право; семейное право; международное частное право</t>
  </si>
  <si>
    <t>Гражданский процесс; арбитражный процесс</t>
  </si>
  <si>
    <t>Административное право; административный процесс</t>
  </si>
  <si>
    <t>Уголовный процесс</t>
  </si>
  <si>
    <t>Информационное право</t>
  </si>
  <si>
    <t>Экономическая теория</t>
  </si>
  <si>
    <t>Финансы, денежное обращение и кредит</t>
  </si>
  <si>
    <t>Бухгалтерский учет, статистика</t>
  </si>
  <si>
    <t>Менеджмент</t>
  </si>
  <si>
    <t>Управление инновациями</t>
  </si>
  <si>
    <t>Геоэкология</t>
  </si>
  <si>
    <t>Физиология и биохимия растений</t>
  </si>
  <si>
    <t>Общее земледелие, растениеводство</t>
  </si>
  <si>
    <t>Селекция и семеноводство сельскохозяйственных растений</t>
  </si>
  <si>
    <t>Защита растений</t>
  </si>
  <si>
    <t>Диагностика болезней и терапия животных, патология, онкология и морфология животных</t>
  </si>
  <si>
    <t>Ветеринарная микробиология, вирусология, эпизоотология, микология с микотоксикологией и иммунология</t>
  </si>
  <si>
    <t>Частная зоотехния, технология производства продуктов животноводства</t>
  </si>
  <si>
    <t>Безопасность в чрезвычайных ситуациях (технические, биологические науки)</t>
  </si>
  <si>
    <t>Эпидемиология</t>
  </si>
  <si>
    <t>Ортодонтия</t>
  </si>
  <si>
    <t>Стоматология детская</t>
  </si>
  <si>
    <t>Стоматология ортопедическая</t>
  </si>
  <si>
    <t>Стоматология хирургическая</t>
  </si>
  <si>
    <t>Стоматология терапевтическая</t>
  </si>
  <si>
    <t>Организация здравоохранения и общественное здоровье</t>
  </si>
  <si>
    <t>Эндоскопия</t>
  </si>
  <si>
    <t>Челюстно-лицевая хирургия</t>
  </si>
  <si>
    <t>Урология</t>
  </si>
  <si>
    <t>Хирургия</t>
  </si>
  <si>
    <t>Травматология и ортопедия</t>
  </si>
  <si>
    <t>Сердечно-сосудистая хирургия</t>
  </si>
  <si>
    <t>Акушерство и гинекология</t>
  </si>
  <si>
    <t>Анестезиология и реаниматология</t>
  </si>
  <si>
    <t>Клиническая лабораторная диагностика</t>
  </si>
  <si>
    <t>Лабораторная генетика</t>
  </si>
  <si>
    <t>Патологическая анатомия</t>
  </si>
  <si>
    <t>Радиология</t>
  </si>
  <si>
    <t>Рентгенология</t>
  </si>
  <si>
    <t>Судебно-медицинская экспертиза</t>
  </si>
  <si>
    <t>Функциональная диагностика</t>
  </si>
  <si>
    <t>Детская хирургия</t>
  </si>
  <si>
    <t>Педиатрия</t>
  </si>
  <si>
    <t>Психиатрия</t>
  </si>
  <si>
    <t>Психотерапия</t>
  </si>
  <si>
    <t>Гастроэнтерология</t>
  </si>
  <si>
    <t>Гематология</t>
  </si>
  <si>
    <t>Дерматовенерология</t>
  </si>
  <si>
    <t>Инфекционные болезни</t>
  </si>
  <si>
    <t>Кардиология</t>
  </si>
  <si>
    <t>Клиническая фармакология</t>
  </si>
  <si>
    <t>Лечебная физкультура и спортивная медицина</t>
  </si>
  <si>
    <t>Нефрология</t>
  </si>
  <si>
    <t>Пульмонология</t>
  </si>
  <si>
    <t>Ревматология</t>
  </si>
  <si>
    <t>Рефлексотерапия</t>
  </si>
  <si>
    <t>Физиотерапия</t>
  </si>
  <si>
    <t>Фтизиатрия</t>
  </si>
  <si>
    <t>Общая врачебная практика (семейная медицина)</t>
  </si>
  <si>
    <t>Нейрохирургия</t>
  </si>
  <si>
    <t>Онкология</t>
  </si>
  <si>
    <t>Оториноларингология</t>
  </si>
  <si>
    <t>Офтальмология</t>
  </si>
  <si>
    <t>Биохимия</t>
  </si>
  <si>
    <t>Генетика</t>
  </si>
  <si>
    <t>Клеточная биология, цитология, гистология</t>
  </si>
  <si>
    <t>Математическая биология, биоинформатика</t>
  </si>
  <si>
    <t>Микробиология</t>
  </si>
  <si>
    <t>Физиология</t>
  </si>
  <si>
    <t>Анатомия человека</t>
  </si>
  <si>
    <t>Восстановительная медицина, спортивная медицина, лечебная физкультура, курортология и физиотерапия</t>
  </si>
  <si>
    <t>Клиническая иммунология, аллергология</t>
  </si>
  <si>
    <t>Патологическая физиология</t>
  </si>
  <si>
    <t>Фармацевтическая химия, фармакогнозия</t>
  </si>
  <si>
    <t>Технология получения лекарств</t>
  </si>
  <si>
    <t>Организация фармацевтического дела</t>
  </si>
  <si>
    <t>Общественное здоровье и здравоохранение</t>
  </si>
  <si>
    <t>Судебная медицина</t>
  </si>
  <si>
    <t>Фармакология, клиническая фармакология</t>
  </si>
  <si>
    <t>Болезни уха, горла и носа</t>
  </si>
  <si>
    <t>Внутренние болезни</t>
  </si>
  <si>
    <t>Глазные болезни</t>
  </si>
  <si>
    <t>Кожные и венерические болезни</t>
  </si>
  <si>
    <t>Наркология</t>
  </si>
  <si>
    <t>Нервные болезни</t>
  </si>
  <si>
    <t>Вещественный, комплексный и функциональный анализ</t>
  </si>
  <si>
    <t>Дифференциальные уравнения, динамические системы и оптимальное управление</t>
  </si>
  <si>
    <t>Теоретическая механика</t>
  </si>
  <si>
    <t>Вычислительная математика</t>
  </si>
  <si>
    <t>Органическая химия</t>
  </si>
  <si>
    <t>Физическая химия</t>
  </si>
  <si>
    <t>Неорганическая химия</t>
  </si>
  <si>
    <t>Теоретические основы информатики</t>
  </si>
  <si>
    <t>Математическое моделирование, численные методы и комплексы программ</t>
  </si>
  <si>
    <t>Теоретическая физика</t>
  </si>
  <si>
    <t>Физика плазмы</t>
  </si>
  <si>
    <t>Теория и методика физического воспитания, спортивной тренировки, оздоровительной и адаптивной физической культуры</t>
  </si>
  <si>
    <t>Общая психология, психология личности, история психологии</t>
  </si>
  <si>
    <t>Теория и методика профессионального образования</t>
  </si>
  <si>
    <t>Теория и методика обучения и воспитания (иностранные языки)</t>
  </si>
  <si>
    <t>Теория и методика обучения и воспитания (русский язык как иностранный)</t>
  </si>
  <si>
    <t>Общая педагогика, история педагогики и образования</t>
  </si>
  <si>
    <t>Русская литература</t>
  </si>
  <si>
    <t>Германские языки</t>
  </si>
  <si>
    <t>Романские языки</t>
  </si>
  <si>
    <t>Теория языка</t>
  </si>
  <si>
    <t>Онтология и теория познания</t>
  </si>
  <si>
    <t>История философии</t>
  </si>
  <si>
    <t>Отечественная история</t>
  </si>
  <si>
    <t>История международных отношений и внешней политики</t>
  </si>
  <si>
    <t>Теория, методология и история социологии</t>
  </si>
  <si>
    <t>Социология управления</t>
  </si>
  <si>
    <t>Биотехнология (в т.ч. бионанотехнологии)</t>
  </si>
  <si>
    <t>Германские языки (Общие и индивидуальные тенденции развития германских языков)</t>
  </si>
  <si>
    <t>Романские языки (Исторические особенности развития диалектов романских языков)</t>
  </si>
  <si>
    <t>Экология (биологические, медицинские, химические, технические науки)</t>
  </si>
  <si>
    <t>Литература народов стран зарубежья (Европы, Америки, Австралии, Азии, Африки, государств-участников СНГ)</t>
  </si>
  <si>
    <t>Экономика и управление народным хозяйством (по отраслям и сферам деятельности)</t>
  </si>
  <si>
    <t>Международное право; Европейское право</t>
  </si>
  <si>
    <t>Руководство учебной практикой, руководство клинической практикой ординаторов</t>
  </si>
  <si>
    <t>вакансия</t>
  </si>
  <si>
    <t>Б.1.</t>
  </si>
  <si>
    <t>Б.2.</t>
  </si>
  <si>
    <t>Маркетинг</t>
  </si>
  <si>
    <t>Управление персоналом</t>
  </si>
  <si>
    <t>Финансовый менеджмент</t>
  </si>
  <si>
    <t>Финансы и кредит</t>
  </si>
  <si>
    <t>Страхование</t>
  </si>
  <si>
    <t>Образовательная программа</t>
  </si>
  <si>
    <t>Код</t>
  </si>
  <si>
    <t>Язык</t>
  </si>
  <si>
    <t>Срок обучения</t>
  </si>
  <si>
    <t>Название направления</t>
  </si>
  <si>
    <t>Наименование ОПОП ВО</t>
  </si>
  <si>
    <t>Математические методы механики полета ракет-носителей и космических аппаратов</t>
  </si>
  <si>
    <t>Инновационные технологии в поиске и разведке месторождений нефти и газа</t>
  </si>
  <si>
    <t>Инновационные технологии в поиске и разведке твердых полезных ископаемых</t>
  </si>
  <si>
    <t>Геологическая съемка, поиски и разведка месторождений твердых полезных ископаемых</t>
  </si>
  <si>
    <t>Геология нефти и газа</t>
  </si>
  <si>
    <t>Маркшейдерское дело</t>
  </si>
  <si>
    <t>Информационные технологии в управлении</t>
  </si>
  <si>
    <t>Управление инновациями в инженерном бизнесе</t>
  </si>
  <si>
    <t>Управление в технических системах</t>
  </si>
  <si>
    <t>Нанотехнологии и микросистемная техника</t>
  </si>
  <si>
    <t>Эксплуатация вычислительных комплексов</t>
  </si>
  <si>
    <t>Эксплуатация и техническая экспертиза автотранспортных средств</t>
  </si>
  <si>
    <t>Ветеринария</t>
  </si>
  <si>
    <t>Социальные процессы и социальный менеджмент</t>
  </si>
  <si>
    <t>Международные институты и политические процессы</t>
  </si>
  <si>
    <t>Современный маркетинг и управление продажами</t>
  </si>
  <si>
    <t>Международное право (с элементами электронного обучения)</t>
  </si>
  <si>
    <t>Теория и методика преподавания иностранных языков и культур</t>
  </si>
  <si>
    <t>Перевод и переводоведение</t>
  </si>
  <si>
    <t>Исторические науки и археология</t>
  </si>
  <si>
    <t>Сравнительно-историческое, типологическое и сопоставительное языкознание (Сравнение и сопоставление языков в диахронии и синхронии)</t>
  </si>
  <si>
    <t>вак.</t>
  </si>
  <si>
    <t>иностранный ППС</t>
  </si>
  <si>
    <t>ДЭ</t>
  </si>
  <si>
    <t>дисциплинарный экзамен</t>
  </si>
  <si>
    <t>Проведение групповых занятий по иностранному языку (русскому как иностранному)</t>
  </si>
  <si>
    <t>Код направления</t>
  </si>
  <si>
    <t>Шифр ООП РУДН</t>
  </si>
  <si>
    <t>Наименование дисциплины или вида учебной работы</t>
  </si>
  <si>
    <t>Включая консультации в объеме 15% от нормы времени</t>
  </si>
  <si>
    <t>Руководство, консультирование, рецензирование и прием отчетов по оформлению истории болезни по клиническим дисциплинам (для ООП ВО по УГС 31.00.00.)</t>
  </si>
  <si>
    <t>Организация и проведение выпускного экзамена по русскому языку как иностранному для обучающихся ФРЯ и ОД</t>
  </si>
  <si>
    <t>1 яз. группа</t>
  </si>
  <si>
    <t>На письменную часть</t>
  </si>
  <si>
    <t>На устную часть</t>
  </si>
  <si>
    <t>Научному руководителю аспиранта</t>
  </si>
  <si>
    <t>Кафедре ведущей дисциплину</t>
  </si>
  <si>
    <t>За 1,5 ЗЕ объёма практики по учебному плану.</t>
  </si>
  <si>
    <t>Одна рецензия на одну работу</t>
  </si>
  <si>
    <t>Выпускающей кафедре</t>
  </si>
  <si>
    <t>За один год обучения</t>
  </si>
  <si>
    <t>За 1,5 ЗЕ объёма НИ по учебному плану</t>
  </si>
  <si>
    <t>ия</t>
  </si>
  <si>
    <t>ТУИС</t>
  </si>
  <si>
    <t>ПЭ</t>
  </si>
  <si>
    <t>УЭ</t>
  </si>
  <si>
    <t>ПЭФРЯ</t>
  </si>
  <si>
    <t>УЭФРЯ</t>
  </si>
  <si>
    <t>РПА</t>
  </si>
  <si>
    <t>КПА</t>
  </si>
  <si>
    <t>РНКР</t>
  </si>
  <si>
    <t>РНКРИн</t>
  </si>
  <si>
    <t>РРА</t>
  </si>
  <si>
    <t>Руководство и консультирование ВКР по ОП бакалавриата, специалитета, магистратуры и НКР в аспирантуре</t>
  </si>
  <si>
    <t>Руководство педагогической практикой аспирантов (научный руководитель аспиранта)</t>
  </si>
  <si>
    <t>Консультирование педагогической практики аспирантов (кафедра педагогики)</t>
  </si>
  <si>
    <t>Проведение контактных занятий в ТУИС</t>
  </si>
  <si>
    <t>Проведение выпускного экзамена по РЯ как иностранному для обучающихся ФРЯ и ОД (письменно)</t>
  </si>
  <si>
    <t>Проведение выпускного экзамена по РЯ как иностранному для обучающихся ФРЯ и ОД (устно)</t>
  </si>
  <si>
    <t>Ауд. нагр. 
(час. в нед.)</t>
  </si>
  <si>
    <t>Учебная группа 
(поток)</t>
  </si>
  <si>
    <t>Кол-во чел. в группе (потоке)</t>
  </si>
  <si>
    <t>Наименование программы</t>
  </si>
  <si>
    <t>сп</t>
  </si>
  <si>
    <t>Проведение групповых занятий по синхронному переводу</t>
  </si>
  <si>
    <t>клн</t>
  </si>
  <si>
    <t>Проведение клинических занятий (медики и ветеринары)</t>
  </si>
  <si>
    <t>ПК</t>
  </si>
  <si>
    <t>Уч. пр. (ЗЕ по РУП)</t>
  </si>
  <si>
    <t>Пр. пр. (ЗЕ по РУП)</t>
  </si>
  <si>
    <t>НИР (ЗЕ по РУП)</t>
  </si>
  <si>
    <t>Блок ООП</t>
  </si>
  <si>
    <t>Б.3.</t>
  </si>
  <si>
    <t>Теоретическое обучение</t>
  </si>
  <si>
    <t>Практики</t>
  </si>
  <si>
    <t>ГИА</t>
  </si>
  <si>
    <t>Компонента теоретического обучения</t>
  </si>
  <si>
    <t>Э</t>
  </si>
  <si>
    <t>Базовая дисциплина</t>
  </si>
  <si>
    <t>Вариативная дисциплина, обязательная для изучения всеми студентами ООП</t>
  </si>
  <si>
    <t>Дисциплина по выбору студентов</t>
  </si>
  <si>
    <t>Курсовые работы</t>
  </si>
  <si>
    <t>Курсовые проекты</t>
  </si>
  <si>
    <t>Учебная практика</t>
  </si>
  <si>
    <t>НИ</t>
  </si>
  <si>
    <t>Руководство НИР в магистратуре</t>
  </si>
  <si>
    <t>Руководство НИ в аспирантуре</t>
  </si>
  <si>
    <t>Произв., педагогическая и преддипломная практики</t>
  </si>
  <si>
    <t>Научное руководство</t>
  </si>
  <si>
    <t>Теоретическая и математическая физика</t>
  </si>
  <si>
    <t>Химия гетероциклических соединений</t>
  </si>
  <si>
    <t>Теоретическое и прикладное языкознание</t>
  </si>
  <si>
    <t>Международный бизнес</t>
  </si>
  <si>
    <t>Современные исследования Латинской Америки</t>
  </si>
  <si>
    <t>Правовое регулирование природоресурсных, земельно-имущественных отношений и градостроительной деятельности</t>
  </si>
  <si>
    <t>Административное право, административный процесс</t>
  </si>
  <si>
    <t>Юрист в сфере финансовой деятельности</t>
  </si>
  <si>
    <t>Науки о Земле</t>
  </si>
  <si>
    <t>Информатика и вычислительная техника</t>
  </si>
  <si>
    <t>Машиностроение</t>
  </si>
  <si>
    <t>Математика и механика</t>
  </si>
  <si>
    <t>Компьютерные и информационные науки</t>
  </si>
  <si>
    <t>Физика и астрономия</t>
  </si>
  <si>
    <t>Химические науки</t>
  </si>
  <si>
    <t>Биологические науки</t>
  </si>
  <si>
    <t>Фундаментальная медицина</t>
  </si>
  <si>
    <t>Клиническая медицина</t>
  </si>
  <si>
    <t>Медико-профилактическое дело</t>
  </si>
  <si>
    <t>Физическая культура и спорт</t>
  </si>
  <si>
    <t>Техносферная безопасность</t>
  </si>
  <si>
    <t>Сельское хозяйство</t>
  </si>
  <si>
    <t>Ветеринария и зоотехния</t>
  </si>
  <si>
    <t>Психологические науки</t>
  </si>
  <si>
    <t>Средства массовой информации и информационно-библиотечное дело</t>
  </si>
  <si>
    <t>Языкознание и литературоведение</t>
  </si>
  <si>
    <t>Политические науки и регионоведение</t>
  </si>
  <si>
    <t>Код по ОКСО</t>
  </si>
  <si>
    <t>Сервис</t>
  </si>
  <si>
    <t>Учебная работа (по рабочему учебному плану)</t>
  </si>
  <si>
    <t>Осенний семестр</t>
  </si>
  <si>
    <t>Весенний семестр</t>
  </si>
  <si>
    <t>Пар в неделю</t>
  </si>
  <si>
    <t>Аудиторная работа</t>
  </si>
  <si>
    <t>Внеаудиторная работа</t>
  </si>
  <si>
    <t>Руководство выездными производственными, преддипломными и научно-исследовательскими практиками.</t>
  </si>
  <si>
    <t>фк</t>
  </si>
  <si>
    <t>Проведение групповых занятий по физической культуре</t>
  </si>
  <si>
    <t>Организация и сопровождение Первичной аккредитации по всем медицинским специальностям</t>
  </si>
  <si>
    <t>Оформление аттестационных ведомостей и зачётных книжек</t>
  </si>
  <si>
    <t>Каждому из 3-х членов комиссии</t>
  </si>
  <si>
    <t>1 прикрепл. лицо</t>
  </si>
  <si>
    <t>На ЦСО</t>
  </si>
  <si>
    <t>Институт гостиничного бизнеса и туризма</t>
  </si>
  <si>
    <t>Институт иностранных языков</t>
  </si>
  <si>
    <t>Институт мировой экономики и бизнеса</t>
  </si>
  <si>
    <t>Медицинский институт</t>
  </si>
  <si>
    <t>Международный институт стратегического развития отраслевых экономик</t>
  </si>
  <si>
    <t>Учебно-научный институт сравнительной образовательной политики</t>
  </si>
  <si>
    <t>Факультет гуманитарных и социальных наук</t>
  </si>
  <si>
    <t>Факультет физико-математических и естественных наук</t>
  </si>
  <si>
    <t>Филологический факультет</t>
  </si>
  <si>
    <t>Экономический факультет</t>
  </si>
  <si>
    <t>Юридический институт</t>
  </si>
  <si>
    <t>Промышленная фармация</t>
  </si>
  <si>
    <t>Образование и педагогические науки</t>
  </si>
  <si>
    <t>Аллергология и иммунология</t>
  </si>
  <si>
    <t>Детская кардиология</t>
  </si>
  <si>
    <t>Пластическая хирургия</t>
  </si>
  <si>
    <t>Анестезиология-реаниматология</t>
  </si>
  <si>
    <t>Неврология</t>
  </si>
  <si>
    <t>Радиотерапия</t>
  </si>
  <si>
    <t>Рентгенэндоваскулярные диагностика и лечение</t>
  </si>
  <si>
    <t>Стоматология общей практики</t>
  </si>
  <si>
    <t>Терапия</t>
  </si>
  <si>
    <t>Эндокринология</t>
  </si>
  <si>
    <t>Прикладная информатика</t>
  </si>
  <si>
    <t>Генетика растений</t>
  </si>
  <si>
    <t>Ветеринарно-санитарная экспертиза, безопасность и качество сырья и продуктов биологического происхождения</t>
  </si>
  <si>
    <t>Современная ландшафтная архитектура и дизайн городской среды</t>
  </si>
  <si>
    <t>Защита растений: Интегрированная защита растений</t>
  </si>
  <si>
    <t>Инновационные технологии и нанотехнологии в медицине, фармацевтике и биотехнологии</t>
  </si>
  <si>
    <t>Биофармацевтические технологии и управление фармпроизводством</t>
  </si>
  <si>
    <t>Международный ресторанный бизнес</t>
  </si>
  <si>
    <t>Международный гостиничный бизнес</t>
  </si>
  <si>
    <t>Сервис международной сферы гостеприимства</t>
  </si>
  <si>
    <t>Международный туризм</t>
  </si>
  <si>
    <t>Туроператорская и турагентская деятельность</t>
  </si>
  <si>
    <t>Бизнес-процессы в сфере туризма и гостеприимства</t>
  </si>
  <si>
    <t>Технология машиностроения</t>
  </si>
  <si>
    <t>Теория и методика обучения и воспитания (иностранные языки): Межкультурная коммуникация; Интралингводидактика</t>
  </si>
  <si>
    <t>Общая педагогика, история педагогики и образования: педагогическое регулирование социальных отношений личности и социокультурной среды</t>
  </si>
  <si>
    <t>Общая психология (Психологические проблемы общения и коммуникации)</t>
  </si>
  <si>
    <t>Психология образования</t>
  </si>
  <si>
    <t>Иностранный язык профессионального общения и специализированный перевод</t>
  </si>
  <si>
    <t>Управление международным бизнесом</t>
  </si>
  <si>
    <t>Реклама</t>
  </si>
  <si>
    <t>Связи с общественностью</t>
  </si>
  <si>
    <t>Международная экономическая безопасность</t>
  </si>
  <si>
    <t>Цифровая экономика</t>
  </si>
  <si>
    <t>Биохимия: молекулярные механизмы опухолей</t>
  </si>
  <si>
    <t>Генетика: молекулярные основы наследственных болезней человека</t>
  </si>
  <si>
    <t>Внутренние болезни: сердечная недостаточность</t>
  </si>
  <si>
    <t>Социально-значимые инфекционные болезни</t>
  </si>
  <si>
    <t>Урология: современные направления диагностики и лечения урологических болезней</t>
  </si>
  <si>
    <t>Менеджмент в здравоохранении</t>
  </si>
  <si>
    <t>Патологическая физиология: патологические механизмы современных заболеваний</t>
  </si>
  <si>
    <t>Социальная и административная фармация</t>
  </si>
  <si>
    <t>Технология получения лекарств: Биофармация</t>
  </si>
  <si>
    <t>Фармацевтическая химия: анализ и контроль качества лекарственных средств</t>
  </si>
  <si>
    <t>Миграционные процессы и межкультурная коммуникация</t>
  </si>
  <si>
    <t>Организация деятельности специалистов психолого-медико-педагогической комиссии</t>
  </si>
  <si>
    <t>Евразийские исследования: Россия и сопредельные регионы</t>
  </si>
  <si>
    <t>Зарубежное регионоведение: Ближний Восток</t>
  </si>
  <si>
    <t>Зарубежное регионоведение: Китай</t>
  </si>
  <si>
    <t>Россия и сопредельные регионы</t>
  </si>
  <si>
    <t>История международных отношений и внешней политики: международные отношения</t>
  </si>
  <si>
    <t>Мировая политика: концептуальные основы и межкультурное взаимодействие</t>
  </si>
  <si>
    <t>Политические проблемы глобализирующегося мира</t>
  </si>
  <si>
    <t>Политические науки: российские и сравнительные исследования</t>
  </si>
  <si>
    <t>Теория, методология и методы социологии: история и современность</t>
  </si>
  <si>
    <t>Органическая химия: Химия гетероциклических соединений</t>
  </si>
  <si>
    <t>Физическая химия адсорбции и катализа</t>
  </si>
  <si>
    <t>Методика обучения языкам. Переводоведение. Синхронный перевод</t>
  </si>
  <si>
    <t>Теория и методика обучения и воспитания (русский язык)</t>
  </si>
  <si>
    <t>Международная журналистика</t>
  </si>
  <si>
    <t>Английская и русская литература в сопоставительном аспекте</t>
  </si>
  <si>
    <t>Сравнительно-историческое, сопоставительное и типологическое языкознание: Типология и языковая классификация</t>
  </si>
  <si>
    <t>Теория языка и дискурс-анализ</t>
  </si>
  <si>
    <t>Экология: Современные исследования окружающей среды</t>
  </si>
  <si>
    <t>Экономика управления природными ресурсами</t>
  </si>
  <si>
    <t>Рециклинг отходов производства и потребления</t>
  </si>
  <si>
    <t>Экспертиза в области охраны окружающей среды и устойчивого развития</t>
  </si>
  <si>
    <t>Комплексное управление твердыми отходами</t>
  </si>
  <si>
    <t>Экология города</t>
  </si>
  <si>
    <t>Цифровое государство</t>
  </si>
  <si>
    <t>Ибероамерика</t>
  </si>
  <si>
    <t>Управление человеческими ресурсами</t>
  </si>
  <si>
    <t>Управление предприятиями наукоемких отраслей промышленности</t>
  </si>
  <si>
    <t>Управление международными проектами</t>
  </si>
  <si>
    <t>Математическое моделирование инженерно-экономических систем</t>
  </si>
  <si>
    <t>Бухгалтерский учет и аудит</t>
  </si>
  <si>
    <t>Экономика города</t>
  </si>
  <si>
    <t>Проектный анализ и моделирование в экономике</t>
  </si>
  <si>
    <t>Экономика предприятия и предпринимательство</t>
  </si>
  <si>
    <t>Финансовое управление в секторах экономики</t>
  </si>
  <si>
    <t>Бухгалтерский учет, внутренний контроль и аудит</t>
  </si>
  <si>
    <t>Экономика и управление цифровым предприятием в топливно-энергетическом комплексе</t>
  </si>
  <si>
    <t>Комплаенс-контроль в деятельности организаций</t>
  </si>
  <si>
    <t>Юридический перевод</t>
  </si>
  <si>
    <t>Переводчик в системе государственных служб и учреждений</t>
  </si>
  <si>
    <t>Юридические науки: Современное международное право</t>
  </si>
  <si>
    <t>Международное частное право</t>
  </si>
  <si>
    <t>Правовое регулирование финансового мониторинга и Compliance System</t>
  </si>
  <si>
    <t>Конкурентное право</t>
  </si>
  <si>
    <t>Правовое сопровождение бизнеса (бизнес-юрист)</t>
  </si>
  <si>
    <t>Медицинское право</t>
  </si>
  <si>
    <t>Специалитет</t>
  </si>
  <si>
    <t>Очно-заочная</t>
  </si>
  <si>
    <t>Очная</t>
  </si>
  <si>
    <t>Заочная</t>
  </si>
  <si>
    <t>Русский</t>
  </si>
  <si>
    <t>Испанский</t>
  </si>
  <si>
    <t>Дизайн промышленных и социальных объектов</t>
  </si>
  <si>
    <t>Гидротехническое строительство и технологии водопользования</t>
  </si>
  <si>
    <t>Строительная инженерия и построенная среда</t>
  </si>
  <si>
    <t>Городская среда Умного города</t>
  </si>
  <si>
    <t>Городская среда и жилищно-коммунальное хозяйство Умного города</t>
  </si>
  <si>
    <t>Паро-, газотурбинные установки и двигатели</t>
  </si>
  <si>
    <t>Гибридные и силовые двигательные установки</t>
  </si>
  <si>
    <t>Паро- и газотурбинные установки и двигатели</t>
  </si>
  <si>
    <t>Технологии автоматизации промышленных систем</t>
  </si>
  <si>
    <t>Разработка и эксплуатация нефтяных и газовых месторождений на суше и на море</t>
  </si>
  <si>
    <t>Технологии трубопроводного транспорта и подземного хранения нефти и газа</t>
  </si>
  <si>
    <t>Природоохранные технологии и геоэкология нефтегазового производства</t>
  </si>
  <si>
    <t>Нанотехнологии в нефтегазовой отрасли</t>
  </si>
  <si>
    <t>Технологии добычи и транспортировки нефти и газа</t>
  </si>
  <si>
    <t>Транспортная логистика</t>
  </si>
  <si>
    <t>Сервисное обслуживание транспортно-технологических машин</t>
  </si>
  <si>
    <t>Инновационный менеджмент в отраслях промышленности</t>
  </si>
  <si>
    <t>Искусственный интеллект и робототехнические системы</t>
  </si>
  <si>
    <t>ПАкр</t>
  </si>
  <si>
    <t>Включая 15% времени на консультирование. Не более 2 проектов в семестр.</t>
  </si>
  <si>
    <t>Руководство ВКР или НКР, в том числе Организация и сопровождение Первичной аккредитации МИ</t>
  </si>
  <si>
    <r>
      <t xml:space="preserve">Организация и сопровождение Первичной аккредитации </t>
    </r>
    <r>
      <rPr>
        <b/>
        <sz val="12"/>
        <rFont val="Calibri"/>
        <family val="2"/>
        <charset val="204"/>
        <scheme val="minor"/>
      </rPr>
      <t>по всем медицинским специальностям</t>
    </r>
  </si>
  <si>
    <t>Кафедра/департамент</t>
  </si>
  <si>
    <t>Особый признак</t>
  </si>
  <si>
    <t>Кафедра административного и финансового права</t>
  </si>
  <si>
    <t>Кафедра акушерства и гинекологии с курсом перинатологии</t>
  </si>
  <si>
    <t>Кафедра акушерства, гинекологии и репродуктивной медицины</t>
  </si>
  <si>
    <t>Кафедра иммунологии и аллергологии</t>
  </si>
  <si>
    <t>Кафедра анатомии человека</t>
  </si>
  <si>
    <t>Кафедра анестезиологии и реаниматологии</t>
  </si>
  <si>
    <t>Кафедра архитектуры и градостроительства</t>
  </si>
  <si>
    <t>Кафедра африканистики и арабистики</t>
  </si>
  <si>
    <t>Кафедра биологии и общей генетики</t>
  </si>
  <si>
    <t>Кафедра биофизических методов в медицине</t>
  </si>
  <si>
    <t>Кафедра ботаники, физиологии растений и агробиотехнологии</t>
  </si>
  <si>
    <t>Кафедра бухгалтерского учета, аудита и статистики</t>
  </si>
  <si>
    <t>Кафедра всеобщей истории</t>
  </si>
  <si>
    <t>Кафедра генетики, растениеводства и защиты растений</t>
  </si>
  <si>
    <t>Кафедра геодезии и маркшейдерского дела</t>
  </si>
  <si>
    <t>Кафедра геоэкологии</t>
  </si>
  <si>
    <t>Кафедра гидравликии и гидротехнических сооружений</t>
  </si>
  <si>
    <t>Кафедра гистологии, цитологии и эмбриологии</t>
  </si>
  <si>
    <t>Кафедра глазных болезней</t>
  </si>
  <si>
    <t>Кафедра гомеопатии ФПК МР</t>
  </si>
  <si>
    <t>Кафедра госпитальной хирургии с курсом детской хирургии</t>
  </si>
  <si>
    <t>Кафедра государственного и муниципального управления</t>
  </si>
  <si>
    <t>Кафедра гражданского права и процесса и международного частного права</t>
  </si>
  <si>
    <t>Кафедра диетологии и клинической нутрициологии</t>
  </si>
  <si>
    <t>Кафедра земельного и экологического права</t>
  </si>
  <si>
    <t>Кафедра инженерного бизнеса и управления предприятием</t>
  </si>
  <si>
    <t>Кафедра инфекционных болезней с курсами эпидемиологии и фтизиатрии</t>
  </si>
  <si>
    <t>Кафедра информационных технологий</t>
  </si>
  <si>
    <t>Кафедра истории и социально-экономических дисциплин</t>
  </si>
  <si>
    <t>Кафедра истории России</t>
  </si>
  <si>
    <t>Кафедра истории философии</t>
  </si>
  <si>
    <t>Кафедра кардиологии, рентгенэндоваскулярных и гибридных методов диагностики и лечения</t>
  </si>
  <si>
    <t>Кафедра кибернетики и мехатроники</t>
  </si>
  <si>
    <t>Кафедра клинической андрологии</t>
  </si>
  <si>
    <t>Кафедра клинической ветеринарии</t>
  </si>
  <si>
    <t>Кафедра клинической и социальной гериатрии</t>
  </si>
  <si>
    <t>Кафедра клинической лабораторной диагностики</t>
  </si>
  <si>
    <t>Кафедра клинической лимфологии и эндоэкологии ФПК МР</t>
  </si>
  <si>
    <t>Кафедра клинической маммологии, лучевой диагностики и лучевой терапии</t>
  </si>
  <si>
    <t>Кафедра клинической реабилитации</t>
  </si>
  <si>
    <t>Кафедра кожных и венерических болезней</t>
  </si>
  <si>
    <t>Кафедра компьютерных технологий</t>
  </si>
  <si>
    <t>Кафедра конституционного и муниципального права</t>
  </si>
  <si>
    <t>Кафедра конституционного права и конституционного судопроизводства</t>
  </si>
  <si>
    <t>Кафедра ландшафтной архитектуры и дизайна</t>
  </si>
  <si>
    <t>Кафедра макроэкономического регулирования и планирования</t>
  </si>
  <si>
    <t>Кафедра маркетинга</t>
  </si>
  <si>
    <t>Кафедра массовых коммуникаций</t>
  </si>
  <si>
    <t>Кафедра математики и информатики</t>
  </si>
  <si>
    <t>Кафедра математического анализа и теории функций</t>
  </si>
  <si>
    <t>Кафедра математического моделирования в космических системах</t>
  </si>
  <si>
    <t>Кафедра медицинской информатики и телемедицины</t>
  </si>
  <si>
    <t>Кафедра медицинской реабилитации и физиотерапии</t>
  </si>
  <si>
    <t>Кафедра медицины катастроф</t>
  </si>
  <si>
    <t>Кафедра международного права</t>
  </si>
  <si>
    <t>Кафедра международных экономических отношений</t>
  </si>
  <si>
    <t>Кафедра менеджмента</t>
  </si>
  <si>
    <t>Кафедра менеджмента и маркетинга в фармации</t>
  </si>
  <si>
    <t>Кафедра месторождений полезных ископаемых и их разведки им. В.М.Крейтера</t>
  </si>
  <si>
    <t>Кафедра механика космического полета</t>
  </si>
  <si>
    <t>Кафедра морфологии животных и ветеринарно-санитарной экспертизы</t>
  </si>
  <si>
    <t>Кафедра муниципального права</t>
  </si>
  <si>
    <t>Кафедра начертательной геометрии и черчения</t>
  </si>
  <si>
    <t>Кафедра нелинейного анализа и оптимизации</t>
  </si>
  <si>
    <t>Кафедра неорганической химии</t>
  </si>
  <si>
    <t>Кафедра нефтепромысловой геологии, горного и нефтегазового дела</t>
  </si>
  <si>
    <t>Кафедра нормальной физиологии</t>
  </si>
  <si>
    <t>Кафедра общего и русского языкознания</t>
  </si>
  <si>
    <t>Кафедра общей врачебной практики</t>
  </si>
  <si>
    <t>Кафедра общей и клинической стоматологии</t>
  </si>
  <si>
    <t>Кафедра общей и клинической фармакологии</t>
  </si>
  <si>
    <t>Кафедра общей фармацевтической и биомедицинской технологии</t>
  </si>
  <si>
    <t>Кафедра общей химии</t>
  </si>
  <si>
    <t>Кафедра общественного здоровья, здравоохранения и гигиены</t>
  </si>
  <si>
    <t>Кафедра онкологии и гематологии</t>
  </si>
  <si>
    <t>Кафедра онтологии и теории познания</t>
  </si>
  <si>
    <t>Кафедра организации здравоохранения, лекарственного обеспечения, медицинских технологий и гигиены</t>
  </si>
  <si>
    <t>Кафедра организации космической деятельности</t>
  </si>
  <si>
    <t>Кафедра органической химии</t>
  </si>
  <si>
    <t>Кафедра ортопедической стоматологии</t>
  </si>
  <si>
    <t>Кафедра ортопедической стоматологии с курсом зубных техников</t>
  </si>
  <si>
    <t>Кафедра оториноларингологии</t>
  </si>
  <si>
    <t>Кафедра оториноларингологии ФПК МР</t>
  </si>
  <si>
    <t>Кафедра офтальмологии</t>
  </si>
  <si>
    <t>Кафедра патологической анатомии</t>
  </si>
  <si>
    <t>Кафедра педиатрии</t>
  </si>
  <si>
    <t>Кафедра пластической хирургии</t>
  </si>
  <si>
    <t>Кафедра политического анализа и управления</t>
  </si>
  <si>
    <t>Кафедра почвоведения, земледелия и земельного  кадастра</t>
  </si>
  <si>
    <t>Кафедра превентивной медицины</t>
  </si>
  <si>
    <t>Кафедра прикладной информатики и теории вероятностей</t>
  </si>
  <si>
    <t>Кафедра прикладной математики</t>
  </si>
  <si>
    <t>Кафедра прикладной психологии и психотерапии</t>
  </si>
  <si>
    <t>Кафедра прикладной физики</t>
  </si>
  <si>
    <t>Кафедра прикладной экологии</t>
  </si>
  <si>
    <t>Кафедра прикладной экономики</t>
  </si>
  <si>
    <t>Кафедра проектирования и строительства промышленных и гражданских сооружений</t>
  </si>
  <si>
    <t>Кафедра пропедевтики внутренних болезней</t>
  </si>
  <si>
    <t>Кафедра пропедевтики стоматологических заболеваний</t>
  </si>
  <si>
    <t>Кафедра профилактической медицины</t>
  </si>
  <si>
    <t>Кафедра прочности материалов и конструкций</t>
  </si>
  <si>
    <t>Кафедра психиатрии и медицинской психологии</t>
  </si>
  <si>
    <t>Кафедра психиатрии, психотерапии и психосоматической патологии</t>
  </si>
  <si>
    <t>Кафедра психологии и педагогики</t>
  </si>
  <si>
    <t>Кафедра психотерапии и медико-социальной реабилитации в наркологии</t>
  </si>
  <si>
    <t>Кафедра психотерапии и медико-социальной реабилитации в наркологии ФПК МР</t>
  </si>
  <si>
    <t>Кафедра региональной экономики и географии</t>
  </si>
  <si>
    <t>Кафедра рекламы и бизнес-коммуникаций</t>
  </si>
  <si>
    <t>Кафедра русского языка и межкультурной коммуникации</t>
  </si>
  <si>
    <t>Кафедра русского языка и методики его преподавания</t>
  </si>
  <si>
    <t>Кафедра русской и зарубежной литературы</t>
  </si>
  <si>
    <t>Кафедра сердечно-сосудистой хирургии</t>
  </si>
  <si>
    <t>Кафедра системной экологии</t>
  </si>
  <si>
    <t>Кафедра социальной и дифференциальной психологии</t>
  </si>
  <si>
    <t>Кафедра социальной педагогики</t>
  </si>
  <si>
    <t>Кафедра социальной философии</t>
  </si>
  <si>
    <t>Кафедра социологии</t>
  </si>
  <si>
    <t>Кафедра специального образования</t>
  </si>
  <si>
    <t>Кафедра сравнительной политологии</t>
  </si>
  <si>
    <t>Кафедра стандартизации, метрологии и технологий производства продукции животноводства</t>
  </si>
  <si>
    <t>Кафедра стоматологии детского возраста и ортодонтии</t>
  </si>
  <si>
    <t>Кафедра стоматологии и челюстно-лицевой хирургии</t>
  </si>
  <si>
    <t>Кафедра стратегического управления в топливно-энергетическом комплексе</t>
  </si>
  <si>
    <t>Кафедра строительных конструкций и сооружений</t>
  </si>
  <si>
    <t>Кафедра судебной медицины</t>
  </si>
  <si>
    <t>Кафедра судебной экологии с курсом экологии человека</t>
  </si>
  <si>
    <t>Кафедра судебно-экспертной деятельности</t>
  </si>
  <si>
    <t>Кафедра таможенного дела</t>
  </si>
  <si>
    <t>Кафедра теории и истории государства и права</t>
  </si>
  <si>
    <t>Кафедра теории и истории журналистики</t>
  </si>
  <si>
    <t>Кафедра теории и истории культуры</t>
  </si>
  <si>
    <t>Кафедра теории и истории международных отношений</t>
  </si>
  <si>
    <t>Кафедра теории и практики иностранных языков</t>
  </si>
  <si>
    <t>Кафедра теплотехники и тепловых двигателей</t>
  </si>
  <si>
    <t>Кафедра терапевтической стоматологии</t>
  </si>
  <si>
    <t>Кафедра терапевтической стоматологии и парадонтологии ФПК МР</t>
  </si>
  <si>
    <t>Кафедра терапии</t>
  </si>
  <si>
    <t>Кафедра технологии машиностроения, металлорежущих станков и инструментов</t>
  </si>
  <si>
    <t>Кафедра технологии получения лекарств и организации фармацевтического дела</t>
  </si>
  <si>
    <t>Кафедра травматологии и ортопедии</t>
  </si>
  <si>
    <t>Кафедра травматологии, ортопедии и артрологии</t>
  </si>
  <si>
    <t>Кафедра уголовного права, уголовного процесса и криминалистики</t>
  </si>
  <si>
    <t>Кафедра ультразвуковой диагностики и хирургии</t>
  </si>
  <si>
    <t>Кафедра управления сестринской деятельностью</t>
  </si>
  <si>
    <t>Кафедра управления и экономики агробизнеса</t>
  </si>
  <si>
    <t>Кафедра управления и экономики фармации</t>
  </si>
  <si>
    <t>Кафедра управления конкурентоспособностью аэрокосмических предприятий</t>
  </si>
  <si>
    <t>Кафедра урологии и оперативной нефрологии с курсом онкоурологии</t>
  </si>
  <si>
    <t>Кафедра урологии, онкологии и радиологии</t>
  </si>
  <si>
    <t>Кафедра факультетской терапии</t>
  </si>
  <si>
    <t>Кафедра факультетской хирургии</t>
  </si>
  <si>
    <t>Кафедра фармацевтической и токсикологической химии</t>
  </si>
  <si>
    <t>Кафедра физики</t>
  </si>
  <si>
    <t>Кафедра физиотерапии</t>
  </si>
  <si>
    <t>Кафедра физической и коллоидной химии</t>
  </si>
  <si>
    <t>Кафедра финансы и кредит</t>
  </si>
  <si>
    <t>Кафедра функциональной и лучевой диагностики</t>
  </si>
  <si>
    <t>Кафедра химии и биологии</t>
  </si>
  <si>
    <t>Кафедра хирургии и онкологии</t>
  </si>
  <si>
    <t>Кафедра челюстно-лицевой хирургии и хирургической стоматологии</t>
  </si>
  <si>
    <t>Кафедра экологии и управления водными ресурсами</t>
  </si>
  <si>
    <t>Кафедра экологии человека</t>
  </si>
  <si>
    <t>Кафедра экологического мониторинга и прогнозирования</t>
  </si>
  <si>
    <t>Кафедра экономики космической деятельности</t>
  </si>
  <si>
    <t>Кафедра экономики предприятия и предпринимательства</t>
  </si>
  <si>
    <t>Кафедра экономико-математического моделирования</t>
  </si>
  <si>
    <t>Кафедра эксплуатации автотранспортных средств ИнжФ</t>
  </si>
  <si>
    <t>Кафедра эндоскопии, эндоскопической и лазерной хирургии</t>
  </si>
  <si>
    <t>Кафедра эстетической медицины</t>
  </si>
  <si>
    <t>Кафедра этики</t>
  </si>
  <si>
    <t>Курс современных технологий СМИ и МК</t>
  </si>
  <si>
    <t>Курс истории медицины</t>
  </si>
  <si>
    <t>Курс медицинской реабилитации</t>
  </si>
  <si>
    <t>Агроинженерный департамент</t>
  </si>
  <si>
    <t>Агробиотехнологический департамент</t>
  </si>
  <si>
    <t>Департамент ветеринарной медицины</t>
  </si>
  <si>
    <t>Департамент техносферной безопасности</t>
  </si>
  <si>
    <t>Кафедра истории права и государства</t>
  </si>
  <si>
    <t>Кафедра доказательной медицины</t>
  </si>
  <si>
    <t>Кафедра медицинской элементологии</t>
  </si>
  <si>
    <t>Кафедра физвоспитания и спорта</t>
  </si>
  <si>
    <t>Кафедра теории права и государства</t>
  </si>
  <si>
    <t>Кафедра информационных технологий в непрерывном образовании</t>
  </si>
  <si>
    <t>Кафедра гравитации и космологии</t>
  </si>
  <si>
    <t>Кафедра сравнительной образовательной политики</t>
  </si>
  <si>
    <t>Департамент архитектуры и строительства</t>
  </si>
  <si>
    <t>Департамент недропользования и нефтегазового дела</t>
  </si>
  <si>
    <t>Департамент машиностроения и приборостроения</t>
  </si>
  <si>
    <t>Департамент инновационного менеджмента в отраслях промышленности</t>
  </si>
  <si>
    <t>Департамент инженерной графики и компьютерного моделирования</t>
  </si>
  <si>
    <t>Научно-образовательный институт физических исследований и технологий</t>
  </si>
  <si>
    <t>Кафедра ибероамериканских исследований</t>
  </si>
  <si>
    <t>Департамент ландшафтного проектирования и устойчивых экосистем</t>
  </si>
  <si>
    <t>Кафедра национальной экономики</t>
  </si>
  <si>
    <t>Кафедра анестезиологии и реаниматологии с курсом медицинской реабилитации</t>
  </si>
  <si>
    <t>Департамент архитектуры</t>
  </si>
  <si>
    <t>Департамент строительства</t>
  </si>
  <si>
    <t>Кафедра технологического менеджмента</t>
  </si>
  <si>
    <t>Кафедра математического моделирования и информационных технологий</t>
  </si>
  <si>
    <t>Кафедра дерматовенерологии и косметологии</t>
  </si>
  <si>
    <t>Кафедра комплаенса и контроллинга</t>
  </si>
  <si>
    <t>Кафедра конкурентного права</t>
  </si>
  <si>
    <t>Вечерне-заочное отделение инженерной академии</t>
  </si>
  <si>
    <t>Вечерне-заочное отделение факультета ФМиЕН</t>
  </si>
  <si>
    <t>Вечерне-заочное отделение медицинского института</t>
  </si>
  <si>
    <t>Вечерне-заочное отделение АТИ</t>
  </si>
  <si>
    <t>Вечерне-заочное отделение экологического факультета</t>
  </si>
  <si>
    <t>Вечерне-заочное отделение филологического факультета</t>
  </si>
  <si>
    <t>Вечерне-заочное отделение ФГСН</t>
  </si>
  <si>
    <t>Вечерне-заочное отделение экономического факультета</t>
  </si>
  <si>
    <t>Вечерне-заочное отделение юридического института</t>
  </si>
  <si>
    <t>Кафедра управления цифровым предприятием в топливно-энергетическом комплексе</t>
  </si>
  <si>
    <t>EPF Graduate School of Engineering</t>
  </si>
  <si>
    <t>Высшая школа бизнеса, искусств и технологий "RISEBA"</t>
  </si>
  <si>
    <t>Даляньский университет иностранных языков</t>
  </si>
  <si>
    <t>Евразийский национальный университет им. Л.Н. Гумилева</t>
  </si>
  <si>
    <t>Евразийский национальный университет имени Л. Н. Гумилёва</t>
  </si>
  <si>
    <t>Ереванский государственный университет</t>
  </si>
  <si>
    <t>Ереванский Государственный университет языков и социальных наук имени В. Я. Брюсова</t>
  </si>
  <si>
    <t>Институт нефтехимического синтеза РАН</t>
  </si>
  <si>
    <t>Казахский национальный университет им. Аль-Фараби</t>
  </si>
  <si>
    <t>Католический университет Лилля</t>
  </si>
  <si>
    <t>Кыргызский национальный аграрный университет им. К.И. Скрябина</t>
  </si>
  <si>
    <t>Кыргызский национальный университет им. Ж. Баласагына</t>
  </si>
  <si>
    <t>Ливанский университет</t>
  </si>
  <si>
    <t>Лондонский Университет Метрополитен</t>
  </si>
  <si>
    <t>Мадридский университет Комплутенсе</t>
  </si>
  <si>
    <t>Международный университет «SilkWay»</t>
  </si>
  <si>
    <t>Московский государственный юридический университет имени О.Е. Кутафина</t>
  </si>
  <si>
    <t>Национальный политехнический университет Армении</t>
  </si>
  <si>
    <t>Национальный университет наук, технологий и менеджмента</t>
  </si>
  <si>
    <t>Пекинский университет иностранных языков</t>
  </si>
  <si>
    <t>Российско-Таджикский (Славянский) университет</t>
  </si>
  <si>
    <t>Славянский университет</t>
  </si>
  <si>
    <t>СУ СНГ</t>
  </si>
  <si>
    <t>Университет Аристотеля</t>
  </si>
  <si>
    <t>Университет Аристотеля в Салониках</t>
  </si>
  <si>
    <t>Университет Балеарских островов</t>
  </si>
  <si>
    <t>Университет Бордо</t>
  </si>
  <si>
    <t>Университет Витовта Великого</t>
  </si>
  <si>
    <t>Университет г. Базель</t>
  </si>
  <si>
    <t>Университет Гренобль-Альпы</t>
  </si>
  <si>
    <t>Университет Лазурного берега</t>
  </si>
  <si>
    <t>Университет Мишеля де Монтень Бордо-3</t>
  </si>
  <si>
    <t>Университет Ницца София Антиполис</t>
  </si>
  <si>
    <t>Университет Потсдам</t>
  </si>
  <si>
    <t>Университет Тулузы Жан Жорес</t>
  </si>
  <si>
    <t>Университет Тушии</t>
  </si>
  <si>
    <t>ФГБОУ ВО "Уфимский государственный нефтяной технический университет"</t>
  </si>
  <si>
    <t>Федеральный университет Минас-Жерайс</t>
  </si>
  <si>
    <t>Федеральный университет Флуминенсе</t>
  </si>
  <si>
    <t>Хэнаньский университет экономики и права</t>
  </si>
  <si>
    <t>Шаньдунский университет</t>
  </si>
  <si>
    <t>Эдинбургский Университет им. Нэйпия</t>
  </si>
  <si>
    <t>Южно-Казахстанский государственный университет им. М.Ауезова</t>
  </si>
  <si>
    <t>Университет Палермо</t>
  </si>
  <si>
    <t>практ.</t>
  </si>
  <si>
    <t>иностр.</t>
  </si>
  <si>
    <t>Семестр ; Модуль</t>
  </si>
  <si>
    <t>Недель в семестре (модуле)</t>
  </si>
  <si>
    <t>дневная (очная)</t>
  </si>
  <si>
    <t>вечерняя (очно-заочная)</t>
  </si>
  <si>
    <t>педагогДО</t>
  </si>
  <si>
    <t>педагог дополнительного образования</t>
  </si>
  <si>
    <t>привлекаемый специалист практик</t>
  </si>
  <si>
    <t>Архитектура зданий и сооружений. Творческие концепции архитектурной деятельности</t>
  </si>
  <si>
    <t>Водоснабжение, канализация, строительные системы охраны водных ресурсов</t>
  </si>
  <si>
    <t>Геология, поиски и разведка нефтяных и газовых месторождений</t>
  </si>
  <si>
    <t>Геология, поиски и разведка твердых полезных ископаемых, минерагения</t>
  </si>
  <si>
    <t>Геотехнология (подземная, открытая и строительная)</t>
  </si>
  <si>
    <t>Гидравлика и инженерная гидрология</t>
  </si>
  <si>
    <t>Гидротехническое строительство</t>
  </si>
  <si>
    <t>Горнопромышленная и нефтегазопромысловая геология, геофизика, маркшейдерское дело и геометрия недр</t>
  </si>
  <si>
    <t>Динамика, баллистика, управление движением летательных аппаратов (технические науки)</t>
  </si>
  <si>
    <t>Математическое моделирование, комплексы программ и численные методы (технические науки)</t>
  </si>
  <si>
    <t>Общая и региональная геология</t>
  </si>
  <si>
    <t>Разработка и эксплуатация нефтяных и газовых месторождений</t>
  </si>
  <si>
    <t>Системный анализ, управление и обработка информации (технические науки)</t>
  </si>
  <si>
    <t>Строительная механика</t>
  </si>
  <si>
    <t>Строительные конструкции, здания и сооружения</t>
  </si>
  <si>
    <t>Строительные конструкции, здания и сооружения: теория зданий и сооружений</t>
  </si>
  <si>
    <t>Тепловые двигатели</t>
  </si>
  <si>
    <t>Технология и оборудование механической и физико-технической обработки</t>
  </si>
  <si>
    <t>Технология и организация строительства</t>
  </si>
  <si>
    <t>Турбомашины и комбинированные турбоустановки</t>
  </si>
  <si>
    <t>Управление в социальных и экономических системах (технические науки)</t>
  </si>
  <si>
    <t>Управление в социальных и экономических системах (технические науки): стратегическое управление</t>
  </si>
  <si>
    <t>Эксплуатация автомобильного транспорта</t>
  </si>
  <si>
    <t>Элементы и устройства вычислительной техники и систем управления (технические науки)</t>
  </si>
  <si>
    <t>Биоинженерия окружающей среды</t>
  </si>
  <si>
    <t>Гравитация, космология и релятивистская астрофизика</t>
  </si>
  <si>
    <t>Учебно-научный институт гравитации и космологии</t>
  </si>
  <si>
    <t>Неклассические задачи анализа и дифференциальных уравнений, математическое моделирование и машинное обучение</t>
  </si>
  <si>
    <t>Таможенное регулирование внешнеэкономической деятельности</t>
  </si>
  <si>
    <t>Таможенные платежи</t>
  </si>
  <si>
    <t>Таможенный контроль</t>
  </si>
  <si>
    <t>КЭ</t>
  </si>
  <si>
    <t>Инженерная академия</t>
  </si>
  <si>
    <t>Геология</t>
  </si>
  <si>
    <t>Техника и технологии строительства</t>
  </si>
  <si>
    <t>Энергетическое машиностроение</t>
  </si>
  <si>
    <t>Электро- и теплотехника</t>
  </si>
  <si>
    <t>Прикладная геология</t>
  </si>
  <si>
    <t>Горное дело</t>
  </si>
  <si>
    <t>Геология, разведка и разработка полезных ископаемых</t>
  </si>
  <si>
    <t>Техника и технологии наземного транспорта</t>
  </si>
  <si>
    <t>текущий контроль и рубежная аттестация</t>
  </si>
  <si>
    <t>ТК</t>
  </si>
  <si>
    <t>Математические методы механики полета космических аппаратов и дистанционного зондирования Земли</t>
  </si>
  <si>
    <t>Data Science и цифровая трансформация</t>
  </si>
  <si>
    <t>Динамика, прочность машин, приборов и аппаратуры (технические науки)</t>
  </si>
  <si>
    <t>Технологии защиты информации</t>
  </si>
  <si>
    <t>Институт биохимической технологии и нанотехнологии</t>
  </si>
  <si>
    <t>Управление природными ресурсами</t>
  </si>
  <si>
    <t>Управление охраной труда, промышленной и экологической безопасностью (HSE – менеджмент)</t>
  </si>
  <si>
    <t>Биология</t>
  </si>
  <si>
    <t>Биомедицина</t>
  </si>
  <si>
    <t>Параметрический дизайн в архитектурной среде</t>
  </si>
  <si>
    <t>Технологии трубопроводного транспорта</t>
  </si>
  <si>
    <t>Оценка соответствия качества и безопасности продукции</t>
  </si>
  <si>
    <t>Создание и разработка лекарственных препаратов</t>
  </si>
  <si>
    <t>Управление сестринской деятельностью</t>
  </si>
  <si>
    <t>Международные экономические отношения и внешнеэкономическая деятельность</t>
  </si>
  <si>
    <t>Управление бизнесом</t>
  </si>
  <si>
    <t>Принятие эффективных управленческих решений (Big Data Economics)</t>
  </si>
  <si>
    <t>Международная логистика</t>
  </si>
  <si>
    <t>Экономика природной и техногенной безопасности</t>
  </si>
  <si>
    <t>Smart-бизнес</t>
  </si>
  <si>
    <t>Управление клиентским опытом и инновации в сервисе</t>
  </si>
  <si>
    <t>ВЭД в условиях цифровизации экономики</t>
  </si>
  <si>
    <t>Исламское право</t>
  </si>
  <si>
    <t>Право в публичной политике</t>
  </si>
  <si>
    <t>Финансовое право и корпоративное налогообложение</t>
  </si>
  <si>
    <t>Мультимедийная журналистика</t>
  </si>
  <si>
    <t>Глобальные и цифровые медиа</t>
  </si>
  <si>
    <t>Журналистика больших данных</t>
  </si>
  <si>
    <t>Обучение профессионально-ориентированному иностранному языку и переводу в условиях цифровизации</t>
  </si>
  <si>
    <t>Лингвистика: русский язык</t>
  </si>
  <si>
    <t>Лингвистика: иностранные языки</t>
  </si>
  <si>
    <t>Сравнительно-историческое, типологическое и сопоставительное языкознание</t>
  </si>
  <si>
    <t>Россия в истории и в современном мире</t>
  </si>
  <si>
    <t>ФТД</t>
  </si>
  <si>
    <t>Факультативы</t>
  </si>
  <si>
    <t>Проведение тестовой части Государственного итогового экзамена</t>
  </si>
  <si>
    <t>Нормы времени для расчета объема учебной работы ППС на 2021-2022 уч. год</t>
  </si>
  <si>
    <t>Аграрно-технологический институт</t>
  </si>
  <si>
    <t>СВТсд00р-л000-5.00</t>
  </si>
  <si>
    <t>'36.05.01</t>
  </si>
  <si>
    <t>СВТсд00а-л000-5.00</t>
  </si>
  <si>
    <t>СЗКбд00р-л000-4.00</t>
  </si>
  <si>
    <t>'21.03.02</t>
  </si>
  <si>
    <t>ССМбд00р-л000-4.00</t>
  </si>
  <si>
    <t>'27.03.01</t>
  </si>
  <si>
    <t>САГбд00р-л000-4.00</t>
  </si>
  <si>
    <t>'35.03.04</t>
  </si>
  <si>
    <t>СЛАбд00р-л000-4.00</t>
  </si>
  <si>
    <t>'35.03.10</t>
  </si>
  <si>
    <t>СВЭбд00р-л000-4.00</t>
  </si>
  <si>
    <t>'36.03.01</t>
  </si>
  <si>
    <t>СЗКмд01р-л000-2.00</t>
  </si>
  <si>
    <t>'21.04.02</t>
  </si>
  <si>
    <t>ССМмд02р-л000-2.00</t>
  </si>
  <si>
    <t>'27.04.01</t>
  </si>
  <si>
    <t>САГмд01р-л000-2.00</t>
  </si>
  <si>
    <t>'35.04.04</t>
  </si>
  <si>
    <t>САГмд02р-л000-2.00</t>
  </si>
  <si>
    <t>САГмд02а-л000-2.00</t>
  </si>
  <si>
    <t>САГмд05р-л000-2.00</t>
  </si>
  <si>
    <t>Адаптивно-ландшафтные системы земледелия и наукоемкие агротехнологии</t>
  </si>
  <si>
    <t>САГмд04а-с042-2.00</t>
  </si>
  <si>
    <t>СЛАмд01р-л000-2.00</t>
  </si>
  <si>
    <t>'35.04.09</t>
  </si>
  <si>
    <t>СЛАмд02а-с057-2.00</t>
  </si>
  <si>
    <t>СВЭмд01р-л000-2.00</t>
  </si>
  <si>
    <t>'36.04.01</t>
  </si>
  <si>
    <t>СЭКмд16р-л000-2.00</t>
  </si>
  <si>
    <t>'38.04.01</t>
  </si>
  <si>
    <t>СВТсв00р-л000-5.06</t>
  </si>
  <si>
    <t>СЗКбв00р-л000-4.06</t>
  </si>
  <si>
    <t>ССМбв00р-л000-4.06</t>
  </si>
  <si>
    <t>САГбв00р-л000-4.06</t>
  </si>
  <si>
    <t>СЛАбв00р-л000-4.06</t>
  </si>
  <si>
    <t>СВЭбв00р-л000-4.06</t>
  </si>
  <si>
    <t>СЗКмв01р-л000-2.06</t>
  </si>
  <si>
    <t>ССМмв02р-л000-2.06</t>
  </si>
  <si>
    <t>САГмв02р-л000-2.06</t>
  </si>
  <si>
    <t>СВЭмв01р-л000-2.06</t>
  </si>
  <si>
    <t>СВТсз00р-л000-5.06</t>
  </si>
  <si>
    <t>СЗКбз00р-л000-4.06</t>
  </si>
  <si>
    <t>ССМбз00р-л000-4.06</t>
  </si>
  <si>
    <t>САГбз00р-л000-4.06</t>
  </si>
  <si>
    <t>СЛАбз00р-л000-4.06</t>
  </si>
  <si>
    <t>СВЭбз00р-л000-4.06</t>
  </si>
  <si>
    <t>СЗКмз01р-л000-2.06</t>
  </si>
  <si>
    <t>ССМмз02р-л000-2.06</t>
  </si>
  <si>
    <t>САГмз01р-л000-2.06</t>
  </si>
  <si>
    <t>САГмз02р-л000-2.06</t>
  </si>
  <si>
    <t>СЛАмз01р-л000-2.06</t>
  </si>
  <si>
    <t>СВЭмз01р-л000-2.06</t>
  </si>
  <si>
    <t>СЭКмз20р-л000-2.06</t>
  </si>
  <si>
    <t>Высшая школа промышленной политики и предпринимательства</t>
  </si>
  <si>
    <t>ПМНбд05р-л000-4.00</t>
  </si>
  <si>
    <t>'38.03.02</t>
  </si>
  <si>
    <t>ПУСмд12р-л000-2.00</t>
  </si>
  <si>
    <t>'27.04.04</t>
  </si>
  <si>
    <t>ПЭКмд09р-л000-2.00</t>
  </si>
  <si>
    <t>ПЭКмд10р-л000-2.00</t>
  </si>
  <si>
    <t>ПЭКмд12р-л000-2.00</t>
  </si>
  <si>
    <t>ПЭКмд13р-л000-2.00</t>
  </si>
  <si>
    <t>ПЭКмд22р-л000-2.00</t>
  </si>
  <si>
    <t>E-commerce – Электронная коммерция</t>
  </si>
  <si>
    <t>ПМНмд22р-л000-2.00</t>
  </si>
  <si>
    <t>'38.04.02</t>
  </si>
  <si>
    <t>Девелопмент и управление недвижимостью</t>
  </si>
  <si>
    <t>ПМНмд23р-л000-2.00</t>
  </si>
  <si>
    <t>Инженерный менеджмент</t>
  </si>
  <si>
    <t>ПМНмд06р-л000-2.00</t>
  </si>
  <si>
    <t>ИПГсд01р-л000-5.00</t>
  </si>
  <si>
    <t>'21.05.02</t>
  </si>
  <si>
    <t>ИПГсд02р-л000-5.00</t>
  </si>
  <si>
    <t>ИГРсд01р-л000-5.06</t>
  </si>
  <si>
    <t>'21.05.04</t>
  </si>
  <si>
    <t>ИПМбд01р-л000-4.00</t>
  </si>
  <si>
    <t>'01.03.02</t>
  </si>
  <si>
    <t>ИПМбд03а-л000-4.00</t>
  </si>
  <si>
    <t>ИАРбд00р-л000-5.00</t>
  </si>
  <si>
    <t>'07.03.01</t>
  </si>
  <si>
    <t>ИАНбд01р-л000-5.00</t>
  </si>
  <si>
    <t>'07.03.02</t>
  </si>
  <si>
    <t>Реконструкция и реставрация архитектурного наследия</t>
  </si>
  <si>
    <t>ИДСбд02р-л000-5.00</t>
  </si>
  <si>
    <t>'07.03.03</t>
  </si>
  <si>
    <t>ИСРбд00р-л000-4.00</t>
  </si>
  <si>
    <t>'08.03.01</t>
  </si>
  <si>
    <t>ИЭМбд05р-л000-4.00</t>
  </si>
  <si>
    <t>'13.03.03</t>
  </si>
  <si>
    <t>Базовая кафедра "Энергетическое машиностроение"</t>
  </si>
  <si>
    <t>ИЭМбд01р-л000-4.00</t>
  </si>
  <si>
    <t>ИЭМбд04р-л000-4.00</t>
  </si>
  <si>
    <t>ИМПбд00р-л000-4.00</t>
  </si>
  <si>
    <t>'15.03.05</t>
  </si>
  <si>
    <t>ИНГбд02р-л000-4.00</t>
  </si>
  <si>
    <t>'21.03.01</t>
  </si>
  <si>
    <t>ИНГбд07р-л000-4.00</t>
  </si>
  <si>
    <t>Разработка нефтяных и газовых месторождений, транспортировка, хранение и переработка нефти и газа</t>
  </si>
  <si>
    <t>ИНГбд06р-л000-4.00</t>
  </si>
  <si>
    <t>ИНГбд03р-л000-4.00</t>
  </si>
  <si>
    <t>ИНГбд04р-л000-4.00</t>
  </si>
  <si>
    <t>ИНГбд01р-л000-4.00</t>
  </si>
  <si>
    <t>ИНГбд05р-л000-4.00</t>
  </si>
  <si>
    <t>ИТКбд00р-л000-4.00</t>
  </si>
  <si>
    <t>'23.03.03</t>
  </si>
  <si>
    <t>ИТКбд02р-л000-4.00</t>
  </si>
  <si>
    <t>ИТКбд03р-л000-4.00</t>
  </si>
  <si>
    <t>ИУСбд03р-л000-4.00</t>
  </si>
  <si>
    <t>'27.03.04</t>
  </si>
  <si>
    <t>ИУСбд04а-л000-4.00</t>
  </si>
  <si>
    <t>Механика полета и управление космическими системами</t>
  </si>
  <si>
    <t>ИУСбд05р-л000-4.00</t>
  </si>
  <si>
    <t>Информационные технологии в управлении и кибербезопасность</t>
  </si>
  <si>
    <t>ИУСбд01р-л000-4.00</t>
  </si>
  <si>
    <t>ИНВбд01р-л000-4.00</t>
  </si>
  <si>
    <t>'27.03.05</t>
  </si>
  <si>
    <t>Инноватика</t>
  </si>
  <si>
    <t>Управление инновациями в отраслях промышленности</t>
  </si>
  <si>
    <t>ИНИбд00р-л000-4.00</t>
  </si>
  <si>
    <t>'28.03.02</t>
  </si>
  <si>
    <t>ИПМмд01р-л000-2.00</t>
  </si>
  <si>
    <t>'01.04.02</t>
  </si>
  <si>
    <t>ИПМмд01а-с001-2.00</t>
  </si>
  <si>
    <t>ИПМмд03р-л000-2.00</t>
  </si>
  <si>
    <t>ИПМмд03а-л000-2.00</t>
  </si>
  <si>
    <t>ИФИмд04р-л000-2.00</t>
  </si>
  <si>
    <t>'02.04.02</t>
  </si>
  <si>
    <t>ИГЛмд01р-л000-2.00</t>
  </si>
  <si>
    <t>'05.04.01</t>
  </si>
  <si>
    <t>ИГЛмд02р-л000-2.00</t>
  </si>
  <si>
    <t>ИАРмд01р-л000-2.00</t>
  </si>
  <si>
    <t>'07.04.01</t>
  </si>
  <si>
    <t>ИАНмд01р-л000-2.00</t>
  </si>
  <si>
    <t>'07.04.02</t>
  </si>
  <si>
    <t>Архитектура историко-культурных объектов</t>
  </si>
  <si>
    <t>ИДСмд01р-л000-2.00</t>
  </si>
  <si>
    <t>'07.04.03</t>
  </si>
  <si>
    <t>ИСРмд01р-л000-2.00</t>
  </si>
  <si>
    <t>'08.04.01</t>
  </si>
  <si>
    <t>ИСРмд02р-л000-2.00</t>
  </si>
  <si>
    <t>ИСРмд10р-л000-2.00</t>
  </si>
  <si>
    <t>ИСРмд06а-л000-2.00</t>
  </si>
  <si>
    <t>ИСРмд07а-л000-2.00</t>
  </si>
  <si>
    <t>ИЭМмд01р-л000-2.00</t>
  </si>
  <si>
    <t>'13.04.03</t>
  </si>
  <si>
    <t>ИЭМмд02р-л000-2.00</t>
  </si>
  <si>
    <t>ИЭМмд03а-л000-2.00</t>
  </si>
  <si>
    <t>ИМПмд02р-л000-2.00</t>
  </si>
  <si>
    <t>'15.04.05</t>
  </si>
  <si>
    <t>ИНГмд02а-л000-2.00</t>
  </si>
  <si>
    <t>'21.04.01</t>
  </si>
  <si>
    <t>ИНГмд03р-л000-2.00</t>
  </si>
  <si>
    <t>Технологии добычи, транспортировки и переработки нефти и газа</t>
  </si>
  <si>
    <t>ИТКмд01р-л000-2.00</t>
  </si>
  <si>
    <t>'23.04.03</t>
  </si>
  <si>
    <t>ИТКмд02а-л000-2.00</t>
  </si>
  <si>
    <t>Безопасность и прочность транспортных средств</t>
  </si>
  <si>
    <t>ИУСмд11р-л000-2.00</t>
  </si>
  <si>
    <t>ИУСмд13р-д058-2.00</t>
  </si>
  <si>
    <t>ИУСмд15а-л000-2.00</t>
  </si>
  <si>
    <t>Технологии управления аэрокосмическими системами</t>
  </si>
  <si>
    <t>ИНВмд01а-л000-2.00</t>
  </si>
  <si>
    <t>'27.04.05</t>
  </si>
  <si>
    <t>ИНТмд01р-л000-2.00</t>
  </si>
  <si>
    <t>'28.04.01</t>
  </si>
  <si>
    <t>Базовая кафедра «Нанотехнологии и микросистемная техника»</t>
  </si>
  <si>
    <t>ИНТмд02р-с015-2.00</t>
  </si>
  <si>
    <t>ИНТмд01р-с009-2.00</t>
  </si>
  <si>
    <t>ИМНмд24р-д058-2.00</t>
  </si>
  <si>
    <t>ИПМбв02р-л000-5.00</t>
  </si>
  <si>
    <t>ИАРбв00р-л000-5.06</t>
  </si>
  <si>
    <t>ИАНбв01р-л000-5.06</t>
  </si>
  <si>
    <t>ИДСбв02р-л000-5.06</t>
  </si>
  <si>
    <t>ИСРбв00р-л000-5.00</t>
  </si>
  <si>
    <t>ИНГбв00р-л000-4.06</t>
  </si>
  <si>
    <t>ИНГбв07р-л000-4.06</t>
  </si>
  <si>
    <t>ИНГбв05р-л000-4.06</t>
  </si>
  <si>
    <t>ИУСбв05р-л000-5.00</t>
  </si>
  <si>
    <t>ИУСбв01р-л000-5.00</t>
  </si>
  <si>
    <t>ИАРмв01р-л000-2.06</t>
  </si>
  <si>
    <t>ИСРмв02р-л000-2.06</t>
  </si>
  <si>
    <t>ИСРмв09р-л000-2.06</t>
  </si>
  <si>
    <t>ИНГмв03р-л000-2.06</t>
  </si>
  <si>
    <t>ИСРбз00р-л000-5.00</t>
  </si>
  <si>
    <t>ИЭМбз05р-л000-5.00</t>
  </si>
  <si>
    <t>ИМПбз00р-л000-5.00</t>
  </si>
  <si>
    <t>ИТКбз00р-л000-5.00</t>
  </si>
  <si>
    <t>ИУСбз03р-л000-5.00</t>
  </si>
  <si>
    <t>ИНИбз00р-л000-5.00</t>
  </si>
  <si>
    <t>ИСРмз02р-л000-2.06</t>
  </si>
  <si>
    <t>ИЭМмз01р-л000-2.06</t>
  </si>
  <si>
    <t>ИТКмз01р-л000-2.06</t>
  </si>
  <si>
    <t>ИУСмз07р-л000-2.06</t>
  </si>
  <si>
    <t>ЦХМмд01р-л000-2.00</t>
  </si>
  <si>
    <t>'04.04.01</t>
  </si>
  <si>
    <t>ЦНТмд03р-л000-2.00</t>
  </si>
  <si>
    <t>ЦПФмд01р-л000-2.00</t>
  </si>
  <si>
    <t>'33.04.01</t>
  </si>
  <si>
    <t>ЦХМмв01р-л000-2.06</t>
  </si>
  <si>
    <t>ЦПФмз01р-л000-2.06</t>
  </si>
  <si>
    <t>БСВбд01р-л000-4.00</t>
  </si>
  <si>
    <t>'43.03.01</t>
  </si>
  <si>
    <t>БСВбд00р-л000-4.00</t>
  </si>
  <si>
    <t>БТРбд00р-л000-4.00</t>
  </si>
  <si>
    <t>'43.03.02</t>
  </si>
  <si>
    <t>БТРбд01р-л000-4.00</t>
  </si>
  <si>
    <t>БТРбд02р-л000-4.00</t>
  </si>
  <si>
    <t>БГДбд00р-л000-4.00</t>
  </si>
  <si>
    <t>'43.03.03</t>
  </si>
  <si>
    <t>БГДбд01р-л000-4.00</t>
  </si>
  <si>
    <t>БГДбд02р-л000-4.00</t>
  </si>
  <si>
    <t>БМНмд14р-л000-2.00</t>
  </si>
  <si>
    <t>БТРмд01р-л000-2.00</t>
  </si>
  <si>
    <t>'43.04.02</t>
  </si>
  <si>
    <t>БТРмд02р-с009-2.00</t>
  </si>
  <si>
    <t>БТРмд02р-с020-2.00</t>
  </si>
  <si>
    <t>БТРмд02р-с015-2.00</t>
  </si>
  <si>
    <t>БТРмд03р-с012-2.00</t>
  </si>
  <si>
    <t>БТРмд03р-с011-2.00</t>
  </si>
  <si>
    <t>БТРмд04р-л000-2.00</t>
  </si>
  <si>
    <t>БСВбв00р-л000-4.11</t>
  </si>
  <si>
    <t>БТРбв00р-л000-4.11</t>
  </si>
  <si>
    <t>БТРбв01р-л000-5.00</t>
  </si>
  <si>
    <t>БТРбв02р-л000-5.00</t>
  </si>
  <si>
    <t>БГДбв00р-л000-4.11</t>
  </si>
  <si>
    <t>БГДбв01р-л000-5.00</t>
  </si>
  <si>
    <t>БГДбв02р-л000-5.00</t>
  </si>
  <si>
    <t>БГДбз02р-л000-5.00</t>
  </si>
  <si>
    <t>ЯЗРбд01р-л000-4.00</t>
  </si>
  <si>
    <t>'41.03.01</t>
  </si>
  <si>
    <t>ЯЗРбд05р-д064-4.00</t>
  </si>
  <si>
    <t>ЯПОбд01р-л000-4.00</t>
  </si>
  <si>
    <t>'44.03.02</t>
  </si>
  <si>
    <t>ЯЛНбд04р-л000-4.00</t>
  </si>
  <si>
    <t>'45.03.02</t>
  </si>
  <si>
    <t>ЯЛНбд05р-л000-4.00</t>
  </si>
  <si>
    <t>ЯЗРмд06р-л000-2.00</t>
  </si>
  <si>
    <t>'41.04.01</t>
  </si>
  <si>
    <t>Европа в современном мире: региональные исследования</t>
  </si>
  <si>
    <t>ЯПОмд02р-л000-2.00</t>
  </si>
  <si>
    <t>'44.04.02</t>
  </si>
  <si>
    <t>ЯЛНмд06р-л000-2.00</t>
  </si>
  <si>
    <t>'45.04.02</t>
  </si>
  <si>
    <t>ЯЛНмд09р-л000-2.00</t>
  </si>
  <si>
    <t>ЯЛНмд00р-с017-2.00</t>
  </si>
  <si>
    <t>ЯЛНмд04р-с064-2.00</t>
  </si>
  <si>
    <t>ЯЛНмд10р-д015-2.00</t>
  </si>
  <si>
    <t>ЯЛНбв04р-л000-4.06</t>
  </si>
  <si>
    <t>ЯЛНбв05р-л000-4.06</t>
  </si>
  <si>
    <t>ЯЛНмв06р-л000-2.06</t>
  </si>
  <si>
    <t>ЯЛНмв00р-с017-2.06</t>
  </si>
  <si>
    <t>ШЭКбд14р-л000-4.00</t>
  </si>
  <si>
    <t>'38.03.01</t>
  </si>
  <si>
    <t>ШЭКбд15р-л000-4.00</t>
  </si>
  <si>
    <t>ШЭКбд01р-л000-4.00</t>
  </si>
  <si>
    <t>ШМНбд01р-л000-4.00</t>
  </si>
  <si>
    <t>ШРОбд01р-л000-4.00</t>
  </si>
  <si>
    <t>'42.03.01</t>
  </si>
  <si>
    <t>ШРОбд02р-л000-4.00</t>
  </si>
  <si>
    <t>ШЭКмд01р-л000-2.00</t>
  </si>
  <si>
    <t>ШЭКмд21р-л000-2.00</t>
  </si>
  <si>
    <t>ШМНмд15р-л000-2.00</t>
  </si>
  <si>
    <t>ШМНмд15а-л000-2.00</t>
  </si>
  <si>
    <t>ШМНмд15а-с064-2.00</t>
  </si>
  <si>
    <t>ШМНмд15а-с053-2.00</t>
  </si>
  <si>
    <t>ШРОмд01р-л000-2.00</t>
  </si>
  <si>
    <t>'42.04.01</t>
  </si>
  <si>
    <t>ШРОмд02р-л000-2.00</t>
  </si>
  <si>
    <t>ШЛНмд01р-л000-2.00</t>
  </si>
  <si>
    <t>ШЛНмд01а-с024-2.00</t>
  </si>
  <si>
    <t>Институт русского языка</t>
  </si>
  <si>
    <t>РФЛбд01р-л000-4.00</t>
  </si>
  <si>
    <t>'45.03.01</t>
  </si>
  <si>
    <t>Прикладная цифровая филология</t>
  </si>
  <si>
    <t>РФЛмд08р-д070-2.00</t>
  </si>
  <si>
    <t>'45.04.01</t>
  </si>
  <si>
    <t>РФЛмд09р-л000-2.00</t>
  </si>
  <si>
    <t>Цифровые инновации в филологии</t>
  </si>
  <si>
    <t>РФЛбз01р-л000-5.00</t>
  </si>
  <si>
    <t>РФЛмз09р-л000-2.06</t>
  </si>
  <si>
    <t>Институт экологии</t>
  </si>
  <si>
    <t>ОЭПбд00р-л000-4.00</t>
  </si>
  <si>
    <t>'05.03.06</t>
  </si>
  <si>
    <t>ОЭПбд01р-л000-4.00</t>
  </si>
  <si>
    <t>ОРСбд00р-л000-4.00</t>
  </si>
  <si>
    <t>'18.03.02</t>
  </si>
  <si>
    <t>ОПМмд05р-л000-2.00</t>
  </si>
  <si>
    <t>Моделирование и прогнозирование процессов в экологии и экономике</t>
  </si>
  <si>
    <t>ОЭПмд05р-л000-2.00</t>
  </si>
  <si>
    <t>'05.04.06</t>
  </si>
  <si>
    <t>ОЭПмд04а-л000-2.00</t>
  </si>
  <si>
    <t>ОЭПмд00р-с038-2.00</t>
  </si>
  <si>
    <t>ОЭПмд06р-л000-2.00</t>
  </si>
  <si>
    <t>ОЭПмд07а-л000-2.00</t>
  </si>
  <si>
    <t>ОЭПмд08р-л000-2.00</t>
  </si>
  <si>
    <t>ОЭПмд11а-д066-2.00</t>
  </si>
  <si>
    <t>ОЭПмд05р-с009-2.00</t>
  </si>
  <si>
    <t>ОЭПмд12р-с008-2.00</t>
  </si>
  <si>
    <t>ОЭПмд12р-с067-2.00</t>
  </si>
  <si>
    <t>ОЭПмд12р-с068-2.00</t>
  </si>
  <si>
    <t>ОЭПмд13р-л000-2.00</t>
  </si>
  <si>
    <t>ОРСмд01р-л000-2.00</t>
  </si>
  <si>
    <t>'18.04.02</t>
  </si>
  <si>
    <t>ОМНмд09р-л000-2.00</t>
  </si>
  <si>
    <t>ОЭПбв00р-л000-4.06</t>
  </si>
  <si>
    <t>ОЭПбв01р-л000-4.06</t>
  </si>
  <si>
    <t>ОРСбв00р-л000-4.06</t>
  </si>
  <si>
    <t>ОПМмв05р-л000-2.06</t>
  </si>
  <si>
    <t>ОЭПмв13р-л000-2.06</t>
  </si>
  <si>
    <t>ОЭПмв08р-л000-2.06</t>
  </si>
  <si>
    <t>ОСМмв01р-л000-2.06</t>
  </si>
  <si>
    <t>ОМНмв09р-л000-2.06</t>
  </si>
  <si>
    <t>ОЭПбз00р-л000-4.06</t>
  </si>
  <si>
    <t>ОЭПбз01р-л000-4.06</t>
  </si>
  <si>
    <t>ОРСбз00р-л000-4.06</t>
  </si>
  <si>
    <t>ОЭПмз13р-л000-2.06</t>
  </si>
  <si>
    <t>ОЭПмз08р-л000-2.06</t>
  </si>
  <si>
    <t>ОСМмз01р-л000-2.06</t>
  </si>
  <si>
    <t>МЛДсд00р-л000-6.00</t>
  </si>
  <si>
    <t>'31.05.01</t>
  </si>
  <si>
    <t>МЛДсд00а-л000-6.00</t>
  </si>
  <si>
    <t>МЛДсд00р-д071-6.00</t>
  </si>
  <si>
    <t>МСЯсд00р-л000-5.00</t>
  </si>
  <si>
    <t>'31.05.03</t>
  </si>
  <si>
    <t>МСЯсд00а-л000-5.00</t>
  </si>
  <si>
    <t>МСЯсд00р-д071-5.00</t>
  </si>
  <si>
    <t>МФЯсд00р-л000-5.00</t>
  </si>
  <si>
    <t>'33.05.01</t>
  </si>
  <si>
    <t>МБЛбд01р-л000-4.00</t>
  </si>
  <si>
    <t>'06.03.01</t>
  </si>
  <si>
    <t>МСЕбд00р-л000-4.00</t>
  </si>
  <si>
    <t>'34.03.01</t>
  </si>
  <si>
    <t>МБЛмд01р-л000-2.00</t>
  </si>
  <si>
    <t>'06.04.01</t>
  </si>
  <si>
    <t>Биофармацевтический анализ</t>
  </si>
  <si>
    <t>МПФмд02р-л000-2.00</t>
  </si>
  <si>
    <t>МСЕмд01р-л000-2.00</t>
  </si>
  <si>
    <t>'34.04.01</t>
  </si>
  <si>
    <t>МСЕбв00р-л000-5.00</t>
  </si>
  <si>
    <t>МСЕмв01р-л000-2.06</t>
  </si>
  <si>
    <t>ММНмз10р-л000-2.04</t>
  </si>
  <si>
    <t>ВГУмд01р-л000-2.00</t>
  </si>
  <si>
    <t>'38.04.04</t>
  </si>
  <si>
    <t>УФЗмд01а-л000-2.00</t>
  </si>
  <si>
    <t>'03.04.02</t>
  </si>
  <si>
    <t>УФЗмд01а-с015-2.00</t>
  </si>
  <si>
    <t>ЕМНмд19р-л000-2.00</t>
  </si>
  <si>
    <t>ЕМНмд12р-л000-2.00</t>
  </si>
  <si>
    <t>ЕМНмд03р-л000-2.00</t>
  </si>
  <si>
    <t>ЕМНмд04р-л000-2.00</t>
  </si>
  <si>
    <t>ЕМНмв19р-л000-2.06</t>
  </si>
  <si>
    <t>ЕМНмв12р-л000-2.06</t>
  </si>
  <si>
    <t>ЕМНмв03р-л000-2.06</t>
  </si>
  <si>
    <t>ЕМНмв04р-л000-2.06</t>
  </si>
  <si>
    <t>ЕМНмз19р-л000-2.06</t>
  </si>
  <si>
    <t>ЕМНмз12р-л000-2.06</t>
  </si>
  <si>
    <t>ЕМНмз03р-л000-2.06</t>
  </si>
  <si>
    <t>ЕМНмз04р-л000-2.06</t>
  </si>
  <si>
    <t>ГГУбд00р-л000-4.00</t>
  </si>
  <si>
    <t>'38.03.04</t>
  </si>
  <si>
    <t>ГСЦбд00р-л000-4.00</t>
  </si>
  <si>
    <t>'39.03.01</t>
  </si>
  <si>
    <t>ГЗРбд03р-л000-4.00</t>
  </si>
  <si>
    <t>ГЗРбд02р-л000-4.00</t>
  </si>
  <si>
    <t>ГПЛбд00р-л000-4.00</t>
  </si>
  <si>
    <t>'41.03.04</t>
  </si>
  <si>
    <t>ГМОбд00р-л000-4.00</t>
  </si>
  <si>
    <t>'41.03.05</t>
  </si>
  <si>
    <t>ГИСбд00р-л000-4.00</t>
  </si>
  <si>
    <t>'46.03.01</t>
  </si>
  <si>
    <t>ГФСбд00р-л000-4.00</t>
  </si>
  <si>
    <t>'47.03.01</t>
  </si>
  <si>
    <t>ГИГбд00р-л000-4.00</t>
  </si>
  <si>
    <t>'50.03.01</t>
  </si>
  <si>
    <t>ГГУмд00р-л000-2.00</t>
  </si>
  <si>
    <t>ГСЦмд01р-л000-2.00</t>
  </si>
  <si>
    <t>'39.04.01</t>
  </si>
  <si>
    <t>ГСЦмд02р-л000-2.00</t>
  </si>
  <si>
    <t>ГСЦмд01р-с063-2.00</t>
  </si>
  <si>
    <t>ГЗРмд02р-л000-2.00</t>
  </si>
  <si>
    <t>ГЗРмд01р-л000-2.00</t>
  </si>
  <si>
    <t>ГЗРмд03р-л000-2.00</t>
  </si>
  <si>
    <t>ГЗРмд03р-с009-2.00</t>
  </si>
  <si>
    <t>ГЗРмд04р-с036-2.00</t>
  </si>
  <si>
    <t>ГЗРмд04р-с005-2.00</t>
  </si>
  <si>
    <t>ГЗРмд04р-с063-2.00</t>
  </si>
  <si>
    <t>ГПЛмд02р-л000-2.00</t>
  </si>
  <si>
    <t>'41.04.04</t>
  </si>
  <si>
    <t>ГПЛмд01р-л000-2.00</t>
  </si>
  <si>
    <t>ГПЛмд03р-д014-2.00</t>
  </si>
  <si>
    <t>ГПЛмд01р-с063-2.00</t>
  </si>
  <si>
    <t>ГПЛмд04р-д054-2.00</t>
  </si>
  <si>
    <t>ГПЛмд04р-д048-2.00</t>
  </si>
  <si>
    <t>ГПЛмд05а-л000-2.00</t>
  </si>
  <si>
    <t>ГМОмд01р-л000-2.00</t>
  </si>
  <si>
    <t>'41.04.05</t>
  </si>
  <si>
    <t>ГМОмд04а-л000-2.00</t>
  </si>
  <si>
    <t>ГМОмд02р-с034-2.00</t>
  </si>
  <si>
    <t>ГМОмд01р-с025-2.00</t>
  </si>
  <si>
    <t>ГМОмд06р-д023-2.00</t>
  </si>
  <si>
    <t>ГМОмд03р-с040-2.00</t>
  </si>
  <si>
    <t>'46.04.01</t>
  </si>
  <si>
    <t>ГИСмд02р-л000-2.00</t>
  </si>
  <si>
    <t>ГИСмд03р-с048-2.00</t>
  </si>
  <si>
    <t>ГИСмд04р-с063-2.00</t>
  </si>
  <si>
    <t>ГИСмд05р-с043-2.00</t>
  </si>
  <si>
    <t>ГИСмд06р-л000-2.00</t>
  </si>
  <si>
    <t>ГФСмд01р-л000-2.00</t>
  </si>
  <si>
    <t>'47.04.01</t>
  </si>
  <si>
    <t>ГФСмд02р-с063-2.00</t>
  </si>
  <si>
    <t>ГФСмд01р-с015-2.00</t>
  </si>
  <si>
    <t>ГИГмд01р-л000-2.00</t>
  </si>
  <si>
    <t>'50.04.01</t>
  </si>
  <si>
    <t>ГИГмд02р-с043-2.00</t>
  </si>
  <si>
    <t>ГГУбв00р-л000-5.00</t>
  </si>
  <si>
    <t>ГСЦбв00р-л000-5.00</t>
  </si>
  <si>
    <t>ГПЛбв00р-л000-5.00</t>
  </si>
  <si>
    <t>ГМОбв00р-л000-5.00</t>
  </si>
  <si>
    <t>ГГУмв02р-л000-2.06</t>
  </si>
  <si>
    <t>ГМОмв05р-л000-2.06</t>
  </si>
  <si>
    <t>ГГУбз00р-л000-5.00</t>
  </si>
  <si>
    <t>НМТбд00р-л000-4.00</t>
  </si>
  <si>
    <t>'01.03.01</t>
  </si>
  <si>
    <t>НПМбд00р-л000-4.00</t>
  </si>
  <si>
    <t>НКНбд00р-л000-4.00</t>
  </si>
  <si>
    <t>'02.03.01</t>
  </si>
  <si>
    <t>НФИбд00р-л000-4.00</t>
  </si>
  <si>
    <t>'02.03.02</t>
  </si>
  <si>
    <t>НФЗбд00р-л000-4.00</t>
  </si>
  <si>
    <t>'03.03.02</t>
  </si>
  <si>
    <t>НХМбд00р-л000-4.00</t>
  </si>
  <si>
    <t>'04.03.01</t>
  </si>
  <si>
    <t>НПИбд00р-л000-4.00</t>
  </si>
  <si>
    <t>'09.03.03</t>
  </si>
  <si>
    <t>НБИбд00р-л000-4.00</t>
  </si>
  <si>
    <t>'38.03.05</t>
  </si>
  <si>
    <t>НБИбд01р-л000-4.00</t>
  </si>
  <si>
    <t>Кибербезопасность в экономике</t>
  </si>
  <si>
    <t>НМТмд02а-л000-2.00</t>
  </si>
  <si>
    <t>'01.04.01</t>
  </si>
  <si>
    <t>НМТмд03р-л000-2.00</t>
  </si>
  <si>
    <t>НПМмд07р-л000-2.00</t>
  </si>
  <si>
    <t>НПМмд02р-л000-2.00</t>
  </si>
  <si>
    <t>НПМмд02р-с015-2.00</t>
  </si>
  <si>
    <t>НФИмд05р-л000-2.00</t>
  </si>
  <si>
    <t>НФЗмд03р-л000-2.00</t>
  </si>
  <si>
    <t>НФЗмд02а-л000-2.00</t>
  </si>
  <si>
    <t>НХМмд05р-л000-2.00</t>
  </si>
  <si>
    <t>НХМмд02р-л000-2.00</t>
  </si>
  <si>
    <t>НХМмд03а-л000-2.00</t>
  </si>
  <si>
    <t>НХМмд02р-с011-2.00</t>
  </si>
  <si>
    <t>НХМмд02р-с031-2.00</t>
  </si>
  <si>
    <t>НХМмд04р-с049-2.00</t>
  </si>
  <si>
    <t>НПИмд01р-л000-2.00</t>
  </si>
  <si>
    <t>'09.04.03</t>
  </si>
  <si>
    <t>Искусственный интеллект и анализ данных</t>
  </si>
  <si>
    <t>НПМбв00р-л000-5.00</t>
  </si>
  <si>
    <t>НХМмв02р-л000-2.05</t>
  </si>
  <si>
    <t>ФПСбд00р-л000-4.00</t>
  </si>
  <si>
    <t>'37.03.01</t>
  </si>
  <si>
    <t>ФРОбд00р-л000-4.00</t>
  </si>
  <si>
    <t>ФЖНбд00р-л000-4.00</t>
  </si>
  <si>
    <t>'42.03.02</t>
  </si>
  <si>
    <t>ФЖНбд01а-л000-4.00</t>
  </si>
  <si>
    <t>ФТВбд00р-л000-4.00</t>
  </si>
  <si>
    <t>'42.03.04</t>
  </si>
  <si>
    <t>ФФЛбд00р-л000-4.00</t>
  </si>
  <si>
    <t>ФЛНбд00р-л000-4.00</t>
  </si>
  <si>
    <t>ФЛНбд01р-л000-4.00</t>
  </si>
  <si>
    <t>ФЛНбд02р-л000-4.00</t>
  </si>
  <si>
    <t>ФПСмд01р-л000-2.00</t>
  </si>
  <si>
    <t>'37.04.01</t>
  </si>
  <si>
    <t>ФПСмд02р-л000-2.00</t>
  </si>
  <si>
    <t>ФРОмд03р-л000-2.00</t>
  </si>
  <si>
    <t>ФЖНмд01р-л000-2.00</t>
  </si>
  <si>
    <t>'42.04.02</t>
  </si>
  <si>
    <t>ФЖНмд02р-л000-2.00</t>
  </si>
  <si>
    <t>ФЖНмд05р-л000-2.00</t>
  </si>
  <si>
    <t>ФЖНмд04а-л000-2.00</t>
  </si>
  <si>
    <t>ФПОмд01р-с009-2.00</t>
  </si>
  <si>
    <t>ФФЛмд03р-л000-2.00</t>
  </si>
  <si>
    <t>ФФЛмд01р-л000-2.00</t>
  </si>
  <si>
    <t>ФФЛмд05а-л000-2.00</t>
  </si>
  <si>
    <t>ФФЛмд04р-с051-2.00</t>
  </si>
  <si>
    <t>ФФЛмд06р-с040-2.00</t>
  </si>
  <si>
    <t>ФФЛмд10р-л000-2.00</t>
  </si>
  <si>
    <t>Общее и русское языкознание</t>
  </si>
  <si>
    <t>ФЛНмд02р-л000-2.00</t>
  </si>
  <si>
    <t>ФЛНмд05р-л000-2.00</t>
  </si>
  <si>
    <t>ФПСбв00р-л000-4.06</t>
  </si>
  <si>
    <t>ФРОбв00р-л000-4.06</t>
  </si>
  <si>
    <t>ФЖНбв00р-л000-4.06</t>
  </si>
  <si>
    <t>ФТВбв00р-л000-4.06</t>
  </si>
  <si>
    <t>ФФЛбв00р-л000-4.06</t>
  </si>
  <si>
    <t>ФЛНбв00р-л000-4.06</t>
  </si>
  <si>
    <t>ФПСмв01р-л000-2.06</t>
  </si>
  <si>
    <t>ФПСмв02р-л000-2.06</t>
  </si>
  <si>
    <t>ФЖНмв02р-л000-2.06</t>
  </si>
  <si>
    <t>ФЖНмв01р-л000-2.06</t>
  </si>
  <si>
    <t>ФПСбз00р-л000-5.00</t>
  </si>
  <si>
    <t>ФЛНбз00р-л000-4.06</t>
  </si>
  <si>
    <t>ЭЭКбд12р-л000-4.00</t>
  </si>
  <si>
    <t>ЭЭКбд02р-л000-4.00</t>
  </si>
  <si>
    <t>ЭЭКбд03р-л000-4.00</t>
  </si>
  <si>
    <t>ЭЭКбд04р-л000-4.00</t>
  </si>
  <si>
    <t>ЭЭКбд07р-л000-4.00</t>
  </si>
  <si>
    <t>ЭЭКбд09р-л000-4.00</t>
  </si>
  <si>
    <t>ЭЭКбд10р-л000-4.00</t>
  </si>
  <si>
    <t>ЭЭКбд11р-л000-4.00</t>
  </si>
  <si>
    <t>ЭМНбд02р-л000-4.00</t>
  </si>
  <si>
    <t>ЭМНбд07р-л000-4.00</t>
  </si>
  <si>
    <t>ЭМНбд04р-л000-4.00</t>
  </si>
  <si>
    <t>ЭМНбд06р-л000-4.00</t>
  </si>
  <si>
    <t>ЭЗРбд04р-л000-4.00</t>
  </si>
  <si>
    <t>ЭЭКмд19р-л000-2.00</t>
  </si>
  <si>
    <t>ЭЭКмд02р-л000-2.00</t>
  </si>
  <si>
    <t>ЭЭКмд02а-л000-2.00</t>
  </si>
  <si>
    <t>ЭЭКмд03р-л000-2.00</t>
  </si>
  <si>
    <t>ЭЭКмд05р-л000-2.00</t>
  </si>
  <si>
    <t>ЭЭКмд07а-л000-2.00</t>
  </si>
  <si>
    <t>ЭЭКмд08и-л000-2.00</t>
  </si>
  <si>
    <t>ЭЭКмд02р-с032-2.00</t>
  </si>
  <si>
    <t>ЭЭКмд05р-с020-2.00</t>
  </si>
  <si>
    <t>ЭЭКмд02р-с027-2.00</t>
  </si>
  <si>
    <t>ЭЭКмд15р-л000-2.00</t>
  </si>
  <si>
    <t>ЭЭКмд17р-л000-2.00</t>
  </si>
  <si>
    <t>Международный энергетический бизнес</t>
  </si>
  <si>
    <t>ЭЭКмд18р-л000-2.00</t>
  </si>
  <si>
    <t>Корпоративная экономика и управление бизнесом</t>
  </si>
  <si>
    <t>ЭЭКмд05р-с009-2.00</t>
  </si>
  <si>
    <t>ЭЭКмд15р-с015-2.00</t>
  </si>
  <si>
    <t>ЭЭКмд15р-д009-2.00</t>
  </si>
  <si>
    <t>ЭМНмд01р-л000-2.00</t>
  </si>
  <si>
    <t>ЭМНмд18р-л000-2.00</t>
  </si>
  <si>
    <t>ЭМНмд18а-л000-2.00</t>
  </si>
  <si>
    <t>ЭМНмд20р-л000-2.00</t>
  </si>
  <si>
    <t>ЭМНмд20р-с032-2.00</t>
  </si>
  <si>
    <t>ЭМНмд07а-с059-2.00</t>
  </si>
  <si>
    <t>ЭМНмд08а-с060-2.00</t>
  </si>
  <si>
    <t>ЭМНмд18р-с015-2.00</t>
  </si>
  <si>
    <t>ЭМНмд18р-д020-2.00</t>
  </si>
  <si>
    <t>ЭУПмд01р-л000-2.00</t>
  </si>
  <si>
    <t>'38.04.03</t>
  </si>
  <si>
    <t>ЭГУмд03р-л000-2.00</t>
  </si>
  <si>
    <t>ЭКРмд01р-л000-2.00</t>
  </si>
  <si>
    <t>'38.04.08</t>
  </si>
  <si>
    <t>ЭТДсв00р-л000-6.00</t>
  </si>
  <si>
    <t>'38.05.02</t>
  </si>
  <si>
    <t>ЭТДсв01р-л000-6.00</t>
  </si>
  <si>
    <t>ЭЭКбв12р-л000-5.00</t>
  </si>
  <si>
    <t>ЭЭКбв04р-л000-5.00</t>
  </si>
  <si>
    <t>ЭМНбв02р-л000-5.00</t>
  </si>
  <si>
    <t>ЭМНбв06р-л000-5.00</t>
  </si>
  <si>
    <t>ЭРОбв01р-л000-5.00</t>
  </si>
  <si>
    <t>ЭЭКмв00р-л000-2.06</t>
  </si>
  <si>
    <t>ЭМНмв21р-л000-2.06</t>
  </si>
  <si>
    <t>ЭМНмв05р-л000-2.06</t>
  </si>
  <si>
    <t>ЭТДсз01р-л000-6.00</t>
  </si>
  <si>
    <t>ЭЭКбз12р-л000-5.00</t>
  </si>
  <si>
    <t>ЭЭКбз04р-л000-5.00</t>
  </si>
  <si>
    <t>ЭМНбз07р-л000-5.00</t>
  </si>
  <si>
    <t>ЭМНбз02р-л000-5.00</t>
  </si>
  <si>
    <t>ЭМНбз06р-л000-5.00</t>
  </si>
  <si>
    <t>ЭЭКмз17р-л000-2.06</t>
  </si>
  <si>
    <t>ЭЭКмз18р-л000-2.06</t>
  </si>
  <si>
    <t>ЮТДсд01р-л000-5.00</t>
  </si>
  <si>
    <t>ЮЮРбд00р-л000-4.00</t>
  </si>
  <si>
    <t>'40.03.01</t>
  </si>
  <si>
    <t>ЮЮРбд01р-л000-4.00</t>
  </si>
  <si>
    <t>ЮЮРбд04а-л000-4.00</t>
  </si>
  <si>
    <t>ЮЮРмд01р-л000-2.00</t>
  </si>
  <si>
    <t>'40.04.01</t>
  </si>
  <si>
    <t>ЮЮРмд02р-л000-2.00</t>
  </si>
  <si>
    <t>ЮЮРмд02а-л000-2.00</t>
  </si>
  <si>
    <t>ЮЮРмд03р-л000-2.00</t>
  </si>
  <si>
    <t>ЮЮРмд04р-л000-2.00</t>
  </si>
  <si>
    <t>ЮЮРмд05а-л000-2.00</t>
  </si>
  <si>
    <t>ЮЮРмд06р-л000-2.00</t>
  </si>
  <si>
    <t>ЮЮРмд07р-л000-2.00</t>
  </si>
  <si>
    <t>ЮЮРмд08р-л000-2.00</t>
  </si>
  <si>
    <t>ЮЮРмд09р-л000-2.00</t>
  </si>
  <si>
    <t>ЮЮРмд10р-л000-2.00</t>
  </si>
  <si>
    <t>ЮЮРмд11р-л000-2.00</t>
  </si>
  <si>
    <t>ЮЮРмд12р-л000-2.00</t>
  </si>
  <si>
    <t>ЮЮРмд14р-л000-2.00</t>
  </si>
  <si>
    <t>ЮЮРмд15р-л000-2.00</t>
  </si>
  <si>
    <t>ЮЮРмд18р-л000-2.00</t>
  </si>
  <si>
    <t>ЮЮРмд19р-л000-2.00</t>
  </si>
  <si>
    <t>ЮЮРмд23р-л000-2.00</t>
  </si>
  <si>
    <t>ЮЮРмд01р-с040-2.00</t>
  </si>
  <si>
    <t>ЮЮРмд20р-с030-2.00</t>
  </si>
  <si>
    <t>ЮЮРмд07р-с009-2.00</t>
  </si>
  <si>
    <t>ЮЮРмд09р-с009-2.00</t>
  </si>
  <si>
    <t>ЮЮРмд24р-л000-2.00</t>
  </si>
  <si>
    <t>ЮЮРмд25р-л000-2.00</t>
  </si>
  <si>
    <t>ЮЮРмд02а-д048-2.00</t>
  </si>
  <si>
    <t>ЮЮРмд26р-л000-2.00</t>
  </si>
  <si>
    <t>ЮЮРмд27р-л000-2.00</t>
  </si>
  <si>
    <t>ЮЮРмд02ф-д048-2.00</t>
  </si>
  <si>
    <t>ЮЮРмд28р-л000-2.00</t>
  </si>
  <si>
    <t>ЮЮРмд29р-д069-2.00</t>
  </si>
  <si>
    <t>ЮЛНмд07а-л000-2.00</t>
  </si>
  <si>
    <t>ЮЛНмд08а-л000-2.00</t>
  </si>
  <si>
    <t>ЮЮРбв00р-л000-4.06</t>
  </si>
  <si>
    <t>ЮЮРбв02р-л000-4.06</t>
  </si>
  <si>
    <t>ЮЮРмв03р-л000-2.06</t>
  </si>
  <si>
    <t>ЮЮРмз01р-л000-2.04</t>
  </si>
  <si>
    <t>ЮЮРмз07р-л000-2.04</t>
  </si>
  <si>
    <t>ЮЮРмз06р-л000-2.04</t>
  </si>
  <si>
    <t>ЮЮРмз25р-л000-2.04</t>
  </si>
  <si>
    <t>'05.06.01</t>
  </si>
  <si>
    <t>'06.06.01</t>
  </si>
  <si>
    <t>'20.06.01</t>
  </si>
  <si>
    <t>'35.06.01</t>
  </si>
  <si>
    <t>'36.06.01</t>
  </si>
  <si>
    <t>'38.06.01</t>
  </si>
  <si>
    <t>'01.06.01</t>
  </si>
  <si>
    <t>'07.06.01</t>
  </si>
  <si>
    <t>'08.06.01</t>
  </si>
  <si>
    <t>'09.06.01</t>
  </si>
  <si>
    <t>'13.06.01</t>
  </si>
  <si>
    <t>'15.06.01</t>
  </si>
  <si>
    <t>'21.06.01</t>
  </si>
  <si>
    <t>'23.06.01</t>
  </si>
  <si>
    <t>'37.06.01</t>
  </si>
  <si>
    <t>'44.06.01</t>
  </si>
  <si>
    <t>'45.06.01</t>
  </si>
  <si>
    <t>'30.06.01</t>
  </si>
  <si>
    <t>'31.06.01</t>
  </si>
  <si>
    <t>'32.06.01</t>
  </si>
  <si>
    <t>'33.06.01</t>
  </si>
  <si>
    <t>'49.06.01</t>
  </si>
  <si>
    <t>'31.08.01</t>
  </si>
  <si>
    <t>'31.08.02</t>
  </si>
  <si>
    <t>'31.08.05</t>
  </si>
  <si>
    <t>'31.08.06</t>
  </si>
  <si>
    <t>'31.08.07</t>
  </si>
  <si>
    <t>'31.08.08</t>
  </si>
  <si>
    <t>'31.08.09</t>
  </si>
  <si>
    <t>'31.08.10</t>
  </si>
  <si>
    <t>'31.08.12</t>
  </si>
  <si>
    <t>'31.08.16</t>
  </si>
  <si>
    <t>'31.08.19</t>
  </si>
  <si>
    <t>'31.08.20</t>
  </si>
  <si>
    <t>'31.08.26</t>
  </si>
  <si>
    <t>'31.08.28</t>
  </si>
  <si>
    <t>'31.08.29</t>
  </si>
  <si>
    <t>'31.08.32</t>
  </si>
  <si>
    <t>'31.08.35</t>
  </si>
  <si>
    <t>'31.08.36</t>
  </si>
  <si>
    <t>'31.08.37</t>
  </si>
  <si>
    <t>'31.08.39</t>
  </si>
  <si>
    <t>'31.08.42</t>
  </si>
  <si>
    <t>'31.08.43</t>
  </si>
  <si>
    <t>'31.08.45</t>
  </si>
  <si>
    <t>'31.08.46</t>
  </si>
  <si>
    <t>'31.08.47</t>
  </si>
  <si>
    <t>'31.08.49</t>
  </si>
  <si>
    <t>'31.08.50</t>
  </si>
  <si>
    <t>'31.08.51</t>
  </si>
  <si>
    <t>'31.08.53</t>
  </si>
  <si>
    <t>'31.08.54</t>
  </si>
  <si>
    <t>'31.08.56</t>
  </si>
  <si>
    <t>'31.08.57</t>
  </si>
  <si>
    <t>'31.08.58</t>
  </si>
  <si>
    <t>'31.08.59</t>
  </si>
  <si>
    <t>'31.08.61</t>
  </si>
  <si>
    <t>'31.08.62</t>
  </si>
  <si>
    <t>'31.08.63</t>
  </si>
  <si>
    <t>'31.08.66</t>
  </si>
  <si>
    <t>'31.08.67</t>
  </si>
  <si>
    <t>'31.08.68</t>
  </si>
  <si>
    <t>'31.08.69</t>
  </si>
  <si>
    <t>'31.08.71</t>
  </si>
  <si>
    <t>'31.08.72</t>
  </si>
  <si>
    <t>'31.08.73</t>
  </si>
  <si>
    <t>'31.08.74</t>
  </si>
  <si>
    <t>'31.08.75</t>
  </si>
  <si>
    <t>'31.08.76</t>
  </si>
  <si>
    <t>'31.08.77</t>
  </si>
  <si>
    <t>'32.08.12</t>
  </si>
  <si>
    <t>'41.06.01</t>
  </si>
  <si>
    <t>'46.06.01</t>
  </si>
  <si>
    <t>'31.08.13</t>
  </si>
  <si>
    <t>'31.08.22</t>
  </si>
  <si>
    <t>'31.08.60</t>
  </si>
  <si>
    <t>'31.08.70</t>
  </si>
  <si>
    <t>'03.06.01</t>
  </si>
  <si>
    <t>'04.06.01</t>
  </si>
  <si>
    <t>'42.06.01</t>
  </si>
  <si>
    <t>'40.06.01</t>
  </si>
  <si>
    <t>Английский</t>
  </si>
  <si>
    <t>Французский</t>
  </si>
  <si>
    <t>4.00</t>
  </si>
  <si>
    <t>Форма обучения - символ</t>
  </si>
  <si>
    <t>Уровень ОП - символ</t>
  </si>
  <si>
    <t>Номер группы</t>
  </si>
  <si>
    <t>Подгрупп</t>
  </si>
  <si>
    <t>Участие в работе ГЭК в качестве секретаря</t>
  </si>
  <si>
    <t>СГ</t>
  </si>
  <si>
    <t>1 обуч.</t>
  </si>
  <si>
    <t>РАФГТ</t>
  </si>
  <si>
    <t>РукРФа</t>
  </si>
  <si>
    <t>РукИна</t>
  </si>
  <si>
    <t>Чтение лекций в дистанционном формате (всем категориям обучающихся)</t>
  </si>
  <si>
    <t>За 1 акад. час по учебному плану (с использовании презентационных материалов)</t>
  </si>
  <si>
    <t>Руководство, консультации, рецензирование и приём защиты курсовой работы</t>
  </si>
  <si>
    <t>Руководство, консультации, рецензирование и прием защиты курсового проекта</t>
  </si>
  <si>
    <t>Организация и проведение текущего контроля успеваемости обучающихся по дисциплинам учебного плана</t>
  </si>
  <si>
    <t>На каждую дисциплину в семестре (для семестровых дисциплин)</t>
  </si>
  <si>
    <t>На каждую контрольную работу</t>
  </si>
  <si>
    <t>ЛДа</t>
  </si>
  <si>
    <t>Документальное оформление результатов промежуточной аттестации по каждой дисциплине учебного плана в соответствии с БРС Университета</t>
  </si>
  <si>
    <t>Руководство учебной практикой с проверкой отчётов и аттестацией по специальности «Лечебное дело»</t>
  </si>
  <si>
    <t>Руководство производственной и специальной практикой, педагогической практикой в школах г. Москвы с проверкой отчётов и проведением аттестации в соответствии с БРС Университета для всех уровней высшего образования</t>
  </si>
  <si>
    <t>Руководство выездными производственными, специальными и педагогическими практиками на БУП, практикой обучающихся медицинского института, преддипломной практикой и всеми видами научной практики с проверкой отчетов, и проведением аттестации в соответствии с БРС Университета для всех уровней высшего образования</t>
  </si>
  <si>
    <r>
      <t xml:space="preserve">За 1,5 ЗЕ объёма НИРМ по учебному плану </t>
    </r>
    <r>
      <rPr>
        <b/>
        <sz val="9"/>
        <rFont val="Times New Roman"/>
        <family val="1"/>
        <charset val="204"/>
      </rPr>
      <t>первого года обучения</t>
    </r>
  </si>
  <si>
    <r>
      <t xml:space="preserve">Руководство научно-исследовательской работой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в </t>
    </r>
    <r>
      <rPr>
        <b/>
        <sz val="11"/>
        <rFont val="Times New Roman"/>
        <family val="1"/>
        <charset val="204"/>
      </rPr>
      <t>магистратуре</t>
    </r>
    <r>
      <rPr>
        <sz val="11"/>
        <rFont val="Times New Roman"/>
        <family val="1"/>
        <charset val="204"/>
      </rPr>
      <t xml:space="preserve"> (НИРМ), включая научно-исследовательский семинар</t>
    </r>
  </si>
  <si>
    <r>
      <t xml:space="preserve">Руководство научно-исследовательской работой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в </t>
    </r>
    <r>
      <rPr>
        <b/>
        <sz val="11"/>
        <rFont val="Times New Roman"/>
        <family val="1"/>
        <charset val="204"/>
      </rPr>
      <t>магистратуре</t>
    </r>
    <r>
      <rPr>
        <sz val="11"/>
        <rFont val="Times New Roman"/>
        <family val="1"/>
        <charset val="204"/>
      </rPr>
      <t xml:space="preserve"> (НИРМ), включая научно-исследовательский семинар</t>
    </r>
  </si>
  <si>
    <r>
      <t xml:space="preserve">Руководство и консультирование выпускных квалификационных работ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по ОП </t>
    </r>
    <r>
      <rPr>
        <b/>
        <sz val="11"/>
        <rFont val="Times New Roman"/>
        <family val="1"/>
        <charset val="204"/>
      </rPr>
      <t>бакалавриата</t>
    </r>
  </si>
  <si>
    <r>
      <t xml:space="preserve">Руководство и консультирование выпускных квалификационных работ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по ОП </t>
    </r>
    <r>
      <rPr>
        <b/>
        <sz val="11"/>
        <rFont val="Times New Roman"/>
        <family val="1"/>
        <charset val="204"/>
      </rPr>
      <t>бакалавриата</t>
    </r>
  </si>
  <si>
    <r>
      <t xml:space="preserve">Руководство и консультирование выпускных квалификационных работ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по ОП </t>
    </r>
    <r>
      <rPr>
        <b/>
        <sz val="11"/>
        <rFont val="Times New Roman"/>
        <family val="1"/>
        <charset val="204"/>
      </rPr>
      <t>специалитета</t>
    </r>
    <r>
      <rPr>
        <sz val="11"/>
        <rFont val="Times New Roman"/>
        <family val="1"/>
        <charset val="204"/>
      </rPr>
      <t xml:space="preserve">, </t>
    </r>
    <r>
      <rPr>
        <b/>
        <sz val="11"/>
        <rFont val="Times New Roman"/>
        <family val="1"/>
        <charset val="204"/>
      </rPr>
      <t>магистратуры</t>
    </r>
  </si>
  <si>
    <r>
      <t xml:space="preserve">Руководство и консультирование выпускных квалификационных работ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по ОП </t>
    </r>
    <r>
      <rPr>
        <b/>
        <sz val="11"/>
        <rFont val="Times New Roman"/>
        <family val="1"/>
        <charset val="204"/>
      </rPr>
      <t xml:space="preserve">специалитета, магистратуры  </t>
    </r>
  </si>
  <si>
    <t>Консультации и рецензирование выпускной квалификационной работы, выполняемой на иностранном языке</t>
  </si>
  <si>
    <t>ПГд</t>
  </si>
  <si>
    <t>С использованием  ДОТ</t>
  </si>
  <si>
    <t>В очной форме</t>
  </si>
  <si>
    <t>ЧГд</t>
  </si>
  <si>
    <r>
      <rPr>
        <b/>
        <sz val="9"/>
        <rFont val="Times New Roman"/>
        <family val="1"/>
        <charset val="204"/>
      </rPr>
      <t>С использованием ДОТ.</t>
    </r>
    <r>
      <rPr>
        <sz val="9"/>
        <rFont val="Times New Roman"/>
        <family val="1"/>
        <charset val="204"/>
      </rPr>
      <t xml:space="preserve">
Количество членов комиссии не более:
3 - для приема ДЭ
6 - для приема МДЭ
8 - для защиты ВКР или НКР</t>
    </r>
  </si>
  <si>
    <r>
      <rPr>
        <b/>
        <sz val="9"/>
        <rFont val="Times New Roman"/>
        <family val="1"/>
        <charset val="204"/>
      </rPr>
      <t>В очной форме.</t>
    </r>
    <r>
      <rPr>
        <sz val="9"/>
        <rFont val="Times New Roman"/>
        <family val="1"/>
        <charset val="204"/>
      </rPr>
      <t xml:space="preserve">
Количество членов комиссии не более:
3 - для приема ДЭ
6 - для приема МДЭ
8 - для защиты ВКР или НКР</t>
    </r>
  </si>
  <si>
    <t>Руководство аспирантами, обучающимися по ФГТ</t>
  </si>
  <si>
    <t>ФГТ</t>
  </si>
  <si>
    <t>Компонента</t>
  </si>
  <si>
    <t>доп.инфо</t>
  </si>
  <si>
    <t>№ в РУП</t>
  </si>
  <si>
    <t>Математика и механика (УГСН)</t>
  </si>
  <si>
    <t>Компьютерные и информационные науки (УГСН)</t>
  </si>
  <si>
    <t>Архитектура (УГСН)</t>
  </si>
  <si>
    <t>Прикладная геология, горное дело, нефтегазовое дело и геодезия (УГСН)</t>
  </si>
  <si>
    <t>Экономика и управление (УГСН)</t>
  </si>
  <si>
    <t>Политические науки и регионоведение (УГСН)</t>
  </si>
  <si>
    <t>'07.03.00</t>
  </si>
  <si>
    <t>'21.05.00</t>
  </si>
  <si>
    <t>'38.03.00</t>
  </si>
  <si>
    <t>'01.03.00</t>
  </si>
  <si>
    <t>'02.03.00</t>
  </si>
  <si>
    <t>НММбд00р-л000-4.00</t>
  </si>
  <si>
    <t>НКАбд00р-л000-4.00</t>
  </si>
  <si>
    <t>ИААбд00р-л000-5.00</t>
  </si>
  <si>
    <t>ИГАсд00р-л000-5.06</t>
  </si>
  <si>
    <t>ЭЭУбд00р-л000-4.00</t>
  </si>
  <si>
    <t>ГНРбд00р-л000-4.00</t>
  </si>
  <si>
    <t>Прикладная геология, горное дело, нефтегазовое дело и геодезия</t>
  </si>
  <si>
    <t>Экономика и управление</t>
  </si>
  <si>
    <t>Рецензирование ВКР бакалавров, специалистов, магистров / НКР аспирантов</t>
  </si>
  <si>
    <t>СЭГад00а-л000-4.00</t>
  </si>
  <si>
    <t>Экология</t>
  </si>
  <si>
    <t>Зеленая инфраструктура и устойчивое развитие</t>
  </si>
  <si>
    <t>СГТад00р-л000-4.00</t>
  </si>
  <si>
    <t>СГТад00а-л000-4.00</t>
  </si>
  <si>
    <t>СФБад00р-л000-4.00</t>
  </si>
  <si>
    <t>СОРад00р-л000-4.00</t>
  </si>
  <si>
    <t>Общее земледелие и растениеводство</t>
  </si>
  <si>
    <t>ССРад00р-л000-4.00</t>
  </si>
  <si>
    <t>Селекция, семеноводство и биотехнология растений</t>
  </si>
  <si>
    <t>СААад00р-л000-4.00</t>
  </si>
  <si>
    <t>Агрохимия, агропочвоведение, защита и карантин растений</t>
  </si>
  <si>
    <t>СААад01а-л000-4.00</t>
  </si>
  <si>
    <t>СПЖад00р-л000-3.00</t>
  </si>
  <si>
    <t>Патология животных, морфология, физиология, фармакология и токсикология</t>
  </si>
  <si>
    <t>СПЖад00а-л000-3.00</t>
  </si>
  <si>
    <t>СИЖад00р-л000-3.00</t>
  </si>
  <si>
    <t>Инфекционные болезни и иммунология животных</t>
  </si>
  <si>
    <t>СЧЗад00р-л000-3.00</t>
  </si>
  <si>
    <t>Частная зоотехния, кормление, технологии приготовления кормов и производства продукции животноводства</t>
  </si>
  <si>
    <t>Региональная и отраслевая экономика</t>
  </si>
  <si>
    <t>Экономика инноваций</t>
  </si>
  <si>
    <t>ИТМад00р-л000-4.00</t>
  </si>
  <si>
    <t>Теоретическая механика, динамика машин</t>
  </si>
  <si>
    <t>ИТМад00а-л000-4.00</t>
  </si>
  <si>
    <t>ИГГад00р-л000-3.00</t>
  </si>
  <si>
    <t>Общая и региональная геология. Геотектоника и геодинамика</t>
  </si>
  <si>
    <t>ИГМад00р-л000-3.00</t>
  </si>
  <si>
    <t>ИГНад00р-л000-3.00</t>
  </si>
  <si>
    <t>Геология, поиски, разведка и эксплуатация нефтяных и газовых месторождений</t>
  </si>
  <si>
    <t>ИСКад00р-л000-4.00</t>
  </si>
  <si>
    <t>ИСКад00а-л000-4.00</t>
  </si>
  <si>
    <t>ИВКад00р-л000-4.00</t>
  </si>
  <si>
    <t>ИГСад00р-л000-4.00</t>
  </si>
  <si>
    <t>Гидротехническое строительство, гидравлика и инженерная гидрология</t>
  </si>
  <si>
    <t>ИТОад00р-л000-4.00</t>
  </si>
  <si>
    <t>ИСМад00р-л000-4.00</t>
  </si>
  <si>
    <t>ИСМад00а-л000-4.00</t>
  </si>
  <si>
    <t>ИАРад00р-л000-3.00</t>
  </si>
  <si>
    <t>ИСАад00р-л000-3.00</t>
  </si>
  <si>
    <t>Системный анализ, управление и обработка информации</t>
  </si>
  <si>
    <t>ИСАад00а-л000-3.00</t>
  </si>
  <si>
    <t>ИВСад00р-л000-3.00</t>
  </si>
  <si>
    <t>Вычислительные системы и их элементы</t>
  </si>
  <si>
    <t>ИУОад00р-л000-3.00</t>
  </si>
  <si>
    <t>Управление в организационных системах</t>
  </si>
  <si>
    <t>ИУОад00а-л000-3.00</t>
  </si>
  <si>
    <t>ИМКад00р-л000-3.00</t>
  </si>
  <si>
    <t>Математическое и программное обеспечение вычислительных систем, комплексов и компьютерных сетей</t>
  </si>
  <si>
    <t>ИМКад00а-л000-3.00</t>
  </si>
  <si>
    <t>ИТДад00р-л000-4.00</t>
  </si>
  <si>
    <t>Турбомашины и поршневые двигатели</t>
  </si>
  <si>
    <t>ИТТад00р-л000-4.00</t>
  </si>
  <si>
    <t>ИУДад00р-л000-4.00</t>
  </si>
  <si>
    <t>Динамика, баллистика, управление движением летательных аппаратов</t>
  </si>
  <si>
    <t>Динамика, баллистика и управление движением летательных аппаратов</t>
  </si>
  <si>
    <t>ИУДад00а-л000-4.00</t>
  </si>
  <si>
    <t>ИГДад00р-л000-4.00</t>
  </si>
  <si>
    <t>ИРЭад00р-л000-4.00</t>
  </si>
  <si>
    <t>ИГЯад00р-л000-4.00</t>
  </si>
  <si>
    <t>Геотехнология, горные машины</t>
  </si>
  <si>
    <t>ИЭАад00р-л000-4.00</t>
  </si>
  <si>
    <t>ЦБТад00р-л000-4.00</t>
  </si>
  <si>
    <t>Биотехнология</t>
  </si>
  <si>
    <t>ЯЯНад00р-л000-3.00</t>
  </si>
  <si>
    <t>Языки народов зарубежных стран (с указанием конкретного языка или группы языков)</t>
  </si>
  <si>
    <t>Языки народов зарубежных стран (романские языки): Исторические особенности развития диалектов романских языков</t>
  </si>
  <si>
    <t>ЯЯНад01р-л000-3.00</t>
  </si>
  <si>
    <t>Языки народов зарубежных стран (германские языки): Общие тенденции и индивидуальные тенденции развития германских языков</t>
  </si>
  <si>
    <t>ЯТЛад06р-л000-3.00</t>
  </si>
  <si>
    <t>Теоретическая, прикладная и сравнительно-сопоставительная лингвистика</t>
  </si>
  <si>
    <t>Сравнение и сопоставление языков в диахронии и синхронии</t>
  </si>
  <si>
    <t>ЯООад00р-л000-3.00</t>
  </si>
  <si>
    <t>Общая педагогика, история педагогики и образования (Педагогическое регулирование социальных отношений личности и социокультурной среды</t>
  </si>
  <si>
    <t>ЯТУад02р-л000-3.00</t>
  </si>
  <si>
    <t>Теория и методика обучения и воспитания (по областям и уровням образования)</t>
  </si>
  <si>
    <t>Теория и методика обучения и воспитания (иностранные языки): интралингводидактика, межкультурная коммуникация</t>
  </si>
  <si>
    <t>ЯТУад02а-л000-3.00</t>
  </si>
  <si>
    <t>ЯОИад00р-л000-3.00</t>
  </si>
  <si>
    <t>Общая психология (Проблемы общения и коммуникации)</t>
  </si>
  <si>
    <t>РМТад00р-л000-3.00</t>
  </si>
  <si>
    <t>Методология и технология профессионального образования</t>
  </si>
  <si>
    <t>Русский язык как иностранный: теория и методика профессионального образования</t>
  </si>
  <si>
    <t>РТУад01р-л000-3.00</t>
  </si>
  <si>
    <t>Этноориентированная методика обучения русскому языку как иностранному</t>
  </si>
  <si>
    <t>РТЛад01р-л000-3.00</t>
  </si>
  <si>
    <t>Русско-инонациональный (массовый и индивидуальный) би- и транслингвизм</t>
  </si>
  <si>
    <t>РТЛад05р-л000-3.00</t>
  </si>
  <si>
    <t>РТЛад02р-л000-3.00</t>
  </si>
  <si>
    <t>Сравнительно-типологические, сравнительно-сопоставительные исследования русского языка с языками народов РФ</t>
  </si>
  <si>
    <t>РРЯад01р-л000-3.00</t>
  </si>
  <si>
    <t>Русский язык. Языки народов России</t>
  </si>
  <si>
    <t>Русский язык в речевой культуре современных носителей русского языка и билингвальных студентов</t>
  </si>
  <si>
    <t>РТЛад03р-л000-3.00</t>
  </si>
  <si>
    <t>Лингвистический анализ русскоязычного художественного текста нерусских авторов, в том числе представителей коренных народов РФ</t>
  </si>
  <si>
    <t>РРЯад02р-л000-3.00</t>
  </si>
  <si>
    <t>Лингвокультурология: теория и практика</t>
  </si>
  <si>
    <t>ОЭГад01р-л000-4.00</t>
  </si>
  <si>
    <t>ОЭГад02а-с046-4.00</t>
  </si>
  <si>
    <t>Современные экологические исследования</t>
  </si>
  <si>
    <t>ОЭГад02а-с026-4.00</t>
  </si>
  <si>
    <t>ОЭГад03а-л000-4.00</t>
  </si>
  <si>
    <t>ОГЭад00р-л000-3.00</t>
  </si>
  <si>
    <t>МБХад00р-л000-4.00</t>
  </si>
  <si>
    <t>МБХад01а-л000-4.00</t>
  </si>
  <si>
    <t>МФЧад00р-л000-4.00</t>
  </si>
  <si>
    <t>Физиология человека и животных</t>
  </si>
  <si>
    <t>МГТад01р-л000-4.00</t>
  </si>
  <si>
    <t>МГТад02а-л000-4.00</t>
  </si>
  <si>
    <t>ММБад00р-л000-4.00</t>
  </si>
  <si>
    <t>МКБад00р-л000-4.00</t>
  </si>
  <si>
    <t>Клеточная биология</t>
  </si>
  <si>
    <t>МОЗад00р-л000-3.00</t>
  </si>
  <si>
    <t>МАИад00р-л000-3.00</t>
  </si>
  <si>
    <t>МАЧад00р-л000-4.00</t>
  </si>
  <si>
    <t>МПАад00р-л000-4.00</t>
  </si>
  <si>
    <t>МПФад00р-л000-4.00</t>
  </si>
  <si>
    <t>МСБад00р-л000-4.00</t>
  </si>
  <si>
    <t>МФФад00р-л000-4.00</t>
  </si>
  <si>
    <t>МАГад00р-л000-3.00</t>
  </si>
  <si>
    <t>МОЛад00р-л000-3.00</t>
  </si>
  <si>
    <t>МОФад00р-л000-3.00</t>
  </si>
  <si>
    <t>МОНад00р-л000-3.00</t>
  </si>
  <si>
    <t>Онкология, лучевая терапия</t>
  </si>
  <si>
    <t>МСТад00р-л000-3.00</t>
  </si>
  <si>
    <t>МТВад00р-л000-3.00</t>
  </si>
  <si>
    <t>МХРад00р-л000-3.00</t>
  </si>
  <si>
    <t>МНРад00р-л000-3.00</t>
  </si>
  <si>
    <t>МАНад00р-л000-3.00</t>
  </si>
  <si>
    <t>МУАад00р-л000-3.00</t>
  </si>
  <si>
    <t>Урология и андрология</t>
  </si>
  <si>
    <t>МУАад01а-л000-3.00</t>
  </si>
  <si>
    <t>МССад00р-л000-3.00</t>
  </si>
  <si>
    <t>МПХад00р-л000-3.00</t>
  </si>
  <si>
    <t>МПКад00р-л000-3.00</t>
  </si>
  <si>
    <t>Психиатрия и наркология</t>
  </si>
  <si>
    <t>МПКад01р-л000-3.00</t>
  </si>
  <si>
    <t>МВБад00р-л000-3.00</t>
  </si>
  <si>
    <t>МВБад01а-л000-3.00</t>
  </si>
  <si>
    <t>МКДад00р-л000-3.00</t>
  </si>
  <si>
    <t>МПЕад00р-л000-3.00</t>
  </si>
  <si>
    <t>МИБад00р-л000-3.00</t>
  </si>
  <si>
    <t>МИБад01а-л000-3.00</t>
  </si>
  <si>
    <t>МДВад00р-л000-3.00</t>
  </si>
  <si>
    <t>МНВад00р-л000-3.00</t>
  </si>
  <si>
    <t>МВЛад00р-л000-3.00</t>
  </si>
  <si>
    <t>МПТад00р-л000-3.00</t>
  </si>
  <si>
    <t>Промышленная фармация и технология получения лекарств</t>
  </si>
  <si>
    <t>МПТад01а-л000-3.00</t>
  </si>
  <si>
    <t>МФЗад00р-л000-3.00</t>
  </si>
  <si>
    <t>МФЗад01а-л000-3.00</t>
  </si>
  <si>
    <t>МОДад00р-л000-3.00</t>
  </si>
  <si>
    <t>МОДад01а-л000-3.00</t>
  </si>
  <si>
    <t>МФИад00р-л000-3.00</t>
  </si>
  <si>
    <t>Физическая культура и профессиональная физическая подготовка</t>
  </si>
  <si>
    <t>МТЕад00р-л000-3.00</t>
  </si>
  <si>
    <t>Теория и методика спорта</t>
  </si>
  <si>
    <t>МОКад00р-л000-3.00</t>
  </si>
  <si>
    <t>Оздоровительная и адаптивная физическая культура</t>
  </si>
  <si>
    <t>АПТад02а-с047-3.00</t>
  </si>
  <si>
    <t>Фармацевтическая технология</t>
  </si>
  <si>
    <t>Научно-образовательный центр коллективного пользования</t>
  </si>
  <si>
    <t>ЕМТад01р-л000-3.00</t>
  </si>
  <si>
    <t>ГТИад00р-л000-3.00</t>
  </si>
  <si>
    <t>ГСУад00р-л000-3.00</t>
  </si>
  <si>
    <t>ГИТад00р-л000-3.00</t>
  </si>
  <si>
    <t>История и теория политики</t>
  </si>
  <si>
    <t>ГПИад00р-л000-3.00</t>
  </si>
  <si>
    <t>Политические институты, процессы, технологии</t>
  </si>
  <si>
    <t>ГПИад00а-л000-3.00</t>
  </si>
  <si>
    <t>ГМОад00р-л000-3.00</t>
  </si>
  <si>
    <t>ГОСад00р-л000-3.00</t>
  </si>
  <si>
    <t>ГВИад00р-л000-3.00</t>
  </si>
  <si>
    <t>Всеобщая история</t>
  </si>
  <si>
    <t>Историография, источниковедение, методы исторического исследования</t>
  </si>
  <si>
    <t>ГИОад00р-л000-3.00</t>
  </si>
  <si>
    <t>ГИОад01а-л000-3.00</t>
  </si>
  <si>
    <t>ГОГад00р-л000-3.00</t>
  </si>
  <si>
    <t>ГИФад00р-л000-3.00</t>
  </si>
  <si>
    <t>ГСПад00р-л000-3.00</t>
  </si>
  <si>
    <t>Социальная и политическая философия</t>
  </si>
  <si>
    <t>НВАад00р-л000-4.00</t>
  </si>
  <si>
    <t>НДУад00р-л000-4.00</t>
  </si>
  <si>
    <t>Дифференциальные уравнения и математическая физика</t>
  </si>
  <si>
    <t>НВМад00р-л000-4.00</t>
  </si>
  <si>
    <t>НЧМад00р-л000-3.00</t>
  </si>
  <si>
    <t>НТКад00р-л000-3.00</t>
  </si>
  <si>
    <t>Теоретическая информатика, кибернетика</t>
  </si>
  <si>
    <t>НТФад00р-л000-4.00</t>
  </si>
  <si>
    <t>НРФад00р-л000-4.00</t>
  </si>
  <si>
    <t>НФПад00р-л000-4.00</t>
  </si>
  <si>
    <t>ННХад00р-л000-4.00</t>
  </si>
  <si>
    <t>НОХад00р-л000-4.00</t>
  </si>
  <si>
    <t>НФХад00р-л000-4.00</t>
  </si>
  <si>
    <t>ФОИад01р-л000-3.00</t>
  </si>
  <si>
    <t>ФООад01р-л000-3.00</t>
  </si>
  <si>
    <t>ФТУад03р-л000-3.00</t>
  </si>
  <si>
    <t>ФТУад04р-л000-3.00</t>
  </si>
  <si>
    <t>ФРЛад00р-л000-3.00</t>
  </si>
  <si>
    <t>Русская литература и литературы народов Российской Федерации</t>
  </si>
  <si>
    <t>ФРЛад01р-с015-3.00</t>
  </si>
  <si>
    <t>ФЛНад00р-л000-3.00</t>
  </si>
  <si>
    <t>Литературы народов мира</t>
  </si>
  <si>
    <t>Литература народов мира</t>
  </si>
  <si>
    <t>ФЛНад01а-л000-3.00</t>
  </si>
  <si>
    <t>ФРЯад03р-л000-3.00</t>
  </si>
  <si>
    <t>ФЯНад02р-л000-3.00</t>
  </si>
  <si>
    <t>Языки народов зарубежных стран (романские языки)</t>
  </si>
  <si>
    <t>ФТЛад09р-л000-3.00</t>
  </si>
  <si>
    <t>ФМЖад00р-л000-3.00</t>
  </si>
  <si>
    <t>Медиакоммуникации и журналистика</t>
  </si>
  <si>
    <t>ЭЭРад00р-л000-3.00</t>
  </si>
  <si>
    <t>ЭРОад01р-л000-3.00</t>
  </si>
  <si>
    <t>ЭРОад01а-л000-3.00</t>
  </si>
  <si>
    <t>ЭФНад00р-л000-3.00</t>
  </si>
  <si>
    <t>Финансы</t>
  </si>
  <si>
    <t>ЭФНад00а-л000-3.00</t>
  </si>
  <si>
    <t>ЭМЭад00р-л000-3.00</t>
  </si>
  <si>
    <t>ЭМЭад00а-л000-3.00</t>
  </si>
  <si>
    <t>ЭМДад00р-л000-3.00</t>
  </si>
  <si>
    <t>ЮТПад00р-л000-3.00</t>
  </si>
  <si>
    <t>Теоретико-исторические правовые науки</t>
  </si>
  <si>
    <t>ЮТПад00а-л000-3.00</t>
  </si>
  <si>
    <t>ЮППад00р-л000-3.00</t>
  </si>
  <si>
    <t>Публично-правовые (государственно-правовые) науки</t>
  </si>
  <si>
    <t>ЮЧПад00р-л000-3.00</t>
  </si>
  <si>
    <t>Частно-правовые (цивилистические) науки</t>
  </si>
  <si>
    <t>ЮУПад00р-л000-3.00</t>
  </si>
  <si>
    <t>Уголовно-правовые науки</t>
  </si>
  <si>
    <t>ЮМНад00р-л000-3.00</t>
  </si>
  <si>
    <t>Международно-правовые науки</t>
  </si>
  <si>
    <t>Текущий контроль</t>
  </si>
  <si>
    <t>Промежуточная аттестация (ПА) по БРС</t>
  </si>
  <si>
    <t>ИН</t>
  </si>
  <si>
    <t>САГмд06а-л000-2.00</t>
  </si>
  <si>
    <t>Управление почвенным плодородием</t>
  </si>
  <si>
    <t>Органическое земледелие</t>
  </si>
  <si>
    <t>Менеджмент и дизайн городской зеленой инфраструктуры</t>
  </si>
  <si>
    <t>ССМмд02р-с021-2.00</t>
  </si>
  <si>
    <t>СЗКмд02а-с041-2.00</t>
  </si>
  <si>
    <t>Дистанционное зондирование природных ресурсов</t>
  </si>
  <si>
    <t>СТБад01р-л000-4.00</t>
  </si>
  <si>
    <t>СТБаз01р-л000-5.00</t>
  </si>
  <si>
    <t>САГмд08р-л000-2.00</t>
  </si>
  <si>
    <t>Менеджмент в технологиях производства, переработки и сертификации продуктов растениеводства</t>
  </si>
  <si>
    <t>СЛАмв01р-л000-2.06</t>
  </si>
  <si>
    <t>'36.04.02</t>
  </si>
  <si>
    <t>Зоотехния</t>
  </si>
  <si>
    <t>Современные биотехнологии в животноводстве</t>
  </si>
  <si>
    <t>Технологический менеджмент в зообизнесе</t>
  </si>
  <si>
    <t>СЛАмд02а-л000-2.00</t>
  </si>
  <si>
    <t>СМНмд17р-л000-2.00</t>
  </si>
  <si>
    <t>Управленческое консультирование в АПК</t>
  </si>
  <si>
    <t>СМНмз17р-л000-2.06</t>
  </si>
  <si>
    <t>САГмд03а-л000-2.00</t>
  </si>
  <si>
    <t>Переработка сельскохозяйственной продукции</t>
  </si>
  <si>
    <t>СВТсд01р-л000-5.00</t>
  </si>
  <si>
    <t>Ветеринарная фармация</t>
  </si>
  <si>
    <t>СВТсд02р-л000-5.00</t>
  </si>
  <si>
    <t>Клиническая ветеринария</t>
  </si>
  <si>
    <t>СВТсд03р-л000-5.00</t>
  </si>
  <si>
    <t>Ветеринарно-санитарный надзор</t>
  </si>
  <si>
    <t>ССМбд02р-л000-4.00</t>
  </si>
  <si>
    <t>Международные системы контроля качества в пищевой отрасли</t>
  </si>
  <si>
    <t>ССМбд01р-л000-4.00</t>
  </si>
  <si>
    <t>Обеспечение безопасности и качества пищевой продукции</t>
  </si>
  <si>
    <t>СЗТмд01р-с019-2.00</t>
  </si>
  <si>
    <t>СЗТмд02р-с019-2.00</t>
  </si>
  <si>
    <t>'1.5.15.</t>
  </si>
  <si>
    <t>'1.5.7.</t>
  </si>
  <si>
    <t>'1.5.21.</t>
  </si>
  <si>
    <t>'4.1.1.</t>
  </si>
  <si>
    <t>'4.1.2.</t>
  </si>
  <si>
    <t>'4.1.3.</t>
  </si>
  <si>
    <t>'4.2.1.</t>
  </si>
  <si>
    <t>'4.2.3.</t>
  </si>
  <si>
    <t>'4.2.4.</t>
  </si>
  <si>
    <t>СБНад11р-л000-4.00</t>
  </si>
  <si>
    <t>СБНад11а-л000-4.00</t>
  </si>
  <si>
    <t>СБНад09р-л000-4.00</t>
  </si>
  <si>
    <t>ССЗад03р-л000-4.00</t>
  </si>
  <si>
    <t>ССЗаз03р-л000-5.00</t>
  </si>
  <si>
    <t>ССЗад04а-л000-4.00</t>
  </si>
  <si>
    <t>ССЗад01р-л000-4.00</t>
  </si>
  <si>
    <t>ССЗаз01р-л000-5.00</t>
  </si>
  <si>
    <t>ССЗад02р-л000-4.00</t>
  </si>
  <si>
    <t>ССЗаз02р-л000-5.00</t>
  </si>
  <si>
    <t>СВЗаз01р-л000-4.00</t>
  </si>
  <si>
    <t>СВЗаз02р-л000-4.00</t>
  </si>
  <si>
    <t>СВЗаз03р-л000-4.00</t>
  </si>
  <si>
    <t>СЭКбд17р-л000-4.00</t>
  </si>
  <si>
    <t>СЭКбд16р-л000-4.00</t>
  </si>
  <si>
    <t>Экономика предприятия и предпринимательства в АПК</t>
  </si>
  <si>
    <t>СЭКбд13р-л000-4.00</t>
  </si>
  <si>
    <t>Экономика АПК</t>
  </si>
  <si>
    <t>САГбд01р-л000-4.00</t>
  </si>
  <si>
    <t>Интенсивные ресурсосберегающие технологии возделывания сельскохозяйственных культур</t>
  </si>
  <si>
    <t>САГмд07а-л000-2.00</t>
  </si>
  <si>
    <t>Агроэкологическая оценка и географическая информационная система</t>
  </si>
  <si>
    <t>ССМмд03р-л000-2.00</t>
  </si>
  <si>
    <t>Аудит и управление качеством пищевой продукции</t>
  </si>
  <si>
    <t>ССМмв03р-л000-2.06</t>
  </si>
  <si>
    <t>ССМмз03р-л000-2.06</t>
  </si>
  <si>
    <t>САГмд09а-л000-2.00</t>
  </si>
  <si>
    <t>Производство сельскохозяйственной продукции</t>
  </si>
  <si>
    <t>СЛАмд03р-д090-2.00</t>
  </si>
  <si>
    <t>Ландшафтная архитектура и дизайн</t>
  </si>
  <si>
    <t>СЗКмд01р-д090-2.00</t>
  </si>
  <si>
    <t>САГмд01р-д090-2.00</t>
  </si>
  <si>
    <t>САГмд10р-л000-2.00</t>
  </si>
  <si>
    <t>Защита и карантин растений</t>
  </si>
  <si>
    <t>САГмв10р-л000-2.06</t>
  </si>
  <si>
    <t>САГмз10р-л000-2.06</t>
  </si>
  <si>
    <t>ПМНмд23а-л000-2.00</t>
  </si>
  <si>
    <t>'5.2.6.</t>
  </si>
  <si>
    <t>'5.2.3.</t>
  </si>
  <si>
    <t>ПЭКад03р-л000-3.00</t>
  </si>
  <si>
    <t>ПЭКаз03р-л000-4.00</t>
  </si>
  <si>
    <t>ПЭКад05р-л000-3.00</t>
  </si>
  <si>
    <t>ПЭКаз05р-л000-4.00</t>
  </si>
  <si>
    <t>ПЭКад05а-л000-3.00</t>
  </si>
  <si>
    <t>ПЭКмд22р-д089-2.00</t>
  </si>
  <si>
    <t>ПЭКмд25р-л000-2.00</t>
  </si>
  <si>
    <t>Экономика и управление цифровым предприятием</t>
  </si>
  <si>
    <t>ПМНмд35р-д091-2.00</t>
  </si>
  <si>
    <t>Управление продуктом</t>
  </si>
  <si>
    <t>ПМНбв05р-л000-4.06</t>
  </si>
  <si>
    <t>Нанотехнологии</t>
  </si>
  <si>
    <t>Геоинформационные системы в развитии территорий</t>
  </si>
  <si>
    <t>ИНВмд01р-л000-2.00</t>
  </si>
  <si>
    <t>ИНВмз01р-л000-2.06</t>
  </si>
  <si>
    <t>ИУСмд20а-д079-2.00</t>
  </si>
  <si>
    <t>Космическая инженерия</t>
  </si>
  <si>
    <t>ИСРмд05р-л000-2.00</t>
  </si>
  <si>
    <t>Архитектура, геометрия и расчет большепролетных пространственных структур</t>
  </si>
  <si>
    <t>ИПГсд04р-л000-5.00</t>
  </si>
  <si>
    <t>ИПГсв04р-л000-5.06</t>
  </si>
  <si>
    <t>ИУСмд03а-л000-2.00</t>
  </si>
  <si>
    <t>Аддитивные технологии 3D печати в машиностроительной и аэрокосмической отраслях</t>
  </si>
  <si>
    <t>ИТКмд03р-л000-2.00</t>
  </si>
  <si>
    <t>ИМНмд28а-д086-2.00</t>
  </si>
  <si>
    <t>Инновации в создании и управлении бизнесом</t>
  </si>
  <si>
    <t>'1.6.10.</t>
  </si>
  <si>
    <t>'1.6.11.</t>
  </si>
  <si>
    <t>'2.1.1.</t>
  </si>
  <si>
    <t>'2.1.6.</t>
  </si>
  <si>
    <t>'2.1.7.</t>
  </si>
  <si>
    <t>'2.1.9.</t>
  </si>
  <si>
    <t>'2.1.12.</t>
  </si>
  <si>
    <t>'2.3.1.</t>
  </si>
  <si>
    <t>Системный анализ, управление и обработка информации, статистика</t>
  </si>
  <si>
    <t>'2.3.4.</t>
  </si>
  <si>
    <t>'2.4.7.</t>
  </si>
  <si>
    <t>'2.5.16.</t>
  </si>
  <si>
    <t>'2.8.4.</t>
  </si>
  <si>
    <t>'2.9.5.</t>
  </si>
  <si>
    <t>ИМХад01р-л000-4.00</t>
  </si>
  <si>
    <t>ИМХад01а-л000-4.00</t>
  </si>
  <si>
    <t>ИТСад05р-л000-4.00</t>
  </si>
  <si>
    <t>ИТСад01р-л000-4.00</t>
  </si>
  <si>
    <t>ИТСад03р-л000-4.00</t>
  </si>
  <si>
    <t>ИТСад06р-л000-4.00</t>
  </si>
  <si>
    <t>ИТСад02р-л000-4.00</t>
  </si>
  <si>
    <t>ИТСад04р-л000-4.00</t>
  </si>
  <si>
    <t>ИТСад07а-л000-4.00</t>
  </si>
  <si>
    <t>ИТСад04а-л000-4.00</t>
  </si>
  <si>
    <t>ИИВад01р-л000-4.00</t>
  </si>
  <si>
    <t>ИИВад01а-л000-4.00</t>
  </si>
  <si>
    <t>ИИВад06р-л000-4.00</t>
  </si>
  <si>
    <t>ИИВад04а-л000-4.00</t>
  </si>
  <si>
    <t>ИИВад04р-л000-4.00</t>
  </si>
  <si>
    <t>ИИВад03р-л000-4.00</t>
  </si>
  <si>
    <t>ИИВад07а-л000-4.00</t>
  </si>
  <si>
    <t>ИЭТад01р-л000-4.00</t>
  </si>
  <si>
    <t>ИЭТад02р-л000-4.00</t>
  </si>
  <si>
    <t>ИМСад01р-л000-4.00</t>
  </si>
  <si>
    <t>ИТНад01р-л000-4.00</t>
  </si>
  <si>
    <t>ИРПад02р-л000-4.00</t>
  </si>
  <si>
    <t>ИРПад03р-л000-4.00</t>
  </si>
  <si>
    <t>ИРПад01р-л000-4.00</t>
  </si>
  <si>
    <t>ИНЗаз03р-л000-4.00</t>
  </si>
  <si>
    <t>ИНЗаз02р-л000-4.00</t>
  </si>
  <si>
    <t>ИНЗаз01р-л000-4.00</t>
  </si>
  <si>
    <t>ИАТаз01р-л000-4.00</t>
  </si>
  <si>
    <t>ИТСаз04р-л000-5.00</t>
  </si>
  <si>
    <t>ИТСаз01р-л000-5.00</t>
  </si>
  <si>
    <t>ИТСаз02р-л000-5.00</t>
  </si>
  <si>
    <t>ИТСаз03р-л000-5.00</t>
  </si>
  <si>
    <t>ИТСаз05р-л000-5.00</t>
  </si>
  <si>
    <t>ИТСаз06р-л000-5.00</t>
  </si>
  <si>
    <t>ИИВаз01р-л000-5.00</t>
  </si>
  <si>
    <t>ИИВаз06р-л000-5.00</t>
  </si>
  <si>
    <t>ИРПаз02р-л000-5.00</t>
  </si>
  <si>
    <t>ИРПаз03р-л000-5.00</t>
  </si>
  <si>
    <t>ИРПаз01р-л000-5.00</t>
  </si>
  <si>
    <t>ИТНаз01р-л000-5.00</t>
  </si>
  <si>
    <t>ИМСаз01р-л000-5.00</t>
  </si>
  <si>
    <t>ИЭТаз01р-л000-5.00</t>
  </si>
  <si>
    <t>ИЭТаз02р-л000-5.00</t>
  </si>
  <si>
    <t>ИИВаз03р-л000-5.00</t>
  </si>
  <si>
    <t>ИМХад05р-л000-4.00</t>
  </si>
  <si>
    <t>ИМХад05а-л000-4.00</t>
  </si>
  <si>
    <t>ИААбв00р-л000-5.06</t>
  </si>
  <si>
    <t>Менеджмент в горном и нефтегазовом деле</t>
  </si>
  <si>
    <t>ИНВмд03а-л000-2.00</t>
  </si>
  <si>
    <t>Педагогика в инженерном деле</t>
  </si>
  <si>
    <t>ИМПмв02р-л000-2.06</t>
  </si>
  <si>
    <t>ИНВбз01р-л000-5.00</t>
  </si>
  <si>
    <t>ИУСбд07р-л000-4.00</t>
  </si>
  <si>
    <t>Data Engineering, программирование и компьютерное моделирование интеллектуальных систем</t>
  </si>
  <si>
    <t>ИПМбд04р-л000-4.00</t>
  </si>
  <si>
    <t>Математические методы механики космического полета и анализа геоинформационных данных</t>
  </si>
  <si>
    <t>ИУСбд08а-л000-4.00</t>
  </si>
  <si>
    <t>Data Engineering и управление космическими системами</t>
  </si>
  <si>
    <t>ИНИбд01р-л000-4.00</t>
  </si>
  <si>
    <t>Нанотехнологии и наноматериалы в приборостроении</t>
  </si>
  <si>
    <t>ИНИбз01р-л000-5.00</t>
  </si>
  <si>
    <t>ИУСмд21а-л000-2.00</t>
  </si>
  <si>
    <t>Data Science и космическая инженерия</t>
  </si>
  <si>
    <t>ИФИмд07р-л000-2.00</t>
  </si>
  <si>
    <t>Анализ больших данных и технологии защиты информации</t>
  </si>
  <si>
    <t>ИЭМмд04р-л000-2.00</t>
  </si>
  <si>
    <t>Эксплуатация оборудования энергетических систем</t>
  </si>
  <si>
    <t>ИЭМмз04р-л000-2.06</t>
  </si>
  <si>
    <t>ИМПбд02р-л000-4.00</t>
  </si>
  <si>
    <t>Системная инженерия машиностроительных производств</t>
  </si>
  <si>
    <t>ИМПбз02р-л000-5.00</t>
  </si>
  <si>
    <t>ИУСбд09р-л000-4.00</t>
  </si>
  <si>
    <t>Управление информационными процессами, машинное обучение и кибербезопасность</t>
  </si>
  <si>
    <t>ИУСбз09р-л000-5.00</t>
  </si>
  <si>
    <t>ИПОмд05р-л000-2.00</t>
  </si>
  <si>
    <t>ИПОмд05а-л000-2.00</t>
  </si>
  <si>
    <t>ИДСмд02р-л000-2.00</t>
  </si>
  <si>
    <t>Параметрический цифровой дизайн в архитектурной среде</t>
  </si>
  <si>
    <t>'1.1.7.</t>
  </si>
  <si>
    <t>'1.6.1.</t>
  </si>
  <si>
    <t>'2.1.4.</t>
  </si>
  <si>
    <t>'2.3.2.</t>
  </si>
  <si>
    <t>'2.3.5.</t>
  </si>
  <si>
    <t>'2.5.5.</t>
  </si>
  <si>
    <t>'2.8.3.</t>
  </si>
  <si>
    <t>'2.8.8.</t>
  </si>
  <si>
    <t>ИГЛмд03а-м092-2.00</t>
  </si>
  <si>
    <t>Горнопромышленная геология</t>
  </si>
  <si>
    <t>'1.5.6.</t>
  </si>
  <si>
    <t>ЦБНад01р-л000-4.00</t>
  </si>
  <si>
    <t>ЛТДсд01р-л000-5.00</t>
  </si>
  <si>
    <t>Институт внешнеэкономической безопасности и таможенного дела</t>
  </si>
  <si>
    <t>ЛТДсд04р-л000-5.00</t>
  </si>
  <si>
    <t>ЛТДсв04р-л000-5.06</t>
  </si>
  <si>
    <t>ЛТДсз04р-л000-5.06</t>
  </si>
  <si>
    <t>ЛТДсд03р-л000-5.00</t>
  </si>
  <si>
    <t>ЛТДсв03р-л000-5.06</t>
  </si>
  <si>
    <t>ЛТДсз03р-л000-5.06</t>
  </si>
  <si>
    <t>Планирование и развитие туризма на государственном уровне</t>
  </si>
  <si>
    <t>Межкультурные коммуникации в туризме</t>
  </si>
  <si>
    <t>БСВбв01р-л000-5.00</t>
  </si>
  <si>
    <t>БТРбз01р-л000-5.00</t>
  </si>
  <si>
    <t>БМНмз14р-л000-2.03</t>
  </si>
  <si>
    <t>Теория коммуникации и международные связи с общественностью (PR) - Трилингвальные международные отношения</t>
  </si>
  <si>
    <t>Теория коммуникации и международные связи с общественностью (PR) - Международная деловая коммуникация</t>
  </si>
  <si>
    <t>Языки и межкультурная коммуникация - Зарубежное регионоведение</t>
  </si>
  <si>
    <t>Теория коммуникации и международные связи с общественностью (PR) - Иностранный язык: два иностранных языка</t>
  </si>
  <si>
    <t>ЯЛНбд06р-д064-4.00</t>
  </si>
  <si>
    <t>Языки и межкультурная коммуникация-Лингвистика</t>
  </si>
  <si>
    <t>ЯЛНмд09р-д039-2.00</t>
  </si>
  <si>
    <t>'5.9.6.</t>
  </si>
  <si>
    <t>'5.9.8.</t>
  </si>
  <si>
    <t>'5.8.1.</t>
  </si>
  <si>
    <t>'5.8.2.</t>
  </si>
  <si>
    <t>'5.3.1.</t>
  </si>
  <si>
    <t>ЯПНад01р-л000-3.00</t>
  </si>
  <si>
    <t>ЯПНаз01р-л000-4.00</t>
  </si>
  <si>
    <t>ЯОПад06р-л000-3.00</t>
  </si>
  <si>
    <t>ЯОПад02р-л000-3.00</t>
  </si>
  <si>
    <t>ЯОПаз06р-л000-4.00</t>
  </si>
  <si>
    <t>ЯОПаз02р-л000-4.00</t>
  </si>
  <si>
    <t>ЯЯЛад13р-л000-3.00</t>
  </si>
  <si>
    <t>ЯЯЛад14р-л000-3.00</t>
  </si>
  <si>
    <t>ЯЯЛад15р-л000-3.00</t>
  </si>
  <si>
    <t>ЯЯЛаз13р-л000-4.00</t>
  </si>
  <si>
    <t>ЯЯЛаз14р-л000-4.00</t>
  </si>
  <si>
    <t>ЯЯЛаз15р-л000-4.00</t>
  </si>
  <si>
    <t>ЯЗРбд07р-л000-4.00</t>
  </si>
  <si>
    <t>Зарубежное регионоведение: Евро-Азиатский и Средиземноморский регионы</t>
  </si>
  <si>
    <t>ЯЗРмд08р-л000-2.00</t>
  </si>
  <si>
    <t>Зарубежное регионоведение: Евро-Азиатские и Средиземноморские исследования</t>
  </si>
  <si>
    <t>ШРОмд02р-с003-2.00</t>
  </si>
  <si>
    <t>ШРОбд00р-д003-4.00</t>
  </si>
  <si>
    <t>ШЭКмд21р-д015-2.00</t>
  </si>
  <si>
    <t>ШМНмд15р-д039-2.00</t>
  </si>
  <si>
    <t>ШЭКбд01р-д053-4.00</t>
  </si>
  <si>
    <t>ШЭКмд08и-л000-2.00</t>
  </si>
  <si>
    <t>ШЛНмд01к-л000-2.00</t>
  </si>
  <si>
    <t>Китайский</t>
  </si>
  <si>
    <t>ШЭКмд27р-л000-2.00</t>
  </si>
  <si>
    <t>Комплексная безопасность госкорпораций и бизнеса</t>
  </si>
  <si>
    <t>ШЭКмд26р-л000-2.00</t>
  </si>
  <si>
    <t>Международные финансы и бизнес</t>
  </si>
  <si>
    <t>Глобальная русистика</t>
  </si>
  <si>
    <t>'5.8.7.</t>
  </si>
  <si>
    <t>Транслатология: теория и методология</t>
  </si>
  <si>
    <t>'5.9.5.</t>
  </si>
  <si>
    <t>Природопользование</t>
  </si>
  <si>
    <t>Управление природопользованием</t>
  </si>
  <si>
    <t>ОЭПмд07а-д008-2.00</t>
  </si>
  <si>
    <t>ОЭПмд12а-д063-2.00</t>
  </si>
  <si>
    <t>ОЭПмд00р-д015-2.00</t>
  </si>
  <si>
    <t>ОПОмз04а-л000-2.06</t>
  </si>
  <si>
    <t>Экологическая педагогика</t>
  </si>
  <si>
    <t>ОЭПмд17а-д085-2.00</t>
  </si>
  <si>
    <t>Экологическая инженерия в строительстве</t>
  </si>
  <si>
    <t>ОЭПмз17а-д085-2.06</t>
  </si>
  <si>
    <t>ОЭПмд17р-д085-2.00</t>
  </si>
  <si>
    <t>ОЭПмз17р-д085-2.06</t>
  </si>
  <si>
    <t>'1.6.21.</t>
  </si>
  <si>
    <t>ОНЗаз06р-л000-4.00</t>
  </si>
  <si>
    <t>ОНЗаз07р-л000-4.00</t>
  </si>
  <si>
    <t>ОЭПмд11р-л000-2.00</t>
  </si>
  <si>
    <t>Устойчивое развитие и экологическая безопасность</t>
  </si>
  <si>
    <t>ОЭПмв11р-л000-2.06</t>
  </si>
  <si>
    <t>ОПОмд04а-л000-2.00</t>
  </si>
  <si>
    <t>ОЭПмд18р-д065-2.00</t>
  </si>
  <si>
    <t>Экологическая экспертиза и устойчивое развитие</t>
  </si>
  <si>
    <t>ОЭПбд02р-л000-4.00</t>
  </si>
  <si>
    <t>Экология и устойчивое развитие</t>
  </si>
  <si>
    <t>ОЭПбв02р-л000-4.06</t>
  </si>
  <si>
    <t>ОЭПбз02р-л000-4.06</t>
  </si>
  <si>
    <t>МАКод00р-л000-2.00</t>
  </si>
  <si>
    <t>МАНод00р-л000-2.00</t>
  </si>
  <si>
    <t>МКЛод00р-л000-2.00</t>
  </si>
  <si>
    <t>МЛГод00р-л000-2.00</t>
  </si>
  <si>
    <t>МПАод00р-л000-2.00</t>
  </si>
  <si>
    <t>МРДод00р-л000-2.00</t>
  </si>
  <si>
    <t>МРНод00р-л000-2.00</t>
  </si>
  <si>
    <t>МСЭод00р-л000-2.00</t>
  </si>
  <si>
    <t>МФДод00р-л000-2.00</t>
  </si>
  <si>
    <t>МДХод00р-л000-2.00</t>
  </si>
  <si>
    <t>МПДод00р-л000-2.00</t>
  </si>
  <si>
    <t>МПЯод00р-л000-2.00</t>
  </si>
  <si>
    <t>МАИод00р-л000-2.00</t>
  </si>
  <si>
    <t>МГЭод00р-л000-2.00</t>
  </si>
  <si>
    <t>МГМод00р-л000-2.00</t>
  </si>
  <si>
    <t>МДМод00р-л000-2.00</t>
  </si>
  <si>
    <t>МИБод00р-л000-2.00</t>
  </si>
  <si>
    <t>МКДод00р-л000-2.00</t>
  </si>
  <si>
    <t>МКФод00р-л000-2.00</t>
  </si>
  <si>
    <t>МЛФод00р-л000-2.00</t>
  </si>
  <si>
    <t>МНВод00р-л000-2.00</t>
  </si>
  <si>
    <t>МНФод00р-л000-2.00</t>
  </si>
  <si>
    <t>МПУод00р-л000-2.00</t>
  </si>
  <si>
    <t>МРМод00р-л000-2.00</t>
  </si>
  <si>
    <t>МРЕод00р-л000-2.00</t>
  </si>
  <si>
    <t>МТПод00р-л000-2.00</t>
  </si>
  <si>
    <t>МФОод00р-л000-2.00</t>
  </si>
  <si>
    <t>МФТод00р-л000-2.00</t>
  </si>
  <si>
    <t>МЭРод00р-л000-2.00</t>
  </si>
  <si>
    <t>МОВод00р-л000-2.00</t>
  </si>
  <si>
    <t>МНХод00р-л000-2.00</t>
  </si>
  <si>
    <t>МОНод00р-л000-2.00</t>
  </si>
  <si>
    <t>МОТод00р-л000-2.00</t>
  </si>
  <si>
    <t>МОФод00р-л000-2.00</t>
  </si>
  <si>
    <t>МРЭод00р-л000-2.00</t>
  </si>
  <si>
    <t>МТОод00р-л000-2.00</t>
  </si>
  <si>
    <t>МХРод00р-л000-2.00</t>
  </si>
  <si>
    <t>МУРод00р-л000-2.00</t>
  </si>
  <si>
    <t>МЧЛод00р-л000-2.00</t>
  </si>
  <si>
    <t>МОЗод00р-л000-2.00</t>
  </si>
  <si>
    <t>МСПод00р-л000-2.00</t>
  </si>
  <si>
    <t>МСТод00р-л000-2.00</t>
  </si>
  <si>
    <t>МСХод00р-л000-2.00</t>
  </si>
  <si>
    <t>МСОод00р-л000-2.00</t>
  </si>
  <si>
    <t>МСДод00р-л000-2.00</t>
  </si>
  <si>
    <t>МОРод00р-л000-2.00</t>
  </si>
  <si>
    <t>МЭИод00р-л000-2.00</t>
  </si>
  <si>
    <t>МРТод00р-л000-2.00</t>
  </si>
  <si>
    <t>МССод00р-л000-3.00</t>
  </si>
  <si>
    <t>'1.5.4.</t>
  </si>
  <si>
    <t>'1.5.5.</t>
  </si>
  <si>
    <t>'1.5.8.</t>
  </si>
  <si>
    <t>'1.5.11.</t>
  </si>
  <si>
    <t>'1.5.22.</t>
  </si>
  <si>
    <t>'3.2.3.</t>
  </si>
  <si>
    <t>Общественное здоровье, организация и социология здравоохранения</t>
  </si>
  <si>
    <t>'3.2.7.</t>
  </si>
  <si>
    <t>'3.3.1.</t>
  </si>
  <si>
    <t>'3.3.2.</t>
  </si>
  <si>
    <t>'3.3.3.</t>
  </si>
  <si>
    <t>МПФад01а-л000-4.00</t>
  </si>
  <si>
    <t>'3.3.5.</t>
  </si>
  <si>
    <t>'3.3.6.</t>
  </si>
  <si>
    <t>'3.1.4.</t>
  </si>
  <si>
    <t>'3.1.3.</t>
  </si>
  <si>
    <t>'3.1.5.</t>
  </si>
  <si>
    <t>'3.1.6.</t>
  </si>
  <si>
    <t>'3.1.7.</t>
  </si>
  <si>
    <t>'3.1.8.</t>
  </si>
  <si>
    <t>'3.1.9.</t>
  </si>
  <si>
    <t>'3.1.10.</t>
  </si>
  <si>
    <t>'3.1.12.</t>
  </si>
  <si>
    <t>'3.1.13.</t>
  </si>
  <si>
    <t>'3.1.15.</t>
  </si>
  <si>
    <t>'3.1.16.</t>
  </si>
  <si>
    <t>'3.1.17.</t>
  </si>
  <si>
    <t>'3.1.18.</t>
  </si>
  <si>
    <t>'3.1.20.</t>
  </si>
  <si>
    <t>'3.1.21.</t>
  </si>
  <si>
    <t>'3.1.22.</t>
  </si>
  <si>
    <t>'3.1.23.</t>
  </si>
  <si>
    <t>'3.1.24.</t>
  </si>
  <si>
    <t>'3.1.33.</t>
  </si>
  <si>
    <t>'3.4.1.</t>
  </si>
  <si>
    <t>Технология получения лекарств: биофармация</t>
  </si>
  <si>
    <t>'3.4.2.</t>
  </si>
  <si>
    <t>'3.4.3.</t>
  </si>
  <si>
    <t>'5.8.4.</t>
  </si>
  <si>
    <t>'5.8.5.</t>
  </si>
  <si>
    <t>'5.8.6.</t>
  </si>
  <si>
    <t>МБНад10р-л000-4.00</t>
  </si>
  <si>
    <t>МБНаз10р-л000-5.00</t>
  </si>
  <si>
    <t>МБНад02а-л000-4.00</t>
  </si>
  <si>
    <t>МБНад06р-л000-4.00</t>
  </si>
  <si>
    <t>МБНаз06р-л000-5.00</t>
  </si>
  <si>
    <t>МБНад07р-л000-4.00</t>
  </si>
  <si>
    <t>МБНаз07р-л000-5.00</t>
  </si>
  <si>
    <t>МБНад03р-л000-4.00</t>
  </si>
  <si>
    <t>МБНаз03р-л000-5.00</t>
  </si>
  <si>
    <t>МБНад04а-л000-4.00</t>
  </si>
  <si>
    <t>МБНад08р-л000-4.00</t>
  </si>
  <si>
    <t>МБНаз08р-л000-5.00</t>
  </si>
  <si>
    <t>МБНад05р-л000-4.00</t>
  </si>
  <si>
    <t>МБНаз05р-л000-5.00</t>
  </si>
  <si>
    <t>МФМаз01р-л000-4.00</t>
  </si>
  <si>
    <t>МФМаз04р-л000-4.00</t>
  </si>
  <si>
    <t>МФМад05р-л000-3.00</t>
  </si>
  <si>
    <t>МФМаз05р-л000-4.00</t>
  </si>
  <si>
    <t>МФМад07р-л000-3.00</t>
  </si>
  <si>
    <t>МФМаз07р-л000-4.00</t>
  </si>
  <si>
    <t>МФМад08р-л000-3.00</t>
  </si>
  <si>
    <t>МФМаз08р-л000-4.00</t>
  </si>
  <si>
    <t>МФМад03р-л000-3.00</t>
  </si>
  <si>
    <t>МФМаз03р-л000-4.00</t>
  </si>
  <si>
    <t>МФМад02р-л000-3.00</t>
  </si>
  <si>
    <t>МФМаз02р-л000-4.00</t>
  </si>
  <si>
    <t>МКМаз01р-л000-4.00</t>
  </si>
  <si>
    <t>МКМад03р-л000-3.00</t>
  </si>
  <si>
    <t>МКМаз03р-л000-4.00</t>
  </si>
  <si>
    <t>МКМад04р-л000-3.00</t>
  </si>
  <si>
    <t>МКМаз04р-л000-4.00</t>
  </si>
  <si>
    <t>МКМад05а-л000-3.00</t>
  </si>
  <si>
    <t>МКМад08р-л000-3.00</t>
  </si>
  <si>
    <t>МКМаз08р-л000-4.00</t>
  </si>
  <si>
    <t>МКМад15р-л000-3.00</t>
  </si>
  <si>
    <t>МКМаз15р-л000-4.00</t>
  </si>
  <si>
    <t>МКМад06р-л000-3.00</t>
  </si>
  <si>
    <t>МКМаз06р-л000-4.00</t>
  </si>
  <si>
    <t>МКМад14р-л000-3.00</t>
  </si>
  <si>
    <t>МКМаз14р-л000-4.00</t>
  </si>
  <si>
    <t>МКМад07р-л000-3.00</t>
  </si>
  <si>
    <t>МКМаз07р-л000-4.00</t>
  </si>
  <si>
    <t>МКМад17а-л000-3.00</t>
  </si>
  <si>
    <t>МКМад09р-л000-3.00</t>
  </si>
  <si>
    <t>МКМаз09р-л000-4.00</t>
  </si>
  <si>
    <t>МКМад12р-л000-3.00</t>
  </si>
  <si>
    <t>МКМаз12р-л000-4.00</t>
  </si>
  <si>
    <t>МКМад13р-л000-3.00</t>
  </si>
  <si>
    <t>МКМаз13р-л000-4.00</t>
  </si>
  <si>
    <t>МКМад18р-л000-3.00</t>
  </si>
  <si>
    <t>МКМаз18р-л000-4.00</t>
  </si>
  <si>
    <t>МКМад19р-л000-3.00</t>
  </si>
  <si>
    <t>МКМаз19р-л000-4.00</t>
  </si>
  <si>
    <t>МКМад22р-л000-3.00</t>
  </si>
  <si>
    <t>МКМаз22р-л000-4.00</t>
  </si>
  <si>
    <t>МКМад11р-л000-3.00</t>
  </si>
  <si>
    <t>МКМаз11р-л000-4.00</t>
  </si>
  <si>
    <t>МКМад02р-л000-3.00</t>
  </si>
  <si>
    <t>МКМаз02р-л000-4.00</t>
  </si>
  <si>
    <t>МКМад20р-л000-3.00</t>
  </si>
  <si>
    <t>МКМаз20р-л000-4.00</t>
  </si>
  <si>
    <t>МКМад21а-л000-3.00</t>
  </si>
  <si>
    <t>МКМад16р-л000-3.00</t>
  </si>
  <si>
    <t>МКМаз16р-л000-4.00</t>
  </si>
  <si>
    <t>МКМад10р-л000-3.00</t>
  </si>
  <si>
    <t>МКМаз10р-л000-4.00</t>
  </si>
  <si>
    <t>МПДад02р-л000-3.00</t>
  </si>
  <si>
    <t>МПДаз02р-л000-4.00</t>
  </si>
  <si>
    <t>МФЯад01р-л000-3.00</t>
  </si>
  <si>
    <t>МФЯаз01р-л000-4.00</t>
  </si>
  <si>
    <t>МФЯад05р-л000-3.00</t>
  </si>
  <si>
    <t>МФЯаз05р-л000-4.00</t>
  </si>
  <si>
    <t>МФЯад06а-л000-3.00</t>
  </si>
  <si>
    <t>МФЯад04р-л000-3.00</t>
  </si>
  <si>
    <t>МФЯаз04р-л000-4.00</t>
  </si>
  <si>
    <t>МФЯад03а-л000-3.00</t>
  </si>
  <si>
    <t>МФЯад02а-л000-3.00</t>
  </si>
  <si>
    <t>МФКад01р-л000-3.00</t>
  </si>
  <si>
    <t>ММНбз08р-л000-5.00</t>
  </si>
  <si>
    <t>МБЛмд02р-л000-2.00</t>
  </si>
  <si>
    <t>Радиационная биомедицина</t>
  </si>
  <si>
    <t>УФЗмд01р-л000-2.00</t>
  </si>
  <si>
    <t>ЕОПаз07р-л000-4.00</t>
  </si>
  <si>
    <t>Глобальная безопасность и сотрудничество в целях развития</t>
  </si>
  <si>
    <t>Регионоведение</t>
  </si>
  <si>
    <t>Культурное наследие: исследование и управление</t>
  </si>
  <si>
    <t>История и диалог культур</t>
  </si>
  <si>
    <t>Современные тенденции истории России и Китая: компаративистский подход</t>
  </si>
  <si>
    <t>Мировая политика: глобализация и конфликты</t>
  </si>
  <si>
    <t>Россия и Ближний Восток: основные направления взаимодействия и сотрудничества</t>
  </si>
  <si>
    <t>Мировая политика</t>
  </si>
  <si>
    <t>Политические проблемы европейской интеграции</t>
  </si>
  <si>
    <t>Философия: диалог культур</t>
  </si>
  <si>
    <t>Публичное администрирование - политические науки</t>
  </si>
  <si>
    <t>Политические институты и ценности</t>
  </si>
  <si>
    <t>ГЗРбд06р-л000-4.00</t>
  </si>
  <si>
    <t>Франкоязычные страны мира</t>
  </si>
  <si>
    <t>ГЗРмд07р-л000-2.00</t>
  </si>
  <si>
    <t>ГЗРмд03р-д078-2.00</t>
  </si>
  <si>
    <t>ГЗРмд03р-д063-2.00</t>
  </si>
  <si>
    <t>ГПЛбз00р-л000-4.00</t>
  </si>
  <si>
    <t>ГПЛмд07р-д044-2.00</t>
  </si>
  <si>
    <t>Россия и Европа перед вызовами современности</t>
  </si>
  <si>
    <t>ГПЛмд06р-л000-2.00</t>
  </si>
  <si>
    <t>Стратегический анализ, моделирование и планирование социально-политических действий</t>
  </si>
  <si>
    <t>ГИГмд03р-л000-2.00</t>
  </si>
  <si>
    <t>История и теория культуры и искусства</t>
  </si>
  <si>
    <t>ГСЦбз00р-л000-5.00</t>
  </si>
  <si>
    <t>ГСЦмд03р-л000-2.00</t>
  </si>
  <si>
    <t>Методология и методы изучения социальных проблем современного общества</t>
  </si>
  <si>
    <t>ГСЦмд04р-л000-2.00</t>
  </si>
  <si>
    <t>Социологическая теория: история и современность</t>
  </si>
  <si>
    <t>ГМОмд04а-д025-2.00</t>
  </si>
  <si>
    <t>'41.03.00</t>
  </si>
  <si>
    <t>ГИСмд07р-л000-2.00</t>
  </si>
  <si>
    <t>Компаративная история цивилизаций и проблемы безопасности</t>
  </si>
  <si>
    <t>ГМОмд03р-д080-2.00</t>
  </si>
  <si>
    <t>ГМОмд03р-д011-2.00</t>
  </si>
  <si>
    <t>ГМОмд03р-д081-2.00</t>
  </si>
  <si>
    <t>ГМОмд03р-д008-2.00</t>
  </si>
  <si>
    <t>ГМОмд03р-д015-2.00</t>
  </si>
  <si>
    <t>ГМОмд03р-д020-2.00</t>
  </si>
  <si>
    <t>ГМОмд03р-д036-2.00</t>
  </si>
  <si>
    <t>ГМОмд03р-д065-2.00</t>
  </si>
  <si>
    <t>ГМОмд03р-д069-2.00</t>
  </si>
  <si>
    <t>ГМОмд03р-д007-2.00</t>
  </si>
  <si>
    <t>ГМОмд03р-д084-2.00</t>
  </si>
  <si>
    <t>ГМОмд03р-д083-2.00</t>
  </si>
  <si>
    <t>ГМОмд03р-д082-2.00</t>
  </si>
  <si>
    <t>ГСЦмд06р-д008-2.00</t>
  </si>
  <si>
    <t>Современные методы и технологии в изучении социальных проблем общества</t>
  </si>
  <si>
    <t>ГЗРмд03р-д077-2.00</t>
  </si>
  <si>
    <t>ГЗРмд03р-д067-2.00</t>
  </si>
  <si>
    <t>'5.4.1.</t>
  </si>
  <si>
    <t>'5.4.7.</t>
  </si>
  <si>
    <t>'5.5.1.</t>
  </si>
  <si>
    <t>'5.5.2.</t>
  </si>
  <si>
    <t>'5.5.4.</t>
  </si>
  <si>
    <t>Международные отношения, глобальные и региональные исследования</t>
  </si>
  <si>
    <t>'5.6.1.</t>
  </si>
  <si>
    <t>'5.6.2.</t>
  </si>
  <si>
    <t>'5.6.5.</t>
  </si>
  <si>
    <t>'5.6.7.</t>
  </si>
  <si>
    <t>'5.7.1.</t>
  </si>
  <si>
    <t>'5.7.2.</t>
  </si>
  <si>
    <t>'5.7.7.</t>
  </si>
  <si>
    <t>ГПРаз01р-л000-4.00</t>
  </si>
  <si>
    <t>ГПРаз02а-л000-4.00</t>
  </si>
  <si>
    <t>ГИАаз04а-л000-4.00</t>
  </si>
  <si>
    <t>ГИАаз03р-л000-4.00</t>
  </si>
  <si>
    <t>ГГУмд04р-л000-2.00</t>
  </si>
  <si>
    <t>Государственное управление социально-экономическим развитием</t>
  </si>
  <si>
    <t>ГФСмд06р-л000-2.00</t>
  </si>
  <si>
    <t>Философия Индии в контексте религии и культуры</t>
  </si>
  <si>
    <t>ГФСмв06р-л000-2.06</t>
  </si>
  <si>
    <t>Факультет непрерывного медицинского образования</t>
  </si>
  <si>
    <t>Химия душистых веществ, тонкий органический синтез и прикладная органическая химия</t>
  </si>
  <si>
    <t>'1.1.1.</t>
  </si>
  <si>
    <t>'1.1.2.</t>
  </si>
  <si>
    <t>'1.1.6.</t>
  </si>
  <si>
    <t>'1.2.2.</t>
  </si>
  <si>
    <t>'1.2.3.</t>
  </si>
  <si>
    <t>'1.3.3.</t>
  </si>
  <si>
    <t>'1.3.4.</t>
  </si>
  <si>
    <t>'1.3.9.</t>
  </si>
  <si>
    <t>'1.4.1.</t>
  </si>
  <si>
    <t>'1.4.3.</t>
  </si>
  <si>
    <t>'1.4.4.</t>
  </si>
  <si>
    <t>НМХад02р-л000-4.00</t>
  </si>
  <si>
    <t>НМХад04р-л000-4.00</t>
  </si>
  <si>
    <t>НМХад03р-л000-4.00</t>
  </si>
  <si>
    <t>НМХад02а-л000-4.00</t>
  </si>
  <si>
    <t>НФАад01р-л000-4.00</t>
  </si>
  <si>
    <t>НФАад01а-л000-4.00</t>
  </si>
  <si>
    <t>НФАад03р-л000-4.00</t>
  </si>
  <si>
    <t>НФАад02р-л000-4.00</t>
  </si>
  <si>
    <t>НХНад01р-л000-4.00</t>
  </si>
  <si>
    <t>НХНад03р-л000-4.00</t>
  </si>
  <si>
    <t>НХНад02р-л000-4.00</t>
  </si>
  <si>
    <t>НХНад04а-л000-4.00</t>
  </si>
  <si>
    <t>НХНад05а-л000-4.00</t>
  </si>
  <si>
    <t>НИВад05р-л000-4.00</t>
  </si>
  <si>
    <t>НИВад02р-л000-4.00</t>
  </si>
  <si>
    <t>НМХаз02р-л000-5.00</t>
  </si>
  <si>
    <t>НМХаз04р-л000-5.00</t>
  </si>
  <si>
    <t>НМХаз03р-л000-5.00</t>
  </si>
  <si>
    <t>НИВаз05р-л000-5.00</t>
  </si>
  <si>
    <t>НИВаз02р-л000-5.00</t>
  </si>
  <si>
    <t>НХНад02р-с013-4.00</t>
  </si>
  <si>
    <t>НФЗмд05а-л000-2.00</t>
  </si>
  <si>
    <t>Педагогика и психология</t>
  </si>
  <si>
    <t>Россия - Европа: языки и культуры</t>
  </si>
  <si>
    <t>Русский язык и литература</t>
  </si>
  <si>
    <t>ФФЛмд06р-д065-2.00</t>
  </si>
  <si>
    <t>ФФЛмд06р-д039-2.00</t>
  </si>
  <si>
    <t>ФЯЛаз02р-л000-4.00</t>
  </si>
  <si>
    <t>ФТЛад09а-л000-3.00</t>
  </si>
  <si>
    <t>ФПОмд03р-д015-2.00</t>
  </si>
  <si>
    <t>Психология и педагогика</t>
  </si>
  <si>
    <t>ФФЛмд06р-д011-2.00</t>
  </si>
  <si>
    <t>ФФЛмд06р-д020-2.00</t>
  </si>
  <si>
    <t>ФФЛмд06р-д036-2.00</t>
  </si>
  <si>
    <t>ФФЛмд06р-д082-2.00</t>
  </si>
  <si>
    <t>ФПОмд03р-д068-2.00</t>
  </si>
  <si>
    <t>'5.9.1.</t>
  </si>
  <si>
    <t>'5.9.2.</t>
  </si>
  <si>
    <t>'5.9.9.</t>
  </si>
  <si>
    <t>ФМЖад01а-л000-3.00</t>
  </si>
  <si>
    <t>ФПНад02р-л000-3.00</t>
  </si>
  <si>
    <t>ФПНаз02р-л000-4.00</t>
  </si>
  <si>
    <t>ФСИад01р-л000-3.00</t>
  </si>
  <si>
    <t>ФСИад02а-л000-3.00</t>
  </si>
  <si>
    <t>ФСИаз01р-л000-4.00</t>
  </si>
  <si>
    <t>ФОПад08р-л000-3.00</t>
  </si>
  <si>
    <t>ФОПад03р-л000-3.00</t>
  </si>
  <si>
    <t>ФОПад05р-л000-3.00</t>
  </si>
  <si>
    <t>ФОПад04р-л000-3.00</t>
  </si>
  <si>
    <t>ФОПаз08р-л000-4.00</t>
  </si>
  <si>
    <t>ФОПаз03р-л000-4.00</t>
  </si>
  <si>
    <t>ФОПаз05р-л000-4.00</t>
  </si>
  <si>
    <t>ФОПаз04р-л000-4.00</t>
  </si>
  <si>
    <t>ФЯЛад09р-л000-3.00</t>
  </si>
  <si>
    <t>ФЯЛад05р-л000-3.00</t>
  </si>
  <si>
    <t>ФЯЛад03р-л000-3.00</t>
  </si>
  <si>
    <t>ФЯЛад07р-л000-3.00</t>
  </si>
  <si>
    <t>ФЯЛад04р-л000-3.00</t>
  </si>
  <si>
    <t>ФЯЛад11р-л000-3.00</t>
  </si>
  <si>
    <t>ФЯЛад10а-л000-3.00</t>
  </si>
  <si>
    <t>ФЯЛад12а-л000-3.00</t>
  </si>
  <si>
    <t>ФЯЛад01а-л000-3.00</t>
  </si>
  <si>
    <t>ФЯЛаз09р-л000-4.00</t>
  </si>
  <si>
    <t>ФЯЛаз05р-л000-4.00</t>
  </si>
  <si>
    <t>ФЯЛаз03р-л000-4.00</t>
  </si>
  <si>
    <t>ФЯЛаз07р-л000-4.00</t>
  </si>
  <si>
    <t>ФЯЛаз04р-л000-4.00</t>
  </si>
  <si>
    <t>ФЯЛаз11р-л000-4.00</t>
  </si>
  <si>
    <t>ФЯЛад08р-с056-3.00</t>
  </si>
  <si>
    <t>Русский язык: Россия — Европа. Языки и культуры</t>
  </si>
  <si>
    <t>ФРОбз00р-л000-4.06</t>
  </si>
  <si>
    <t>ФЖНбз00р-л000-4.06</t>
  </si>
  <si>
    <t>ФФЛбз00р-л000-4.06</t>
  </si>
  <si>
    <t>ФФЛмд06р-д083-2.00</t>
  </si>
  <si>
    <t>ФФЛмд06р-д080-2.00</t>
  </si>
  <si>
    <t>ФФЛмд06р-д084-2.00</t>
  </si>
  <si>
    <t>ФФЛмд06р-д008-2.00</t>
  </si>
  <si>
    <t>ФПСмд05р-л000-2.00</t>
  </si>
  <si>
    <t>Психология менеджмента</t>
  </si>
  <si>
    <t>ФПСмв05р-л000-2.06</t>
  </si>
  <si>
    <t>ФПСмз05р-л000-2.06</t>
  </si>
  <si>
    <t>ФПСмд04р-л000-2.00</t>
  </si>
  <si>
    <t>Юридическая психология</t>
  </si>
  <si>
    <t>ФПСмв04р-л000-2.06</t>
  </si>
  <si>
    <t>ФФЛмд11а-л000-2.00</t>
  </si>
  <si>
    <t>Язык и культура: теория и практика</t>
  </si>
  <si>
    <t>ФЛНмд03р-д039-2.00</t>
  </si>
  <si>
    <t>Менеджмент в культуре и межкультурная коммуникация</t>
  </si>
  <si>
    <t>ФЛНмд13р-д039-2.00</t>
  </si>
  <si>
    <t>Языки и культура. Славяноведение. Россия-Европа</t>
  </si>
  <si>
    <t>ФЛНмд14р-л000-2.00</t>
  </si>
  <si>
    <t>Когнитивная и цифровая лингвистика</t>
  </si>
  <si>
    <t>ФРОмд04р-л000-2.00</t>
  </si>
  <si>
    <t>Реклама и связи с общественностью в цифровой среде</t>
  </si>
  <si>
    <t>Общий профиль</t>
  </si>
  <si>
    <t>ЭМНмд01р-с082-2.00</t>
  </si>
  <si>
    <t>ЭМНмд20р-с065-2.00</t>
  </si>
  <si>
    <t>ЭЭКмд02р-с082-2.00</t>
  </si>
  <si>
    <t>Международный маркетинг и бизнес</t>
  </si>
  <si>
    <t>Международный маркетинг - менеджмент</t>
  </si>
  <si>
    <t>ЭЭКмд05р-с080-2.00</t>
  </si>
  <si>
    <t>ЭЭКаз03р-л000-4.00</t>
  </si>
  <si>
    <t>ЭЭКаз05р-л000-4.00</t>
  </si>
  <si>
    <t>ЭМНмд20р-д007-2.00</t>
  </si>
  <si>
    <t>ЭМНмд20р-д039-2.00</t>
  </si>
  <si>
    <t>ЭМНмд20р-д036-2.00</t>
  </si>
  <si>
    <t>ЭМНмд20р-д015-2.00</t>
  </si>
  <si>
    <t>ЭЭКмд02р-д007-2.00</t>
  </si>
  <si>
    <t>ЭМНмд01р-д065-2.00</t>
  </si>
  <si>
    <t>ЭМНмд01р-д007-2.00</t>
  </si>
  <si>
    <t>ЭЭКмд05р-д036-2.00</t>
  </si>
  <si>
    <t>ЭЭКмд05р-д062-2.00</t>
  </si>
  <si>
    <t>ЭЭКмд02р-д083-2.00</t>
  </si>
  <si>
    <t>ЭЭКмд02р-д008-2.00</t>
  </si>
  <si>
    <t>ЭЭКмд02р-д015-2.00</t>
  </si>
  <si>
    <t>ЭЭКмд02р-д084-2.00</t>
  </si>
  <si>
    <t>ЭЭКмд02р-д036-2.00</t>
  </si>
  <si>
    <t>ЭМНмд18р-д062-2.00</t>
  </si>
  <si>
    <t>ЭМНмд01р-д083-2.00</t>
  </si>
  <si>
    <t>ЭМНмд01р-д008-2.00</t>
  </si>
  <si>
    <t>ЭМНмд01р-д015-2.00</t>
  </si>
  <si>
    <t>ЭМНмд01р-д020-2.00</t>
  </si>
  <si>
    <t>ЭМНмд01р-д084-2.00</t>
  </si>
  <si>
    <t>ЭМНмд20р-д082-2.00</t>
  </si>
  <si>
    <t>ЭМНмд20р-д083-2.00</t>
  </si>
  <si>
    <t>ЭМНмд20р-д008-2.00</t>
  </si>
  <si>
    <t>ЭМНбд04р-д062-4.00</t>
  </si>
  <si>
    <t>ЭЭКбд04р-д062-4.00</t>
  </si>
  <si>
    <t>ЭМНмз32р-д074-2.06</t>
  </si>
  <si>
    <t>Общий и стратегический менеджмент</t>
  </si>
  <si>
    <t>ЭМНмз32р-д073-2.06</t>
  </si>
  <si>
    <t>'5.2.1.</t>
  </si>
  <si>
    <t>'5.2.4.</t>
  </si>
  <si>
    <t>'5.2.5.</t>
  </si>
  <si>
    <t>ЭЭКаз01р-л000-4.00</t>
  </si>
  <si>
    <t>ЭЭКад06а-л000-3.00</t>
  </si>
  <si>
    <t>ЭЭКад07а-л000-3.00</t>
  </si>
  <si>
    <t>ЭЭКад04а-л000-3.00</t>
  </si>
  <si>
    <t>ЭЭКад04р-л000-3.00</t>
  </si>
  <si>
    <t>ЭЭКад06р-л000-3.00</t>
  </si>
  <si>
    <t>ЭЭКад07р-л000-3.00</t>
  </si>
  <si>
    <t>ЭЭКад08р-л000-3.00</t>
  </si>
  <si>
    <t>ЭЭКаз04р-л000-4.00</t>
  </si>
  <si>
    <t>ЭЭКаз06р-л000-4.00</t>
  </si>
  <si>
    <t>ЭЭКаз07р-л000-4.00</t>
  </si>
  <si>
    <t>ЭЭКаз08р-л000-4.00</t>
  </si>
  <si>
    <t>ЭЭКмд02р-д087-2.00</t>
  </si>
  <si>
    <t>ЭЭКмд02р-д088-2.00</t>
  </si>
  <si>
    <t>ЭЭКмз23р-л000-2.00</t>
  </si>
  <si>
    <t>Экономика образования</t>
  </si>
  <si>
    <t>ЭКРмв01р-л000-2.06</t>
  </si>
  <si>
    <t>ЭЭКмв18р-л000-2.06</t>
  </si>
  <si>
    <t>ЭЭКмд28р-л000-2.00</t>
  </si>
  <si>
    <t>Управление на основе анализа данных и бизнес-аналитика</t>
  </si>
  <si>
    <t>ЭМНмд34р-л000-2.00</t>
  </si>
  <si>
    <t>Гражданское право, семейное право, международное частное право</t>
  </si>
  <si>
    <t>Бакалавр права</t>
  </si>
  <si>
    <t>ЮЮРбз00р-д040-4.00</t>
  </si>
  <si>
    <t>ЮЮРмз32р-д076-2.06</t>
  </si>
  <si>
    <t>Публичное экономическое право</t>
  </si>
  <si>
    <t>ЮЮРмд01р-д082-2.00</t>
  </si>
  <si>
    <t>ЮЮРмд01р-д083-2.00</t>
  </si>
  <si>
    <t>ЮЮРмд01р-д015-2.00</t>
  </si>
  <si>
    <t>ЮЮРмд01р-д020-2.00</t>
  </si>
  <si>
    <t>ЮЮРмд01р-д036-2.00</t>
  </si>
  <si>
    <t>'5.1.1.</t>
  </si>
  <si>
    <t>'5.1.2.</t>
  </si>
  <si>
    <t>'5.1.3.</t>
  </si>
  <si>
    <t>'5.1.4.</t>
  </si>
  <si>
    <t>'5.1.5.</t>
  </si>
  <si>
    <t>ЮМНад01а-л000-3.00</t>
  </si>
  <si>
    <t>Юридические науки: современное международное право</t>
  </si>
  <si>
    <t>ЮТУад05а-л000-3.00</t>
  </si>
  <si>
    <t>ЮЮРад01р-л000-3.00</t>
  </si>
  <si>
    <t>ЮЮРад02р-л000-3.00</t>
  </si>
  <si>
    <t>ЮЮРад03р-л000-3.00</t>
  </si>
  <si>
    <t>ЮЮРад04р-л000-3.00</t>
  </si>
  <si>
    <t>ЮЮРад05р-л000-3.00</t>
  </si>
  <si>
    <t>ЮЮРад06р-л000-3.00</t>
  </si>
  <si>
    <t>ЮЮРад07р-л000-3.00</t>
  </si>
  <si>
    <t>ЮЮРад08р-л000-3.00</t>
  </si>
  <si>
    <t>ЮЮРад09р-л000-3.00</t>
  </si>
  <si>
    <t>ЮЮРад10р-л000-3.00</t>
  </si>
  <si>
    <t>ЮЮРад11р-л000-3.00</t>
  </si>
  <si>
    <t>ЮЮРад12р-л000-3.00</t>
  </si>
  <si>
    <t>ЮЮРад13р-л000-3.00</t>
  </si>
  <si>
    <t>ЮЮРад14р-л000-3.00</t>
  </si>
  <si>
    <t>ЮЮРад15а-л000-3.00</t>
  </si>
  <si>
    <t>ЮЮРаз01р-л000-4.00</t>
  </si>
  <si>
    <t>ЮЮРаз02р-л000-4.00</t>
  </si>
  <si>
    <t>ЮЮРаз03р-л000-4.00</t>
  </si>
  <si>
    <t>ЮЮРаз04р-л000-4.00</t>
  </si>
  <si>
    <t>ЮЮРаз05р-л000-4.00</t>
  </si>
  <si>
    <t>ЮЮРаз06р-л000-4.00</t>
  </si>
  <si>
    <t>ЮЮРаз07р-л000-4.00</t>
  </si>
  <si>
    <t>ЮЮРаз08р-л000-4.00</t>
  </si>
  <si>
    <t>ЮЮРаз09р-л000-4.00</t>
  </si>
  <si>
    <t>ЮЮРаз10р-л000-4.00</t>
  </si>
  <si>
    <t>ЮЮРаз11р-л000-4.00</t>
  </si>
  <si>
    <t>ЮЮРаз12р-л000-4.00</t>
  </si>
  <si>
    <t>ЮЮРаз13р-л000-4.00</t>
  </si>
  <si>
    <t>ЮЮРаз14р-л000-4.00</t>
  </si>
  <si>
    <t>ЮОПад01а-л000-3.00</t>
  </si>
  <si>
    <t>ЮПЛмд08р-л000-2.00</t>
  </si>
  <si>
    <t>ЮТДсз01р-л000-6.00</t>
  </si>
  <si>
    <t>ЮТДсв01р-л000-6.00</t>
  </si>
  <si>
    <t>ЮТДсз02р-л000-6.00</t>
  </si>
  <si>
    <t>ЮТДсд02р-л000-5.00</t>
  </si>
  <si>
    <t>ЮТДсв02р-л000-6.00</t>
  </si>
  <si>
    <t>ЮЮРмд33р-л000-2.00</t>
  </si>
  <si>
    <t>Конституционно-правовые основы деятельности судебной власти, прокурорского надзора и правоохранительных органов, адвокатуры и нотариата</t>
  </si>
  <si>
    <t>ЮЮРмд30р-л000-2.00</t>
  </si>
  <si>
    <t>Международно-правовое сотрудничество государств СНГ</t>
  </si>
  <si>
    <t>ЮЮРмз35р-л000-2.00</t>
  </si>
  <si>
    <t>Образовательное право: сравнительное правоведение</t>
  </si>
  <si>
    <t>Правовое регулирование технологии Blockchain</t>
  </si>
  <si>
    <t>ЮМОад00р-л000-3.00</t>
  </si>
  <si>
    <t>ЮПИад00р-л000-3.00</t>
  </si>
  <si>
    <t>ЮПИад00а-л000-3.00</t>
  </si>
  <si>
    <t>ЮЮРмд36р-л000-2.00</t>
  </si>
  <si>
    <t>Юрист в органах муниципальной власти</t>
  </si>
  <si>
    <t>Вуз-Партнер</t>
  </si>
  <si>
    <t>ООО Нетология</t>
  </si>
  <si>
    <t>ООО "Сберобразование"</t>
  </si>
  <si>
    <t>Технологический университет имени Насир ад-Дина Туси</t>
  </si>
  <si>
    <t>Университет Тренто</t>
  </si>
  <si>
    <t>ФГАОУ ВО «Национальный исследовательский технологический университет «МИСИС»</t>
  </si>
  <si>
    <t>Тюменский государственный университет</t>
  </si>
  <si>
    <t>Ланьчжоуский университет</t>
  </si>
  <si>
    <t>Северо-восточный педагогический университет</t>
  </si>
  <si>
    <t>Национальный исследовательский Московский государственный строительный университет</t>
  </si>
  <si>
    <t>Международный государственный экологический институт им. А.Д. Сахарова Белорусского государственного университета</t>
  </si>
  <si>
    <t>Ташкентский государственный стоматологический институт при Министерстве здравоохранения</t>
  </si>
  <si>
    <t>Институт политических исследований университета Бордо</t>
  </si>
  <si>
    <t>Государственный институт международных отношений Молдовы</t>
  </si>
  <si>
    <t>Таджикский национальный университет</t>
  </si>
  <si>
    <t>Бакинский славянский университет</t>
  </si>
  <si>
    <t>Белорусский государственный университет</t>
  </si>
  <si>
    <t>Дипломатическая академия Министерства иностранных дел Кыргызской Республики им. К. Дикамбаева</t>
  </si>
  <si>
    <t>Кыргызско-Российский (Славянский) Университет</t>
  </si>
  <si>
    <t>Донецкий национальный университет</t>
  </si>
  <si>
    <t>Днепропетровский национальный университет им. О. Гончара</t>
  </si>
  <si>
    <t>Казахский университет международных отношений и мировых языков имени Абылай хана</t>
  </si>
  <si>
    <t>Западно-Казахстанский государственный университет им. М. Утемисова</t>
  </si>
  <si>
    <t>Карагандинский экономический университет Казпотребсоюза</t>
  </si>
  <si>
    <t>Армянский государственный экономический университет</t>
  </si>
  <si>
    <t>Ошский государственный университет</t>
  </si>
  <si>
    <t>Европейский университет Молдовы</t>
  </si>
  <si>
    <t>ЦМ</t>
  </si>
  <si>
    <t>Кафедра</t>
  </si>
  <si>
    <t>Факультет кафедры</t>
  </si>
  <si>
    <t>Кафедра иностранных языков</t>
  </si>
  <si>
    <t>Аграрный факультет</t>
  </si>
  <si>
    <t>Базовая кафедра инновационного менеджмента и внешнеэкономической деятельности в промышленности</t>
  </si>
  <si>
    <t>Базовая кафедра "Машиностроительные технологии"</t>
  </si>
  <si>
    <t>Базовая кафедра "Специальные материалы и электромеханические конструкции"</t>
  </si>
  <si>
    <t>Департамент механики и процессов управления</t>
  </si>
  <si>
    <t>Департамент транспорта</t>
  </si>
  <si>
    <t>Вечерне-заочное отделение ИВЭБиТД</t>
  </si>
  <si>
    <t>Институт космических технологий</t>
  </si>
  <si>
    <t>Кафедра физико-математических методов проектирования сложных технических систем ракетно-космической техники</t>
  </si>
  <si>
    <t>Институт повышения квалификации и переподготовки кадров</t>
  </si>
  <si>
    <t>Вечерне-заочное отделение ИРЯ</t>
  </si>
  <si>
    <t>Кафедра общеобразовательных дисциплин</t>
  </si>
  <si>
    <t>Кафедра прикладной информатики и интеллектуальных систем в гуманитарной сфере</t>
  </si>
  <si>
    <t>Кафедра русского языка 1</t>
  </si>
  <si>
    <t>Кафедра русского языка 2</t>
  </si>
  <si>
    <t>Кафедра русского языка 3</t>
  </si>
  <si>
    <t>Кафедра русского языка 4</t>
  </si>
  <si>
    <t>Кафедра русского языка 5</t>
  </si>
  <si>
    <t>Кафедра русского языка и лингвокультурологии</t>
  </si>
  <si>
    <t>Департамент рационального природопользования</t>
  </si>
  <si>
    <t>Департамент экологии человека и биоэлементологии</t>
  </si>
  <si>
    <t>Департамент экологической безопасности и менеджмента качества продукции</t>
  </si>
  <si>
    <t>Аккредитационно-симуляционный центр</t>
  </si>
  <si>
    <t>Кафедра биохимии имени академика Т.Т. Березова</t>
  </si>
  <si>
    <t>Кафедра внутренних болезней с курсом кардиологии и функциональной диагностики имени академика В.С. Моисеева</t>
  </si>
  <si>
    <t>Кафедра госпитальной терапии с курсами эндокринологии, гематологии и клинической лабораторной диагностики</t>
  </si>
  <si>
    <t>Кафедра дерматовенерологии, аллергологии и косметологии</t>
  </si>
  <si>
    <t>Кафедра иммунологии</t>
  </si>
  <si>
    <t>Кафедра истории медицины</t>
  </si>
  <si>
    <t>Кафедра микробиологии имени В.С. Киктенко</t>
  </si>
  <si>
    <t>Кафедра нервных болезней и нейрохирургии имени профессора Ю.С. Мартынова</t>
  </si>
  <si>
    <t>Кафедра общей патологии и патологической физиологии имени В.А. Фролова</t>
  </si>
  <si>
    <t>Кафедра онкологии и рентгенорадиологии имени академика В.П. Харченко</t>
  </si>
  <si>
    <t>Кафедра оперативной хирургии и клинической анатомии имени И.Д. Кирпатовского</t>
  </si>
  <si>
    <t>Кафедра фармацевтической химии и фармакогнозии</t>
  </si>
  <si>
    <t>Учебно-научный информационный библиотечный центр</t>
  </si>
  <si>
    <t>УНИБЦ</t>
  </si>
  <si>
    <t>Кафедра внутренних болезней, кардиологии и клинической фармакологии</t>
  </si>
  <si>
    <t>Кафедра восстановительного лечения (курортологии и физиотерапии)</t>
  </si>
  <si>
    <t>Кафедра геронтологии, физической и реабилитационной медицины</t>
  </si>
  <si>
    <t>Кафедра дерматовенерологии с курсом косметологии</t>
  </si>
  <si>
    <t>Кафедра клинической физиологии и нелекарственных методов терапии</t>
  </si>
  <si>
    <t>Кафедра кожных и венерических болезней с курсом косметологии</t>
  </si>
  <si>
    <t>Кафедра остеопатии, мануальной терапии и гнатологии</t>
  </si>
  <si>
    <t>Кафедра психиатрии, наркологии и психотерапии</t>
  </si>
  <si>
    <t>Кафедра сестринское дело</t>
  </si>
  <si>
    <t>Кафедра физических методов лечения с курсом клинической лимфологии и эндоэкологии</t>
  </si>
  <si>
    <t>Кафедра фитотерапия ФПК МР</t>
  </si>
  <si>
    <t>Кафедра эндокринологии с курсом холистической медицины</t>
  </si>
  <si>
    <t>Кафедра эндоскопической урологии и ультразвуковой диагностики</t>
  </si>
  <si>
    <t>Кафедра Теоретической физики и механики</t>
  </si>
  <si>
    <t>Математический институт имени академика С.М. Никольского</t>
  </si>
  <si>
    <t>ФОК</t>
  </si>
  <si>
    <t>Цифровая кафедра</t>
  </si>
  <si>
    <t>Кафедра политической экономии имени В.Ф. Станиса</t>
  </si>
  <si>
    <t>Кафедра публичной политики и истории государства и права</t>
  </si>
  <si>
    <t>Кафедра судебной власти, гражданского общества и правоохранительной деятельности</t>
  </si>
  <si>
    <t>Научно-образовательный центр "Правовые исследования"</t>
  </si>
  <si>
    <t>Проведение лекционных занятий (всем категориям обучающихся)</t>
  </si>
  <si>
    <t>Проведение практических занятий / семинаров (всем категориям обучающихся)</t>
  </si>
  <si>
    <t>Проведение лабораторных работ (в т.ч. практических занятий в компьютерных классах) и клинических занятий.</t>
  </si>
  <si>
    <t>Проведение занятий по иностранным языкам</t>
  </si>
  <si>
    <t>Проведение лекционных занятий с использованием ТУИС</t>
  </si>
  <si>
    <t>За 1 акад. час по учебному плану (при наличии актуальных видеоматериалов)</t>
  </si>
  <si>
    <t>Проведение лекционных занятий по цифровым образовательным программам</t>
  </si>
  <si>
    <t>Проведение семинаров и всех видов практических занятий по цифровым образовательным программам</t>
  </si>
  <si>
    <t>ЛЦП</t>
  </si>
  <si>
    <t>Лекционные занятия по цифровым образовательным программам являются оцифрованными, ввиду чего не учитываются в учебной нагрузке</t>
  </si>
  <si>
    <t>За 1 акад. час по учебному плану.</t>
  </si>
  <si>
    <t>СЦП</t>
  </si>
  <si>
    <t>Проведение текущих консультаций по учебным дисциплинам для обучающихся очной формы обучения всех уровней подготовки</t>
  </si>
  <si>
    <t>Проведение текущих консультаций по учебным дисциплинам для обучающихся очно-заочной формы обучения всех уровней подготовки</t>
  </si>
  <si>
    <t>Проведение текущих консультаций по учебным дисциплинам для обучающихся заочной формы обучения всех уровней подготовки</t>
  </si>
  <si>
    <t>Проверка и прием контрольных работ для подготовительного факультета ИРЯ</t>
  </si>
  <si>
    <t>Рецензирование реферата обучающегося по ОП ВО аспирантуры перед сдачей ГЭК</t>
  </si>
  <si>
    <t>Рецензирование реферата обучающегося по ОП ВО аспирантуры или программе подготовки научных и научно-педагогических кадров в аспирантуре по дисциплине история и философия науки</t>
  </si>
  <si>
    <t>Руководство учебной практикой с проверкой отчётов и аттестацией для бакалавриата, специалитета и магистратуры.
Руководство клинической практикой с проверкой отчетов и аттестацией ординаторов.</t>
  </si>
  <si>
    <t>ЦП</t>
  </si>
  <si>
    <t>На каждую практику в семестре</t>
  </si>
  <si>
    <r>
      <t xml:space="preserve">Руководство научными исследованиями </t>
    </r>
    <r>
      <rPr>
        <b/>
        <sz val="11"/>
        <rFont val="Times New Roman"/>
        <family val="1"/>
        <charset val="204"/>
      </rPr>
      <t>иностранных аспирантов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</si>
  <si>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r>
      <t xml:space="preserve">Руководство научными исследованиями </t>
    </r>
    <r>
      <rPr>
        <b/>
        <sz val="11"/>
        <rFont val="Times New Roman"/>
        <family val="1"/>
        <charset val="204"/>
      </rPr>
      <t>аспирантов РФ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</si>
  <si>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r>
      <t xml:space="preserve">Руководство педагогической практикой на кафедре, за которой закреплен </t>
    </r>
    <r>
      <rPr>
        <b/>
        <sz val="11"/>
        <rFont val="Times New Roman"/>
        <family val="1"/>
        <charset val="204"/>
      </rPr>
      <t>аспирант</t>
    </r>
    <r>
      <rPr>
        <sz val="11"/>
        <rFont val="Times New Roman"/>
        <family val="1"/>
        <charset val="204"/>
      </rPr>
      <t>, обучающийся по ОП ВО или программе подготовки научных и научно-педагогических кадров</t>
    </r>
  </si>
  <si>
    <r>
      <t xml:space="preserve">Руководство и консультирование научно-квалификационных работ </t>
    </r>
    <r>
      <rPr>
        <b/>
        <sz val="11"/>
        <rFont val="Times New Roman"/>
        <family val="1"/>
        <charset val="204"/>
      </rPr>
      <t>аспирантов РФ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</si>
  <si>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r>
      <t xml:space="preserve">Руководство и консультирование научно-квалификационных работ </t>
    </r>
    <r>
      <rPr>
        <b/>
        <sz val="11"/>
        <rFont val="Times New Roman"/>
        <family val="1"/>
        <charset val="204"/>
      </rPr>
      <t>иностранных аспирантов</t>
    </r>
    <r>
      <rPr>
        <sz val="11"/>
        <rFont val="Times New Roman"/>
        <family val="1"/>
        <charset val="204"/>
      </rPr>
      <t>, обучающихся по</t>
    </r>
    <r>
      <rPr>
        <b/>
        <sz val="11"/>
        <rFont val="Times New Roman"/>
        <family val="1"/>
        <charset val="204"/>
      </rPr>
      <t xml:space="preserve"> ОП ВО</t>
    </r>
  </si>
  <si>
    <r>
      <t xml:space="preserve">Рецензирование научно-квалификационных работ </t>
    </r>
    <r>
      <rPr>
        <b/>
        <sz val="11"/>
        <rFont val="Times New Roman"/>
        <family val="1"/>
        <charset val="204"/>
      </rPr>
      <t>аспирантов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</si>
  <si>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t>Участие в работе ГЭК в качестве председателя (в дистанционном формате)</t>
  </si>
  <si>
    <t>44.1</t>
  </si>
  <si>
    <t>44.2</t>
  </si>
  <si>
    <t>18.1</t>
  </si>
  <si>
    <t>18.2</t>
  </si>
  <si>
    <t>Участие в работе ГЭК в качестве члена комиссии (в дистанционном формате)</t>
  </si>
  <si>
    <t>45.1</t>
  </si>
  <si>
    <t>45.2</t>
  </si>
  <si>
    <r>
      <t xml:space="preserve">Проведение кандидатских экзаменов (история и философия науки, иностранный язык, специальность), в т.ч. экстерном, </t>
    </r>
    <r>
      <rPr>
        <b/>
        <sz val="11"/>
        <rFont val="Times New Roman"/>
        <family val="1"/>
        <charset val="204"/>
      </rPr>
      <t>аспирантам</t>
    </r>
    <r>
      <rPr>
        <sz val="11"/>
        <rFont val="Times New Roman"/>
        <family val="1"/>
        <charset val="204"/>
      </rPr>
      <t>, обучающимся по ОП ВО или программе подготовки научных и научно-педагогических кадров</t>
    </r>
  </si>
  <si>
    <r>
      <t xml:space="preserve">Руководство </t>
    </r>
    <r>
      <rPr>
        <b/>
        <sz val="11"/>
        <rFont val="Times New Roman"/>
        <family val="1"/>
        <charset val="204"/>
      </rPr>
      <t>аспирантами РФ</t>
    </r>
    <r>
      <rPr>
        <sz val="11"/>
        <rFont val="Times New Roman"/>
        <family val="1"/>
        <charset val="204"/>
      </rPr>
      <t xml:space="preserve">, обучающимися по программе </t>
    </r>
    <r>
      <rPr>
        <b/>
        <sz val="11"/>
        <rFont val="Times New Roman"/>
        <family val="1"/>
        <charset val="204"/>
      </rPr>
      <t>подготовки научных и научно-педагогических кадров</t>
    </r>
  </si>
  <si>
    <r>
      <t xml:space="preserve">Руководство </t>
    </r>
    <r>
      <rPr>
        <b/>
        <sz val="11"/>
        <rFont val="Times New Roman"/>
        <family val="1"/>
        <charset val="204"/>
      </rPr>
      <t>иностранными аспирантами</t>
    </r>
    <r>
      <rPr>
        <sz val="11"/>
        <rFont val="Times New Roman"/>
        <family val="1"/>
        <charset val="204"/>
      </rPr>
      <t xml:space="preserve">, обучающимися по программе </t>
    </r>
    <r>
      <rPr>
        <b/>
        <sz val="11"/>
        <rFont val="Times New Roman"/>
        <family val="1"/>
        <charset val="204"/>
      </rPr>
      <t>подготовки научных и научно-педагогических кадров</t>
    </r>
  </si>
  <si>
    <r>
      <t>Руководство всеми видами практик, в том числе НИР, с проверкой отчётов и аттестацией обучающихся по программам</t>
    </r>
    <r>
      <rPr>
        <b/>
        <sz val="11"/>
        <rFont val="Times New Roman"/>
        <family val="1"/>
        <charset val="204"/>
      </rPr>
      <t xml:space="preserve"> цифровых магистратур</t>
    </r>
  </si>
  <si>
    <t>Руководство всеми видами практик, в том числе НИР, по программам цифровых магистратур</t>
  </si>
  <si>
    <t>Практики (в т.ч. НИР) цифровых магистратур</t>
  </si>
  <si>
    <t>НСАад01р-л000-3.00</t>
  </si>
  <si>
    <t>САГбд02р-л000-4.00</t>
  </si>
  <si>
    <t>Биотехнология растений</t>
  </si>
  <si>
    <t>САГбв02р-л000-4.06</t>
  </si>
  <si>
    <t>САГбз02р-л000-4.06</t>
  </si>
  <si>
    <t>ЕООад01р-л000-3.00</t>
  </si>
  <si>
    <t>ЕТУад06р-л000-3.00</t>
  </si>
  <si>
    <t>Теория и методика обучения и воспитания (информатизация образования)</t>
  </si>
  <si>
    <t>ЮПЛбд01р-л000-4.00</t>
  </si>
  <si>
    <t>Бакалавр права и политики</t>
  </si>
  <si>
    <t>ЮЮРбд04р-л000-4.00</t>
  </si>
  <si>
    <t>ПМНбд09р-л000-4.00</t>
  </si>
  <si>
    <t>Цифровой дизайн и веб-разработка</t>
  </si>
  <si>
    <t>ИМПмд05р-л000-2.00</t>
  </si>
  <si>
    <t>Конструкторско-технологическое обеспечение энергетических производств</t>
  </si>
  <si>
    <t>РЛНмд15р-д093-2.00</t>
  </si>
  <si>
    <t>Липецкий государственный педагогический университет имени П.П. Семенова-Тян-Шанского</t>
  </si>
  <si>
    <t>РФЛбв01р-л000-4.06</t>
  </si>
  <si>
    <t>РФЛмв09р-л000-2.06</t>
  </si>
  <si>
    <t>ОЭПмз19р-л000-2.06</t>
  </si>
  <si>
    <t>Биобезопасность и карантин растений</t>
  </si>
  <si>
    <t>НХМмд07а-л000-2.00</t>
  </si>
  <si>
    <t>Биоэнергетика и продукты переработки биомассы</t>
  </si>
  <si>
    <t>ЭЭКмд02р-д020-2.00</t>
  </si>
  <si>
    <t>ЭЭКмд02р-д080-2.00</t>
  </si>
  <si>
    <t>ЭМНмд20р-д020-2.00</t>
  </si>
  <si>
    <t>ЮЮРмд01р-д008-2.00</t>
  </si>
  <si>
    <t>ЮЮРмд01р-д084-2.00</t>
  </si>
  <si>
    <t>инстр.ФК</t>
  </si>
  <si>
    <t>инструктор по физической культуре</t>
  </si>
  <si>
    <t>Наименование ОП + Вуз-Партнёр</t>
  </si>
  <si>
    <t>СББсд00р-л000-5.00</t>
  </si>
  <si>
    <t>СВТсд00р-д090-5.00</t>
  </si>
  <si>
    <t>СЭГад00р-л000-4.00</t>
  </si>
  <si>
    <t>ПМНмд36р-л000-2.00</t>
  </si>
  <si>
    <t>ПМНмд37р-л000-2.00</t>
  </si>
  <si>
    <t>ХМНбд05р-л000-4.00</t>
  </si>
  <si>
    <t>ХМНбд09р-л000-4.00</t>
  </si>
  <si>
    <t>ХСВбд01р-л000-4.00</t>
  </si>
  <si>
    <t>ХТРбд01р-л000-4.00</t>
  </si>
  <si>
    <t>ХГДбд02р-л000-4.00</t>
  </si>
  <si>
    <t>ХГДбд01р-л000-4.00</t>
  </si>
  <si>
    <t>ХМНбв05р-л000-4.06</t>
  </si>
  <si>
    <t>ХСВбв01р-л000-5.00</t>
  </si>
  <si>
    <t>ХСВбв00р-л000-4.11</t>
  </si>
  <si>
    <t>ХТРбв01р-л000-5.00</t>
  </si>
  <si>
    <t>ХТРбв00р-л000-4.11</t>
  </si>
  <si>
    <t>ХГДбв02р-л000-5.00</t>
  </si>
  <si>
    <t>ХГДбв01р-л000-5.00</t>
  </si>
  <si>
    <t>ХГДбв00р-л000-4.11</t>
  </si>
  <si>
    <t>ХТРбз01р-л000-5.00</t>
  </si>
  <si>
    <t>ХГДбз02р-л000-5.00</t>
  </si>
  <si>
    <t>ХУСмд12р-л000-2.00</t>
  </si>
  <si>
    <t>ХЭКмд10р-л000-2.00</t>
  </si>
  <si>
    <t>ХЭКмд09р-л000-2.00</t>
  </si>
  <si>
    <t>ХЭКмд25р-л000-2.00</t>
  </si>
  <si>
    <t>ХЭКмд12р-л000-2.00</t>
  </si>
  <si>
    <t>ХЭКмд22р-л000-2.00</t>
  </si>
  <si>
    <t>ХЭКмд13р-л000-2.00</t>
  </si>
  <si>
    <t>ХЭКмд22р-с089-2.00</t>
  </si>
  <si>
    <t>ХМНмд14р-л000-2.00</t>
  </si>
  <si>
    <t>ХМНмд23а-л000-2.00</t>
  </si>
  <si>
    <t>ХМНмд22р-л000-2.00</t>
  </si>
  <si>
    <t>ХМНмд23р-л000-2.00</t>
  </si>
  <si>
    <t>ХМНмд06р-л000-2.00</t>
  </si>
  <si>
    <t>ХМНмд37р-л000-2.00</t>
  </si>
  <si>
    <t>ХМНмд36р-л000-2.00</t>
  </si>
  <si>
    <t>ХМНмд35р-д091-2.00</t>
  </si>
  <si>
    <t>ХТРмд02р-с020-2.00</t>
  </si>
  <si>
    <t>ХТРмд04р-л000-2.00</t>
  </si>
  <si>
    <t>ХТРмд05р-с011-2.00</t>
  </si>
  <si>
    <t>ХТРмд05р-с012-2.00</t>
  </si>
  <si>
    <t>ХТРмд01р-л000-2.00</t>
  </si>
  <si>
    <t>ХТРмд02р-с009-2.00</t>
  </si>
  <si>
    <t>ХТРмд02р-с015-2.00</t>
  </si>
  <si>
    <t>ХМНмз14р-л000-2.03</t>
  </si>
  <si>
    <t>ХРОад00р-л000-3.00</t>
  </si>
  <si>
    <t>ХРОад00а-л000-3.00</t>
  </si>
  <si>
    <t>ХМДад00р-л000-3.00</t>
  </si>
  <si>
    <t>ИЭМбд06р-л000-4.00</t>
  </si>
  <si>
    <t>ИТКбд05р-л000-4.00</t>
  </si>
  <si>
    <t>ИУСбд10р-л000-4.00</t>
  </si>
  <si>
    <t>ИЭМбз06р-л000-5.00</t>
  </si>
  <si>
    <t>ИТКбз05р-л000-5.00</t>
  </si>
  <si>
    <t>ИУСбз10р-л000-5.00</t>
  </si>
  <si>
    <t>ИСРмд12р-л000-2.00</t>
  </si>
  <si>
    <t>ИСРмд13р-л000-2.00</t>
  </si>
  <si>
    <t>ИСРмд14р-д065-2.00</t>
  </si>
  <si>
    <t>ИМПмд06р-л000-2.00</t>
  </si>
  <si>
    <t>ИМПмд07р-л000-2.00</t>
  </si>
  <si>
    <t>ИММмд00р-л000-2.00</t>
  </si>
  <si>
    <t>ИНВмд04р-л000-2.00</t>
  </si>
  <si>
    <t>ИНВмд04а-л000-2.00</t>
  </si>
  <si>
    <t>ИМПмв06р-л000-2.06</t>
  </si>
  <si>
    <t>ИСРмз12р-л000-2.06</t>
  </si>
  <si>
    <t>ИНВмз04р-л000-2.06</t>
  </si>
  <si>
    <t>ИДМад00р-л000-4.00</t>
  </si>
  <si>
    <t>ИДМад00а-л000-4.00</t>
  </si>
  <si>
    <t>ИИИад00р-л000-3.00</t>
  </si>
  <si>
    <t>ИИИад00а-л000-3.00</t>
  </si>
  <si>
    <t>ИГМад00а-л000-3.00</t>
  </si>
  <si>
    <t>ИГНад00а-л000-3.00</t>
  </si>
  <si>
    <t>ИГФад00р-л000-3.00</t>
  </si>
  <si>
    <t>ИГФад00а-л000-3.00</t>
  </si>
  <si>
    <t>ИТАад00р-л000-3.00</t>
  </si>
  <si>
    <t>ИТАад00а-л000-3.00</t>
  </si>
  <si>
    <t>ИАРад00а-л000-3.00</t>
  </si>
  <si>
    <t>ИГСад00а-л000-4.00</t>
  </si>
  <si>
    <t>ИТОад00а-л000-4.00</t>
  </si>
  <si>
    <t>ИРАад00р-л000-4.00</t>
  </si>
  <si>
    <t>ИРАад00а-л000-4.00</t>
  </si>
  <si>
    <t>ИТДад00а-л000-4.00</t>
  </si>
  <si>
    <t>ИХТад00р-л000-4.00</t>
  </si>
  <si>
    <t>ИХТад00а-л000-4.00</t>
  </si>
  <si>
    <t>ИРЭад00а-л000-4.00</t>
  </si>
  <si>
    <t>ИЭАад00а-л000-4.00</t>
  </si>
  <si>
    <t>ИЛТад00р-л000-3.00</t>
  </si>
  <si>
    <t>ИЛТад00а-л000-3.00</t>
  </si>
  <si>
    <t>ИММад00р-л000-3.00</t>
  </si>
  <si>
    <t>ИММад00а-л000-3.00</t>
  </si>
  <si>
    <t>ШЭКбд19р-л000-4.00</t>
  </si>
  <si>
    <t>ШЭКбд20р-л000-4.00</t>
  </si>
  <si>
    <t>ШЭКбд21р-л000-4.00</t>
  </si>
  <si>
    <t>ШРОбд03р-л000-4.00</t>
  </si>
  <si>
    <t>ШЭКмд29р-л000-2.00</t>
  </si>
  <si>
    <t>ШЛНмд01а-л000-2.00</t>
  </si>
  <si>
    <t>РИВбд00р-л000-4.00</t>
  </si>
  <si>
    <t>РФЛмд13р-д084-2.00</t>
  </si>
  <si>
    <t>РФЛмд14р-д036-2.00</t>
  </si>
  <si>
    <t>РИВмд00р-л000-2.00</t>
  </si>
  <si>
    <t>РФЛмз13р-д084-2.06</t>
  </si>
  <si>
    <t>РФЛмз14р-д036-2.06</t>
  </si>
  <si>
    <t>РООад02р-л000-3.00</t>
  </si>
  <si>
    <t>ОЭПмд20р-л000-2.00</t>
  </si>
  <si>
    <t>МБЛмд03р-л000-2.00</t>
  </si>
  <si>
    <t>МБИад00р-л000-4.00</t>
  </si>
  <si>
    <t>МРХад00р-л000-3.00</t>
  </si>
  <si>
    <t>МПКад02р-л000-3.00</t>
  </si>
  <si>
    <t>МНФад00р-л000-3.00</t>
  </si>
  <si>
    <t>МДКод00р-л000-2.00</t>
  </si>
  <si>
    <t>МПТод00р-л000-2.00</t>
  </si>
  <si>
    <t>МПХод00р-л000-5.00</t>
  </si>
  <si>
    <t>МЭДод00р-л000-2.00</t>
  </si>
  <si>
    <t>АПТад02р-л000-3.00</t>
  </si>
  <si>
    <t>ГРВбд00р-л000-4.00</t>
  </si>
  <si>
    <t>ГВАбд01р-л000-4.00</t>
  </si>
  <si>
    <t>ГСЦмд07р-л000-2.00</t>
  </si>
  <si>
    <t>ГСЦмд08р-л000-2.00</t>
  </si>
  <si>
    <t>ГПЛмд09р-л000-2.00</t>
  </si>
  <si>
    <t>ГИСад00р-л000-3.00</t>
  </si>
  <si>
    <t>ЗФИбд02р-л000-4.00</t>
  </si>
  <si>
    <t>ЗФИбд01р-л000-4.00</t>
  </si>
  <si>
    <t>ЗПИбд02р-л000-4.00</t>
  </si>
  <si>
    <t>ЗПИбд01р-л000-4.00</t>
  </si>
  <si>
    <t>ЗФИмд08р-л000-2.00</t>
  </si>
  <si>
    <t>КПХод00р-л000-2.00</t>
  </si>
  <si>
    <t>НПМбд05р-л000-4.00</t>
  </si>
  <si>
    <t>НПМбв05р-л000-5.00</t>
  </si>
  <si>
    <t>НХМмд08р-д015-2.00</t>
  </si>
  <si>
    <t>НХМмд09р-д009-2.00</t>
  </si>
  <si>
    <t>НХМмд07а-д015-2.00</t>
  </si>
  <si>
    <t>НДМад00р-л000-4.00</t>
  </si>
  <si>
    <t>ФКПсд00р-л000-5.06</t>
  </si>
  <si>
    <t>ФППбд00р-л000-4.00</t>
  </si>
  <si>
    <t>ФВАбд02р-л000-4.00</t>
  </si>
  <si>
    <t>ФВАбд04р-л000-4.00</t>
  </si>
  <si>
    <t>ФППмд00р-л000-2.00</t>
  </si>
  <si>
    <t>ФФЛмд12р-л000-2.00</t>
  </si>
  <si>
    <t>ЭЭКбд06а-л000-4.00</t>
  </si>
  <si>
    <t>ЭВАбд03р-л000-4.00</t>
  </si>
  <si>
    <t>ЭЭУбв00р-л000-4.00</t>
  </si>
  <si>
    <t>ЭЭКбв10р-л000-5.00</t>
  </si>
  <si>
    <t>ЭЭКмз00р-л000-2.06</t>
  </si>
  <si>
    <t>'06.05.01</t>
  </si>
  <si>
    <t>'22.04.01</t>
  </si>
  <si>
    <t>'1.2.1.</t>
  </si>
  <si>
    <t>'1.6.9.</t>
  </si>
  <si>
    <t>'2.1.11.</t>
  </si>
  <si>
    <t>'2.2.9.</t>
  </si>
  <si>
    <t>'2.5.6.</t>
  </si>
  <si>
    <t>'2.6.12.</t>
  </si>
  <si>
    <t>'2.9.9.</t>
  </si>
  <si>
    <t>'5.2.2.</t>
  </si>
  <si>
    <t>'45.03.04</t>
  </si>
  <si>
    <t>'45.04.04</t>
  </si>
  <si>
    <t>'3.1.1.</t>
  </si>
  <si>
    <t>'3.1.32.</t>
  </si>
  <si>
    <t>'47.03.03</t>
  </si>
  <si>
    <t>'58.03.01</t>
  </si>
  <si>
    <t>'37.05.01</t>
  </si>
  <si>
    <t>'44.03.04</t>
  </si>
  <si>
    <t>'44.04.04</t>
  </si>
  <si>
    <t>5.00</t>
  </si>
  <si>
    <t>5.06</t>
  </si>
  <si>
    <t>4.06</t>
  </si>
  <si>
    <t>2.00</t>
  </si>
  <si>
    <t>2.06</t>
  </si>
  <si>
    <t>3.00</t>
  </si>
  <si>
    <t>4.11</t>
  </si>
  <si>
    <t>2.03</t>
  </si>
  <si>
    <t>6.00</t>
  </si>
  <si>
    <t>2.04</t>
  </si>
  <si>
    <t>2.05</t>
  </si>
  <si>
    <t>Биоинженерия и биоинформатика</t>
  </si>
  <si>
    <t>Казахский агротехнический исследовательский университет имени С. Сейфуллина</t>
  </si>
  <si>
    <t>Кыргызский технический университет имени И.Раззакова</t>
  </si>
  <si>
    <t>Цифровые технологии в управлении</t>
  </si>
  <si>
    <t>Управление внешнеэкономической деятельностью</t>
  </si>
  <si>
    <t>Комбинированные энергетические установки и альтернативная энергетика</t>
  </si>
  <si>
    <t>Эксплуатация автомобилей и электромобилей</t>
  </si>
  <si>
    <t>Data Engineering, интеллектуальные системы и кибербезопасность</t>
  </si>
  <si>
    <t>Технология, организация и экономика строительства</t>
  </si>
  <si>
    <t>Проектирование зданий и специальных сооружений</t>
  </si>
  <si>
    <t>Инновационные и энергосберегающие технологии в строительстве</t>
  </si>
  <si>
    <t>Технологии машиностроения и автоматизации производства</t>
  </si>
  <si>
    <t>Проектирование энергетических установок</t>
  </si>
  <si>
    <t>Современные конструкционные материалы</t>
  </si>
  <si>
    <t>Цифровая трансформация в управлении производством</t>
  </si>
  <si>
    <t>Искусственный интеллект и машинное обучение</t>
  </si>
  <si>
    <t>Геофизика</t>
  </si>
  <si>
    <t>Теория и история архитектуры, реставрация и реконструкция историко-архитектурного наследия</t>
  </si>
  <si>
    <t>Проектирование и технология приборостроения и радиоэлектронной аппаратуры</t>
  </si>
  <si>
    <t>Химическая технология топлива и высокоэнергетических веществ</t>
  </si>
  <si>
    <t>Логистические транспортные системы</t>
  </si>
  <si>
    <t>Математические, статистические и инструментальные методы в экономике</t>
  </si>
  <si>
    <t>Аналитика данных в экономике и бизнесе</t>
  </si>
  <si>
    <t>Бизнес-консалтинг, цифровой учет и аудит</t>
  </si>
  <si>
    <t>Мировая экономика и международная экономическая безопасность</t>
  </si>
  <si>
    <t>Цифровые маркетинговые коммуникации</t>
  </si>
  <si>
    <t>Исламские финансы и бизнес</t>
  </si>
  <si>
    <t>Кибертехнологии и анализ данных в гуманитарной сфере</t>
  </si>
  <si>
    <t>Цифровая филология</t>
  </si>
  <si>
    <t>Русский язык и литература в полиэтнической среде</t>
  </si>
  <si>
    <t>Интеллектуальные технологии и анализ данных в гуманитарной сфере</t>
  </si>
  <si>
    <t>Междисциплинарность в педагогических исследованиях</t>
  </si>
  <si>
    <t>Казахский национальный технический университет им. К.И. Сатпаева</t>
  </si>
  <si>
    <t>Зеленая экономика и устойчивое развитие предприятий</t>
  </si>
  <si>
    <t>Генная и тканевая инженерия</t>
  </si>
  <si>
    <t>Рентгенэндоваскулярная хирургия</t>
  </si>
  <si>
    <t>Религиоведение</t>
  </si>
  <si>
    <t>История и философия Востока</t>
  </si>
  <si>
    <t>Методология, методы социологических исследований и социальная аналитика</t>
  </si>
  <si>
    <t>Социология управления и организационный консалтинг</t>
  </si>
  <si>
    <t>Международный GR-менеджмент и публичная политика</t>
  </si>
  <si>
    <t>Искусственный интеллект: разработка и обучение интеллектуальных систем</t>
  </si>
  <si>
    <t>Разработка и обучение систем искусственного интеллекта</t>
  </si>
  <si>
    <t>Управление данными и искусственный интеллект</t>
  </si>
  <si>
    <t>Прикладная математика и программирование</t>
  </si>
  <si>
    <t>Современная интегративная химия</t>
  </si>
  <si>
    <t>Химия органических соединений</t>
  </si>
  <si>
    <t>Психология здоровья</t>
  </si>
  <si>
    <t>Преподаватель французского языка и практика перевода</t>
  </si>
  <si>
    <t>Востоковедение: языки и культуры</t>
  </si>
  <si>
    <t>Востоковедение и африканистика</t>
  </si>
  <si>
    <t>Современные технологии преподавания французского языка</t>
  </si>
  <si>
    <t>Русский язык и межкультурная коммуникация</t>
  </si>
  <si>
    <t>Международные экономические отношения</t>
  </si>
  <si>
    <t>Экономика и внешнеэкономические связи стран Востока</t>
  </si>
  <si>
    <t>Материаловедение и технологии материалов</t>
  </si>
  <si>
    <t>Интеллектуальные системы в гуманитарной сфере</t>
  </si>
  <si>
    <t>Интеллектуальные системы в гуманитарной среде</t>
  </si>
  <si>
    <t>Клиническая психология</t>
  </si>
  <si>
    <t>Профессиональное обучение (по отраслям)</t>
  </si>
  <si>
    <t>Высшая школа управления</t>
  </si>
  <si>
    <t>Научно-образовательный институт современных языков, межкультурной коммуникации и миграций</t>
  </si>
  <si>
    <t>Факультет искусственного интеллекта</t>
  </si>
  <si>
    <t>Линейная алгебра</t>
  </si>
  <si>
    <t>Математический анализ</t>
  </si>
  <si>
    <t>Прикладное программное обеспечение: проектирование, управление проектом, разработка и документация</t>
  </si>
  <si>
    <t>Введение в программирование для мобильных платформ</t>
  </si>
  <si>
    <t>Научно-исследовательская работа</t>
  </si>
  <si>
    <t>Преддипломная практика</t>
  </si>
  <si>
    <t>Руководство и консультирование ВКР</t>
  </si>
  <si>
    <t>Основы программирования</t>
  </si>
  <si>
    <t>Python и его приложения</t>
  </si>
  <si>
    <t>Основы Web-технологий</t>
  </si>
  <si>
    <t>Логическое программирование</t>
  </si>
  <si>
    <t>Реляционные базы данных</t>
  </si>
  <si>
    <t>Теория автоматов и формальных языков</t>
  </si>
  <si>
    <t>Технология программирования</t>
  </si>
  <si>
    <t>Интеллектуальные системы</t>
  </si>
  <si>
    <t>Структуры данных и парадигмы программирования</t>
  </si>
  <si>
    <t>Моделирование сложно структурированных систем</t>
  </si>
  <si>
    <t>Интеллектуальный анализ данных</t>
  </si>
  <si>
    <t>Системы управления базами данных</t>
  </si>
  <si>
    <t>Компьютерный практикум по информационным технологиям</t>
  </si>
  <si>
    <t>Технологии искусственного интеллекта</t>
  </si>
  <si>
    <t>Методы искусственного интеллекта</t>
  </si>
  <si>
    <t>Методы машинного обучения</t>
  </si>
  <si>
    <t>Модели на гиперграфах</t>
  </si>
  <si>
    <t>Компьютерный практикум по интеллектуальным системам</t>
  </si>
  <si>
    <t>Программная инженерия</t>
  </si>
  <si>
    <t>Научно-исследовательская работа (получение первичных навыков научно-исследовательской работы)</t>
  </si>
  <si>
    <t>Государственный экзамен</t>
  </si>
  <si>
    <t>Руководство ВКР</t>
  </si>
  <si>
    <r>
      <t xml:space="preserve">Кафедра </t>
    </r>
    <r>
      <rPr>
        <b/>
        <i/>
        <sz val="12"/>
        <color rgb="FFFF0000"/>
        <rFont val="Calibri"/>
        <family val="2"/>
        <charset val="204"/>
        <scheme val="minor"/>
      </rPr>
      <t>ММиИИ</t>
    </r>
  </si>
  <si>
    <t>7;2</t>
  </si>
  <si>
    <t>8;3</t>
  </si>
  <si>
    <t>8;4</t>
  </si>
  <si>
    <t>7;1</t>
  </si>
  <si>
    <t>1/2</t>
  </si>
  <si>
    <t>1/3</t>
  </si>
  <si>
    <t>5</t>
  </si>
  <si>
    <t>01-23</t>
  </si>
  <si>
    <t>02-23</t>
  </si>
  <si>
    <t>03-23</t>
  </si>
  <si>
    <t>01,02-23</t>
  </si>
  <si>
    <t>01,02-21</t>
  </si>
  <si>
    <t>01-23, 02-23</t>
  </si>
  <si>
    <t>01-22, 02-22</t>
  </si>
  <si>
    <t>01-22</t>
  </si>
  <si>
    <t>02-22</t>
  </si>
  <si>
    <t>01-21, 02-21</t>
  </si>
  <si>
    <t>01-21</t>
  </si>
  <si>
    <t>02-21</t>
  </si>
  <si>
    <t>01-24</t>
  </si>
  <si>
    <t>02-24</t>
  </si>
  <si>
    <t>03-24</t>
  </si>
  <si>
    <t>01,02,03-24</t>
  </si>
  <si>
    <t>кафедра математического моделирования и искусственного интеллекта</t>
  </si>
  <si>
    <t>Тютюнник А.А.</t>
  </si>
  <si>
    <t>Малых М.Д.</t>
  </si>
  <si>
    <t>Хохлов А.А.</t>
  </si>
  <si>
    <t>Диваков Д.В.</t>
  </si>
  <si>
    <t>Салпагаров С.И.</t>
  </si>
  <si>
    <t>Панкратов А.С.</t>
  </si>
  <si>
    <t>Александрова Л.В.</t>
  </si>
  <si>
    <t>Хачумов В.М.</t>
  </si>
  <si>
    <t>Виноградов А.Н.</t>
  </si>
  <si>
    <t>Киселев Г.А.</t>
  </si>
  <si>
    <t>Фомин М.Б.</t>
  </si>
  <si>
    <t>Лукин А.В.</t>
  </si>
  <si>
    <t>Хачумов М.В.</t>
  </si>
  <si>
    <t>Пальчевский А.И.</t>
  </si>
  <si>
    <t>Шорохов С.Г.</t>
  </si>
  <si>
    <t>Молодченков А.И.</t>
  </si>
  <si>
    <t>Алгоритмы машинной графики и обработки изображений</t>
  </si>
  <si>
    <t>Управление проектами разработки информационных систем</t>
  </si>
  <si>
    <t>Разработка информационно-аналитических систем</t>
  </si>
  <si>
    <t>Методы машинного обучения для анализа временных рядов и панельных данных</t>
  </si>
  <si>
    <t>Обработка больших данных с использованием машинного обучения</t>
  </si>
  <si>
    <t>01,02-22</t>
  </si>
  <si>
    <t>01, 02, 03-24</t>
  </si>
  <si>
    <t>01-24, 02-24</t>
  </si>
  <si>
    <t>01, 02 -21</t>
  </si>
  <si>
    <t>1/4</t>
  </si>
  <si>
    <t>2</t>
  </si>
  <si>
    <t>02 -21</t>
  </si>
  <si>
    <t>Элементы компьютерной алгебры и пакеты математических вычислений</t>
  </si>
  <si>
    <t>Обработка данных и визуализация</t>
  </si>
  <si>
    <t>Компьютерная алгебра</t>
  </si>
  <si>
    <t>Алгебра и аналитическая геометрия</t>
  </si>
  <si>
    <t>04-23</t>
  </si>
  <si>
    <t>05-23</t>
  </si>
  <si>
    <t>Кройтор О.К.</t>
  </si>
  <si>
    <t>01,02,03,04,05,06-24</t>
  </si>
  <si>
    <t>01-24, 02-24, 03-24, 04-24, 05-24, 06-24</t>
  </si>
  <si>
    <t>04-24</t>
  </si>
  <si>
    <t>05-24</t>
  </si>
  <si>
    <t>06-24</t>
  </si>
  <si>
    <t>Вычислительные методы</t>
  </si>
  <si>
    <t>Введение в моделирование оптических явлений</t>
  </si>
  <si>
    <t>Интеллектуальные обучающие системы</t>
  </si>
  <si>
    <t>Ловецкий К.П.</t>
  </si>
  <si>
    <t>Севастьянов Л.А.</t>
  </si>
  <si>
    <t>Стефанюк В.Л.</t>
  </si>
  <si>
    <t>Математические модели в экономике</t>
  </si>
  <si>
    <t>Аналитические методы математического моделирования</t>
  </si>
  <si>
    <t>Системы поддержки принятия решений</t>
  </si>
  <si>
    <t xml:space="preserve"> 02-21</t>
  </si>
  <si>
    <t>Алгоритмы и языки программирования</t>
  </si>
  <si>
    <t>Информатика</t>
  </si>
  <si>
    <t>Макроэкономика</t>
  </si>
  <si>
    <t>Архитектура предприятия</t>
  </si>
  <si>
    <t>Распределенные системы</t>
  </si>
  <si>
    <t>Рынки ИКТ и организация продаж</t>
  </si>
  <si>
    <t>ИТ-инфраструктура предприятия</t>
  </si>
  <si>
    <t>Анализ данных</t>
  </si>
  <si>
    <t>Основы информатики и кибернетики</t>
  </si>
  <si>
    <t>Компьютерный практикум</t>
  </si>
  <si>
    <t>Основы анализа данных в машинном обучении</t>
  </si>
  <si>
    <t>Введение в компьютерные науки и искусственный интеллект</t>
  </si>
  <si>
    <t>Объектные и распределенные базы данных</t>
  </si>
  <si>
    <t>Основы компьютерной лингвистики</t>
  </si>
  <si>
    <t>Интеллектуальные системы и их применение</t>
  </si>
  <si>
    <t>Распознавание образов и обработка изображений</t>
  </si>
  <si>
    <t>Глубокое обучение и обучение с подкреплением</t>
  </si>
  <si>
    <t>Языки программирования для задач искусственного интеллекта</t>
  </si>
  <si>
    <t>Прикладные методы компьютерной лингвистики</t>
  </si>
  <si>
    <t>Ознакомительная практика</t>
  </si>
  <si>
    <t>Локальная организация интеллектуальных систем</t>
  </si>
  <si>
    <t>Программирование приложений для анализа данных</t>
  </si>
  <si>
    <t>Интеллектуальный анализ больших данных</t>
  </si>
  <si>
    <t>Методы интеллектуального анализа текстов</t>
  </si>
  <si>
    <t>Научно- исследовательская работа</t>
  </si>
  <si>
    <t>Технологическая (проектно-технологическая) практика</t>
  </si>
  <si>
    <t>История математики и методология науки</t>
  </si>
  <si>
    <t>Прикладные задачи математического моделирования</t>
  </si>
  <si>
    <t>Численные методы решения задач математического моделирования</t>
  </si>
  <si>
    <t>Вариационные методы в математическом моделировании</t>
  </si>
  <si>
    <t>Дополнительные главы математического моделирования</t>
  </si>
  <si>
    <t>Компьютерные методы решения многомерных задач</t>
  </si>
  <si>
    <t>Компьютерный анализ временных рядов</t>
  </si>
  <si>
    <t>Экономико-математические модели в инфокоммуникациях</t>
  </si>
  <si>
    <t>Белов А.А.</t>
  </si>
  <si>
    <t>Анализ и оптимизация проектной деятельности</t>
  </si>
  <si>
    <t>Дизайн интерактивных систем</t>
  </si>
  <si>
    <t>Анализ сложности алгоритмов</t>
  </si>
  <si>
    <t>Моделирование вычислительных систем</t>
  </si>
  <si>
    <t>Язык теории категорий в искусственном интеллекте</t>
  </si>
  <si>
    <t>Интеллектуальные динамические системы</t>
  </si>
  <si>
    <t>Алгоритмические основы мультимедийных технологий</t>
  </si>
  <si>
    <t>Математические основы распознавания образов</t>
  </si>
  <si>
    <t>Мамонов А.А.</t>
  </si>
  <si>
    <t>03-22</t>
  </si>
  <si>
    <t>Левичев И.В.</t>
  </si>
  <si>
    <t>Буатта М.А.</t>
  </si>
  <si>
    <t>Матюхина Е.Н.</t>
  </si>
  <si>
    <t>Брак И.В.</t>
  </si>
  <si>
    <t>01,02,03,04,05,06</t>
  </si>
  <si>
    <t>01-23, 02-23, 03-23, 04-23</t>
  </si>
  <si>
    <t>01,02,03,04-23</t>
  </si>
  <si>
    <t>01, 02,03-24</t>
  </si>
  <si>
    <t>01, 02, 03-23</t>
  </si>
  <si>
    <t>01, 02-22</t>
  </si>
  <si>
    <t>01, 02-23</t>
  </si>
  <si>
    <t>01--24</t>
  </si>
  <si>
    <t>Педагогическая практика</t>
  </si>
  <si>
    <t>Методология научных исследований</t>
  </si>
  <si>
    <t>Научные исследования</t>
  </si>
  <si>
    <t>Научно-исследовательская практика</t>
  </si>
  <si>
    <t>Руководство и консультирование НКР</t>
  </si>
  <si>
    <t>Рецензирование НКР</t>
  </si>
  <si>
    <t>Руководство НКР</t>
  </si>
  <si>
    <t>Рецензирование реферата аспиранта</t>
  </si>
  <si>
    <t>ГИА: сдача государственного экзамена</t>
  </si>
  <si>
    <t>ГИА: Представление научного доклада</t>
  </si>
  <si>
    <t>01-20</t>
  </si>
  <si>
    <t>Чулуунбаатар Г.</t>
  </si>
  <si>
    <t>Лапшенкова Л.О.</t>
  </si>
  <si>
    <t xml:space="preserve"> </t>
  </si>
  <si>
    <t>Руденкова Ю.С.</t>
  </si>
  <si>
    <t>Уровень ОП(Образовательная программа)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</si>
</sst>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Arial"/>
      <family val="2"/>
      <charset val="1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indexed="8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000000"/>
      <name val="Arial Cyr"/>
      <charset val="204"/>
    </font>
    <font>
      <b/>
      <sz val="12"/>
      <color rgb="FFC0000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81"/>
      <name val="Tahoma"/>
      <family val="2"/>
      <charset val="204"/>
    </font>
    <font>
      <b/>
      <sz val="11"/>
      <color rgb="FFC0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i/>
      <sz val="8"/>
      <color theme="0" tint="-0.14999847407452621"/>
      <name val="Calibri"/>
      <family val="2"/>
      <charset val="204"/>
      <scheme val="minor"/>
    </font>
    <font>
      <b/>
      <i/>
      <sz val="11"/>
      <color theme="0" tint="-0.14999847407452621"/>
      <name val="Calibri"/>
      <family val="2"/>
      <charset val="204"/>
      <scheme val="minor"/>
    </font>
    <font>
      <i/>
      <sz val="11"/>
      <color theme="0" tint="-0.14999847407452621"/>
      <name val="Calibri"/>
      <family val="2"/>
      <charset val="204"/>
      <scheme val="minor"/>
    </font>
    <font>
      <i/>
      <sz val="10"/>
      <color theme="0" tint="-0.14999847407452621"/>
      <name val="Times New Roman"/>
      <family val="1"/>
      <charset val="204"/>
    </font>
    <font>
      <sz val="9"/>
      <color rgb="FFC0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0"/>
      <color rgb="FF00B050"/>
      <name val="Arial Cyr"/>
      <charset val="204"/>
    </font>
    <font>
      <b/>
      <sz val="1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Tahoma"/>
      <family val="2"/>
      <charset val="204"/>
    </font>
    <font>
      <b/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name val="Times New Roman"/>
      <family val="1"/>
      <charset val="1"/>
    </font>
    <font>
      <b/>
      <sz val="11"/>
      <name val="Calibri"/>
      <family val="2"/>
      <charset val="204"/>
    </font>
  </fonts>
  <fills count="43">
    <fill>
      <patternFill patternType="none"/>
    </fill>
    <fill>
      <patternFill patternType="gray125"/>
    </fill>
    <fill>
      <patternFill patternType="lightGray">
        <fgColor indexed="9"/>
        <bgColor indexed="26"/>
      </patternFill>
    </fill>
    <fill>
      <patternFill patternType="mediumGray">
        <fgColor indexed="9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indexed="9"/>
        <bgColor rgb="FFFFFFCC"/>
      </patternFill>
    </fill>
    <fill>
      <patternFill patternType="solid">
        <fgColor rgb="FFFFCC99"/>
        <bgColor indexed="9"/>
      </patternFill>
    </fill>
    <fill>
      <patternFill patternType="mediumGray">
        <fgColor indexed="9"/>
        <bgColor rgb="FFCCFF99"/>
      </patternFill>
    </fill>
    <fill>
      <patternFill patternType="mediumGray">
        <fgColor rgb="FFFFFFFF"/>
        <bgColor rgb="FFCCFFCC"/>
      </patternFill>
    </fill>
    <fill>
      <patternFill patternType="solid">
        <fgColor theme="0"/>
        <bgColor rgb="FF000000"/>
      </patternFill>
    </fill>
    <fill>
      <patternFill patternType="mediumGray">
        <fgColor indexed="9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5117038483843"/>
        <bgColor theme="7" tint="0.79998168889431442"/>
      </patternFill>
    </fill>
    <fill>
      <patternFill patternType="solid">
        <fgColor rgb="FFCCFF99"/>
        <bgColor indexed="64"/>
      </patternFill>
    </fill>
    <fill>
      <patternFill patternType="mediumGray">
        <fgColor indexed="9"/>
        <bgColor theme="8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0"/>
      </patternFill>
    </fill>
    <fill>
      <patternFill patternType="solid">
        <fgColor theme="8" tint="0.79995117038483843"/>
        <bgColor theme="0"/>
      </patternFill>
    </fill>
    <fill>
      <patternFill patternType="solid">
        <fgColor rgb="FFFFFFCC"/>
        <bgColor theme="7" tint="0.79998168889431442"/>
      </patternFill>
    </fill>
    <fill>
      <patternFill patternType="solid">
        <fgColor theme="6" tint="0.79998168889431442"/>
        <bgColor theme="7" tint="0.79998168889431442"/>
      </patternFill>
    </fill>
    <fill>
      <patternFill patternType="solid">
        <fgColor rgb="FFCCFFCC"/>
        <bgColor theme="7" tint="0.79995117038483843"/>
      </patternFill>
    </fill>
    <fill>
      <patternFill patternType="solid">
        <fgColor rgb="FFCCFFCC"/>
        <bgColor indexed="64"/>
      </patternFill>
    </fill>
    <fill>
      <patternFill patternType="mediumGray">
        <fgColor indexed="9"/>
        <bgColor rgb="FFCCFFCC"/>
      </patternFill>
    </fill>
    <fill>
      <patternFill patternType="solid">
        <fgColor rgb="FFDD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FFE5"/>
        <bgColor rgb="FFDDFFDD"/>
      </patternFill>
    </fill>
    <fill>
      <patternFill patternType="solid">
        <fgColor rgb="FFFDEADA"/>
        <bgColor rgb="FFEBF1DE"/>
      </patternFill>
    </fill>
    <fill>
      <patternFill patternType="solid">
        <fgColor rgb="FFFFFFFF"/>
        <bgColor rgb="FFFFFFE5"/>
      </patternFill>
    </fill>
    <fill>
      <patternFill patternType="solid">
        <fgColor rgb="FFDDFFDD"/>
        <bgColor rgb="FFE5FFE5"/>
      </patternFill>
    </fill>
    <fill>
      <patternFill patternType="solid">
        <fgColor rgb="FFFFCCCC"/>
        <bgColor rgb="FFFCD5B5"/>
      </patternFill>
    </fill>
    <fill>
      <patternFill patternType="solid">
        <fgColor rgb="FF0070C0"/>
        <bgColor rgb="FFFFFFE5"/>
      </patternFill>
    </fill>
    <fill>
      <patternFill patternType="solid">
        <fgColor rgb="FF0070C0"/>
        <bgColor indexed="64"/>
      </patternFill>
    </fill>
    <fill>
      <patternFill patternType="mediumGray">
        <fgColor rgb="FFFFFFFF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AC090"/>
        <bgColor rgb="FFFFCC99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0" fontId="26" fillId="0" borderId="0" applyNumberFormat="0" applyBorder="0" applyProtection="0"/>
    <xf numFmtId="0" fontId="11" fillId="0" borderId="0"/>
    <xf numFmtId="0" fontId="19" fillId="0" borderId="0"/>
    <xf numFmtId="0" fontId="10" fillId="0" borderId="0"/>
    <xf numFmtId="0" fontId="4" fillId="0" borderId="0"/>
    <xf numFmtId="0" fontId="20" fillId="0" borderId="0"/>
    <xf numFmtId="0" fontId="11" fillId="0" borderId="0"/>
    <xf numFmtId="0" fontId="16" fillId="0" borderId="0"/>
    <xf numFmtId="0" fontId="4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0" fontId="50" fillId="0" borderId="0"/>
    <xf numFmtId="0" fontId="51" fillId="0" borderId="0"/>
    <xf numFmtId="9" fontId="4" fillId="0" borderId="0" applyBorder="0" applyProtection="0"/>
    <xf numFmtId="9" fontId="4" fillId="0" borderId="0" applyFont="0" applyFill="0" applyBorder="0" applyAlignment="0" applyProtection="0"/>
    <xf numFmtId="0" fontId="1" fillId="0" borderId="0"/>
  </cellStyleXfs>
  <cellXfs count="198">
    <xf numFmtId="0" fontId="0" fillId="0" borderId="0" xfId="0"/>
    <xf numFmtId="0" fontId="7" fillId="11" borderId="3" xfId="0" applyFont="1" applyFill="1" applyBorder="1" applyAlignment="1">
      <alignment horizontal="center" vertical="center" wrapText="1"/>
    </xf>
    <xf numFmtId="0" fontId="22" fillId="0" borderId="0" xfId="0" applyFont="1"/>
    <xf numFmtId="0" fontId="23" fillId="11" borderId="3" xfId="0" applyFont="1" applyFill="1" applyBorder="1" applyAlignment="1">
      <alignment horizontal="center" vertical="center"/>
    </xf>
    <xf numFmtId="0" fontId="22" fillId="0" borderId="3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27" fillId="11" borderId="3" xfId="0" applyFont="1" applyFill="1" applyBorder="1" applyAlignment="1">
      <alignment horizontal="center" vertical="center"/>
    </xf>
    <xf numFmtId="0" fontId="24" fillId="11" borderId="3" xfId="0" applyFont="1" applyFill="1" applyBorder="1" applyAlignment="1" applyProtection="1">
      <alignment horizontal="center" vertical="center"/>
      <protection locked="0"/>
    </xf>
    <xf numFmtId="49" fontId="24" fillId="11" borderId="3" xfId="0" applyNumberFormat="1" applyFont="1" applyFill="1" applyBorder="1" applyAlignment="1" applyProtection="1">
      <alignment horizontal="center" vertical="center"/>
      <protection locked="0"/>
    </xf>
    <xf numFmtId="49" fontId="24" fillId="8" borderId="3" xfId="0" applyNumberFormat="1" applyFont="1" applyFill="1" applyBorder="1" applyAlignment="1" applyProtection="1">
      <alignment horizontal="center" vertical="center"/>
      <protection locked="0"/>
    </xf>
    <xf numFmtId="0" fontId="24" fillId="3" borderId="3" xfId="0" applyFont="1" applyFill="1" applyBorder="1" applyAlignment="1" applyProtection="1">
      <alignment horizontal="center" vertical="center"/>
      <protection locked="0"/>
    </xf>
    <xf numFmtId="0" fontId="24" fillId="15" borderId="5" xfId="0" applyFont="1" applyFill="1" applyBorder="1" applyAlignment="1" applyProtection="1">
      <alignment horizontal="center" vertical="center"/>
      <protection locked="0"/>
    </xf>
    <xf numFmtId="0" fontId="24" fillId="15" borderId="8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3" fontId="6" fillId="0" borderId="0" xfId="0" applyNumberFormat="1" applyFont="1"/>
    <xf numFmtId="0" fontId="24" fillId="23" borderId="3" xfId="0" applyFont="1" applyFill="1" applyBorder="1" applyAlignment="1" applyProtection="1">
      <alignment horizontal="center" vertical="center"/>
      <protection hidden="1"/>
    </xf>
    <xf numFmtId="0" fontId="24" fillId="23" borderId="3" xfId="0" applyFont="1" applyFill="1" applyBorder="1" applyAlignment="1" applyProtection="1">
      <alignment horizontal="left" vertical="center" wrapText="1"/>
      <protection hidden="1"/>
    </xf>
    <xf numFmtId="10" fontId="21" fillId="0" borderId="0" xfId="15" applyNumberFormat="1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 textRotation="90" wrapText="1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4" fillId="13" borderId="3" xfId="0" applyFont="1" applyFill="1" applyBorder="1" applyAlignment="1" applyProtection="1">
      <alignment horizontal="center" vertical="top"/>
      <protection hidden="1"/>
    </xf>
    <xf numFmtId="0" fontId="25" fillId="0" borderId="0" xfId="0" applyFont="1" applyAlignment="1" applyProtection="1">
      <alignment horizontal="center" vertical="top"/>
      <protection hidden="1"/>
    </xf>
    <xf numFmtId="0" fontId="24" fillId="30" borderId="3" xfId="0" applyFont="1" applyFill="1" applyBorder="1" applyAlignment="1" applyProtection="1">
      <alignment horizontal="center" vertical="center"/>
      <protection locked="0"/>
    </xf>
    <xf numFmtId="0" fontId="24" fillId="31" borderId="3" xfId="0" applyFont="1" applyFill="1" applyBorder="1" applyAlignment="1" applyProtection="1">
      <alignment horizontal="left" vertical="center" wrapText="1"/>
      <protection locked="0"/>
    </xf>
    <xf numFmtId="49" fontId="31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 wrapText="1"/>
    </xf>
    <xf numFmtId="0" fontId="31" fillId="6" borderId="7" xfId="0" applyFont="1" applyFill="1" applyBorder="1" applyAlignment="1">
      <alignment horizontal="center" vertical="center"/>
    </xf>
    <xf numFmtId="0" fontId="21" fillId="0" borderId="0" xfId="0" applyFont="1"/>
    <xf numFmtId="49" fontId="21" fillId="0" borderId="3" xfId="7" applyNumberFormat="1" applyFont="1" applyBorder="1" applyAlignment="1">
      <alignment horizontal="left" vertical="center" wrapText="1"/>
    </xf>
    <xf numFmtId="0" fontId="36" fillId="11" borderId="3" xfId="0" applyFont="1" applyFill="1" applyBorder="1" applyAlignment="1">
      <alignment horizontal="center" vertical="center"/>
    </xf>
    <xf numFmtId="4" fontId="24" fillId="0" borderId="3" xfId="0" applyNumberFormat="1" applyFont="1" applyBorder="1" applyAlignment="1" applyProtection="1">
      <alignment horizontal="left" vertical="center"/>
      <protection locked="0"/>
    </xf>
    <xf numFmtId="4" fontId="24" fillId="16" borderId="0" xfId="0" applyNumberFormat="1" applyFont="1" applyFill="1" applyAlignment="1" applyProtection="1">
      <alignment horizontal="left" vertical="center"/>
      <protection locked="0"/>
    </xf>
    <xf numFmtId="0" fontId="24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left"/>
    </xf>
    <xf numFmtId="0" fontId="31" fillId="6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1" fillId="18" borderId="3" xfId="0" applyFont="1" applyFill="1" applyBorder="1" applyAlignment="1">
      <alignment horizontal="left" vertical="center"/>
    </xf>
    <xf numFmtId="4" fontId="28" fillId="2" borderId="3" xfId="0" applyNumberFormat="1" applyFont="1" applyFill="1" applyBorder="1" applyAlignment="1" applyProtection="1">
      <alignment horizontal="center" vertical="center"/>
      <protection hidden="1"/>
    </xf>
    <xf numFmtId="4" fontId="24" fillId="2" borderId="3" xfId="0" applyNumberFormat="1" applyFont="1" applyFill="1" applyBorder="1" applyAlignment="1" applyProtection="1">
      <alignment horizontal="center" vertical="center"/>
      <protection hidden="1"/>
    </xf>
    <xf numFmtId="4" fontId="25" fillId="0" borderId="0" xfId="0" applyNumberFormat="1" applyFont="1" applyAlignment="1" applyProtection="1">
      <alignment horizontal="center" vertical="center"/>
      <protection hidden="1"/>
    </xf>
    <xf numFmtId="4" fontId="25" fillId="6" borderId="3" xfId="0" applyNumberFormat="1" applyFont="1" applyFill="1" applyBorder="1" applyAlignment="1" applyProtection="1">
      <alignment horizontal="center" vertical="center"/>
      <protection hidden="1"/>
    </xf>
    <xf numFmtId="4" fontId="25" fillId="29" borderId="3" xfId="0" applyNumberFormat="1" applyFont="1" applyFill="1" applyBorder="1" applyAlignment="1" applyProtection="1">
      <alignment horizontal="center" vertical="center"/>
      <protection hidden="1"/>
    </xf>
    <xf numFmtId="4" fontId="21" fillId="6" borderId="9" xfId="0" applyNumberFormat="1" applyFont="1" applyFill="1" applyBorder="1" applyAlignment="1" applyProtection="1">
      <alignment horizontal="center" vertical="center"/>
      <protection hidden="1"/>
    </xf>
    <xf numFmtId="4" fontId="21" fillId="6" borderId="10" xfId="0" applyNumberFormat="1" applyFont="1" applyFill="1" applyBorder="1" applyAlignment="1" applyProtection="1">
      <alignment horizontal="center" vertical="center"/>
      <protection hidden="1"/>
    </xf>
    <xf numFmtId="4" fontId="31" fillId="6" borderId="11" xfId="0" applyNumberFormat="1" applyFont="1" applyFill="1" applyBorder="1" applyAlignment="1" applyProtection="1">
      <alignment horizontal="center" vertical="center"/>
      <protection hidden="1"/>
    </xf>
    <xf numFmtId="4" fontId="33" fillId="6" borderId="2" xfId="0" applyNumberFormat="1" applyFont="1" applyFill="1" applyBorder="1" applyAlignment="1" applyProtection="1">
      <alignment horizontal="center" vertical="center"/>
      <protection hidden="1"/>
    </xf>
    <xf numFmtId="4" fontId="31" fillId="6" borderId="9" xfId="0" applyNumberFormat="1" applyFont="1" applyFill="1" applyBorder="1" applyAlignment="1" applyProtection="1">
      <alignment horizontal="center" vertical="center"/>
      <protection hidden="1"/>
    </xf>
    <xf numFmtId="4" fontId="31" fillId="6" borderId="10" xfId="0" applyNumberFormat="1" applyFont="1" applyFill="1" applyBorder="1" applyAlignment="1" applyProtection="1">
      <alignment horizontal="center" vertical="center"/>
      <protection hidden="1"/>
    </xf>
    <xf numFmtId="4" fontId="31" fillId="29" borderId="10" xfId="0" applyNumberFormat="1" applyFont="1" applyFill="1" applyBorder="1" applyAlignment="1" applyProtection="1">
      <alignment horizontal="center" vertical="center"/>
      <protection hidden="1"/>
    </xf>
    <xf numFmtId="4" fontId="31" fillId="29" borderId="11" xfId="0" applyNumberFormat="1" applyFont="1" applyFill="1" applyBorder="1" applyAlignment="1" applyProtection="1">
      <alignment horizontal="center" vertical="center"/>
      <protection hidden="1"/>
    </xf>
    <xf numFmtId="4" fontId="31" fillId="6" borderId="3" xfId="0" applyNumberFormat="1" applyFont="1" applyFill="1" applyBorder="1" applyAlignment="1" applyProtection="1">
      <alignment horizontal="center" vertical="center"/>
      <protection hidden="1"/>
    </xf>
    <xf numFmtId="4" fontId="33" fillId="6" borderId="3" xfId="0" applyNumberFormat="1" applyFont="1" applyFill="1" applyBorder="1" applyAlignment="1" applyProtection="1">
      <alignment horizontal="center" vertical="center"/>
      <protection hidden="1"/>
    </xf>
    <xf numFmtId="4" fontId="30" fillId="6" borderId="3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49" fontId="12" fillId="7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40" fillId="0" borderId="7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4" fontId="25" fillId="0" borderId="0" xfId="0" applyNumberFormat="1" applyFont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38" fillId="23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textRotation="90" wrapText="1"/>
    </xf>
    <xf numFmtId="0" fontId="35" fillId="14" borderId="3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34" fillId="14" borderId="3" xfId="0" applyFont="1" applyFill="1" applyBorder="1" applyAlignment="1">
      <alignment horizontal="center" vertical="center" textRotation="90"/>
    </xf>
    <xf numFmtId="0" fontId="21" fillId="17" borderId="3" xfId="0" applyFont="1" applyFill="1" applyBorder="1" applyAlignment="1">
      <alignment horizontal="center" vertical="center" textRotation="90" wrapText="1"/>
    </xf>
    <xf numFmtId="0" fontId="21" fillId="21" borderId="3" xfId="0" applyFont="1" applyFill="1" applyBorder="1" applyAlignment="1">
      <alignment horizontal="center" vertical="center" textRotation="90"/>
    </xf>
    <xf numFmtId="0" fontId="35" fillId="21" borderId="3" xfId="0" applyFont="1" applyFill="1" applyBorder="1" applyAlignment="1">
      <alignment horizontal="center" vertical="center" textRotation="90"/>
    </xf>
    <xf numFmtId="0" fontId="35" fillId="21" borderId="3" xfId="0" applyFont="1" applyFill="1" applyBorder="1" applyAlignment="1">
      <alignment horizontal="center" vertical="center" textRotation="90" wrapText="1"/>
    </xf>
    <xf numFmtId="0" fontId="21" fillId="12" borderId="3" xfId="0" applyFont="1" applyFill="1" applyBorder="1" applyAlignment="1">
      <alignment horizontal="center" vertical="center" textRotation="90"/>
    </xf>
    <xf numFmtId="0" fontId="35" fillId="12" borderId="3" xfId="0" applyFont="1" applyFill="1" applyBorder="1" applyAlignment="1">
      <alignment horizontal="center" vertical="center" textRotation="90"/>
    </xf>
    <xf numFmtId="0" fontId="44" fillId="12" borderId="3" xfId="0" applyFont="1" applyFill="1" applyBorder="1" applyAlignment="1">
      <alignment horizontal="center" vertical="center" textRotation="90"/>
    </xf>
    <xf numFmtId="0" fontId="38" fillId="13" borderId="3" xfId="0" applyFont="1" applyFill="1" applyBorder="1" applyAlignment="1">
      <alignment horizontal="center" vertical="top"/>
    </xf>
    <xf numFmtId="0" fontId="24" fillId="13" borderId="3" xfId="0" applyFont="1" applyFill="1" applyBorder="1" applyAlignment="1">
      <alignment horizontal="center" vertical="top"/>
    </xf>
    <xf numFmtId="0" fontId="24" fillId="13" borderId="3" xfId="0" applyFont="1" applyFill="1" applyBorder="1" applyAlignment="1">
      <alignment horizontal="center" vertical="top" wrapText="1"/>
    </xf>
    <xf numFmtId="0" fontId="25" fillId="0" borderId="0" xfId="0" applyFont="1" applyAlignment="1">
      <alignment horizontal="center" vertical="top"/>
    </xf>
    <xf numFmtId="0" fontId="24" fillId="31" borderId="3" xfId="0" applyFont="1" applyFill="1" applyBorder="1" applyAlignment="1" applyProtection="1">
      <alignment horizontal="center" vertical="center"/>
      <protection locked="0"/>
    </xf>
    <xf numFmtId="49" fontId="21" fillId="0" borderId="3" xfId="7" applyNumberFormat="1" applyFont="1" applyBorder="1" applyAlignment="1" applyProtection="1">
      <alignment horizontal="left" vertical="center" wrapText="1"/>
      <protection locked="0"/>
    </xf>
    <xf numFmtId="49" fontId="47" fillId="0" borderId="12" xfId="7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8" fillId="0" borderId="0" xfId="0" applyFont="1"/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left" vertical="center" wrapText="1"/>
    </xf>
    <xf numFmtId="0" fontId="42" fillId="32" borderId="3" xfId="0" applyFont="1" applyFill="1" applyBorder="1" applyAlignment="1">
      <alignment horizontal="center" vertical="center" wrapText="1"/>
    </xf>
    <xf numFmtId="0" fontId="49" fillId="33" borderId="3" xfId="0" applyFont="1" applyFill="1" applyBorder="1" applyAlignment="1" applyProtection="1">
      <alignment horizontal="center" vertical="center"/>
      <protection locked="0"/>
    </xf>
    <xf numFmtId="49" fontId="24" fillId="3" borderId="3" xfId="0" applyNumberFormat="1" applyFont="1" applyFill="1" applyBorder="1" applyAlignment="1" applyProtection="1">
      <alignment horizontal="center" vertical="center"/>
      <protection locked="0"/>
    </xf>
    <xf numFmtId="0" fontId="24" fillId="31" borderId="3" xfId="0" applyFont="1" applyFill="1" applyBorder="1" applyAlignment="1" applyProtection="1">
      <alignment horizontal="left" vertical="top" wrapText="1"/>
      <protection locked="0"/>
    </xf>
    <xf numFmtId="49" fontId="49" fillId="35" borderId="3" xfId="0" applyNumberFormat="1" applyFont="1" applyFill="1" applyBorder="1" applyAlignment="1" applyProtection="1">
      <alignment horizontal="center" vertical="center"/>
      <protection locked="0"/>
    </xf>
    <xf numFmtId="0" fontId="49" fillId="34" borderId="3" xfId="0" applyFont="1" applyFill="1" applyBorder="1" applyAlignment="1" applyProtection="1">
      <alignment horizontal="center" vertical="center"/>
      <protection locked="0"/>
    </xf>
    <xf numFmtId="49" fontId="49" fillId="33" borderId="3" xfId="0" applyNumberFormat="1" applyFont="1" applyFill="1" applyBorder="1" applyAlignment="1" applyProtection="1">
      <alignment horizontal="center" vertical="center"/>
      <protection locked="0"/>
    </xf>
    <xf numFmtId="0" fontId="49" fillId="36" borderId="3" xfId="0" applyFont="1" applyFill="1" applyBorder="1" applyAlignment="1" applyProtection="1">
      <alignment horizontal="left" vertical="center" wrapText="1"/>
      <protection locked="0"/>
    </xf>
    <xf numFmtId="49" fontId="49" fillId="34" borderId="3" xfId="0" applyNumberFormat="1" applyFont="1" applyFill="1" applyBorder="1" applyAlignment="1" applyProtection="1">
      <alignment horizontal="center" vertical="center"/>
      <protection locked="0"/>
    </xf>
    <xf numFmtId="0" fontId="49" fillId="33" borderId="5" xfId="0" applyFont="1" applyFill="1" applyBorder="1" applyAlignment="1" applyProtection="1">
      <alignment horizontal="center" vertical="center"/>
      <protection locked="0"/>
    </xf>
    <xf numFmtId="0" fontId="49" fillId="33" borderId="8" xfId="0" applyFont="1" applyFill="1" applyBorder="1" applyAlignment="1" applyProtection="1">
      <alignment horizontal="center" vertical="center"/>
      <protection locked="0"/>
    </xf>
    <xf numFmtId="4" fontId="49" fillId="0" borderId="3" xfId="0" applyNumberFormat="1" applyFont="1" applyBorder="1" applyAlignment="1" applyProtection="1">
      <alignment horizontal="left" vertical="center"/>
      <protection locked="0"/>
    </xf>
    <xf numFmtId="0" fontId="49" fillId="0" borderId="3" xfId="0" applyFont="1" applyBorder="1" applyAlignment="1" applyProtection="1">
      <alignment horizontal="left" vertical="center"/>
      <protection locked="0"/>
    </xf>
    <xf numFmtId="4" fontId="49" fillId="35" borderId="3" xfId="0" applyNumberFormat="1" applyFont="1" applyFill="1" applyBorder="1" applyAlignment="1" applyProtection="1">
      <alignment horizontal="left" vertical="center"/>
      <protection locked="0"/>
    </xf>
    <xf numFmtId="4" fontId="49" fillId="39" borderId="3" xfId="0" applyNumberFormat="1" applyFont="1" applyFill="1" applyBorder="1" applyAlignment="1" applyProtection="1">
      <alignment horizontal="left" vertical="center"/>
      <protection locked="0"/>
    </xf>
    <xf numFmtId="4" fontId="49" fillId="37" borderId="3" xfId="0" applyNumberFormat="1" applyFont="1" applyFill="1" applyBorder="1" applyAlignment="1" applyProtection="1">
      <alignment horizontal="left" vertical="center"/>
      <protection locked="0"/>
    </xf>
    <xf numFmtId="4" fontId="49" fillId="38" borderId="3" xfId="0" applyNumberFormat="1" applyFont="1" applyFill="1" applyBorder="1" applyAlignment="1" applyProtection="1">
      <alignment horizontal="left" vertical="center"/>
      <protection locked="0"/>
    </xf>
    <xf numFmtId="4" fontId="49" fillId="0" borderId="0" xfId="0" applyNumberFormat="1" applyFont="1" applyAlignment="1" applyProtection="1">
      <alignment horizontal="left" vertical="center"/>
      <protection locked="0"/>
    </xf>
    <xf numFmtId="4" fontId="49" fillId="35" borderId="0" xfId="0" applyNumberFormat="1" applyFont="1" applyFill="1" applyAlignment="1" applyProtection="1">
      <alignment horizontal="left" vertical="center"/>
      <protection locked="0"/>
    </xf>
    <xf numFmtId="0" fontId="49" fillId="0" borderId="0" xfId="0" applyFont="1" applyAlignment="1" applyProtection="1">
      <alignment horizontal="left" vertical="center"/>
      <protection locked="0"/>
    </xf>
    <xf numFmtId="0" fontId="52" fillId="11" borderId="3" xfId="0" applyFont="1" applyFill="1" applyBorder="1" applyAlignment="1" applyProtection="1">
      <alignment horizontal="center" vertical="center"/>
      <protection locked="0"/>
    </xf>
    <xf numFmtId="0" fontId="24" fillId="40" borderId="5" xfId="0" applyFont="1" applyFill="1" applyBorder="1" applyAlignment="1" applyProtection="1">
      <alignment horizontal="center" vertical="center"/>
      <protection locked="0"/>
    </xf>
    <xf numFmtId="0" fontId="52" fillId="3" borderId="3" xfId="0" applyFont="1" applyFill="1" applyBorder="1" applyAlignment="1" applyProtection="1">
      <alignment horizontal="center" vertical="center"/>
      <protection locked="0"/>
    </xf>
    <xf numFmtId="0" fontId="49" fillId="36" borderId="3" xfId="0" applyFont="1" applyFill="1" applyBorder="1" applyAlignment="1" applyProtection="1">
      <alignment horizontal="center" vertical="center"/>
      <protection locked="0"/>
    </xf>
    <xf numFmtId="0" fontId="53" fillId="33" borderId="3" xfId="0" applyFont="1" applyFill="1" applyBorder="1" applyAlignment="1" applyProtection="1">
      <alignment horizontal="center" vertical="center"/>
      <protection locked="0"/>
    </xf>
    <xf numFmtId="0" fontId="55" fillId="42" borderId="3" xfId="0" applyFont="1" applyFill="1" applyBorder="1" applyAlignment="1">
      <alignment horizontal="left" vertical="center"/>
    </xf>
    <xf numFmtId="4" fontId="49" fillId="8" borderId="3" xfId="0" applyNumberFormat="1" applyFont="1" applyFill="1" applyBorder="1" applyAlignment="1" applyProtection="1">
      <alignment horizontal="left" vertical="center"/>
      <protection locked="0"/>
    </xf>
    <xf numFmtId="4" fontId="24" fillId="16" borderId="3" xfId="0" applyNumberFormat="1" applyFont="1" applyFill="1" applyBorder="1" applyAlignment="1" applyProtection="1">
      <alignment horizontal="left" vertical="center"/>
      <protection locked="0"/>
    </xf>
    <xf numFmtId="0" fontId="49" fillId="8" borderId="3" xfId="0" applyFont="1" applyFill="1" applyBorder="1" applyAlignment="1" applyProtection="1">
      <alignment horizontal="left" vertical="center"/>
      <protection locked="0"/>
    </xf>
    <xf numFmtId="4" fontId="24" fillId="39" borderId="3" xfId="0" applyNumberFormat="1" applyFont="1" applyFill="1" applyBorder="1" applyAlignment="1" applyProtection="1">
      <alignment horizontal="left" vertical="center"/>
      <protection locked="0"/>
    </xf>
    <xf numFmtId="4" fontId="49" fillId="41" borderId="3" xfId="0" applyNumberFormat="1" applyFont="1" applyFill="1" applyBorder="1" applyAlignment="1" applyProtection="1">
      <alignment horizontal="left" vertical="center"/>
      <protection locked="0"/>
    </xf>
    <xf numFmtId="0" fontId="21" fillId="19" borderId="3" xfId="0" applyFont="1" applyFill="1" applyBorder="1" applyAlignment="1" applyProtection="1">
      <alignment horizontal="center" vertical="center" textRotation="90" wrapText="1"/>
      <protection hidden="1"/>
    </xf>
    <xf numFmtId="0" fontId="21" fillId="19" borderId="3" xfId="0" applyFont="1" applyFill="1" applyBorder="1" applyAlignment="1" applyProtection="1">
      <alignment horizontal="center" vertical="center"/>
      <protection hidden="1"/>
    </xf>
    <xf numFmtId="4" fontId="33" fillId="6" borderId="6" xfId="0" applyNumberFormat="1" applyFont="1" applyFill="1" applyBorder="1" applyAlignment="1" applyProtection="1">
      <alignment horizontal="center" vertical="center"/>
      <protection hidden="1"/>
    </xf>
    <xf numFmtId="4" fontId="33" fillId="6" borderId="5" xfId="0" applyNumberFormat="1" applyFont="1" applyFill="1" applyBorder="1" applyAlignment="1" applyProtection="1">
      <alignment horizontal="center" vertical="center"/>
      <protection hidden="1"/>
    </xf>
    <xf numFmtId="0" fontId="31" fillId="0" borderId="13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34" fillId="14" borderId="3" xfId="0" applyFont="1" applyFill="1" applyBorder="1" applyAlignment="1">
      <alignment horizontal="center" vertical="center" textRotation="90" wrapText="1"/>
    </xf>
    <xf numFmtId="0" fontId="31" fillId="14" borderId="6" xfId="0" applyFont="1" applyFill="1" applyBorder="1" applyAlignment="1">
      <alignment horizontal="left" vertical="center"/>
    </xf>
    <xf numFmtId="0" fontId="31" fillId="14" borderId="2" xfId="0" applyFont="1" applyFill="1" applyBorder="1" applyAlignment="1">
      <alignment horizontal="left" vertical="center"/>
    </xf>
    <xf numFmtId="0" fontId="31" fillId="14" borderId="5" xfId="0" applyFont="1" applyFill="1" applyBorder="1" applyAlignment="1">
      <alignment horizontal="left" vertical="center"/>
    </xf>
    <xf numFmtId="0" fontId="45" fillId="6" borderId="1" xfId="0" applyFont="1" applyFill="1" applyBorder="1" applyAlignment="1">
      <alignment horizontal="left" vertical="center"/>
    </xf>
    <xf numFmtId="0" fontId="45" fillId="6" borderId="8" xfId="0" applyFont="1" applyFill="1" applyBorder="1" applyAlignment="1">
      <alignment horizontal="left" vertical="center"/>
    </xf>
    <xf numFmtId="0" fontId="21" fillId="12" borderId="2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31" fillId="25" borderId="6" xfId="0" applyFont="1" applyFill="1" applyBorder="1" applyAlignment="1">
      <alignment horizontal="center" vertical="center" wrapText="1"/>
    </xf>
    <xf numFmtId="0" fontId="31" fillId="25" borderId="2" xfId="0" applyFont="1" applyFill="1" applyBorder="1" applyAlignment="1">
      <alignment horizontal="center" vertical="center" wrapText="1"/>
    </xf>
    <xf numFmtId="0" fontId="31" fillId="25" borderId="5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1" fillId="12" borderId="5" xfId="0" applyFont="1" applyFill="1" applyBorder="1" applyAlignment="1">
      <alignment horizontal="center" vertical="center"/>
    </xf>
    <xf numFmtId="0" fontId="38" fillId="14" borderId="3" xfId="0" applyFont="1" applyFill="1" applyBorder="1" applyAlignment="1">
      <alignment horizontal="center" vertical="center" textRotation="90" wrapText="1"/>
    </xf>
    <xf numFmtId="0" fontId="38" fillId="20" borderId="3" xfId="0" applyFont="1" applyFill="1" applyBorder="1" applyAlignment="1">
      <alignment horizontal="center" vertical="center"/>
    </xf>
    <xf numFmtId="0" fontId="38" fillId="14" borderId="7" xfId="0" applyFont="1" applyFill="1" applyBorder="1" applyAlignment="1">
      <alignment horizontal="center" vertical="center" textRotation="90" wrapText="1"/>
    </xf>
    <xf numFmtId="0" fontId="38" fillId="14" borderId="4" xfId="0" applyFont="1" applyFill="1" applyBorder="1" applyAlignment="1">
      <alignment horizontal="center" vertical="center" textRotation="90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1" fillId="20" borderId="3" xfId="0" applyFont="1" applyFill="1" applyBorder="1" applyAlignment="1">
      <alignment horizontal="center" vertical="center" wrapText="1"/>
    </xf>
    <xf numFmtId="0" fontId="35" fillId="14" borderId="3" xfId="0" applyFont="1" applyFill="1" applyBorder="1" applyAlignment="1">
      <alignment horizontal="center" vertical="center" textRotation="90" wrapText="1"/>
    </xf>
    <xf numFmtId="0" fontId="35" fillId="20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 textRotation="90" wrapText="1"/>
    </xf>
    <xf numFmtId="0" fontId="35" fillId="5" borderId="3" xfId="0" applyFont="1" applyFill="1" applyBorder="1" applyAlignment="1">
      <alignment horizontal="center" vertical="center"/>
    </xf>
    <xf numFmtId="0" fontId="35" fillId="25" borderId="7" xfId="0" applyFont="1" applyFill="1" applyBorder="1" applyAlignment="1">
      <alignment horizontal="center" vertical="center" textRotation="90" wrapText="1"/>
    </xf>
    <xf numFmtId="0" fontId="35" fillId="25" borderId="4" xfId="0" applyFont="1" applyFill="1" applyBorder="1" applyAlignment="1">
      <alignment horizontal="center" vertical="center" textRotation="90" wrapText="1"/>
    </xf>
    <xf numFmtId="0" fontId="35" fillId="25" borderId="3" xfId="0" applyFont="1" applyFill="1" applyBorder="1" applyAlignment="1">
      <alignment horizontal="center" vertical="center" textRotation="90" wrapText="1"/>
    </xf>
    <xf numFmtId="0" fontId="35" fillId="25" borderId="3" xfId="0" applyFont="1" applyFill="1" applyBorder="1" applyAlignment="1">
      <alignment horizontal="center" vertical="center"/>
    </xf>
    <xf numFmtId="0" fontId="3" fillId="27" borderId="3" xfId="0" applyFont="1" applyFill="1" applyBorder="1" applyAlignment="1" applyProtection="1">
      <alignment horizontal="center" vertical="center" textRotation="90" wrapText="1"/>
      <protection hidden="1"/>
    </xf>
    <xf numFmtId="0" fontId="3" fillId="27" borderId="3" xfId="0" applyFont="1" applyFill="1" applyBorder="1" applyAlignment="1" applyProtection="1">
      <alignment horizontal="center" vertical="center"/>
      <protection hidden="1"/>
    </xf>
    <xf numFmtId="0" fontId="35" fillId="17" borderId="6" xfId="0" applyFont="1" applyFill="1" applyBorder="1" applyAlignment="1">
      <alignment horizontal="center" vertical="center" wrapText="1"/>
    </xf>
    <xf numFmtId="0" fontId="35" fillId="17" borderId="2" xfId="0" applyFont="1" applyFill="1" applyBorder="1" applyAlignment="1">
      <alignment horizontal="center" vertical="center" wrapText="1"/>
    </xf>
    <xf numFmtId="0" fontId="35" fillId="17" borderId="5" xfId="0" applyFont="1" applyFill="1" applyBorder="1" applyAlignment="1">
      <alignment horizontal="center" vertical="center" wrapText="1"/>
    </xf>
    <xf numFmtId="0" fontId="31" fillId="28" borderId="3" xfId="0" applyFont="1" applyFill="1" applyBorder="1" applyAlignment="1" applyProtection="1">
      <alignment horizontal="center" vertical="center" textRotation="90" wrapText="1"/>
      <protection hidden="1"/>
    </xf>
    <xf numFmtId="0" fontId="31" fillId="28" borderId="3" xfId="0" applyFont="1" applyFill="1" applyBorder="1" applyAlignment="1" applyProtection="1">
      <alignment horizontal="center" vertical="center" wrapText="1"/>
      <protection hidden="1"/>
    </xf>
    <xf numFmtId="0" fontId="21" fillId="21" borderId="6" xfId="0" applyFont="1" applyFill="1" applyBorder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0" fontId="21" fillId="21" borderId="5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1" fontId="31" fillId="19" borderId="3" xfId="0" applyNumberFormat="1" applyFont="1" applyFill="1" applyBorder="1" applyAlignment="1" applyProtection="1">
      <alignment horizontal="center" vertical="center"/>
      <protection hidden="1"/>
    </xf>
    <xf numFmtId="0" fontId="31" fillId="19" borderId="3" xfId="0" applyFont="1" applyFill="1" applyBorder="1" applyAlignment="1" applyProtection="1">
      <alignment horizontal="center" vertical="center"/>
      <protection hidden="1"/>
    </xf>
    <xf numFmtId="0" fontId="31" fillId="19" borderId="3" xfId="0" applyFont="1" applyFill="1" applyBorder="1" applyAlignment="1" applyProtection="1">
      <alignment horizontal="center" vertical="center" textRotation="90"/>
      <protection hidden="1"/>
    </xf>
    <xf numFmtId="0" fontId="31" fillId="26" borderId="3" xfId="0" applyFont="1" applyFill="1" applyBorder="1" applyAlignment="1" applyProtection="1">
      <alignment horizontal="center" vertical="center" wrapText="1"/>
      <protection hidden="1"/>
    </xf>
    <xf numFmtId="0" fontId="29" fillId="19" borderId="3" xfId="0" applyFont="1" applyFill="1" applyBorder="1" applyAlignment="1" applyProtection="1">
      <alignment horizontal="center" vertical="center" textRotation="90" wrapText="1"/>
      <protection hidden="1"/>
    </xf>
    <xf numFmtId="0" fontId="29" fillId="19" borderId="3" xfId="0" applyFont="1" applyFill="1" applyBorder="1" applyAlignment="1" applyProtection="1">
      <alignment horizontal="center" vertical="center"/>
      <protection hidden="1"/>
    </xf>
    <xf numFmtId="0" fontId="31" fillId="26" borderId="3" xfId="0" applyFont="1" applyFill="1" applyBorder="1" applyAlignment="1" applyProtection="1">
      <alignment horizontal="center" vertical="center" textRotation="90" wrapText="1"/>
      <protection hidden="1"/>
    </xf>
    <xf numFmtId="0" fontId="15" fillId="0" borderId="0" xfId="0" applyFont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</cellXfs>
  <cellStyles count="24">
    <cellStyle name="Excel Built-in Excel Built-in Excel Built-in Normal" xfId="1" xr:uid="{00000000-0005-0000-0000-000000000000}"/>
    <cellStyle name="Excel Built-in Normal" xfId="2" xr:uid="{00000000-0005-0000-0000-000001000000}"/>
    <cellStyle name="Excel Built-in Normal 1" xfId="3" xr:uid="{00000000-0005-0000-0000-000002000000}"/>
    <cellStyle name="Excel Built-in Normal 2" xfId="4" xr:uid="{00000000-0005-0000-0000-000003000000}"/>
    <cellStyle name="Excel Built-in Normal 2 2" xfId="5" xr:uid="{00000000-0005-0000-0000-000004000000}"/>
    <cellStyle name="Normal_Sheet1 (2)" xfId="6" xr:uid="{00000000-0005-0000-0000-000005000000}"/>
    <cellStyle name="Обычный" xfId="0" builtinId="0"/>
    <cellStyle name="Обычный 2" xfId="7" xr:uid="{00000000-0005-0000-0000-000007000000}"/>
    <cellStyle name="Обычный 2 2" xfId="8" xr:uid="{00000000-0005-0000-0000-000008000000}"/>
    <cellStyle name="Обычный 2 2 2" xfId="20" xr:uid="{801B8DB5-7E35-48A2-9B56-300D7E622772}"/>
    <cellStyle name="Обычный 2 3" xfId="9" xr:uid="{00000000-0005-0000-0000-000009000000}"/>
    <cellStyle name="Обычный 2 3 2" xfId="10" xr:uid="{00000000-0005-0000-0000-00000A000000}"/>
    <cellStyle name="Обычный 3" xfId="11" xr:uid="{00000000-0005-0000-0000-00000B000000}"/>
    <cellStyle name="Обычный 3 3" xfId="12" xr:uid="{00000000-0005-0000-0000-00000C000000}"/>
    <cellStyle name="Обычный 4" xfId="13" xr:uid="{00000000-0005-0000-0000-00000D000000}"/>
    <cellStyle name="Обычный 5" xfId="14" xr:uid="{00000000-0005-0000-0000-00000E000000}"/>
    <cellStyle name="Обычный 6" xfId="16" xr:uid="{00000000-0005-0000-0000-00000F000000}"/>
    <cellStyle name="Обычный 6 2" xfId="23" xr:uid="{B95BC851-7078-45B0-8855-C43A18C10B3B}"/>
    <cellStyle name="Обычный 6 3" xfId="19" xr:uid="{DF971C1F-216B-4125-BDB3-3E9C8B7549D4}"/>
    <cellStyle name="Обычный 7" xfId="18" xr:uid="{622A7CF1-F35D-4144-B273-02285F1E2EA8}"/>
    <cellStyle name="Обычный 8" xfId="17" xr:uid="{5959A6BC-F540-4306-BF78-1E0B7B8D8B27}"/>
    <cellStyle name="Процентный" xfId="15" builtinId="5"/>
    <cellStyle name="Процентный 2" xfId="22" xr:uid="{F0CA64E9-DA7A-4185-BBAC-3AFCE741924D}"/>
    <cellStyle name="Процентный 3" xfId="21" xr:uid="{01873E23-526F-4D97-B118-3DF692DC7CD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DDFFDD"/>
      <color rgb="FFCC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9;&#1054;&#1055;\&#1056;&#1072;&#1089;&#1095;&#1077;&#1090;%20&#1091;&#1095;&#1077;&#1073;&#1085;&#1086;&#1081;%20&#1085;&#1072;&#1075;&#1088;&#1091;&#1079;&#1082;&#1080;%20&#1082;&#1072;&#1092;&#1077;&#1076;&#1088;&#1099;\2023\0.%20&#1052;&#1072;&#1081;%202023%20(&#1087;&#1083;&#1072;&#1085;)\&#1060;&#1043;&#1057;&#1053;\&#1056;&#1059;&#1053;%20&#1055;&#1055;&#1057;_23-24%20(C&#1086;&#1094;&#1080;&#1072;&#1083;&#1100;&#1085;&#1086;&#1081;%20&#1092;&#1080;&#1083;&#1086;&#1089;&#1086;&#1092;&#1080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Н сводная"/>
      <sheetName val="ООП"/>
      <sheetName val="Список кафедр"/>
      <sheetName val="Нормы УР"/>
      <sheetName val="Списки"/>
    </sheetNames>
    <sheetDataSet>
      <sheetData sheetId="0"/>
      <sheetData sheetId="1"/>
      <sheetData sheetId="2"/>
      <sheetData sheetId="3">
        <row r="14">
          <cell r="E14">
            <v>0.05</v>
          </cell>
        </row>
        <row r="15">
          <cell r="E15">
            <v>0.1</v>
          </cell>
        </row>
        <row r="16">
          <cell r="E16">
            <v>0.15</v>
          </cell>
        </row>
        <row r="17">
          <cell r="E17">
            <v>1</v>
          </cell>
        </row>
        <row r="18">
          <cell r="E18">
            <v>2</v>
          </cell>
        </row>
        <row r="19">
          <cell r="E19">
            <v>1</v>
          </cell>
        </row>
        <row r="20">
          <cell r="E20">
            <v>0.33</v>
          </cell>
        </row>
        <row r="24">
          <cell r="E24">
            <v>0.5</v>
          </cell>
        </row>
        <row r="25">
          <cell r="E25">
            <v>2</v>
          </cell>
        </row>
        <row r="26">
          <cell r="E26">
            <v>1</v>
          </cell>
        </row>
        <row r="27">
          <cell r="E27">
            <v>1</v>
          </cell>
        </row>
        <row r="28">
          <cell r="E28">
            <v>1.5</v>
          </cell>
        </row>
        <row r="29">
          <cell r="E29">
            <v>0.75</v>
          </cell>
        </row>
        <row r="30">
          <cell r="E30">
            <v>0.75</v>
          </cell>
        </row>
        <row r="31">
          <cell r="E31">
            <v>1.5</v>
          </cell>
        </row>
        <row r="32">
          <cell r="E32">
            <v>0.33</v>
          </cell>
        </row>
        <row r="33">
          <cell r="E33">
            <v>1</v>
          </cell>
        </row>
        <row r="34">
          <cell r="E34">
            <v>1.5</v>
          </cell>
        </row>
        <row r="35">
          <cell r="E35">
            <v>1.5</v>
          </cell>
        </row>
        <row r="36">
          <cell r="E36">
            <v>0.5</v>
          </cell>
        </row>
        <row r="37">
          <cell r="E37">
            <v>0.75</v>
          </cell>
        </row>
        <row r="38">
          <cell r="E38">
            <v>20</v>
          </cell>
        </row>
        <row r="39">
          <cell r="E39">
            <v>30</v>
          </cell>
        </row>
        <row r="40">
          <cell r="E40">
            <v>26</v>
          </cell>
        </row>
        <row r="41">
          <cell r="E41">
            <v>36</v>
          </cell>
        </row>
        <row r="42">
          <cell r="E42">
            <v>30</v>
          </cell>
        </row>
        <row r="43">
          <cell r="E43">
            <v>40</v>
          </cell>
        </row>
        <row r="44">
          <cell r="E44">
            <v>5</v>
          </cell>
        </row>
        <row r="45">
          <cell r="E45">
            <v>2</v>
          </cell>
        </row>
        <row r="46">
          <cell r="E46">
            <v>4</v>
          </cell>
        </row>
        <row r="47">
          <cell r="E47">
            <v>6</v>
          </cell>
        </row>
        <row r="48">
          <cell r="E48">
            <v>2</v>
          </cell>
        </row>
        <row r="49">
          <cell r="E49">
            <v>0.5</v>
          </cell>
        </row>
        <row r="51">
          <cell r="E51">
            <v>0.25</v>
          </cell>
        </row>
        <row r="53">
          <cell r="E53">
            <v>0.5</v>
          </cell>
        </row>
        <row r="54">
          <cell r="E54">
            <v>1</v>
          </cell>
        </row>
        <row r="55">
          <cell r="E55">
            <v>75</v>
          </cell>
        </row>
        <row r="56">
          <cell r="E56">
            <v>100</v>
          </cell>
        </row>
        <row r="57">
          <cell r="E57">
            <v>25</v>
          </cell>
        </row>
      </sheetData>
      <sheetData sheetId="4">
        <row r="14">
          <cell r="A14" t="str">
            <v>проф.</v>
          </cell>
        </row>
        <row r="15">
          <cell r="A15" t="str">
            <v>доц.</v>
          </cell>
        </row>
        <row r="16">
          <cell r="A16" t="str">
            <v>ст.пр.</v>
          </cell>
        </row>
        <row r="17">
          <cell r="A17" t="str">
            <v>преп.</v>
          </cell>
        </row>
        <row r="18">
          <cell r="A18" t="str">
            <v>ассист.</v>
          </cell>
        </row>
        <row r="19">
          <cell r="A19" t="str">
            <v>вак.</v>
          </cell>
        </row>
        <row r="22">
          <cell r="A22" t="str">
            <v>штат.</v>
          </cell>
        </row>
        <row r="23">
          <cell r="A23" t="str">
            <v>внеш.</v>
          </cell>
        </row>
        <row r="24">
          <cell r="A24" t="str">
            <v>внутр.</v>
          </cell>
        </row>
        <row r="25">
          <cell r="A25" t="str">
            <v>аспир.</v>
          </cell>
        </row>
        <row r="26">
          <cell r="A26" t="str">
            <v>почас.</v>
          </cell>
        </row>
        <row r="44">
          <cell r="A44" t="str">
            <v>лек</v>
          </cell>
        </row>
        <row r="45">
          <cell r="A45" t="str">
            <v>лаб</v>
          </cell>
        </row>
        <row r="46">
          <cell r="A46" t="str">
            <v>пр</v>
          </cell>
        </row>
        <row r="47">
          <cell r="A47" t="str">
            <v>сп</v>
          </cell>
        </row>
        <row r="48">
          <cell r="A48" t="str">
            <v>ия</v>
          </cell>
        </row>
        <row r="49">
          <cell r="A49" t="str">
            <v>фк</v>
          </cell>
        </row>
        <row r="50">
          <cell r="A50" t="str">
            <v>клн</v>
          </cell>
        </row>
        <row r="51">
          <cell r="A51" t="str">
            <v>ТУИС</v>
          </cell>
        </row>
        <row r="52">
          <cell r="A52" t="str">
            <v>ПЭ</v>
          </cell>
        </row>
        <row r="53">
          <cell r="A53" t="str">
            <v>УЭ</v>
          </cell>
        </row>
        <row r="54">
          <cell r="A54" t="str">
            <v>РР</v>
          </cell>
        </row>
        <row r="55">
          <cell r="A55" t="str">
            <v>РРФ</v>
          </cell>
        </row>
        <row r="56">
          <cell r="A56" t="str">
            <v>ЧК</v>
          </cell>
        </row>
        <row r="57">
          <cell r="A57" t="str">
            <v>УП</v>
          </cell>
        </row>
        <row r="58">
          <cell r="A58" t="str">
            <v>УПМ</v>
          </cell>
        </row>
        <row r="59">
          <cell r="A59" t="str">
            <v>ПП</v>
          </cell>
        </row>
        <row r="60">
          <cell r="A60" t="str">
            <v>ЦП</v>
          </cell>
        </row>
        <row r="61">
          <cell r="A61" t="str">
            <v>РПА</v>
          </cell>
        </row>
        <row r="62">
          <cell r="A62" t="str">
            <v>КПА</v>
          </cell>
        </row>
        <row r="63">
          <cell r="A63" t="str">
            <v>ВП</v>
          </cell>
        </row>
        <row r="64">
          <cell r="A64" t="str">
            <v>НР</v>
          </cell>
        </row>
        <row r="65">
          <cell r="A65" t="str">
            <v>НИ</v>
          </cell>
        </row>
        <row r="66">
          <cell r="A66" t="str">
            <v>ФГТ</v>
          </cell>
        </row>
        <row r="67">
          <cell r="A67" t="str">
            <v>РК</v>
          </cell>
        </row>
        <row r="68">
          <cell r="A68" t="str">
            <v>РДИ</v>
          </cell>
        </row>
        <row r="69">
          <cell r="A69" t="str">
            <v>РДП</v>
          </cell>
        </row>
        <row r="70">
          <cell r="A70" t="str">
            <v>ТЕСТ</v>
          </cell>
        </row>
        <row r="71">
          <cell r="A71" t="str">
            <v>СГ</v>
          </cell>
        </row>
        <row r="72">
          <cell r="A72" t="str">
            <v>ПГ</v>
          </cell>
        </row>
        <row r="73">
          <cell r="A73" t="str">
            <v>ЧГ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92D050"/>
    <pageSetUpPr fitToPage="1"/>
  </sheetPr>
  <dimension ref="A1:BM664"/>
  <sheetViews>
    <sheetView showZeros="0" tabSelected="1" zoomScale="80" zoomScaleNormal="80" workbookViewId="0">
      <pane xSplit="5" ySplit="5" topLeftCell="F6" activePane="bottomRight" state="frozen"/>
      <selection activeCell="A57" sqref="A57"/>
      <selection pane="topRight" activeCell="A57" sqref="A57"/>
      <selection pane="bottomLeft" activeCell="A57" sqref="A57"/>
      <selection pane="bottomRight" activeCell="B3" sqref="B3:B4"/>
    </sheetView>
  </sheetViews>
  <sheetFormatPr defaultColWidth="9.109375" defaultRowHeight="13.8" x14ac:dyDescent="0.25"/>
  <cols>
    <col min="1" max="1" width="8" style="76" customWidth="1"/>
    <col min="2" max="2" width="7.88671875" style="76" customWidth="1"/>
    <col min="3" max="3" width="20.6640625" style="77" customWidth="1"/>
    <col min="4" max="4" width="13.44140625" style="77" customWidth="1"/>
    <col min="5" max="5" width="48.88671875" style="78" customWidth="1"/>
    <col min="6" max="9" width="4.6640625" style="77" customWidth="1"/>
    <col min="10" max="10" width="30.6640625" style="79" customWidth="1"/>
    <col min="11" max="11" width="4.6640625" style="77" customWidth="1"/>
    <col min="12" max="12" width="5.33203125" style="77" customWidth="1"/>
    <col min="13" max="13" width="8.6640625" style="77" customWidth="1"/>
    <col min="14" max="16" width="4.6640625" style="77" customWidth="1"/>
    <col min="17" max="17" width="5.6640625" style="77" customWidth="1"/>
    <col min="18" max="22" width="4.6640625" style="77" customWidth="1"/>
    <col min="23" max="23" width="10.6640625" style="77" customWidth="1"/>
    <col min="24" max="24" width="10.88671875" style="77" customWidth="1"/>
    <col min="25" max="26" width="5.6640625" style="77" customWidth="1"/>
    <col min="27" max="28" width="6.6640625" style="77" customWidth="1"/>
    <col min="29" max="29" width="5.6640625" style="77" customWidth="1"/>
    <col min="30" max="30" width="4.6640625" style="77" customWidth="1"/>
    <col min="31" max="31" width="5.5546875" style="77" customWidth="1"/>
    <col min="32" max="32" width="6.33203125" style="77" customWidth="1"/>
    <col min="33" max="35" width="22.33203125" style="77" customWidth="1"/>
    <col min="36" max="36" width="22.33203125" style="79" customWidth="1"/>
    <col min="37" max="37" width="22.33203125" style="77" customWidth="1"/>
    <col min="38" max="53" width="9.109375" style="77" customWidth="1"/>
    <col min="54" max="54" width="20.109375" style="77" customWidth="1"/>
    <col min="55" max="56" width="9.109375" style="77" customWidth="1"/>
    <col min="57" max="57" width="10.6640625" style="77" customWidth="1"/>
    <col min="58" max="58" width="5.88671875" style="77" customWidth="1"/>
    <col min="59" max="64" width="10.88671875" style="77" bestFit="1" customWidth="1"/>
    <col min="65" max="65" width="9.109375" style="77" customWidth="1"/>
    <col min="66" max="16384" width="9.109375" style="77"/>
  </cols>
  <sheetData>
    <row r="1" spans="1:64" s="85" customFormat="1" ht="15.6" x14ac:dyDescent="0.25">
      <c r="A1" s="141">
        <f>BE1</f>
        <v>25215.290000000008</v>
      </c>
      <c r="B1" s="142"/>
      <c r="C1" s="143" t="s">
        <v>108</v>
      </c>
      <c r="D1" s="144"/>
      <c r="E1" s="144"/>
      <c r="F1" s="149" t="s">
        <v>3226</v>
      </c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50"/>
      <c r="AL1" s="55">
        <f t="shared" ref="AL1:BE1" si="0">AL664</f>
        <v>2681</v>
      </c>
      <c r="AM1" s="55">
        <f t="shared" si="0"/>
        <v>2628.8333333333335</v>
      </c>
      <c r="AN1" s="55">
        <f t="shared" si="0"/>
        <v>7309.5</v>
      </c>
      <c r="AO1" s="55">
        <f t="shared" si="0"/>
        <v>1353.9900000000005</v>
      </c>
      <c r="AP1" s="55">
        <f t="shared" si="0"/>
        <v>2299</v>
      </c>
      <c r="AQ1" s="55">
        <f t="shared" si="0"/>
        <v>236.16666666666666</v>
      </c>
      <c r="AR1" s="55">
        <f t="shared" si="0"/>
        <v>237.55000000000041</v>
      </c>
      <c r="AS1" s="55">
        <f t="shared" si="0"/>
        <v>0</v>
      </c>
      <c r="AT1" s="55">
        <f t="shared" si="0"/>
        <v>0</v>
      </c>
      <c r="AU1" s="55">
        <f t="shared" si="0"/>
        <v>351</v>
      </c>
      <c r="AV1" s="55">
        <f t="shared" si="0"/>
        <v>1190</v>
      </c>
      <c r="AW1" s="55">
        <f t="shared" si="0"/>
        <v>1194.3333333333335</v>
      </c>
      <c r="AX1" s="55">
        <f t="shared" si="0"/>
        <v>0</v>
      </c>
      <c r="AY1" s="55">
        <f t="shared" si="0"/>
        <v>10</v>
      </c>
      <c r="AZ1" s="55">
        <f t="shared" si="0"/>
        <v>0</v>
      </c>
      <c r="BA1" s="55">
        <f t="shared" si="0"/>
        <v>1800</v>
      </c>
      <c r="BB1" s="55">
        <f t="shared" si="0"/>
        <v>3522</v>
      </c>
      <c r="BC1" s="55">
        <f t="shared" si="0"/>
        <v>314</v>
      </c>
      <c r="BD1" s="55">
        <f t="shared" si="0"/>
        <v>87.916666666666657</v>
      </c>
      <c r="BE1" s="56">
        <f t="shared" si="0"/>
        <v>25215.290000000008</v>
      </c>
      <c r="BF1" s="57"/>
      <c r="BG1" s="55">
        <f>BG664</f>
        <v>8418.5</v>
      </c>
      <c r="BH1" s="55">
        <f>BH664</f>
        <v>313</v>
      </c>
      <c r="BI1" s="55">
        <f>BI664</f>
        <v>4805.5616666666692</v>
      </c>
      <c r="BJ1" s="55">
        <f t="shared" ref="BJ1:BL1" si="1">BJ664</f>
        <v>4200.833333333333</v>
      </c>
      <c r="BK1" s="55">
        <f t="shared" si="1"/>
        <v>149.5</v>
      </c>
      <c r="BL1" s="55">
        <f t="shared" si="1"/>
        <v>7790.3949999999959</v>
      </c>
    </row>
    <row r="2" spans="1:64" s="85" customFormat="1" ht="20.100000000000001" customHeight="1" x14ac:dyDescent="0.25">
      <c r="A2" s="146" t="s">
        <v>544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6" t="s">
        <v>183</v>
      </c>
      <c r="X2" s="157"/>
      <c r="Y2" s="157"/>
      <c r="Z2" s="157"/>
      <c r="AA2" s="157"/>
      <c r="AB2" s="157"/>
      <c r="AC2" s="157"/>
      <c r="AD2" s="157"/>
      <c r="AE2" s="157"/>
      <c r="AF2" s="158"/>
      <c r="AG2" s="153" t="s">
        <v>182</v>
      </c>
      <c r="AH2" s="154"/>
      <c r="AI2" s="154"/>
      <c r="AJ2" s="154"/>
      <c r="AK2" s="155"/>
      <c r="AL2" s="187" t="s">
        <v>105</v>
      </c>
      <c r="AM2" s="187"/>
      <c r="AN2" s="187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9" t="s">
        <v>30</v>
      </c>
      <c r="BF2" s="18"/>
      <c r="BG2" s="190" t="s">
        <v>545</v>
      </c>
      <c r="BH2" s="190"/>
      <c r="BI2" s="190"/>
      <c r="BJ2" s="182" t="s">
        <v>546</v>
      </c>
      <c r="BK2" s="182"/>
      <c r="BL2" s="182"/>
    </row>
    <row r="3" spans="1:64" s="86" customFormat="1" ht="33.75" customHeight="1" x14ac:dyDescent="0.25">
      <c r="A3" s="159" t="s">
        <v>5</v>
      </c>
      <c r="B3" s="161" t="s">
        <v>3373</v>
      </c>
      <c r="C3" s="163" t="s">
        <v>420</v>
      </c>
      <c r="D3" s="164"/>
      <c r="E3" s="165"/>
      <c r="F3" s="166" t="s">
        <v>16</v>
      </c>
      <c r="G3" s="167"/>
      <c r="H3" s="167"/>
      <c r="I3" s="167"/>
      <c r="J3" s="167"/>
      <c r="K3" s="168" t="s">
        <v>950</v>
      </c>
      <c r="L3" s="168" t="s">
        <v>951</v>
      </c>
      <c r="M3" s="168" t="s">
        <v>87</v>
      </c>
      <c r="N3" s="178" t="s">
        <v>485</v>
      </c>
      <c r="O3" s="179"/>
      <c r="P3" s="180"/>
      <c r="Q3" s="168" t="s">
        <v>76</v>
      </c>
      <c r="R3" s="145" t="s">
        <v>6</v>
      </c>
      <c r="S3" s="145" t="s">
        <v>7</v>
      </c>
      <c r="T3" s="145" t="s">
        <v>494</v>
      </c>
      <c r="U3" s="145" t="s">
        <v>495</v>
      </c>
      <c r="V3" s="145" t="s">
        <v>496</v>
      </c>
      <c r="W3" s="183" t="s">
        <v>486</v>
      </c>
      <c r="X3" s="184"/>
      <c r="Y3" s="184"/>
      <c r="Z3" s="185"/>
      <c r="AA3" s="186" t="s">
        <v>487</v>
      </c>
      <c r="AB3" s="151"/>
      <c r="AC3" s="152"/>
      <c r="AD3" s="151"/>
      <c r="AE3" s="151"/>
      <c r="AF3" s="152"/>
      <c r="AG3" s="170" t="s">
        <v>690</v>
      </c>
      <c r="AH3" s="172" t="s">
        <v>104</v>
      </c>
      <c r="AI3" s="172" t="s">
        <v>41</v>
      </c>
      <c r="AJ3" s="174" t="s">
        <v>107</v>
      </c>
      <c r="AK3" s="174" t="s">
        <v>691</v>
      </c>
      <c r="AL3" s="176" t="s">
        <v>77</v>
      </c>
      <c r="AM3" s="176" t="s">
        <v>85</v>
      </c>
      <c r="AN3" s="176" t="s">
        <v>86</v>
      </c>
      <c r="AO3" s="139" t="s">
        <v>2025</v>
      </c>
      <c r="AP3" s="139" t="s">
        <v>2026</v>
      </c>
      <c r="AQ3" s="139" t="s">
        <v>75</v>
      </c>
      <c r="AR3" s="139" t="s">
        <v>74</v>
      </c>
      <c r="AS3" s="139" t="s">
        <v>507</v>
      </c>
      <c r="AT3" s="139" t="s">
        <v>508</v>
      </c>
      <c r="AU3" s="139" t="s">
        <v>509</v>
      </c>
      <c r="AV3" s="139" t="s">
        <v>513</v>
      </c>
      <c r="AW3" s="139" t="s">
        <v>88</v>
      </c>
      <c r="AX3" s="139" t="s">
        <v>2930</v>
      </c>
      <c r="AY3" s="139" t="s">
        <v>109</v>
      </c>
      <c r="AZ3" s="191" t="s">
        <v>89</v>
      </c>
      <c r="BA3" s="191" t="s">
        <v>514</v>
      </c>
      <c r="BB3" s="139" t="s">
        <v>688</v>
      </c>
      <c r="BC3" s="139" t="s">
        <v>73</v>
      </c>
      <c r="BD3" s="139" t="s">
        <v>29</v>
      </c>
      <c r="BE3" s="189"/>
      <c r="BF3" s="19"/>
      <c r="BG3" s="193" t="s">
        <v>548</v>
      </c>
      <c r="BH3" s="193" t="s">
        <v>547</v>
      </c>
      <c r="BI3" s="193" t="s">
        <v>549</v>
      </c>
      <c r="BJ3" s="181" t="s">
        <v>548</v>
      </c>
      <c r="BK3" s="181" t="s">
        <v>547</v>
      </c>
      <c r="BL3" s="181" t="s">
        <v>549</v>
      </c>
    </row>
    <row r="4" spans="1:64" s="85" customFormat="1" ht="87.75" customHeight="1" x14ac:dyDescent="0.25">
      <c r="A4" s="160"/>
      <c r="B4" s="162"/>
      <c r="C4" s="87" t="s">
        <v>453</v>
      </c>
      <c r="D4" s="88" t="s">
        <v>452</v>
      </c>
      <c r="E4" s="88" t="s">
        <v>488</v>
      </c>
      <c r="F4" s="89" t="s">
        <v>8</v>
      </c>
      <c r="G4" s="89" t="s">
        <v>1771</v>
      </c>
      <c r="H4" s="89" t="s">
        <v>1773</v>
      </c>
      <c r="I4" s="89" t="s">
        <v>1772</v>
      </c>
      <c r="J4" s="87" t="s">
        <v>454</v>
      </c>
      <c r="K4" s="169"/>
      <c r="L4" s="169"/>
      <c r="M4" s="169"/>
      <c r="N4" s="90" t="s">
        <v>0</v>
      </c>
      <c r="O4" s="90" t="s">
        <v>4</v>
      </c>
      <c r="P4" s="90" t="s">
        <v>3</v>
      </c>
      <c r="Q4" s="168"/>
      <c r="R4" s="145"/>
      <c r="S4" s="145"/>
      <c r="T4" s="145"/>
      <c r="U4" s="145"/>
      <c r="V4" s="145"/>
      <c r="W4" s="91" t="s">
        <v>421</v>
      </c>
      <c r="X4" s="92" t="s">
        <v>1735</v>
      </c>
      <c r="Y4" s="92" t="s">
        <v>1736</v>
      </c>
      <c r="Z4" s="93" t="s">
        <v>21</v>
      </c>
      <c r="AA4" s="94" t="s">
        <v>28</v>
      </c>
      <c r="AB4" s="95" t="s">
        <v>235</v>
      </c>
      <c r="AC4" s="95" t="s">
        <v>2027</v>
      </c>
      <c r="AD4" s="96" t="s">
        <v>83</v>
      </c>
      <c r="AE4" s="96" t="s">
        <v>84</v>
      </c>
      <c r="AF4" s="96" t="s">
        <v>493</v>
      </c>
      <c r="AG4" s="171"/>
      <c r="AH4" s="173"/>
      <c r="AI4" s="173"/>
      <c r="AJ4" s="175"/>
      <c r="AK4" s="175"/>
      <c r="AL4" s="177"/>
      <c r="AM4" s="177"/>
      <c r="AN4" s="177"/>
      <c r="AO4" s="140"/>
      <c r="AP4" s="139"/>
      <c r="AQ4" s="140"/>
      <c r="AR4" s="140"/>
      <c r="AS4" s="140"/>
      <c r="AT4" s="140"/>
      <c r="AU4" s="140"/>
      <c r="AV4" s="140"/>
      <c r="AW4" s="140"/>
      <c r="AX4" s="140"/>
      <c r="AY4" s="140"/>
      <c r="AZ4" s="192"/>
      <c r="BA4" s="192"/>
      <c r="BB4" s="140"/>
      <c r="BC4" s="140"/>
      <c r="BD4" s="140"/>
      <c r="BE4" s="189"/>
      <c r="BF4" s="20"/>
      <c r="BG4" s="193"/>
      <c r="BH4" s="193"/>
      <c r="BI4" s="193"/>
      <c r="BJ4" s="181"/>
      <c r="BK4" s="181"/>
      <c r="BL4" s="181"/>
    </row>
    <row r="5" spans="1:64" s="100" customFormat="1" ht="34.5" customHeight="1" x14ac:dyDescent="0.25">
      <c r="A5" s="97">
        <v>1</v>
      </c>
      <c r="B5" s="97">
        <v>2</v>
      </c>
      <c r="C5" s="98">
        <v>3</v>
      </c>
      <c r="D5" s="98">
        <v>4</v>
      </c>
      <c r="E5" s="99">
        <v>5</v>
      </c>
      <c r="F5" s="98">
        <v>6</v>
      </c>
      <c r="G5" s="98">
        <v>7</v>
      </c>
      <c r="H5" s="98">
        <v>8</v>
      </c>
      <c r="I5" s="98">
        <v>9</v>
      </c>
      <c r="J5" s="98">
        <v>10</v>
      </c>
      <c r="K5" s="98">
        <v>11</v>
      </c>
      <c r="L5" s="98">
        <v>12</v>
      </c>
      <c r="M5" s="98">
        <v>13</v>
      </c>
      <c r="N5" s="98">
        <v>14</v>
      </c>
      <c r="O5" s="98">
        <v>15</v>
      </c>
      <c r="P5" s="98">
        <v>16</v>
      </c>
      <c r="Q5" s="98">
        <v>17</v>
      </c>
      <c r="R5" s="98">
        <v>18</v>
      </c>
      <c r="S5" s="98">
        <v>19</v>
      </c>
      <c r="T5" s="98">
        <v>20</v>
      </c>
      <c r="U5" s="98">
        <v>21</v>
      </c>
      <c r="V5" s="98">
        <v>22</v>
      </c>
      <c r="W5" s="98">
        <v>23</v>
      </c>
      <c r="X5" s="98">
        <v>24</v>
      </c>
      <c r="Y5" s="98">
        <v>25</v>
      </c>
      <c r="Z5" s="98">
        <v>26</v>
      </c>
      <c r="AA5" s="98">
        <v>27</v>
      </c>
      <c r="AB5" s="98">
        <v>28</v>
      </c>
      <c r="AC5" s="98">
        <v>29</v>
      </c>
      <c r="AD5" s="98"/>
      <c r="AE5" s="98"/>
      <c r="AF5" s="98"/>
      <c r="AG5" s="98">
        <v>30</v>
      </c>
      <c r="AH5" s="98">
        <v>31</v>
      </c>
      <c r="AI5" s="98">
        <v>32</v>
      </c>
      <c r="AJ5" s="98">
        <v>33</v>
      </c>
      <c r="AK5" s="98">
        <v>34</v>
      </c>
      <c r="AL5" s="98">
        <v>35</v>
      </c>
      <c r="AM5" s="98">
        <v>36</v>
      </c>
      <c r="AN5" s="98">
        <v>37</v>
      </c>
      <c r="AO5" s="98">
        <v>38</v>
      </c>
      <c r="AP5" s="98">
        <v>39</v>
      </c>
      <c r="AQ5" s="98">
        <v>40</v>
      </c>
      <c r="AR5" s="98">
        <v>41</v>
      </c>
      <c r="AS5" s="98">
        <v>42</v>
      </c>
      <c r="AT5" s="98">
        <v>43</v>
      </c>
      <c r="AU5" s="98">
        <v>44</v>
      </c>
      <c r="AV5" s="98">
        <v>45</v>
      </c>
      <c r="AW5" s="98">
        <v>46</v>
      </c>
      <c r="AX5" s="98">
        <v>47</v>
      </c>
      <c r="AY5" s="98">
        <v>48</v>
      </c>
      <c r="AZ5" s="98">
        <v>49</v>
      </c>
      <c r="BA5" s="98">
        <v>50</v>
      </c>
      <c r="BB5" s="98">
        <v>51</v>
      </c>
      <c r="BC5" s="98">
        <v>52</v>
      </c>
      <c r="BD5" s="98">
        <v>53</v>
      </c>
      <c r="BE5" s="98">
        <v>54</v>
      </c>
      <c r="BF5" s="22"/>
      <c r="BG5" s="21">
        <v>55</v>
      </c>
      <c r="BH5" s="21">
        <v>56</v>
      </c>
      <c r="BI5" s="21">
        <v>57</v>
      </c>
      <c r="BJ5" s="21">
        <v>58</v>
      </c>
      <c r="BK5" s="21">
        <v>59</v>
      </c>
      <c r="BL5" s="21">
        <v>60</v>
      </c>
    </row>
    <row r="6" spans="1:64" ht="30" customHeight="1" x14ac:dyDescent="0.25">
      <c r="A6" s="84" t="str">
        <f t="shared" ref="A6:A69" si="2">IF(C6&gt;0, VLOOKUP(C6,Код_ООП,12,FALSE),0)</f>
        <v>Д</v>
      </c>
      <c r="B6" s="84" t="str">
        <f t="shared" ref="B6" si="3">IF(C6&gt;0, VLOOKUP(C6,Код_ООП,11,FALSE),0)</f>
        <v>Б</v>
      </c>
      <c r="C6" s="101" t="s">
        <v>1471</v>
      </c>
      <c r="D6" s="16" t="str">
        <f>IF(C6&gt;0, VLOOKUP(C6,Код_ООП,2,FALSE),0)</f>
        <v>'09.03.03</v>
      </c>
      <c r="E6" s="17" t="str">
        <f>IF(C6&gt;0, VLOOKUP(C6,Код_ООП,13,FALSE),0)</f>
        <v>Прикладная информатика</v>
      </c>
      <c r="F6" s="9" t="s">
        <v>413</v>
      </c>
      <c r="G6" s="9" t="s">
        <v>42</v>
      </c>
      <c r="H6" s="10"/>
      <c r="I6" s="10"/>
      <c r="J6" s="24" t="s">
        <v>3197</v>
      </c>
      <c r="K6" s="11">
        <v>1</v>
      </c>
      <c r="L6" s="11">
        <v>18</v>
      </c>
      <c r="M6" s="8" t="s">
        <v>23</v>
      </c>
      <c r="N6" s="11">
        <v>1</v>
      </c>
      <c r="O6" s="11"/>
      <c r="P6" s="11"/>
      <c r="Q6" s="8" t="s">
        <v>103</v>
      </c>
      <c r="R6" s="12"/>
      <c r="S6" s="12"/>
      <c r="T6" s="12"/>
      <c r="U6" s="12"/>
      <c r="V6" s="12"/>
      <c r="W6" s="83" t="str">
        <f t="shared" ref="W6:W69" si="4">MID(C6,1,5)</f>
        <v>НПИбд</v>
      </c>
      <c r="X6" s="110" t="s">
        <v>3249</v>
      </c>
      <c r="Y6" s="11">
        <v>5</v>
      </c>
      <c r="Z6" s="11">
        <v>3</v>
      </c>
      <c r="AA6" s="83">
        <f>AB6+AC6</f>
        <v>67</v>
      </c>
      <c r="AB6" s="11">
        <v>53</v>
      </c>
      <c r="AC6" s="11">
        <v>14</v>
      </c>
      <c r="AD6" s="81">
        <f t="shared" ref="AD6:AD69" si="5">IF(M6="сп",6,IF(M6="клн",8,IF(OR(M6="лаб",M6="ия"),12,IF(OR(M6="пр",M6="ТЕСТ"),IF(OR(B6="Б",B6="С"),24,12),IF(M6="лек",AA6,1)))))</f>
        <v>67</v>
      </c>
      <c r="AE6" s="82">
        <f>IF(AF6&gt;1,1,AF6)</f>
        <v>1</v>
      </c>
      <c r="AF6" s="82">
        <f t="shared" ref="AF6" si="6">AA6/AD6</f>
        <v>1</v>
      </c>
      <c r="AG6" s="102" t="s">
        <v>3250</v>
      </c>
      <c r="AH6" s="8" t="s">
        <v>204</v>
      </c>
      <c r="AI6" s="8" t="s">
        <v>212</v>
      </c>
      <c r="AJ6" s="35" t="s">
        <v>3251</v>
      </c>
      <c r="AK6" s="8"/>
      <c r="AL6" s="42">
        <f t="shared" ref="AL6:AL69" si="7">IF(OR(M6="лек",M6="ТУИС"),(IF(NOT(B6="ЦМ"),N6*L6,0)),0)</f>
        <v>18</v>
      </c>
      <c r="AM6" s="42">
        <f t="shared" ref="AM6:AM61" si="8">IF(OR(M6="пр",M6="ия",M6="сп"),P6*AE6*L6,0)</f>
        <v>0</v>
      </c>
      <c r="AN6" s="42">
        <f t="shared" ref="AN6:AN61" si="9">IF(OR(M6="лаб",M6="клн"),O6*AE6*L6,0)</f>
        <v>0</v>
      </c>
      <c r="AO6" s="42">
        <f t="shared" ref="AO6:AO96" si="10">(IF((AND(OR(K6=1,K6=2,K6=3,K6=4,K6=5,K6=6,K6=7,K6=8,K6=9,K6=10,K6=11,K6=12),OR(Q6="Зач",Q6="Экз"))),ТКиРА*AA6,0)+IF(SUM(N6:P6)&lt;&gt;0,IF(Q6="ТК",ТКиРА*AA6,0),0))*(IF(F6="ФТД",0,1))</f>
        <v>22.11</v>
      </c>
      <c r="AP6" s="42">
        <f t="shared" ref="AP6:AP61" si="11">IF(SUM(O6:P6)&lt;&gt;0,IF(Q6="Зач",ПАБРС*AA6,0),0)+IF(N6&lt;&gt;0,IF(Q6="Экз",ПАБРС*AA6,0),0)</f>
        <v>33.5</v>
      </c>
      <c r="AQ6" s="42">
        <f t="shared" ref="AQ6:AQ61" si="12">(IF(AP6&lt;&gt;0,ОфВед*(IF(OR(M6="лек",M6="лаб"),Z6,AE6)),0))*(IF(F6="ФТД",0,1))</f>
        <v>3</v>
      </c>
      <c r="AR6" s="42">
        <f t="shared" ref="AR6:AR69" si="13">(IF(A6="Д",ТКЛД,IF(A6="В",ТКЛВ,IF(A6="З",ТКЛЗ,0))))*(IF(F6="ФТД",0,AL6))*Z6</f>
        <v>2.7</v>
      </c>
      <c r="AS6" s="42">
        <f t="shared" ref="AS6:AS61" si="14">IF(OR(M6="лаб",M6="пр"),IF(R6="К",AA6*ВПКР,IF(R6="М",AA6*ВПИБ,0)),0)</f>
        <v>0</v>
      </c>
      <c r="AT6" s="42">
        <f t="shared" ref="AT6:AT61" si="15">IF(OR(M6="лаб",M6="пр"),IF(S6="К",AA6*ВПКП,0),0)</f>
        <v>0</v>
      </c>
      <c r="AU6" s="42">
        <f t="shared" ref="AU6:AU61" si="16">IF(M6="УП",T6/1.5*AA6*РУП,IF(M6="УПМ",T6/1.5*AA6*РУПЛеч,0))</f>
        <v>0</v>
      </c>
      <c r="AV6" s="42">
        <f>IF(M6="ПП",РПП*AA6*(U6/1.5),IF(M6="ВП",ВПр*AA6*(U6/1.5),IF(M6="РПА",РПА*AA6*(U6/1.5),IF(M6="КПА",КПА*AA6*(U6/1.5),0))))</f>
        <v>0</v>
      </c>
      <c r="AW6" s="42">
        <f t="shared" ref="AW6:AW61" si="17">IF(M6="НР",(AB6*НИРМ+AC6*НИРМИн)*(V6/1.5),IF(M6="НИ",(AB6*НИРА+AC6*НИРАИ)*(V6/1.5),0))</f>
        <v>0</v>
      </c>
      <c r="AX6" s="42">
        <f t="shared" ref="AX6:AX69" si="18">IF(AND(M6="ЦП",B6="ЦМ"),AA6*ЦП,0)</f>
        <v>0</v>
      </c>
      <c r="AY6" s="42">
        <f t="shared" ref="AY6:AY69" si="19">IF(B6="А",IF(M6="РР",AA6*РефАсп,IF(M6="РРФ",AA6*РефФил,0)),0)</f>
        <v>0</v>
      </c>
      <c r="AZ6" s="42">
        <f t="shared" ref="AZ6:AZ61" si="20">IF(AND(Q6="КЭ",M6="ЧК"),AA6*КдЭк,0)</f>
        <v>0</v>
      </c>
      <c r="BA6" s="42">
        <f t="shared" ref="BA6:BA69" si="21">IF(AND(M6="НКД",B6="Д"),AA6*НКД,0)+IF(AND(M6="РПЛ",B6="А"),AA6*РукПЛ,0)+IF(AND(M6="РСтж",B6="А"),AB6*РукСт+AC6*РукИСт,0)+IF(M6="ФГТ",AB6*РукРФа+AC6*РукИна,0)</f>
        <v>0</v>
      </c>
      <c r="BB6" s="42">
        <f t="shared" ref="BB6:BB69" si="22">IF(M6="РК",IF(OR(B6="С",B6="М",B6="ЦМ"),(AB6*РСМ+AC6*РСМИ),0),0)+IF(M6="РК",IF(B6="Б",(AB6*РБ+AC6*РБИ),0),0)+IF(M6="РК",IF(B6="А",(AB6*РНКР+AC6*РНКРИн),0),0)+IF(AND(Q6="ПАкр"),AA6*0.3)</f>
        <v>0</v>
      </c>
      <c r="BC6" s="42">
        <f t="shared" ref="BC6:BC69" si="23">IF(M6="РДП",IF(B6="А",AA6*РРА,IF(OR(B6="С",B6="М",B6="ЦМ"),AA6*РРСМ,IF(B6="Б",AA6*РРБ,0))),IF(M6="РДИ",AA6*РДП,0))</f>
        <v>0</v>
      </c>
      <c r="BD6" s="42">
        <f t="shared" ref="BD6:BD61" si="24">IF(M6="ЧГ",AA6*ЧГ,IF(M6="ПГ",AA6*ПГ,IF(M6="ТЕСТ",ТГИЭ*AE6,IF(M6="СГ",AA6*СГ,0))))</f>
        <v>0</v>
      </c>
      <c r="BE6" s="43">
        <f t="shared" ref="BE6:BE61" si="25">SUM(AL6:BD6)</f>
        <v>79.31</v>
      </c>
      <c r="BF6" s="44"/>
      <c r="BG6" s="45">
        <f t="shared" ref="BG6:BG61" si="26">IF(OR(K6="1;1",K6="1;2",K6=1,K6="3;1",K6="3;2",K6=3,K6="5;1",K6="5;2",K6=5,K6="7;1",K6="7;2",K6=7,K6="9;1",K6="9;2",K6=9,K6=11),SUM(AL6:AN6),0)</f>
        <v>18</v>
      </c>
      <c r="BH6" s="45">
        <f t="shared" ref="BH6:BH61" si="27">IF(BG6&lt;&gt;0,SUM(N6:P6)/2,0)</f>
        <v>0.5</v>
      </c>
      <c r="BI6" s="45">
        <f t="shared" ref="BI6:BI61" si="28">IF(OR(K6="1;1",K6="1;2",K6=1,K6="3;1",K6="3;2",K6=3,K6="5;1",K6="5;2",K6=5,K6="7;1",K6="7;2",K6=7,K6="9;1",K6="9;2",K6=9,K6=11),SUM(AO6:BD6),0)</f>
        <v>61.31</v>
      </c>
      <c r="BJ6" s="46">
        <f t="shared" ref="BJ6:BJ61" si="29">IF(OR(K6="2;3",K6="2;4",K6=2,K6="4;3",K6="4;4",K6=4,K6="6;3",K6="6;4",K6=6,K6="8;3",K6="8;4",K6=8,K6="10;3",K6="10;4",K6=10,K6=12),SUM(AL6:AN6),0)</f>
        <v>0</v>
      </c>
      <c r="BK6" s="46">
        <f t="shared" ref="BK6:BK61" si="30">IF(BJ6&lt;&gt;0,SUM(N6:P6)/2,0)</f>
        <v>0</v>
      </c>
      <c r="BL6" s="46">
        <f t="shared" ref="BL6:BL61" si="31">IF(OR(K6="2;3",K6="2;4",K6=2,K6="4;3",K6="4;4",K6=4,K6="6;3",K6="6;4",K6=6,K6="8;3",K6="8;4",K6=8,K6="10;3",K6="10;4",K6=10,K6=12),SUM(AO6:BD6),0)</f>
        <v>0</v>
      </c>
    </row>
    <row r="7" spans="1:64" ht="30" customHeight="1" x14ac:dyDescent="0.25">
      <c r="A7" s="84" t="str">
        <f t="shared" si="2"/>
        <v>Д</v>
      </c>
      <c r="B7" s="84" t="str">
        <f t="shared" ref="B7:B577" si="32">IF(C7&gt;0, VLOOKUP(C7,Код_ООП,11,FALSE),0)</f>
        <v>Б</v>
      </c>
      <c r="C7" s="101" t="s">
        <v>1471</v>
      </c>
      <c r="D7" s="16" t="str">
        <f t="shared" ref="D7:D577" si="33">IF(C7&gt;0, VLOOKUP(C7,Код_ООП,2,FALSE),0)</f>
        <v>'09.03.03</v>
      </c>
      <c r="E7" s="17" t="str">
        <f t="shared" ref="E7:E577" si="34">IF(C7&gt;0, VLOOKUP(C7,Код_ООП,13,FALSE),0)</f>
        <v>Прикладная информатика</v>
      </c>
      <c r="F7" s="9" t="s">
        <v>413</v>
      </c>
      <c r="G7" s="9" t="s">
        <v>42</v>
      </c>
      <c r="H7" s="10"/>
      <c r="I7" s="10"/>
      <c r="J7" s="24" t="s">
        <v>3197</v>
      </c>
      <c r="K7" s="11">
        <v>1</v>
      </c>
      <c r="L7" s="11">
        <v>18</v>
      </c>
      <c r="M7" s="8" t="s">
        <v>24</v>
      </c>
      <c r="N7" s="11"/>
      <c r="O7" s="11"/>
      <c r="P7" s="11">
        <v>2</v>
      </c>
      <c r="Q7" s="8"/>
      <c r="R7" s="12"/>
      <c r="S7" s="12"/>
      <c r="T7" s="12"/>
      <c r="U7" s="12"/>
      <c r="V7" s="12"/>
      <c r="W7" s="83" t="str">
        <f t="shared" si="4"/>
        <v>НПИбд</v>
      </c>
      <c r="X7" s="110" t="s">
        <v>3246</v>
      </c>
      <c r="Y7" s="11">
        <v>2</v>
      </c>
      <c r="Z7" s="11">
        <v>1</v>
      </c>
      <c r="AA7" s="83">
        <f t="shared" ref="AA7:AA577" si="35">AB7+AC7</f>
        <v>23</v>
      </c>
      <c r="AB7" s="11">
        <v>18</v>
      </c>
      <c r="AC7" s="11">
        <v>5</v>
      </c>
      <c r="AD7" s="81">
        <f t="shared" si="5"/>
        <v>24</v>
      </c>
      <c r="AE7" s="82">
        <f t="shared" ref="AE7:AE577" si="36">IF(AF7&gt;1,1,AF7)</f>
        <v>0.95833333333333337</v>
      </c>
      <c r="AF7" s="82">
        <f t="shared" ref="AF7:AF577" si="37">AA7/AD7</f>
        <v>0.95833333333333337</v>
      </c>
      <c r="AG7" s="102" t="s">
        <v>3250</v>
      </c>
      <c r="AH7" s="8" t="s">
        <v>204</v>
      </c>
      <c r="AI7" s="8" t="s">
        <v>212</v>
      </c>
      <c r="AJ7" s="35" t="s">
        <v>3251</v>
      </c>
      <c r="AK7" s="8"/>
      <c r="AL7" s="42">
        <f t="shared" si="7"/>
        <v>0</v>
      </c>
      <c r="AM7" s="42">
        <f t="shared" si="8"/>
        <v>34.5</v>
      </c>
      <c r="AN7" s="42">
        <f t="shared" si="9"/>
        <v>0</v>
      </c>
      <c r="AO7" s="42">
        <f t="shared" si="10"/>
        <v>0</v>
      </c>
      <c r="AP7" s="42">
        <f t="shared" si="11"/>
        <v>0</v>
      </c>
      <c r="AQ7" s="42">
        <f t="shared" si="12"/>
        <v>0</v>
      </c>
      <c r="AR7" s="42">
        <f t="shared" si="13"/>
        <v>0</v>
      </c>
      <c r="AS7" s="42">
        <f t="shared" si="14"/>
        <v>0</v>
      </c>
      <c r="AT7" s="42">
        <f t="shared" si="15"/>
        <v>0</v>
      </c>
      <c r="AU7" s="42">
        <f t="shared" si="16"/>
        <v>0</v>
      </c>
      <c r="AV7" s="42">
        <f>IF(M7="ПП",РПП*AA7*(U7/1.5),IF(M7="ВП",ВПр*AA7*(U7/1.5),IF(M7="РПА",РПА*AA7*(U7/1.5),IF(M7="КПА",КПА*AA7*(U7/1.5),0))))</f>
        <v>0</v>
      </c>
      <c r="AW7" s="42">
        <f t="shared" si="17"/>
        <v>0</v>
      </c>
      <c r="AX7" s="42">
        <f t="shared" si="18"/>
        <v>0</v>
      </c>
      <c r="AY7" s="42">
        <f t="shared" si="19"/>
        <v>0</v>
      </c>
      <c r="AZ7" s="42">
        <f t="shared" si="20"/>
        <v>0</v>
      </c>
      <c r="BA7" s="42">
        <f t="shared" si="21"/>
        <v>0</v>
      </c>
      <c r="BB7" s="42">
        <f t="shared" si="22"/>
        <v>0</v>
      </c>
      <c r="BC7" s="42">
        <f t="shared" si="23"/>
        <v>0</v>
      </c>
      <c r="BD7" s="42">
        <f t="shared" si="24"/>
        <v>0</v>
      </c>
      <c r="BE7" s="43">
        <f t="shared" si="25"/>
        <v>34.5</v>
      </c>
      <c r="BF7" s="44"/>
      <c r="BG7" s="45">
        <f t="shared" si="26"/>
        <v>34.5</v>
      </c>
      <c r="BH7" s="45">
        <f t="shared" si="27"/>
        <v>1</v>
      </c>
      <c r="BI7" s="45">
        <f t="shared" si="28"/>
        <v>0</v>
      </c>
      <c r="BJ7" s="46">
        <f t="shared" si="29"/>
        <v>0</v>
      </c>
      <c r="BK7" s="46">
        <f t="shared" si="30"/>
        <v>0</v>
      </c>
      <c r="BL7" s="46">
        <f t="shared" si="31"/>
        <v>0</v>
      </c>
    </row>
    <row r="8" spans="1:64" ht="30" customHeight="1" x14ac:dyDescent="0.25">
      <c r="A8" s="84" t="str">
        <f t="shared" si="2"/>
        <v>Д</v>
      </c>
      <c r="B8" s="84" t="str">
        <f t="shared" si="32"/>
        <v>Б</v>
      </c>
      <c r="C8" s="101" t="s">
        <v>1471</v>
      </c>
      <c r="D8" s="16" t="str">
        <f t="shared" si="33"/>
        <v>'09.03.03</v>
      </c>
      <c r="E8" s="17" t="str">
        <f t="shared" si="34"/>
        <v>Прикладная информатика</v>
      </c>
      <c r="F8" s="9" t="s">
        <v>413</v>
      </c>
      <c r="G8" s="9" t="s">
        <v>42</v>
      </c>
      <c r="H8" s="10"/>
      <c r="I8" s="10"/>
      <c r="J8" s="24" t="s">
        <v>3197</v>
      </c>
      <c r="K8" s="11">
        <v>1</v>
      </c>
      <c r="L8" s="11">
        <v>18</v>
      </c>
      <c r="M8" s="8" t="s">
        <v>24</v>
      </c>
      <c r="N8" s="11"/>
      <c r="O8" s="11"/>
      <c r="P8" s="11">
        <v>2</v>
      </c>
      <c r="Q8" s="8"/>
      <c r="R8" s="12"/>
      <c r="S8" s="12"/>
      <c r="T8" s="12"/>
      <c r="U8" s="12"/>
      <c r="V8" s="12"/>
      <c r="W8" s="83" t="str">
        <f t="shared" si="4"/>
        <v>НПИбд</v>
      </c>
      <c r="X8" s="110" t="s">
        <v>3247</v>
      </c>
      <c r="Y8" s="11">
        <v>2</v>
      </c>
      <c r="Z8" s="11">
        <v>1</v>
      </c>
      <c r="AA8" s="83">
        <f t="shared" si="35"/>
        <v>23</v>
      </c>
      <c r="AB8" s="11">
        <v>18</v>
      </c>
      <c r="AC8" s="11">
        <v>5</v>
      </c>
      <c r="AD8" s="81">
        <f t="shared" si="5"/>
        <v>24</v>
      </c>
      <c r="AE8" s="82">
        <f t="shared" si="36"/>
        <v>0.95833333333333337</v>
      </c>
      <c r="AF8" s="82">
        <f t="shared" si="37"/>
        <v>0.95833333333333337</v>
      </c>
      <c r="AG8" s="102" t="s">
        <v>3250</v>
      </c>
      <c r="AH8" s="8" t="s">
        <v>204</v>
      </c>
      <c r="AI8" s="8" t="s">
        <v>212</v>
      </c>
      <c r="AJ8" s="35" t="s">
        <v>3251</v>
      </c>
      <c r="AK8" s="8"/>
      <c r="AL8" s="42">
        <f t="shared" si="7"/>
        <v>0</v>
      </c>
      <c r="AM8" s="42">
        <f t="shared" si="8"/>
        <v>34.5</v>
      </c>
      <c r="AN8" s="42">
        <f t="shared" si="9"/>
        <v>0</v>
      </c>
      <c r="AO8" s="42">
        <f t="shared" si="10"/>
        <v>0</v>
      </c>
      <c r="AP8" s="42">
        <f t="shared" si="11"/>
        <v>0</v>
      </c>
      <c r="AQ8" s="42">
        <f t="shared" si="12"/>
        <v>0</v>
      </c>
      <c r="AR8" s="42">
        <f t="shared" si="13"/>
        <v>0</v>
      </c>
      <c r="AS8" s="42">
        <f t="shared" si="14"/>
        <v>0</v>
      </c>
      <c r="AT8" s="42">
        <f t="shared" si="15"/>
        <v>0</v>
      </c>
      <c r="AU8" s="42">
        <f t="shared" si="16"/>
        <v>0</v>
      </c>
      <c r="AV8" s="42">
        <f>IF(M8="ПП",РПП*AA8*(U8/1.5),IF(M8="ВП",ВПр*AA8*(U8/1.5),IF(M8="РПА",РПА*AA8*(U8/1.5),IF(M8="КПА",КПА*AA8*(U8/1.5),0))))</f>
        <v>0</v>
      </c>
      <c r="AW8" s="42">
        <f t="shared" si="17"/>
        <v>0</v>
      </c>
      <c r="AX8" s="42">
        <f t="shared" si="18"/>
        <v>0</v>
      </c>
      <c r="AY8" s="42">
        <f t="shared" si="19"/>
        <v>0</v>
      </c>
      <c r="AZ8" s="42">
        <f t="shared" si="20"/>
        <v>0</v>
      </c>
      <c r="BA8" s="42">
        <f t="shared" si="21"/>
        <v>0</v>
      </c>
      <c r="BB8" s="42">
        <f t="shared" si="22"/>
        <v>0</v>
      </c>
      <c r="BC8" s="42">
        <f t="shared" si="23"/>
        <v>0</v>
      </c>
      <c r="BD8" s="42">
        <f t="shared" si="24"/>
        <v>0</v>
      </c>
      <c r="BE8" s="43">
        <f t="shared" si="25"/>
        <v>34.5</v>
      </c>
      <c r="BF8" s="44"/>
      <c r="BG8" s="45">
        <f t="shared" si="26"/>
        <v>34.5</v>
      </c>
      <c r="BH8" s="45">
        <f t="shared" si="27"/>
        <v>1</v>
      </c>
      <c r="BI8" s="45">
        <f t="shared" si="28"/>
        <v>0</v>
      </c>
      <c r="BJ8" s="46">
        <f t="shared" si="29"/>
        <v>0</v>
      </c>
      <c r="BK8" s="46">
        <f t="shared" si="30"/>
        <v>0</v>
      </c>
      <c r="BL8" s="46">
        <f t="shared" si="31"/>
        <v>0</v>
      </c>
    </row>
    <row r="9" spans="1:64" ht="30" customHeight="1" x14ac:dyDescent="0.25">
      <c r="A9" s="84" t="str">
        <f t="shared" si="2"/>
        <v>Д</v>
      </c>
      <c r="B9" s="84" t="str">
        <f t="shared" si="32"/>
        <v>Б</v>
      </c>
      <c r="C9" s="101" t="s">
        <v>1471</v>
      </c>
      <c r="D9" s="16" t="str">
        <f t="shared" si="33"/>
        <v>'09.03.03</v>
      </c>
      <c r="E9" s="17" t="str">
        <f t="shared" si="34"/>
        <v>Прикладная информатика</v>
      </c>
      <c r="F9" s="9" t="s">
        <v>413</v>
      </c>
      <c r="G9" s="9" t="s">
        <v>42</v>
      </c>
      <c r="H9" s="10"/>
      <c r="I9" s="10"/>
      <c r="J9" s="24" t="s">
        <v>3197</v>
      </c>
      <c r="K9" s="11">
        <v>1</v>
      </c>
      <c r="L9" s="11">
        <v>18</v>
      </c>
      <c r="M9" s="8" t="s">
        <v>24</v>
      </c>
      <c r="N9" s="11"/>
      <c r="O9" s="11"/>
      <c r="P9" s="11">
        <v>2</v>
      </c>
      <c r="Q9" s="8"/>
      <c r="R9" s="12"/>
      <c r="S9" s="12"/>
      <c r="T9" s="12"/>
      <c r="U9" s="12"/>
      <c r="V9" s="12"/>
      <c r="W9" s="83" t="str">
        <f t="shared" si="4"/>
        <v>НПИбд</v>
      </c>
      <c r="X9" s="110" t="s">
        <v>3248</v>
      </c>
      <c r="Y9" s="11">
        <v>1</v>
      </c>
      <c r="Z9" s="11">
        <v>1</v>
      </c>
      <c r="AA9" s="83">
        <f t="shared" si="35"/>
        <v>21</v>
      </c>
      <c r="AB9" s="11">
        <v>17</v>
      </c>
      <c r="AC9" s="11">
        <v>4</v>
      </c>
      <c r="AD9" s="81">
        <f t="shared" si="5"/>
        <v>24</v>
      </c>
      <c r="AE9" s="82">
        <f t="shared" si="36"/>
        <v>0.875</v>
      </c>
      <c r="AF9" s="82">
        <f t="shared" si="37"/>
        <v>0.875</v>
      </c>
      <c r="AG9" s="102" t="s">
        <v>3250</v>
      </c>
      <c r="AH9" s="8" t="s">
        <v>204</v>
      </c>
      <c r="AI9" s="8" t="s">
        <v>212</v>
      </c>
      <c r="AJ9" s="35" t="s">
        <v>3251</v>
      </c>
      <c r="AK9" s="8"/>
      <c r="AL9" s="42">
        <f t="shared" si="7"/>
        <v>0</v>
      </c>
      <c r="AM9" s="42">
        <f t="shared" si="8"/>
        <v>31.5</v>
      </c>
      <c r="AN9" s="42">
        <f t="shared" si="9"/>
        <v>0</v>
      </c>
      <c r="AO9" s="42">
        <f t="shared" si="10"/>
        <v>0</v>
      </c>
      <c r="AP9" s="42">
        <f t="shared" si="11"/>
        <v>0</v>
      </c>
      <c r="AQ9" s="42">
        <f t="shared" si="12"/>
        <v>0</v>
      </c>
      <c r="AR9" s="42">
        <f t="shared" si="13"/>
        <v>0</v>
      </c>
      <c r="AS9" s="42">
        <f t="shared" si="14"/>
        <v>0</v>
      </c>
      <c r="AT9" s="42">
        <f t="shared" si="15"/>
        <v>0</v>
      </c>
      <c r="AU9" s="42">
        <f t="shared" si="16"/>
        <v>0</v>
      </c>
      <c r="AV9" s="42">
        <f>IF(M9="ПП",РПП*AA9*(U9/1.5),IF(M9="ВП",ВПр*AA9*(U9/1.5),IF(M9="РПА",РПА*AA9*(U9/1.5),IF(M9="КПА",КПА*AA9*(U9/1.5),0))))</f>
        <v>0</v>
      </c>
      <c r="AW9" s="42">
        <f t="shared" si="17"/>
        <v>0</v>
      </c>
      <c r="AX9" s="42">
        <f t="shared" si="18"/>
        <v>0</v>
      </c>
      <c r="AY9" s="42">
        <f t="shared" si="19"/>
        <v>0</v>
      </c>
      <c r="AZ9" s="42">
        <f t="shared" si="20"/>
        <v>0</v>
      </c>
      <c r="BA9" s="42">
        <f t="shared" si="21"/>
        <v>0</v>
      </c>
      <c r="BB9" s="42">
        <f t="shared" si="22"/>
        <v>0</v>
      </c>
      <c r="BC9" s="42">
        <f t="shared" si="23"/>
        <v>0</v>
      </c>
      <c r="BD9" s="42">
        <f t="shared" si="24"/>
        <v>0</v>
      </c>
      <c r="BE9" s="43">
        <f t="shared" si="25"/>
        <v>31.5</v>
      </c>
      <c r="BF9" s="44"/>
      <c r="BG9" s="45">
        <f t="shared" si="26"/>
        <v>31.5</v>
      </c>
      <c r="BH9" s="45">
        <f t="shared" si="27"/>
        <v>1</v>
      </c>
      <c r="BI9" s="45">
        <f t="shared" si="28"/>
        <v>0</v>
      </c>
      <c r="BJ9" s="46">
        <f t="shared" si="29"/>
        <v>0</v>
      </c>
      <c r="BK9" s="46">
        <f t="shared" si="30"/>
        <v>0</v>
      </c>
      <c r="BL9" s="46">
        <f t="shared" si="31"/>
        <v>0</v>
      </c>
    </row>
    <row r="10" spans="1:64" ht="30" customHeight="1" x14ac:dyDescent="0.25">
      <c r="A10" s="84" t="str">
        <f t="shared" si="2"/>
        <v>Д</v>
      </c>
      <c r="B10" s="84" t="str">
        <f t="shared" ref="B10:B69" si="38">IF(C10&gt;0, VLOOKUP(C10,Код_ООП,11,FALSE),0)</f>
        <v>Б</v>
      </c>
      <c r="C10" s="101" t="s">
        <v>1471</v>
      </c>
      <c r="D10" s="16" t="str">
        <f t="shared" ref="D10:D69" si="39">IF(C10&gt;0, VLOOKUP(C10,Код_ООП,2,FALSE),0)</f>
        <v>'09.03.03</v>
      </c>
      <c r="E10" s="17" t="str">
        <f t="shared" ref="E10:E69" si="40">IF(C10&gt;0, VLOOKUP(C10,Код_ООП,13,FALSE),0)</f>
        <v>Прикладная информатика</v>
      </c>
      <c r="F10" s="9" t="s">
        <v>413</v>
      </c>
      <c r="G10" s="9" t="s">
        <v>42</v>
      </c>
      <c r="H10" s="10"/>
      <c r="I10" s="10"/>
      <c r="J10" s="24" t="s">
        <v>3198</v>
      </c>
      <c r="K10" s="11">
        <v>1</v>
      </c>
      <c r="L10" s="11">
        <v>18</v>
      </c>
      <c r="M10" s="8" t="s">
        <v>23</v>
      </c>
      <c r="N10" s="11">
        <v>1</v>
      </c>
      <c r="O10" s="11"/>
      <c r="P10" s="11"/>
      <c r="Q10" s="8" t="s">
        <v>103</v>
      </c>
      <c r="R10" s="11"/>
      <c r="S10" s="11"/>
      <c r="T10" s="23"/>
      <c r="U10" s="11"/>
      <c r="V10" s="11"/>
      <c r="W10" s="83" t="str">
        <f t="shared" si="4"/>
        <v>НПИбд</v>
      </c>
      <c r="X10" s="110" t="s">
        <v>3249</v>
      </c>
      <c r="Y10" s="11">
        <v>5</v>
      </c>
      <c r="Z10" s="11">
        <v>3</v>
      </c>
      <c r="AA10" s="83">
        <f t="shared" ref="AA10:AA69" si="41">AB10+AC10</f>
        <v>67</v>
      </c>
      <c r="AB10" s="11">
        <v>53</v>
      </c>
      <c r="AC10" s="11">
        <v>14</v>
      </c>
      <c r="AD10" s="81">
        <f t="shared" si="5"/>
        <v>67</v>
      </c>
      <c r="AE10" s="82">
        <f t="shared" ref="AE10:AE69" si="42">IF(AF10&gt;1,1,AF10)</f>
        <v>1</v>
      </c>
      <c r="AF10" s="82">
        <f t="shared" ref="AF10:AF69" si="43">AA10/AD10</f>
        <v>1</v>
      </c>
      <c r="AG10" s="102" t="s">
        <v>3250</v>
      </c>
      <c r="AH10" s="8" t="s">
        <v>204</v>
      </c>
      <c r="AI10" s="8" t="s">
        <v>212</v>
      </c>
      <c r="AJ10" s="35" t="s">
        <v>3251</v>
      </c>
      <c r="AK10" s="8"/>
      <c r="AL10" s="42">
        <f t="shared" si="7"/>
        <v>18</v>
      </c>
      <c r="AM10" s="42">
        <f t="shared" si="8"/>
        <v>0</v>
      </c>
      <c r="AN10" s="42">
        <f t="shared" si="9"/>
        <v>0</v>
      </c>
      <c r="AO10" s="42">
        <f t="shared" si="10"/>
        <v>22.11</v>
      </c>
      <c r="AP10" s="42">
        <f t="shared" si="11"/>
        <v>33.5</v>
      </c>
      <c r="AQ10" s="42">
        <f t="shared" si="12"/>
        <v>3</v>
      </c>
      <c r="AR10" s="42">
        <f t="shared" si="13"/>
        <v>2.7</v>
      </c>
      <c r="AS10" s="42">
        <f t="shared" si="14"/>
        <v>0</v>
      </c>
      <c r="AT10" s="42">
        <f t="shared" si="15"/>
        <v>0</v>
      </c>
      <c r="AU10" s="42">
        <f t="shared" si="16"/>
        <v>0</v>
      </c>
      <c r="AV10" s="42">
        <f>IF(M10="ПП",РПП*AA10*(U10/1.5),IF(M10="ВП",ВПр*AA10*(U10/1.5),IF(M10="РПА",РПА*AA10*(U10/1.5),IF(M10="КПА",КПА*AA10*(U10/1.5),0))))</f>
        <v>0</v>
      </c>
      <c r="AW10" s="42">
        <f t="shared" si="17"/>
        <v>0</v>
      </c>
      <c r="AX10" s="42">
        <f t="shared" si="18"/>
        <v>0</v>
      </c>
      <c r="AY10" s="42">
        <f t="shared" si="19"/>
        <v>0</v>
      </c>
      <c r="AZ10" s="42">
        <f t="shared" si="20"/>
        <v>0</v>
      </c>
      <c r="BA10" s="42">
        <f t="shared" si="21"/>
        <v>0</v>
      </c>
      <c r="BB10" s="42">
        <f t="shared" si="22"/>
        <v>0</v>
      </c>
      <c r="BC10" s="42">
        <f t="shared" si="23"/>
        <v>0</v>
      </c>
      <c r="BD10" s="42">
        <f t="shared" si="24"/>
        <v>0</v>
      </c>
      <c r="BE10" s="43">
        <f t="shared" si="25"/>
        <v>79.31</v>
      </c>
      <c r="BF10" s="44"/>
      <c r="BG10" s="45">
        <f t="shared" si="26"/>
        <v>18</v>
      </c>
      <c r="BH10" s="45">
        <f t="shared" si="27"/>
        <v>0.5</v>
      </c>
      <c r="BI10" s="45">
        <f t="shared" si="28"/>
        <v>61.31</v>
      </c>
      <c r="BJ10" s="46">
        <f t="shared" si="29"/>
        <v>0</v>
      </c>
      <c r="BK10" s="46">
        <f t="shared" si="30"/>
        <v>0</v>
      </c>
      <c r="BL10" s="46">
        <f t="shared" si="31"/>
        <v>0</v>
      </c>
    </row>
    <row r="11" spans="1:64" ht="30" customHeight="1" x14ac:dyDescent="0.25">
      <c r="A11" s="84" t="str">
        <f t="shared" si="2"/>
        <v>Д</v>
      </c>
      <c r="B11" s="84" t="str">
        <f t="shared" si="38"/>
        <v>Б</v>
      </c>
      <c r="C11" s="101" t="s">
        <v>1471</v>
      </c>
      <c r="D11" s="16" t="str">
        <f t="shared" si="39"/>
        <v>'09.03.03</v>
      </c>
      <c r="E11" s="17" t="str">
        <f t="shared" si="40"/>
        <v>Прикладная информатика</v>
      </c>
      <c r="F11" s="9" t="s">
        <v>413</v>
      </c>
      <c r="G11" s="9" t="s">
        <v>42</v>
      </c>
      <c r="H11" s="10"/>
      <c r="I11" s="10"/>
      <c r="J11" s="24" t="s">
        <v>3198</v>
      </c>
      <c r="K11" s="11">
        <v>1</v>
      </c>
      <c r="L11" s="11">
        <v>18</v>
      </c>
      <c r="M11" s="8" t="s">
        <v>24</v>
      </c>
      <c r="N11" s="11"/>
      <c r="O11" s="11"/>
      <c r="P11" s="11">
        <v>2</v>
      </c>
      <c r="Q11" s="8"/>
      <c r="R11" s="11"/>
      <c r="S11" s="11"/>
      <c r="T11" s="23"/>
      <c r="U11" s="11"/>
      <c r="V11" s="11"/>
      <c r="W11" s="83" t="str">
        <f t="shared" si="4"/>
        <v>НПИбд</v>
      </c>
      <c r="X11" s="110" t="s">
        <v>3246</v>
      </c>
      <c r="Y11" s="11">
        <v>2</v>
      </c>
      <c r="Z11" s="11">
        <v>1</v>
      </c>
      <c r="AA11" s="83">
        <f t="shared" si="41"/>
        <v>23</v>
      </c>
      <c r="AB11" s="11">
        <v>18</v>
      </c>
      <c r="AC11" s="11">
        <v>5</v>
      </c>
      <c r="AD11" s="81">
        <f t="shared" si="5"/>
        <v>24</v>
      </c>
      <c r="AE11" s="82">
        <f t="shared" si="42"/>
        <v>0.95833333333333337</v>
      </c>
      <c r="AF11" s="82">
        <f t="shared" si="43"/>
        <v>0.95833333333333337</v>
      </c>
      <c r="AG11" s="102" t="s">
        <v>3250</v>
      </c>
      <c r="AH11" s="8" t="s">
        <v>204</v>
      </c>
      <c r="AI11" s="8" t="s">
        <v>212</v>
      </c>
      <c r="AJ11" s="35" t="s">
        <v>3251</v>
      </c>
      <c r="AK11" s="8"/>
      <c r="AL11" s="42">
        <f t="shared" si="7"/>
        <v>0</v>
      </c>
      <c r="AM11" s="42">
        <f t="shared" si="8"/>
        <v>34.5</v>
      </c>
      <c r="AN11" s="42">
        <f t="shared" si="9"/>
        <v>0</v>
      </c>
      <c r="AO11" s="42">
        <f t="shared" si="10"/>
        <v>0</v>
      </c>
      <c r="AP11" s="42">
        <f t="shared" si="11"/>
        <v>0</v>
      </c>
      <c r="AQ11" s="42">
        <f t="shared" si="12"/>
        <v>0</v>
      </c>
      <c r="AR11" s="42">
        <f t="shared" si="13"/>
        <v>0</v>
      </c>
      <c r="AS11" s="42">
        <f t="shared" si="14"/>
        <v>0</v>
      </c>
      <c r="AT11" s="42">
        <f t="shared" si="15"/>
        <v>0</v>
      </c>
      <c r="AU11" s="42">
        <f t="shared" si="16"/>
        <v>0</v>
      </c>
      <c r="AV11" s="42">
        <f>IF(M11="ПП",РПП*AA11*(U11/1.5),IF(M11="ВП",ВПр*AA11*(U11/1.5),IF(M11="РПА",РПА*AA11*(U11/1.5),IF(M11="КПА",КПА*AA11*(U11/1.5),0))))</f>
        <v>0</v>
      </c>
      <c r="AW11" s="42">
        <f t="shared" si="17"/>
        <v>0</v>
      </c>
      <c r="AX11" s="42">
        <f t="shared" si="18"/>
        <v>0</v>
      </c>
      <c r="AY11" s="42">
        <f t="shared" si="19"/>
        <v>0</v>
      </c>
      <c r="AZ11" s="42">
        <f t="shared" si="20"/>
        <v>0</v>
      </c>
      <c r="BA11" s="42">
        <f t="shared" si="21"/>
        <v>0</v>
      </c>
      <c r="BB11" s="42">
        <f t="shared" si="22"/>
        <v>0</v>
      </c>
      <c r="BC11" s="42">
        <f t="shared" si="23"/>
        <v>0</v>
      </c>
      <c r="BD11" s="42">
        <f t="shared" si="24"/>
        <v>0</v>
      </c>
      <c r="BE11" s="43">
        <f t="shared" si="25"/>
        <v>34.5</v>
      </c>
      <c r="BF11" s="44"/>
      <c r="BG11" s="45">
        <f t="shared" si="26"/>
        <v>34.5</v>
      </c>
      <c r="BH11" s="45">
        <f t="shared" si="27"/>
        <v>1</v>
      </c>
      <c r="BI11" s="45">
        <f t="shared" si="28"/>
        <v>0</v>
      </c>
      <c r="BJ11" s="46">
        <f t="shared" si="29"/>
        <v>0</v>
      </c>
      <c r="BK11" s="46">
        <f t="shared" si="30"/>
        <v>0</v>
      </c>
      <c r="BL11" s="46">
        <f t="shared" si="31"/>
        <v>0</v>
      </c>
    </row>
    <row r="12" spans="1:64" ht="30" customHeight="1" x14ac:dyDescent="0.25">
      <c r="A12" s="84" t="str">
        <f t="shared" si="2"/>
        <v>Д</v>
      </c>
      <c r="B12" s="84" t="str">
        <f t="shared" si="38"/>
        <v>Б</v>
      </c>
      <c r="C12" s="101" t="s">
        <v>1471</v>
      </c>
      <c r="D12" s="16" t="str">
        <f t="shared" si="39"/>
        <v>'09.03.03</v>
      </c>
      <c r="E12" s="17" t="str">
        <f t="shared" si="40"/>
        <v>Прикладная информатика</v>
      </c>
      <c r="F12" s="9" t="s">
        <v>413</v>
      </c>
      <c r="G12" s="9" t="s">
        <v>42</v>
      </c>
      <c r="H12" s="10"/>
      <c r="I12" s="10"/>
      <c r="J12" s="24" t="s">
        <v>3198</v>
      </c>
      <c r="K12" s="11">
        <v>1</v>
      </c>
      <c r="L12" s="11">
        <v>18</v>
      </c>
      <c r="M12" s="8" t="s">
        <v>24</v>
      </c>
      <c r="N12" s="11"/>
      <c r="O12" s="11"/>
      <c r="P12" s="11">
        <v>2</v>
      </c>
      <c r="Q12" s="8"/>
      <c r="R12" s="11"/>
      <c r="S12" s="11"/>
      <c r="T12" s="23"/>
      <c r="U12" s="11"/>
      <c r="V12" s="11"/>
      <c r="W12" s="83" t="str">
        <f t="shared" si="4"/>
        <v>НПИбд</v>
      </c>
      <c r="X12" s="110" t="s">
        <v>3247</v>
      </c>
      <c r="Y12" s="11">
        <v>2</v>
      </c>
      <c r="Z12" s="11">
        <v>1</v>
      </c>
      <c r="AA12" s="83">
        <f t="shared" si="41"/>
        <v>23</v>
      </c>
      <c r="AB12" s="11">
        <v>18</v>
      </c>
      <c r="AC12" s="11">
        <v>5</v>
      </c>
      <c r="AD12" s="81">
        <f t="shared" si="5"/>
        <v>24</v>
      </c>
      <c r="AE12" s="82">
        <f t="shared" si="42"/>
        <v>0.95833333333333337</v>
      </c>
      <c r="AF12" s="82">
        <f t="shared" si="43"/>
        <v>0.95833333333333337</v>
      </c>
      <c r="AG12" s="102" t="s">
        <v>3250</v>
      </c>
      <c r="AH12" s="8" t="s">
        <v>204</v>
      </c>
      <c r="AI12" s="8" t="s">
        <v>212</v>
      </c>
      <c r="AJ12" s="35" t="s">
        <v>3251</v>
      </c>
      <c r="AK12" s="8"/>
      <c r="AL12" s="42">
        <f t="shared" si="7"/>
        <v>0</v>
      </c>
      <c r="AM12" s="42">
        <f t="shared" si="8"/>
        <v>34.5</v>
      </c>
      <c r="AN12" s="42">
        <f t="shared" si="9"/>
        <v>0</v>
      </c>
      <c r="AO12" s="42">
        <f t="shared" si="10"/>
        <v>0</v>
      </c>
      <c r="AP12" s="42">
        <f t="shared" si="11"/>
        <v>0</v>
      </c>
      <c r="AQ12" s="42">
        <f t="shared" si="12"/>
        <v>0</v>
      </c>
      <c r="AR12" s="42">
        <f t="shared" si="13"/>
        <v>0</v>
      </c>
      <c r="AS12" s="42">
        <f t="shared" si="14"/>
        <v>0</v>
      </c>
      <c r="AT12" s="42">
        <f t="shared" si="15"/>
        <v>0</v>
      </c>
      <c r="AU12" s="42">
        <f t="shared" si="16"/>
        <v>0</v>
      </c>
      <c r="AV12" s="42">
        <f>IF(M12="ПП",РПП*AA12*(U12/1.5),IF(M12="ВП",ВПр*AA12*(U12/1.5),IF(M12="РПА",РПА*AA12*(U12/1.5),IF(M12="КПА",КПА*AA12*(U12/1.5),0))))</f>
        <v>0</v>
      </c>
      <c r="AW12" s="42">
        <f t="shared" si="17"/>
        <v>0</v>
      </c>
      <c r="AX12" s="42">
        <f t="shared" si="18"/>
        <v>0</v>
      </c>
      <c r="AY12" s="42">
        <f t="shared" si="19"/>
        <v>0</v>
      </c>
      <c r="AZ12" s="42">
        <f t="shared" si="20"/>
        <v>0</v>
      </c>
      <c r="BA12" s="42">
        <f t="shared" si="21"/>
        <v>0</v>
      </c>
      <c r="BB12" s="42">
        <f t="shared" si="22"/>
        <v>0</v>
      </c>
      <c r="BC12" s="42">
        <f t="shared" si="23"/>
        <v>0</v>
      </c>
      <c r="BD12" s="42">
        <f t="shared" si="24"/>
        <v>0</v>
      </c>
      <c r="BE12" s="43">
        <f t="shared" si="25"/>
        <v>34.5</v>
      </c>
      <c r="BF12" s="44"/>
      <c r="BG12" s="45">
        <f t="shared" si="26"/>
        <v>34.5</v>
      </c>
      <c r="BH12" s="45">
        <f t="shared" si="27"/>
        <v>1</v>
      </c>
      <c r="BI12" s="45">
        <f t="shared" si="28"/>
        <v>0</v>
      </c>
      <c r="BJ12" s="46">
        <f t="shared" si="29"/>
        <v>0</v>
      </c>
      <c r="BK12" s="46">
        <f t="shared" si="30"/>
        <v>0</v>
      </c>
      <c r="BL12" s="46">
        <f t="shared" si="31"/>
        <v>0</v>
      </c>
    </row>
    <row r="13" spans="1:64" ht="30" customHeight="1" x14ac:dyDescent="0.25">
      <c r="A13" s="84" t="str">
        <f t="shared" si="2"/>
        <v>Д</v>
      </c>
      <c r="B13" s="84" t="str">
        <f t="shared" si="38"/>
        <v>Б</v>
      </c>
      <c r="C13" s="101" t="s">
        <v>1471</v>
      </c>
      <c r="D13" s="16" t="str">
        <f t="shared" si="39"/>
        <v>'09.03.03</v>
      </c>
      <c r="E13" s="17" t="str">
        <f t="shared" si="40"/>
        <v>Прикладная информатика</v>
      </c>
      <c r="F13" s="9" t="s">
        <v>413</v>
      </c>
      <c r="G13" s="9" t="s">
        <v>42</v>
      </c>
      <c r="H13" s="10"/>
      <c r="I13" s="10"/>
      <c r="J13" s="24" t="s">
        <v>3198</v>
      </c>
      <c r="K13" s="11">
        <v>1</v>
      </c>
      <c r="L13" s="11">
        <v>18</v>
      </c>
      <c r="M13" s="8" t="s">
        <v>24</v>
      </c>
      <c r="N13" s="11"/>
      <c r="O13" s="11"/>
      <c r="P13" s="11">
        <v>2</v>
      </c>
      <c r="Q13" s="8"/>
      <c r="R13" s="11"/>
      <c r="S13" s="11"/>
      <c r="T13" s="23"/>
      <c r="U13" s="11"/>
      <c r="V13" s="11"/>
      <c r="W13" s="83" t="str">
        <f t="shared" si="4"/>
        <v>НПИбд</v>
      </c>
      <c r="X13" s="110" t="s">
        <v>3248</v>
      </c>
      <c r="Y13" s="11">
        <v>1</v>
      </c>
      <c r="Z13" s="11">
        <v>1</v>
      </c>
      <c r="AA13" s="83">
        <f t="shared" si="41"/>
        <v>21</v>
      </c>
      <c r="AB13" s="11">
        <v>17</v>
      </c>
      <c r="AC13" s="11">
        <v>4</v>
      </c>
      <c r="AD13" s="81">
        <f t="shared" si="5"/>
        <v>24</v>
      </c>
      <c r="AE13" s="82">
        <f t="shared" si="42"/>
        <v>0.875</v>
      </c>
      <c r="AF13" s="82">
        <f t="shared" si="43"/>
        <v>0.875</v>
      </c>
      <c r="AG13" s="102" t="s">
        <v>3250</v>
      </c>
      <c r="AH13" s="8" t="s">
        <v>204</v>
      </c>
      <c r="AI13" s="8" t="s">
        <v>212</v>
      </c>
      <c r="AJ13" s="35" t="s">
        <v>3251</v>
      </c>
      <c r="AK13" s="8"/>
      <c r="AL13" s="42">
        <f t="shared" si="7"/>
        <v>0</v>
      </c>
      <c r="AM13" s="42">
        <f t="shared" si="8"/>
        <v>31.5</v>
      </c>
      <c r="AN13" s="42">
        <f t="shared" si="9"/>
        <v>0</v>
      </c>
      <c r="AO13" s="42">
        <f t="shared" si="10"/>
        <v>0</v>
      </c>
      <c r="AP13" s="42">
        <f t="shared" si="11"/>
        <v>0</v>
      </c>
      <c r="AQ13" s="42">
        <f t="shared" si="12"/>
        <v>0</v>
      </c>
      <c r="AR13" s="42">
        <f t="shared" si="13"/>
        <v>0</v>
      </c>
      <c r="AS13" s="42">
        <f t="shared" si="14"/>
        <v>0</v>
      </c>
      <c r="AT13" s="42">
        <f t="shared" si="15"/>
        <v>0</v>
      </c>
      <c r="AU13" s="42">
        <f t="shared" si="16"/>
        <v>0</v>
      </c>
      <c r="AV13" s="42">
        <f>IF(M13="ПП",РПП*AA13*(U13/1.5),IF(M13="ВП",ВПр*AA13*(U13/1.5),IF(M13="РПА",РПА*AA13*(U13/1.5),IF(M13="КПА",КПА*AA13*(U13/1.5),0))))</f>
        <v>0</v>
      </c>
      <c r="AW13" s="42">
        <f t="shared" si="17"/>
        <v>0</v>
      </c>
      <c r="AX13" s="42">
        <f t="shared" si="18"/>
        <v>0</v>
      </c>
      <c r="AY13" s="42">
        <f t="shared" si="19"/>
        <v>0</v>
      </c>
      <c r="AZ13" s="42">
        <f t="shared" si="20"/>
        <v>0</v>
      </c>
      <c r="BA13" s="42">
        <f t="shared" si="21"/>
        <v>0</v>
      </c>
      <c r="BB13" s="42">
        <f t="shared" si="22"/>
        <v>0</v>
      </c>
      <c r="BC13" s="42">
        <f t="shared" si="23"/>
        <v>0</v>
      </c>
      <c r="BD13" s="42">
        <f t="shared" si="24"/>
        <v>0</v>
      </c>
      <c r="BE13" s="43">
        <f t="shared" si="25"/>
        <v>31.5</v>
      </c>
      <c r="BF13" s="44"/>
      <c r="BG13" s="45">
        <f t="shared" si="26"/>
        <v>31.5</v>
      </c>
      <c r="BH13" s="45">
        <f t="shared" si="27"/>
        <v>1</v>
      </c>
      <c r="BI13" s="45">
        <f t="shared" si="28"/>
        <v>0</v>
      </c>
      <c r="BJ13" s="46">
        <f t="shared" si="29"/>
        <v>0</v>
      </c>
      <c r="BK13" s="46">
        <f t="shared" si="30"/>
        <v>0</v>
      </c>
      <c r="BL13" s="46">
        <f t="shared" si="31"/>
        <v>0</v>
      </c>
    </row>
    <row r="14" spans="1:64" ht="30" customHeight="1" x14ac:dyDescent="0.25">
      <c r="A14" s="84" t="str">
        <f t="shared" si="2"/>
        <v>Д</v>
      </c>
      <c r="B14" s="84" t="str">
        <f t="shared" si="38"/>
        <v>Б</v>
      </c>
      <c r="C14" s="101" t="s">
        <v>1471</v>
      </c>
      <c r="D14" s="16" t="str">
        <f t="shared" si="39"/>
        <v>'09.03.03</v>
      </c>
      <c r="E14" s="17" t="str">
        <f t="shared" si="40"/>
        <v>Прикладная информатика</v>
      </c>
      <c r="F14" s="9" t="s">
        <v>413</v>
      </c>
      <c r="G14" s="9" t="s">
        <v>42</v>
      </c>
      <c r="H14" s="10"/>
      <c r="I14" s="10"/>
      <c r="J14" s="24" t="s">
        <v>3198</v>
      </c>
      <c r="K14" s="11">
        <v>2</v>
      </c>
      <c r="L14" s="11">
        <v>18</v>
      </c>
      <c r="M14" s="8" t="s">
        <v>23</v>
      </c>
      <c r="N14" s="11">
        <v>2</v>
      </c>
      <c r="O14" s="11"/>
      <c r="P14" s="11"/>
      <c r="Q14" s="8" t="s">
        <v>103</v>
      </c>
      <c r="R14" s="11"/>
      <c r="S14" s="11"/>
      <c r="T14" s="23"/>
      <c r="U14" s="11"/>
      <c r="V14" s="11"/>
      <c r="W14" s="83" t="str">
        <f t="shared" si="4"/>
        <v>НПИбд</v>
      </c>
      <c r="X14" s="110" t="s">
        <v>3249</v>
      </c>
      <c r="Y14" s="11">
        <v>5</v>
      </c>
      <c r="Z14" s="11">
        <v>3</v>
      </c>
      <c r="AA14" s="83">
        <f t="shared" si="41"/>
        <v>67</v>
      </c>
      <c r="AB14" s="11">
        <v>53</v>
      </c>
      <c r="AC14" s="11">
        <v>14</v>
      </c>
      <c r="AD14" s="81">
        <f t="shared" si="5"/>
        <v>67</v>
      </c>
      <c r="AE14" s="82">
        <f t="shared" si="42"/>
        <v>1</v>
      </c>
      <c r="AF14" s="82">
        <f t="shared" si="43"/>
        <v>1</v>
      </c>
      <c r="AG14" s="102" t="s">
        <v>3250</v>
      </c>
      <c r="AH14" s="8" t="s">
        <v>204</v>
      </c>
      <c r="AI14" s="8" t="s">
        <v>212</v>
      </c>
      <c r="AJ14" s="35" t="s">
        <v>3252</v>
      </c>
      <c r="AK14" s="8"/>
      <c r="AL14" s="42">
        <f t="shared" si="7"/>
        <v>36</v>
      </c>
      <c r="AM14" s="42">
        <f t="shared" si="8"/>
        <v>0</v>
      </c>
      <c r="AN14" s="42">
        <f t="shared" si="9"/>
        <v>0</v>
      </c>
      <c r="AO14" s="42">
        <f t="shared" si="10"/>
        <v>22.11</v>
      </c>
      <c r="AP14" s="42">
        <f t="shared" si="11"/>
        <v>33.5</v>
      </c>
      <c r="AQ14" s="42">
        <f t="shared" si="12"/>
        <v>3</v>
      </c>
      <c r="AR14" s="42">
        <f t="shared" si="13"/>
        <v>5.4</v>
      </c>
      <c r="AS14" s="42">
        <f t="shared" si="14"/>
        <v>0</v>
      </c>
      <c r="AT14" s="42">
        <f t="shared" si="15"/>
        <v>0</v>
      </c>
      <c r="AU14" s="42">
        <f t="shared" si="16"/>
        <v>0</v>
      </c>
      <c r="AV14" s="42">
        <f>IF(M14="ПП",РПП*AA14*(U14/1.5),IF(M14="ВП",ВПр*AA14*(U14/1.5),IF(M14="РПА",РПА*AA14*(U14/1.5),IF(M14="КПА",КПА*AA14*(U14/1.5),0))))</f>
        <v>0</v>
      </c>
      <c r="AW14" s="42">
        <f t="shared" si="17"/>
        <v>0</v>
      </c>
      <c r="AX14" s="42">
        <f t="shared" si="18"/>
        <v>0</v>
      </c>
      <c r="AY14" s="42">
        <f t="shared" si="19"/>
        <v>0</v>
      </c>
      <c r="AZ14" s="42">
        <f t="shared" si="20"/>
        <v>0</v>
      </c>
      <c r="BA14" s="42">
        <f t="shared" si="21"/>
        <v>0</v>
      </c>
      <c r="BB14" s="42">
        <f t="shared" si="22"/>
        <v>0</v>
      </c>
      <c r="BC14" s="42">
        <f t="shared" si="23"/>
        <v>0</v>
      </c>
      <c r="BD14" s="42">
        <f t="shared" si="24"/>
        <v>0</v>
      </c>
      <c r="BE14" s="43">
        <f t="shared" si="25"/>
        <v>100.01</v>
      </c>
      <c r="BF14" s="44"/>
      <c r="BG14" s="45">
        <f t="shared" si="26"/>
        <v>0</v>
      </c>
      <c r="BH14" s="45">
        <f t="shared" si="27"/>
        <v>0</v>
      </c>
      <c r="BI14" s="45">
        <f t="shared" si="28"/>
        <v>0</v>
      </c>
      <c r="BJ14" s="46">
        <f t="shared" si="29"/>
        <v>36</v>
      </c>
      <c r="BK14" s="46">
        <f t="shared" si="30"/>
        <v>1</v>
      </c>
      <c r="BL14" s="46">
        <f t="shared" si="31"/>
        <v>64.010000000000005</v>
      </c>
    </row>
    <row r="15" spans="1:64" ht="30" customHeight="1" x14ac:dyDescent="0.25">
      <c r="A15" s="84" t="str">
        <f t="shared" si="2"/>
        <v>Д</v>
      </c>
      <c r="B15" s="84" t="str">
        <f t="shared" si="38"/>
        <v>Б</v>
      </c>
      <c r="C15" s="101" t="s">
        <v>1471</v>
      </c>
      <c r="D15" s="16" t="str">
        <f t="shared" si="39"/>
        <v>'09.03.03</v>
      </c>
      <c r="E15" s="17" t="str">
        <f t="shared" si="40"/>
        <v>Прикладная информатика</v>
      </c>
      <c r="F15" s="9" t="s">
        <v>413</v>
      </c>
      <c r="G15" s="9" t="s">
        <v>42</v>
      </c>
      <c r="H15" s="10"/>
      <c r="I15" s="10"/>
      <c r="J15" s="24" t="s">
        <v>3198</v>
      </c>
      <c r="K15" s="11">
        <v>2</v>
      </c>
      <c r="L15" s="11">
        <v>18</v>
      </c>
      <c r="M15" s="8" t="s">
        <v>24</v>
      </c>
      <c r="N15" s="11"/>
      <c r="O15" s="11"/>
      <c r="P15" s="11">
        <v>2</v>
      </c>
      <c r="Q15" s="8"/>
      <c r="R15" s="11"/>
      <c r="S15" s="11"/>
      <c r="T15" s="23"/>
      <c r="U15" s="11"/>
      <c r="V15" s="11"/>
      <c r="W15" s="83" t="str">
        <f t="shared" si="4"/>
        <v>НПИбд</v>
      </c>
      <c r="X15" s="110" t="s">
        <v>3246</v>
      </c>
      <c r="Y15" s="11">
        <v>2</v>
      </c>
      <c r="Z15" s="11">
        <v>1</v>
      </c>
      <c r="AA15" s="83">
        <f t="shared" si="41"/>
        <v>23</v>
      </c>
      <c r="AB15" s="11">
        <v>18</v>
      </c>
      <c r="AC15" s="11">
        <v>5</v>
      </c>
      <c r="AD15" s="81">
        <f t="shared" si="5"/>
        <v>24</v>
      </c>
      <c r="AE15" s="82">
        <f t="shared" si="42"/>
        <v>0.95833333333333337</v>
      </c>
      <c r="AF15" s="82">
        <f t="shared" si="43"/>
        <v>0.95833333333333337</v>
      </c>
      <c r="AG15" s="102" t="s">
        <v>3250</v>
      </c>
      <c r="AH15" s="8" t="s">
        <v>204</v>
      </c>
      <c r="AI15" s="8" t="s">
        <v>212</v>
      </c>
      <c r="AJ15" s="35" t="s">
        <v>3251</v>
      </c>
      <c r="AK15" s="8"/>
      <c r="AL15" s="42">
        <f t="shared" si="7"/>
        <v>0</v>
      </c>
      <c r="AM15" s="42">
        <f t="shared" si="8"/>
        <v>34.5</v>
      </c>
      <c r="AN15" s="42">
        <f t="shared" si="9"/>
        <v>0</v>
      </c>
      <c r="AO15" s="42">
        <f t="shared" si="10"/>
        <v>0</v>
      </c>
      <c r="AP15" s="42">
        <f t="shared" si="11"/>
        <v>0</v>
      </c>
      <c r="AQ15" s="42">
        <f t="shared" si="12"/>
        <v>0</v>
      </c>
      <c r="AR15" s="42">
        <f t="shared" si="13"/>
        <v>0</v>
      </c>
      <c r="AS15" s="42">
        <f t="shared" si="14"/>
        <v>0</v>
      </c>
      <c r="AT15" s="42">
        <f t="shared" si="15"/>
        <v>0</v>
      </c>
      <c r="AU15" s="42">
        <f t="shared" si="16"/>
        <v>0</v>
      </c>
      <c r="AV15" s="42">
        <f>IF(M15="ПП",РПП*AA15*(U15/1.5),IF(M15="ВП",ВПр*AA15*(U15/1.5),IF(M15="РПА",РПА*AA15*(U15/1.5),IF(M15="КПА",КПА*AA15*(U15/1.5),0))))</f>
        <v>0</v>
      </c>
      <c r="AW15" s="42">
        <f t="shared" si="17"/>
        <v>0</v>
      </c>
      <c r="AX15" s="42">
        <f t="shared" si="18"/>
        <v>0</v>
      </c>
      <c r="AY15" s="42">
        <f t="shared" si="19"/>
        <v>0</v>
      </c>
      <c r="AZ15" s="42">
        <f t="shared" si="20"/>
        <v>0</v>
      </c>
      <c r="BA15" s="42">
        <f t="shared" si="21"/>
        <v>0</v>
      </c>
      <c r="BB15" s="42">
        <f t="shared" si="22"/>
        <v>0</v>
      </c>
      <c r="BC15" s="42">
        <f t="shared" si="23"/>
        <v>0</v>
      </c>
      <c r="BD15" s="42">
        <f t="shared" si="24"/>
        <v>0</v>
      </c>
      <c r="BE15" s="43">
        <f t="shared" si="25"/>
        <v>34.5</v>
      </c>
      <c r="BF15" s="44"/>
      <c r="BG15" s="45">
        <f t="shared" si="26"/>
        <v>0</v>
      </c>
      <c r="BH15" s="45">
        <f t="shared" si="27"/>
        <v>0</v>
      </c>
      <c r="BI15" s="45">
        <f t="shared" si="28"/>
        <v>0</v>
      </c>
      <c r="BJ15" s="46">
        <f t="shared" si="29"/>
        <v>34.5</v>
      </c>
      <c r="BK15" s="46">
        <f t="shared" si="30"/>
        <v>1</v>
      </c>
      <c r="BL15" s="46">
        <f t="shared" si="31"/>
        <v>0</v>
      </c>
    </row>
    <row r="16" spans="1:64" ht="30" customHeight="1" x14ac:dyDescent="0.25">
      <c r="A16" s="84" t="str">
        <f t="shared" si="2"/>
        <v>Д</v>
      </c>
      <c r="B16" s="84" t="str">
        <f t="shared" si="38"/>
        <v>Б</v>
      </c>
      <c r="C16" s="101" t="s">
        <v>1471</v>
      </c>
      <c r="D16" s="16" t="str">
        <f t="shared" si="39"/>
        <v>'09.03.03</v>
      </c>
      <c r="E16" s="17" t="str">
        <f t="shared" si="40"/>
        <v>Прикладная информатика</v>
      </c>
      <c r="F16" s="9" t="s">
        <v>413</v>
      </c>
      <c r="G16" s="9" t="s">
        <v>42</v>
      </c>
      <c r="H16" s="10"/>
      <c r="I16" s="10"/>
      <c r="J16" s="24" t="s">
        <v>3198</v>
      </c>
      <c r="K16" s="11">
        <v>2</v>
      </c>
      <c r="L16" s="11">
        <v>18</v>
      </c>
      <c r="M16" s="8" t="s">
        <v>24</v>
      </c>
      <c r="N16" s="11"/>
      <c r="O16" s="11"/>
      <c r="P16" s="11">
        <v>2</v>
      </c>
      <c r="Q16" s="8"/>
      <c r="R16" s="11"/>
      <c r="S16" s="11"/>
      <c r="T16" s="23"/>
      <c r="U16" s="11"/>
      <c r="V16" s="11"/>
      <c r="W16" s="83" t="str">
        <f t="shared" si="4"/>
        <v>НПИбд</v>
      </c>
      <c r="X16" s="110" t="s">
        <v>3247</v>
      </c>
      <c r="Y16" s="11">
        <v>2</v>
      </c>
      <c r="Z16" s="11">
        <v>1</v>
      </c>
      <c r="AA16" s="83">
        <f t="shared" si="41"/>
        <v>23</v>
      </c>
      <c r="AB16" s="11">
        <v>18</v>
      </c>
      <c r="AC16" s="11">
        <v>5</v>
      </c>
      <c r="AD16" s="81">
        <f t="shared" si="5"/>
        <v>24</v>
      </c>
      <c r="AE16" s="82">
        <f t="shared" si="42"/>
        <v>0.95833333333333337</v>
      </c>
      <c r="AF16" s="82">
        <f t="shared" si="43"/>
        <v>0.95833333333333337</v>
      </c>
      <c r="AG16" s="102" t="s">
        <v>3250</v>
      </c>
      <c r="AH16" s="8" t="s">
        <v>204</v>
      </c>
      <c r="AI16" s="8" t="s">
        <v>212</v>
      </c>
      <c r="AJ16" s="35" t="s">
        <v>3251</v>
      </c>
      <c r="AK16" s="8"/>
      <c r="AL16" s="42">
        <f t="shared" si="7"/>
        <v>0</v>
      </c>
      <c r="AM16" s="42">
        <f t="shared" si="8"/>
        <v>34.5</v>
      </c>
      <c r="AN16" s="42">
        <f t="shared" si="9"/>
        <v>0</v>
      </c>
      <c r="AO16" s="42">
        <f t="shared" si="10"/>
        <v>0</v>
      </c>
      <c r="AP16" s="42">
        <f t="shared" si="11"/>
        <v>0</v>
      </c>
      <c r="AQ16" s="42">
        <f t="shared" si="12"/>
        <v>0</v>
      </c>
      <c r="AR16" s="42">
        <f t="shared" si="13"/>
        <v>0</v>
      </c>
      <c r="AS16" s="42">
        <f t="shared" si="14"/>
        <v>0</v>
      </c>
      <c r="AT16" s="42">
        <f t="shared" si="15"/>
        <v>0</v>
      </c>
      <c r="AU16" s="42">
        <f t="shared" si="16"/>
        <v>0</v>
      </c>
      <c r="AV16" s="42">
        <f>IF(M16="ПП",РПП*AA16*(U16/1.5),IF(M16="ВП",ВПр*AA16*(U16/1.5),IF(M16="РПА",РПА*AA16*(U16/1.5),IF(M16="КПА",КПА*AA16*(U16/1.5),0))))</f>
        <v>0</v>
      </c>
      <c r="AW16" s="42">
        <f t="shared" si="17"/>
        <v>0</v>
      </c>
      <c r="AX16" s="42">
        <f t="shared" si="18"/>
        <v>0</v>
      </c>
      <c r="AY16" s="42">
        <f t="shared" si="19"/>
        <v>0</v>
      </c>
      <c r="AZ16" s="42">
        <f t="shared" si="20"/>
        <v>0</v>
      </c>
      <c r="BA16" s="42">
        <f t="shared" si="21"/>
        <v>0</v>
      </c>
      <c r="BB16" s="42">
        <f t="shared" si="22"/>
        <v>0</v>
      </c>
      <c r="BC16" s="42">
        <f t="shared" si="23"/>
        <v>0</v>
      </c>
      <c r="BD16" s="42">
        <f t="shared" si="24"/>
        <v>0</v>
      </c>
      <c r="BE16" s="43">
        <f t="shared" si="25"/>
        <v>34.5</v>
      </c>
      <c r="BF16" s="44"/>
      <c r="BG16" s="45">
        <f t="shared" si="26"/>
        <v>0</v>
      </c>
      <c r="BH16" s="45">
        <f t="shared" si="27"/>
        <v>0</v>
      </c>
      <c r="BI16" s="45">
        <f t="shared" si="28"/>
        <v>0</v>
      </c>
      <c r="BJ16" s="46">
        <f t="shared" si="29"/>
        <v>34.5</v>
      </c>
      <c r="BK16" s="46">
        <f t="shared" si="30"/>
        <v>1</v>
      </c>
      <c r="BL16" s="46">
        <f t="shared" si="31"/>
        <v>0</v>
      </c>
    </row>
    <row r="17" spans="1:64" ht="30" customHeight="1" x14ac:dyDescent="0.25">
      <c r="A17" s="84" t="str">
        <f t="shared" si="2"/>
        <v>Д</v>
      </c>
      <c r="B17" s="84" t="str">
        <f t="shared" si="38"/>
        <v>Б</v>
      </c>
      <c r="C17" s="101" t="s">
        <v>1471</v>
      </c>
      <c r="D17" s="16" t="str">
        <f t="shared" si="39"/>
        <v>'09.03.03</v>
      </c>
      <c r="E17" s="17" t="str">
        <f t="shared" si="40"/>
        <v>Прикладная информатика</v>
      </c>
      <c r="F17" s="9" t="s">
        <v>413</v>
      </c>
      <c r="G17" s="9" t="s">
        <v>42</v>
      </c>
      <c r="H17" s="10"/>
      <c r="I17" s="10"/>
      <c r="J17" s="24" t="s">
        <v>3198</v>
      </c>
      <c r="K17" s="11">
        <v>2</v>
      </c>
      <c r="L17" s="11">
        <v>18</v>
      </c>
      <c r="M17" s="8" t="s">
        <v>24</v>
      </c>
      <c r="N17" s="11"/>
      <c r="O17" s="11"/>
      <c r="P17" s="11">
        <v>2</v>
      </c>
      <c r="Q17" s="8"/>
      <c r="R17" s="11"/>
      <c r="S17" s="11"/>
      <c r="T17" s="23"/>
      <c r="U17" s="11"/>
      <c r="V17" s="11"/>
      <c r="W17" s="83" t="str">
        <f t="shared" si="4"/>
        <v>НПИбд</v>
      </c>
      <c r="X17" s="110" t="s">
        <v>3248</v>
      </c>
      <c r="Y17" s="11">
        <v>1</v>
      </c>
      <c r="Z17" s="11">
        <v>1</v>
      </c>
      <c r="AA17" s="83">
        <f t="shared" si="41"/>
        <v>21</v>
      </c>
      <c r="AB17" s="11">
        <v>17</v>
      </c>
      <c r="AC17" s="11">
        <v>4</v>
      </c>
      <c r="AD17" s="81">
        <f t="shared" si="5"/>
        <v>24</v>
      </c>
      <c r="AE17" s="82">
        <f t="shared" si="42"/>
        <v>0.875</v>
      </c>
      <c r="AF17" s="82">
        <f t="shared" si="43"/>
        <v>0.875</v>
      </c>
      <c r="AG17" s="102" t="s">
        <v>3250</v>
      </c>
      <c r="AH17" s="8" t="s">
        <v>204</v>
      </c>
      <c r="AI17" s="8" t="s">
        <v>212</v>
      </c>
      <c r="AJ17" s="35" t="s">
        <v>3251</v>
      </c>
      <c r="AK17" s="8"/>
      <c r="AL17" s="42">
        <f t="shared" si="7"/>
        <v>0</v>
      </c>
      <c r="AM17" s="42">
        <f t="shared" si="8"/>
        <v>31.5</v>
      </c>
      <c r="AN17" s="42">
        <f t="shared" si="9"/>
        <v>0</v>
      </c>
      <c r="AO17" s="42">
        <f t="shared" si="10"/>
        <v>0</v>
      </c>
      <c r="AP17" s="42">
        <f t="shared" si="11"/>
        <v>0</v>
      </c>
      <c r="AQ17" s="42">
        <f t="shared" si="12"/>
        <v>0</v>
      </c>
      <c r="AR17" s="42">
        <f t="shared" si="13"/>
        <v>0</v>
      </c>
      <c r="AS17" s="42">
        <f t="shared" si="14"/>
        <v>0</v>
      </c>
      <c r="AT17" s="42">
        <f t="shared" si="15"/>
        <v>0</v>
      </c>
      <c r="AU17" s="42">
        <f t="shared" si="16"/>
        <v>0</v>
      </c>
      <c r="AV17" s="42">
        <f>IF(M17="ПП",РПП*AA17*(U17/1.5),IF(M17="ВП",ВПр*AA17*(U17/1.5),IF(M17="РПА",РПА*AA17*(U17/1.5),IF(M17="КПА",КПА*AA17*(U17/1.5),0))))</f>
        <v>0</v>
      </c>
      <c r="AW17" s="42">
        <f t="shared" si="17"/>
        <v>0</v>
      </c>
      <c r="AX17" s="42">
        <f t="shared" si="18"/>
        <v>0</v>
      </c>
      <c r="AY17" s="42">
        <f t="shared" si="19"/>
        <v>0</v>
      </c>
      <c r="AZ17" s="42">
        <f t="shared" si="20"/>
        <v>0</v>
      </c>
      <c r="BA17" s="42">
        <f t="shared" si="21"/>
        <v>0</v>
      </c>
      <c r="BB17" s="42">
        <f t="shared" si="22"/>
        <v>0</v>
      </c>
      <c r="BC17" s="42">
        <f t="shared" si="23"/>
        <v>0</v>
      </c>
      <c r="BD17" s="42">
        <f t="shared" si="24"/>
        <v>0</v>
      </c>
      <c r="BE17" s="43">
        <f t="shared" si="25"/>
        <v>31.5</v>
      </c>
      <c r="BF17" s="44"/>
      <c r="BG17" s="45">
        <f t="shared" si="26"/>
        <v>0</v>
      </c>
      <c r="BH17" s="45">
        <f t="shared" si="27"/>
        <v>0</v>
      </c>
      <c r="BI17" s="45">
        <f t="shared" si="28"/>
        <v>0</v>
      </c>
      <c r="BJ17" s="46">
        <f t="shared" si="29"/>
        <v>31.5</v>
      </c>
      <c r="BK17" s="46">
        <f t="shared" si="30"/>
        <v>1</v>
      </c>
      <c r="BL17" s="46">
        <f t="shared" si="31"/>
        <v>0</v>
      </c>
    </row>
    <row r="18" spans="1:64" ht="30" customHeight="1" x14ac:dyDescent="0.25">
      <c r="A18" s="84" t="str">
        <f t="shared" si="2"/>
        <v>Д</v>
      </c>
      <c r="B18" s="84" t="str">
        <f t="shared" si="38"/>
        <v>Б</v>
      </c>
      <c r="C18" s="101" t="s">
        <v>1471</v>
      </c>
      <c r="D18" s="16" t="str">
        <f t="shared" si="39"/>
        <v>'09.03.03</v>
      </c>
      <c r="E18" s="17" t="str">
        <f t="shared" si="40"/>
        <v>Прикладная информатика</v>
      </c>
      <c r="F18" s="9" t="s">
        <v>413</v>
      </c>
      <c r="G18" s="9" t="s">
        <v>503</v>
      </c>
      <c r="H18" s="10" t="s">
        <v>3277</v>
      </c>
      <c r="I18" s="10" t="s">
        <v>3276</v>
      </c>
      <c r="J18" s="24" t="s">
        <v>3199</v>
      </c>
      <c r="K18" s="11">
        <v>5</v>
      </c>
      <c r="L18" s="11">
        <v>18</v>
      </c>
      <c r="M18" s="8" t="s">
        <v>23</v>
      </c>
      <c r="N18" s="11">
        <v>1</v>
      </c>
      <c r="O18" s="11"/>
      <c r="P18" s="11"/>
      <c r="Q18" s="8"/>
      <c r="R18" s="11"/>
      <c r="S18" s="11"/>
      <c r="T18" s="11"/>
      <c r="U18" s="11"/>
      <c r="V18" s="11"/>
      <c r="W18" s="83" t="str">
        <f t="shared" si="4"/>
        <v>НПИбд</v>
      </c>
      <c r="X18" s="110" t="s">
        <v>3272</v>
      </c>
      <c r="Y18" s="11">
        <v>3</v>
      </c>
      <c r="Z18" s="11">
        <v>2</v>
      </c>
      <c r="AA18" s="83">
        <f t="shared" si="41"/>
        <v>17</v>
      </c>
      <c r="AB18" s="11">
        <v>15</v>
      </c>
      <c r="AC18" s="11">
        <v>2</v>
      </c>
      <c r="AD18" s="81">
        <f t="shared" si="5"/>
        <v>17</v>
      </c>
      <c r="AE18" s="82">
        <f t="shared" si="42"/>
        <v>1</v>
      </c>
      <c r="AF18" s="82">
        <f t="shared" si="43"/>
        <v>1</v>
      </c>
      <c r="AG18" s="102" t="s">
        <v>3250</v>
      </c>
      <c r="AH18" s="8" t="s">
        <v>201</v>
      </c>
      <c r="AI18" s="8" t="s">
        <v>212</v>
      </c>
      <c r="AJ18" s="35" t="s">
        <v>3253</v>
      </c>
      <c r="AK18" s="8"/>
      <c r="AL18" s="42">
        <f t="shared" si="7"/>
        <v>18</v>
      </c>
      <c r="AM18" s="42">
        <f t="shared" si="8"/>
        <v>0</v>
      </c>
      <c r="AN18" s="42">
        <f t="shared" si="9"/>
        <v>0</v>
      </c>
      <c r="AO18" s="42">
        <f t="shared" si="10"/>
        <v>0</v>
      </c>
      <c r="AP18" s="42">
        <f t="shared" si="11"/>
        <v>0</v>
      </c>
      <c r="AQ18" s="42">
        <f t="shared" si="12"/>
        <v>0</v>
      </c>
      <c r="AR18" s="42">
        <f t="shared" si="13"/>
        <v>1.8</v>
      </c>
      <c r="AS18" s="42">
        <f t="shared" si="14"/>
        <v>0</v>
      </c>
      <c r="AT18" s="42">
        <f t="shared" si="15"/>
        <v>0</v>
      </c>
      <c r="AU18" s="42">
        <f t="shared" si="16"/>
        <v>0</v>
      </c>
      <c r="AV18" s="42">
        <f>IF(M18="ПП",РПП*AA18*(U18/1.5),IF(M18="ВП",ВПр*AA18*(U18/1.5),IF(M18="РПА",РПА*AA18*(U18/1.5),IF(M18="КПА",КПА*AA18*(U18/1.5),0))))</f>
        <v>0</v>
      </c>
      <c r="AW18" s="42">
        <f t="shared" si="17"/>
        <v>0</v>
      </c>
      <c r="AX18" s="42">
        <f t="shared" si="18"/>
        <v>0</v>
      </c>
      <c r="AY18" s="42">
        <f t="shared" si="19"/>
        <v>0</v>
      </c>
      <c r="AZ18" s="42">
        <f t="shared" si="20"/>
        <v>0</v>
      </c>
      <c r="BA18" s="42">
        <f t="shared" si="21"/>
        <v>0</v>
      </c>
      <c r="BB18" s="42">
        <f t="shared" si="22"/>
        <v>0</v>
      </c>
      <c r="BC18" s="42">
        <f t="shared" si="23"/>
        <v>0</v>
      </c>
      <c r="BD18" s="42">
        <f t="shared" si="24"/>
        <v>0</v>
      </c>
      <c r="BE18" s="43">
        <f t="shared" si="25"/>
        <v>19.8</v>
      </c>
      <c r="BF18" s="44"/>
      <c r="BG18" s="45">
        <f t="shared" si="26"/>
        <v>18</v>
      </c>
      <c r="BH18" s="45">
        <f t="shared" si="27"/>
        <v>0.5</v>
      </c>
      <c r="BI18" s="45">
        <f t="shared" si="28"/>
        <v>1.8</v>
      </c>
      <c r="BJ18" s="46">
        <f t="shared" si="29"/>
        <v>0</v>
      </c>
      <c r="BK18" s="46">
        <f t="shared" si="30"/>
        <v>0</v>
      </c>
      <c r="BL18" s="46">
        <f t="shared" si="31"/>
        <v>0</v>
      </c>
    </row>
    <row r="19" spans="1:64" ht="30" customHeight="1" x14ac:dyDescent="0.25">
      <c r="A19" s="84" t="str">
        <f t="shared" si="2"/>
        <v>Д</v>
      </c>
      <c r="B19" s="84" t="str">
        <f t="shared" si="38"/>
        <v>Б</v>
      </c>
      <c r="C19" s="101" t="s">
        <v>1471</v>
      </c>
      <c r="D19" s="16" t="str">
        <f t="shared" si="39"/>
        <v>'09.03.03</v>
      </c>
      <c r="E19" s="17" t="str">
        <f t="shared" si="40"/>
        <v>Прикладная информатика</v>
      </c>
      <c r="F19" s="9" t="s">
        <v>413</v>
      </c>
      <c r="G19" s="9" t="s">
        <v>503</v>
      </c>
      <c r="H19" s="10" t="s">
        <v>3277</v>
      </c>
      <c r="I19" s="10" t="s">
        <v>3276</v>
      </c>
      <c r="J19" s="24" t="s">
        <v>3199</v>
      </c>
      <c r="K19" s="11">
        <v>5</v>
      </c>
      <c r="L19" s="11">
        <v>18</v>
      </c>
      <c r="M19" s="8" t="s">
        <v>94</v>
      </c>
      <c r="N19" s="11"/>
      <c r="O19" s="11">
        <v>1</v>
      </c>
      <c r="P19" s="11"/>
      <c r="Q19" s="8" t="s">
        <v>102</v>
      </c>
      <c r="R19" s="11"/>
      <c r="S19" s="11"/>
      <c r="T19" s="11"/>
      <c r="U19" s="11"/>
      <c r="V19" s="11"/>
      <c r="W19" s="83" t="str">
        <f t="shared" si="4"/>
        <v>НПИбд</v>
      </c>
      <c r="X19" s="110" t="s">
        <v>3272</v>
      </c>
      <c r="Y19" s="11">
        <v>3</v>
      </c>
      <c r="Z19" s="11">
        <v>2</v>
      </c>
      <c r="AA19" s="83">
        <f t="shared" si="41"/>
        <v>17</v>
      </c>
      <c r="AB19" s="11">
        <v>15</v>
      </c>
      <c r="AC19" s="11">
        <v>2</v>
      </c>
      <c r="AD19" s="81">
        <f t="shared" si="5"/>
        <v>12</v>
      </c>
      <c r="AE19" s="82">
        <f t="shared" si="42"/>
        <v>1</v>
      </c>
      <c r="AF19" s="82">
        <f t="shared" si="43"/>
        <v>1.4166666666666667</v>
      </c>
      <c r="AG19" s="102" t="s">
        <v>3250</v>
      </c>
      <c r="AH19" s="8" t="s">
        <v>201</v>
      </c>
      <c r="AI19" s="8" t="s">
        <v>212</v>
      </c>
      <c r="AJ19" s="37" t="s">
        <v>3253</v>
      </c>
      <c r="AK19" s="8"/>
      <c r="AL19" s="42">
        <f t="shared" si="7"/>
        <v>0</v>
      </c>
      <c r="AM19" s="42">
        <f t="shared" si="8"/>
        <v>0</v>
      </c>
      <c r="AN19" s="42">
        <f t="shared" si="9"/>
        <v>18</v>
      </c>
      <c r="AO19" s="42">
        <f t="shared" si="10"/>
        <v>5.61</v>
      </c>
      <c r="AP19" s="42">
        <f t="shared" si="11"/>
        <v>8.5</v>
      </c>
      <c r="AQ19" s="42">
        <f t="shared" si="12"/>
        <v>2</v>
      </c>
      <c r="AR19" s="42">
        <f t="shared" si="13"/>
        <v>0</v>
      </c>
      <c r="AS19" s="42">
        <f t="shared" si="14"/>
        <v>0</v>
      </c>
      <c r="AT19" s="42">
        <f t="shared" si="15"/>
        <v>0</v>
      </c>
      <c r="AU19" s="42">
        <f t="shared" si="16"/>
        <v>0</v>
      </c>
      <c r="AV19" s="42">
        <f>IF(M19="ПП",РПП*AA19*(U19/1.5),IF(M19="ВП",ВПр*AA19*(U19/1.5),IF(M19="РПА",РПА*AA19*(U19/1.5),IF(M19="КПА",КПА*AA19*(U19/1.5),0))))</f>
        <v>0</v>
      </c>
      <c r="AW19" s="42">
        <f t="shared" si="17"/>
        <v>0</v>
      </c>
      <c r="AX19" s="42">
        <f t="shared" si="18"/>
        <v>0</v>
      </c>
      <c r="AY19" s="42">
        <f t="shared" si="19"/>
        <v>0</v>
      </c>
      <c r="AZ19" s="42">
        <f t="shared" si="20"/>
        <v>0</v>
      </c>
      <c r="BA19" s="42">
        <f t="shared" si="21"/>
        <v>0</v>
      </c>
      <c r="BB19" s="42">
        <f t="shared" si="22"/>
        <v>0</v>
      </c>
      <c r="BC19" s="42">
        <f t="shared" si="23"/>
        <v>0</v>
      </c>
      <c r="BD19" s="42">
        <f t="shared" si="24"/>
        <v>0</v>
      </c>
      <c r="BE19" s="43">
        <f t="shared" si="25"/>
        <v>34.11</v>
      </c>
      <c r="BF19" s="44"/>
      <c r="BG19" s="45">
        <f t="shared" si="26"/>
        <v>18</v>
      </c>
      <c r="BH19" s="45">
        <f t="shared" si="27"/>
        <v>0.5</v>
      </c>
      <c r="BI19" s="45">
        <f t="shared" si="28"/>
        <v>16.11</v>
      </c>
      <c r="BJ19" s="46">
        <f t="shared" si="29"/>
        <v>0</v>
      </c>
      <c r="BK19" s="46">
        <f t="shared" si="30"/>
        <v>0</v>
      </c>
      <c r="BL19" s="46">
        <f t="shared" si="31"/>
        <v>0</v>
      </c>
    </row>
    <row r="20" spans="1:64" ht="30" customHeight="1" x14ac:dyDescent="0.25">
      <c r="A20" s="84" t="str">
        <f t="shared" si="2"/>
        <v>Д</v>
      </c>
      <c r="B20" s="84" t="str">
        <f t="shared" si="38"/>
        <v>Б</v>
      </c>
      <c r="C20" s="101" t="s">
        <v>1471</v>
      </c>
      <c r="D20" s="16" t="str">
        <f t="shared" si="39"/>
        <v>'09.03.03</v>
      </c>
      <c r="E20" s="17" t="str">
        <f t="shared" si="40"/>
        <v>Прикладная информатика</v>
      </c>
      <c r="F20" s="9" t="s">
        <v>413</v>
      </c>
      <c r="G20" s="9" t="s">
        <v>503</v>
      </c>
      <c r="H20" s="10"/>
      <c r="I20" s="10" t="s">
        <v>3276</v>
      </c>
      <c r="J20" s="24" t="s">
        <v>3200</v>
      </c>
      <c r="K20" s="12">
        <v>5</v>
      </c>
      <c r="L20" s="11">
        <v>18</v>
      </c>
      <c r="M20" s="8" t="s">
        <v>23</v>
      </c>
      <c r="N20" s="12">
        <v>1</v>
      </c>
      <c r="O20" s="12"/>
      <c r="P20" s="12"/>
      <c r="Q20" s="8" t="s">
        <v>103</v>
      </c>
      <c r="R20" s="12"/>
      <c r="S20" s="12"/>
      <c r="T20" s="12"/>
      <c r="U20" s="12"/>
      <c r="V20" s="12"/>
      <c r="W20" s="83" t="str">
        <f t="shared" si="4"/>
        <v>НПИбд</v>
      </c>
      <c r="X20" s="110" t="s">
        <v>3272</v>
      </c>
      <c r="Y20" s="11">
        <v>3</v>
      </c>
      <c r="Z20" s="11">
        <v>2</v>
      </c>
      <c r="AA20" s="83">
        <f t="shared" si="41"/>
        <v>17</v>
      </c>
      <c r="AB20" s="11">
        <v>15</v>
      </c>
      <c r="AC20" s="11">
        <v>2</v>
      </c>
      <c r="AD20" s="81">
        <f t="shared" si="5"/>
        <v>17</v>
      </c>
      <c r="AE20" s="82">
        <f t="shared" si="42"/>
        <v>1</v>
      </c>
      <c r="AF20" s="82">
        <f t="shared" si="43"/>
        <v>1</v>
      </c>
      <c r="AG20" s="102" t="s">
        <v>3250</v>
      </c>
      <c r="AH20" s="8" t="s">
        <v>201</v>
      </c>
      <c r="AI20" s="8" t="s">
        <v>212</v>
      </c>
      <c r="AJ20" s="35" t="s">
        <v>3253</v>
      </c>
      <c r="AK20" s="8"/>
      <c r="AL20" s="42">
        <f t="shared" si="7"/>
        <v>18</v>
      </c>
      <c r="AM20" s="42">
        <f t="shared" si="8"/>
        <v>0</v>
      </c>
      <c r="AN20" s="42">
        <f t="shared" si="9"/>
        <v>0</v>
      </c>
      <c r="AO20" s="42">
        <f t="shared" si="10"/>
        <v>5.61</v>
      </c>
      <c r="AP20" s="42">
        <f t="shared" si="11"/>
        <v>8.5</v>
      </c>
      <c r="AQ20" s="42">
        <f t="shared" si="12"/>
        <v>2</v>
      </c>
      <c r="AR20" s="42">
        <f t="shared" si="13"/>
        <v>1.8</v>
      </c>
      <c r="AS20" s="42">
        <f t="shared" si="14"/>
        <v>0</v>
      </c>
      <c r="AT20" s="42">
        <f t="shared" si="15"/>
        <v>0</v>
      </c>
      <c r="AU20" s="42">
        <f t="shared" si="16"/>
        <v>0</v>
      </c>
      <c r="AV20" s="42">
        <f>IF(M20="ПП",РПП*AA20*(U20/1.5),IF(M20="ВП",ВПр*AA20*(U20/1.5),IF(M20="РПА",РПА*AA20*(U20/1.5),IF(M20="КПА",КПА*AA20*(U20/1.5),0))))</f>
        <v>0</v>
      </c>
      <c r="AW20" s="42">
        <f t="shared" si="17"/>
        <v>0</v>
      </c>
      <c r="AX20" s="42">
        <f t="shared" si="18"/>
        <v>0</v>
      </c>
      <c r="AY20" s="42">
        <f t="shared" si="19"/>
        <v>0</v>
      </c>
      <c r="AZ20" s="42">
        <f t="shared" si="20"/>
        <v>0</v>
      </c>
      <c r="BA20" s="42">
        <f t="shared" si="21"/>
        <v>0</v>
      </c>
      <c r="BB20" s="42">
        <f t="shared" si="22"/>
        <v>0</v>
      </c>
      <c r="BC20" s="42">
        <f t="shared" si="23"/>
        <v>0</v>
      </c>
      <c r="BD20" s="42">
        <f t="shared" si="24"/>
        <v>0</v>
      </c>
      <c r="BE20" s="43">
        <f t="shared" si="25"/>
        <v>35.909999999999997</v>
      </c>
      <c r="BF20" s="44"/>
      <c r="BG20" s="45">
        <f t="shared" si="26"/>
        <v>18</v>
      </c>
      <c r="BH20" s="45">
        <f t="shared" si="27"/>
        <v>0.5</v>
      </c>
      <c r="BI20" s="45">
        <f t="shared" si="28"/>
        <v>17.91</v>
      </c>
      <c r="BJ20" s="46">
        <f t="shared" si="29"/>
        <v>0</v>
      </c>
      <c r="BK20" s="46">
        <f t="shared" si="30"/>
        <v>0</v>
      </c>
      <c r="BL20" s="46">
        <f t="shared" si="31"/>
        <v>0</v>
      </c>
    </row>
    <row r="21" spans="1:64" ht="30" customHeight="1" x14ac:dyDescent="0.25">
      <c r="A21" s="84" t="str">
        <f t="shared" si="2"/>
        <v>Д</v>
      </c>
      <c r="B21" s="84" t="str">
        <f t="shared" si="38"/>
        <v>Б</v>
      </c>
      <c r="C21" s="101" t="s">
        <v>1471</v>
      </c>
      <c r="D21" s="16" t="str">
        <f t="shared" si="39"/>
        <v>'09.03.03</v>
      </c>
      <c r="E21" s="17" t="str">
        <f t="shared" si="40"/>
        <v>Прикладная информатика</v>
      </c>
      <c r="F21" s="9" t="s">
        <v>413</v>
      </c>
      <c r="G21" s="9" t="s">
        <v>503</v>
      </c>
      <c r="H21" s="10"/>
      <c r="I21" s="10" t="s">
        <v>3276</v>
      </c>
      <c r="J21" s="24" t="s">
        <v>3200</v>
      </c>
      <c r="K21" s="11">
        <v>5</v>
      </c>
      <c r="L21" s="11">
        <v>18</v>
      </c>
      <c r="M21" s="8" t="s">
        <v>94</v>
      </c>
      <c r="N21" s="11"/>
      <c r="O21" s="11">
        <v>2</v>
      </c>
      <c r="P21" s="11"/>
      <c r="Q21" s="8"/>
      <c r="R21" s="11"/>
      <c r="S21" s="11"/>
      <c r="T21" s="23"/>
      <c r="U21" s="11"/>
      <c r="V21" s="11"/>
      <c r="W21" s="83" t="str">
        <f t="shared" si="4"/>
        <v>НПИбд</v>
      </c>
      <c r="X21" s="110" t="s">
        <v>3272</v>
      </c>
      <c r="Y21" s="11">
        <v>3</v>
      </c>
      <c r="Z21" s="11">
        <v>2</v>
      </c>
      <c r="AA21" s="83">
        <f t="shared" si="41"/>
        <v>17</v>
      </c>
      <c r="AB21" s="11">
        <v>15</v>
      </c>
      <c r="AC21" s="11">
        <v>2</v>
      </c>
      <c r="AD21" s="81">
        <f t="shared" si="5"/>
        <v>12</v>
      </c>
      <c r="AE21" s="82">
        <f t="shared" si="42"/>
        <v>1</v>
      </c>
      <c r="AF21" s="82">
        <f t="shared" si="43"/>
        <v>1.4166666666666667</v>
      </c>
      <c r="AG21" s="102" t="s">
        <v>3250</v>
      </c>
      <c r="AH21" s="8" t="s">
        <v>201</v>
      </c>
      <c r="AI21" s="8" t="s">
        <v>212</v>
      </c>
      <c r="AJ21" s="35" t="s">
        <v>3253</v>
      </c>
      <c r="AK21" s="8"/>
      <c r="AL21" s="42">
        <f t="shared" si="7"/>
        <v>0</v>
      </c>
      <c r="AM21" s="42">
        <f t="shared" si="8"/>
        <v>0</v>
      </c>
      <c r="AN21" s="42">
        <f t="shared" si="9"/>
        <v>36</v>
      </c>
      <c r="AO21" s="42">
        <f t="shared" si="10"/>
        <v>0</v>
      </c>
      <c r="AP21" s="42">
        <f t="shared" si="11"/>
        <v>0</v>
      </c>
      <c r="AQ21" s="42">
        <f t="shared" si="12"/>
        <v>0</v>
      </c>
      <c r="AR21" s="42">
        <f t="shared" si="13"/>
        <v>0</v>
      </c>
      <c r="AS21" s="42">
        <f t="shared" si="14"/>
        <v>0</v>
      </c>
      <c r="AT21" s="42">
        <f t="shared" si="15"/>
        <v>0</v>
      </c>
      <c r="AU21" s="42">
        <f t="shared" si="16"/>
        <v>0</v>
      </c>
      <c r="AV21" s="42">
        <f>IF(M21="ПП",РПП*AA21*(U21/1.5),IF(M21="ВП",ВПр*AA21*(U21/1.5),IF(M21="РПА",РПА*AA21*(U21/1.5),IF(M21="КПА",КПА*AA21*(U21/1.5),0))))</f>
        <v>0</v>
      </c>
      <c r="AW21" s="42">
        <f t="shared" si="17"/>
        <v>0</v>
      </c>
      <c r="AX21" s="42">
        <f t="shared" si="18"/>
        <v>0</v>
      </c>
      <c r="AY21" s="42">
        <f t="shared" si="19"/>
        <v>0</v>
      </c>
      <c r="AZ21" s="42">
        <f t="shared" si="20"/>
        <v>0</v>
      </c>
      <c r="BA21" s="42">
        <f t="shared" si="21"/>
        <v>0</v>
      </c>
      <c r="BB21" s="42">
        <f t="shared" si="22"/>
        <v>0</v>
      </c>
      <c r="BC21" s="42">
        <f t="shared" si="23"/>
        <v>0</v>
      </c>
      <c r="BD21" s="42">
        <f t="shared" si="24"/>
        <v>0</v>
      </c>
      <c r="BE21" s="43">
        <f t="shared" si="25"/>
        <v>36</v>
      </c>
      <c r="BF21" s="44"/>
      <c r="BG21" s="45">
        <f t="shared" si="26"/>
        <v>36</v>
      </c>
      <c r="BH21" s="45">
        <f t="shared" si="27"/>
        <v>1</v>
      </c>
      <c r="BI21" s="45">
        <f t="shared" si="28"/>
        <v>0</v>
      </c>
      <c r="BJ21" s="46">
        <f t="shared" si="29"/>
        <v>0</v>
      </c>
      <c r="BK21" s="46">
        <f t="shared" si="30"/>
        <v>0</v>
      </c>
      <c r="BL21" s="46">
        <f t="shared" si="31"/>
        <v>0</v>
      </c>
    </row>
    <row r="22" spans="1:64" ht="30" customHeight="1" x14ac:dyDescent="0.25">
      <c r="A22" s="84" t="str">
        <f t="shared" si="2"/>
        <v>Д</v>
      </c>
      <c r="B22" s="84" t="str">
        <f t="shared" si="38"/>
        <v>Б</v>
      </c>
      <c r="C22" s="101" t="s">
        <v>1471</v>
      </c>
      <c r="D22" s="16" t="str">
        <f t="shared" si="39"/>
        <v>'09.03.03</v>
      </c>
      <c r="E22" s="17" t="str">
        <f t="shared" si="40"/>
        <v>Прикладная информатика</v>
      </c>
      <c r="F22" s="9" t="s">
        <v>413</v>
      </c>
      <c r="G22" s="9" t="s">
        <v>42</v>
      </c>
      <c r="H22" s="10" t="s">
        <v>3233</v>
      </c>
      <c r="I22" s="10"/>
      <c r="J22" s="24" t="s">
        <v>3204</v>
      </c>
      <c r="K22" s="12">
        <v>1</v>
      </c>
      <c r="L22" s="11">
        <v>18</v>
      </c>
      <c r="M22" s="8" t="s">
        <v>23</v>
      </c>
      <c r="N22" s="12">
        <v>1</v>
      </c>
      <c r="O22" s="12"/>
      <c r="P22" s="12"/>
      <c r="Q22" s="8"/>
      <c r="R22" s="12"/>
      <c r="S22" s="12"/>
      <c r="T22" s="12"/>
      <c r="U22" s="12"/>
      <c r="V22" s="12"/>
      <c r="W22" s="83" t="str">
        <f t="shared" si="4"/>
        <v>НПИбд</v>
      </c>
      <c r="X22" s="110" t="s">
        <v>3273</v>
      </c>
      <c r="Y22" s="11">
        <v>5</v>
      </c>
      <c r="Z22" s="11">
        <v>3</v>
      </c>
      <c r="AA22" s="83">
        <f t="shared" si="41"/>
        <v>67</v>
      </c>
      <c r="AB22" s="11">
        <v>53</v>
      </c>
      <c r="AC22" s="11">
        <v>14</v>
      </c>
      <c r="AD22" s="81">
        <f t="shared" si="5"/>
        <v>67</v>
      </c>
      <c r="AE22" s="82">
        <f t="shared" si="42"/>
        <v>1</v>
      </c>
      <c r="AF22" s="82">
        <f t="shared" si="43"/>
        <v>1</v>
      </c>
      <c r="AG22" s="102" t="s">
        <v>3250</v>
      </c>
      <c r="AH22" s="8" t="s">
        <v>204</v>
      </c>
      <c r="AI22" s="8" t="s">
        <v>212</v>
      </c>
      <c r="AJ22" s="35" t="s">
        <v>3255</v>
      </c>
      <c r="AK22" s="8"/>
      <c r="AL22" s="42">
        <f t="shared" si="7"/>
        <v>18</v>
      </c>
      <c r="AM22" s="42">
        <f t="shared" si="8"/>
        <v>0</v>
      </c>
      <c r="AN22" s="42">
        <f t="shared" si="9"/>
        <v>0</v>
      </c>
      <c r="AO22" s="42">
        <f t="shared" si="10"/>
        <v>0</v>
      </c>
      <c r="AP22" s="42">
        <f t="shared" si="11"/>
        <v>0</v>
      </c>
      <c r="AQ22" s="42">
        <f t="shared" si="12"/>
        <v>0</v>
      </c>
      <c r="AR22" s="42">
        <f t="shared" si="13"/>
        <v>2.7</v>
      </c>
      <c r="AS22" s="42">
        <f t="shared" si="14"/>
        <v>0</v>
      </c>
      <c r="AT22" s="42">
        <f t="shared" si="15"/>
        <v>0</v>
      </c>
      <c r="AU22" s="42">
        <f t="shared" si="16"/>
        <v>0</v>
      </c>
      <c r="AV22" s="42">
        <f>IF(M22="ПП",РПП*AA22*(U22/1.5),IF(M22="ВП",ВПр*AA22*(U22/1.5),IF(M22="РПА",РПА*AA22*(U22/1.5),IF(M22="КПА",КПА*AA22*(U22/1.5),0))))</f>
        <v>0</v>
      </c>
      <c r="AW22" s="42">
        <f t="shared" si="17"/>
        <v>0</v>
      </c>
      <c r="AX22" s="42">
        <f t="shared" si="18"/>
        <v>0</v>
      </c>
      <c r="AY22" s="42">
        <f t="shared" si="19"/>
        <v>0</v>
      </c>
      <c r="AZ22" s="42">
        <f t="shared" si="20"/>
        <v>0</v>
      </c>
      <c r="BA22" s="42">
        <f t="shared" si="21"/>
        <v>0</v>
      </c>
      <c r="BB22" s="42">
        <f t="shared" si="22"/>
        <v>0</v>
      </c>
      <c r="BC22" s="42">
        <f t="shared" si="23"/>
        <v>0</v>
      </c>
      <c r="BD22" s="42">
        <f t="shared" si="24"/>
        <v>0</v>
      </c>
      <c r="BE22" s="43">
        <f t="shared" si="25"/>
        <v>20.7</v>
      </c>
      <c r="BF22" s="44"/>
      <c r="BG22" s="45">
        <f t="shared" si="26"/>
        <v>18</v>
      </c>
      <c r="BH22" s="45">
        <f t="shared" si="27"/>
        <v>0.5</v>
      </c>
      <c r="BI22" s="45">
        <f t="shared" si="28"/>
        <v>2.7</v>
      </c>
      <c r="BJ22" s="46">
        <f t="shared" si="29"/>
        <v>0</v>
      </c>
      <c r="BK22" s="46">
        <f t="shared" si="30"/>
        <v>0</v>
      </c>
      <c r="BL22" s="46">
        <f t="shared" si="31"/>
        <v>0</v>
      </c>
    </row>
    <row r="23" spans="1:64" ht="30" customHeight="1" x14ac:dyDescent="0.25">
      <c r="A23" s="84" t="str">
        <f t="shared" si="2"/>
        <v>Д</v>
      </c>
      <c r="B23" s="84" t="str">
        <f t="shared" si="38"/>
        <v>Б</v>
      </c>
      <c r="C23" s="101" t="s">
        <v>1471</v>
      </c>
      <c r="D23" s="16" t="str">
        <f t="shared" si="39"/>
        <v>'09.03.03</v>
      </c>
      <c r="E23" s="17" t="str">
        <f t="shared" si="40"/>
        <v>Прикладная информатика</v>
      </c>
      <c r="F23" s="9" t="s">
        <v>413</v>
      </c>
      <c r="G23" s="9" t="s">
        <v>42</v>
      </c>
      <c r="H23" s="10" t="s">
        <v>3233</v>
      </c>
      <c r="I23" s="10"/>
      <c r="J23" s="24" t="s">
        <v>3204</v>
      </c>
      <c r="K23" s="11">
        <v>1</v>
      </c>
      <c r="L23" s="11">
        <v>18</v>
      </c>
      <c r="M23" s="8" t="s">
        <v>94</v>
      </c>
      <c r="N23" s="11"/>
      <c r="O23" s="11">
        <v>2</v>
      </c>
      <c r="P23" s="11"/>
      <c r="Q23" s="8" t="s">
        <v>102</v>
      </c>
      <c r="R23" s="11"/>
      <c r="S23" s="11"/>
      <c r="T23" s="23"/>
      <c r="U23" s="11"/>
      <c r="V23" s="11"/>
      <c r="W23" s="83" t="str">
        <f t="shared" si="4"/>
        <v>НПИбд</v>
      </c>
      <c r="X23" s="110" t="s">
        <v>3246</v>
      </c>
      <c r="Y23" s="11">
        <v>1</v>
      </c>
      <c r="Z23" s="11">
        <v>1</v>
      </c>
      <c r="AA23" s="83">
        <f t="shared" si="41"/>
        <v>14</v>
      </c>
      <c r="AB23" s="11">
        <v>11</v>
      </c>
      <c r="AC23" s="11">
        <v>3</v>
      </c>
      <c r="AD23" s="81">
        <f t="shared" si="5"/>
        <v>12</v>
      </c>
      <c r="AE23" s="82">
        <f t="shared" si="42"/>
        <v>1</v>
      </c>
      <c r="AF23" s="82">
        <f t="shared" si="43"/>
        <v>1.1666666666666667</v>
      </c>
      <c r="AG23" s="102" t="s">
        <v>3250</v>
      </c>
      <c r="AH23" s="8" t="s">
        <v>204</v>
      </c>
      <c r="AI23" s="8" t="s">
        <v>212</v>
      </c>
      <c r="AJ23" s="35" t="s">
        <v>3255</v>
      </c>
      <c r="AK23" s="8"/>
      <c r="AL23" s="42">
        <f t="shared" si="7"/>
        <v>0</v>
      </c>
      <c r="AM23" s="42">
        <f t="shared" si="8"/>
        <v>0</v>
      </c>
      <c r="AN23" s="42">
        <f t="shared" si="9"/>
        <v>36</v>
      </c>
      <c r="AO23" s="42">
        <f t="shared" si="10"/>
        <v>4.62</v>
      </c>
      <c r="AP23" s="42">
        <f t="shared" si="11"/>
        <v>7</v>
      </c>
      <c r="AQ23" s="42">
        <f t="shared" si="12"/>
        <v>1</v>
      </c>
      <c r="AR23" s="42">
        <f t="shared" si="13"/>
        <v>0</v>
      </c>
      <c r="AS23" s="42">
        <f t="shared" si="14"/>
        <v>0</v>
      </c>
      <c r="AT23" s="42">
        <f t="shared" si="15"/>
        <v>0</v>
      </c>
      <c r="AU23" s="42">
        <f t="shared" si="16"/>
        <v>0</v>
      </c>
      <c r="AV23" s="42">
        <f>IF(M23="ПП",РПП*AA23*(U23/1.5),IF(M23="ВП",ВПр*AA23*(U23/1.5),IF(M23="РПА",РПА*AA23*(U23/1.5),IF(M23="КПА",КПА*AA23*(U23/1.5),0))))</f>
        <v>0</v>
      </c>
      <c r="AW23" s="42">
        <f t="shared" si="17"/>
        <v>0</v>
      </c>
      <c r="AX23" s="42">
        <f t="shared" si="18"/>
        <v>0</v>
      </c>
      <c r="AY23" s="42">
        <f t="shared" si="19"/>
        <v>0</v>
      </c>
      <c r="AZ23" s="42">
        <f t="shared" si="20"/>
        <v>0</v>
      </c>
      <c r="BA23" s="42">
        <f t="shared" si="21"/>
        <v>0</v>
      </c>
      <c r="BB23" s="42">
        <f t="shared" si="22"/>
        <v>0</v>
      </c>
      <c r="BC23" s="42">
        <f t="shared" si="23"/>
        <v>0</v>
      </c>
      <c r="BD23" s="42">
        <f t="shared" si="24"/>
        <v>0</v>
      </c>
      <c r="BE23" s="43">
        <f t="shared" si="25"/>
        <v>48.62</v>
      </c>
      <c r="BF23" s="44"/>
      <c r="BG23" s="45">
        <f t="shared" si="26"/>
        <v>36</v>
      </c>
      <c r="BH23" s="45">
        <f t="shared" si="27"/>
        <v>1</v>
      </c>
      <c r="BI23" s="45">
        <f t="shared" si="28"/>
        <v>12.620000000000001</v>
      </c>
      <c r="BJ23" s="46">
        <f t="shared" si="29"/>
        <v>0</v>
      </c>
      <c r="BK23" s="46">
        <f t="shared" si="30"/>
        <v>0</v>
      </c>
      <c r="BL23" s="46">
        <f t="shared" si="31"/>
        <v>0</v>
      </c>
    </row>
    <row r="24" spans="1:64" ht="30" customHeight="1" x14ac:dyDescent="0.25">
      <c r="A24" s="84" t="str">
        <f t="shared" si="2"/>
        <v>Д</v>
      </c>
      <c r="B24" s="84" t="str">
        <f t="shared" si="38"/>
        <v>Б</v>
      </c>
      <c r="C24" s="101" t="s">
        <v>1471</v>
      </c>
      <c r="D24" s="16" t="str">
        <f t="shared" si="39"/>
        <v>'09.03.03</v>
      </c>
      <c r="E24" s="17" t="str">
        <f t="shared" si="40"/>
        <v>Прикладная информатика</v>
      </c>
      <c r="F24" s="9" t="s">
        <v>413</v>
      </c>
      <c r="G24" s="9" t="s">
        <v>42</v>
      </c>
      <c r="H24" s="10" t="s">
        <v>3233</v>
      </c>
      <c r="I24" s="10"/>
      <c r="J24" s="24" t="s">
        <v>3204</v>
      </c>
      <c r="K24" s="11">
        <v>1</v>
      </c>
      <c r="L24" s="11">
        <v>18</v>
      </c>
      <c r="M24" s="8" t="s">
        <v>94</v>
      </c>
      <c r="N24" s="11"/>
      <c r="O24" s="11">
        <v>2</v>
      </c>
      <c r="P24" s="11"/>
      <c r="Q24" s="8" t="s">
        <v>102</v>
      </c>
      <c r="R24" s="11"/>
      <c r="S24" s="11"/>
      <c r="T24" s="23"/>
      <c r="U24" s="11"/>
      <c r="V24" s="11"/>
      <c r="W24" s="83" t="str">
        <f t="shared" si="4"/>
        <v>НПИбд</v>
      </c>
      <c r="X24" s="110" t="s">
        <v>3246</v>
      </c>
      <c r="Y24" s="11">
        <v>1</v>
      </c>
      <c r="Z24" s="11"/>
      <c r="AA24" s="83">
        <f t="shared" si="41"/>
        <v>13</v>
      </c>
      <c r="AB24" s="11">
        <v>11</v>
      </c>
      <c r="AC24" s="11">
        <v>2</v>
      </c>
      <c r="AD24" s="81">
        <f t="shared" si="5"/>
        <v>12</v>
      </c>
      <c r="AE24" s="82">
        <f t="shared" si="42"/>
        <v>1</v>
      </c>
      <c r="AF24" s="82">
        <f t="shared" si="43"/>
        <v>1.0833333333333333</v>
      </c>
      <c r="AG24" s="102" t="s">
        <v>3250</v>
      </c>
      <c r="AH24" s="8" t="s">
        <v>204</v>
      </c>
      <c r="AI24" s="8" t="s">
        <v>212</v>
      </c>
      <c r="AJ24" s="35" t="s">
        <v>3255</v>
      </c>
      <c r="AK24" s="8"/>
      <c r="AL24" s="42">
        <f t="shared" si="7"/>
        <v>0</v>
      </c>
      <c r="AM24" s="42">
        <f t="shared" si="8"/>
        <v>0</v>
      </c>
      <c r="AN24" s="42">
        <f t="shared" si="9"/>
        <v>36</v>
      </c>
      <c r="AO24" s="42">
        <f t="shared" si="10"/>
        <v>4.29</v>
      </c>
      <c r="AP24" s="42">
        <f t="shared" si="11"/>
        <v>6.5</v>
      </c>
      <c r="AQ24" s="42">
        <f t="shared" si="12"/>
        <v>0</v>
      </c>
      <c r="AR24" s="42">
        <f t="shared" si="13"/>
        <v>0</v>
      </c>
      <c r="AS24" s="42">
        <f t="shared" si="14"/>
        <v>0</v>
      </c>
      <c r="AT24" s="42">
        <f t="shared" si="15"/>
        <v>0</v>
      </c>
      <c r="AU24" s="42">
        <f t="shared" si="16"/>
        <v>0</v>
      </c>
      <c r="AV24" s="42">
        <f>IF(M24="ПП",РПП*AA24*(U24/1.5),IF(M24="ВП",ВПр*AA24*(U24/1.5),IF(M24="РПА",РПА*AA24*(U24/1.5),IF(M24="КПА",КПА*AA24*(U24/1.5),0))))</f>
        <v>0</v>
      </c>
      <c r="AW24" s="42">
        <f t="shared" si="17"/>
        <v>0</v>
      </c>
      <c r="AX24" s="42">
        <f t="shared" si="18"/>
        <v>0</v>
      </c>
      <c r="AY24" s="42">
        <f t="shared" si="19"/>
        <v>0</v>
      </c>
      <c r="AZ24" s="42">
        <f t="shared" si="20"/>
        <v>0</v>
      </c>
      <c r="BA24" s="42">
        <f t="shared" si="21"/>
        <v>0</v>
      </c>
      <c r="BB24" s="42">
        <f t="shared" si="22"/>
        <v>0</v>
      </c>
      <c r="BC24" s="42">
        <f t="shared" si="23"/>
        <v>0</v>
      </c>
      <c r="BD24" s="42">
        <f t="shared" si="24"/>
        <v>0</v>
      </c>
      <c r="BE24" s="43">
        <f t="shared" si="25"/>
        <v>46.79</v>
      </c>
      <c r="BF24" s="44"/>
      <c r="BG24" s="45">
        <f t="shared" si="26"/>
        <v>36</v>
      </c>
      <c r="BH24" s="45">
        <f t="shared" si="27"/>
        <v>1</v>
      </c>
      <c r="BI24" s="45">
        <f t="shared" si="28"/>
        <v>10.79</v>
      </c>
      <c r="BJ24" s="46">
        <f t="shared" si="29"/>
        <v>0</v>
      </c>
      <c r="BK24" s="46">
        <f t="shared" si="30"/>
        <v>0</v>
      </c>
      <c r="BL24" s="46">
        <f t="shared" si="31"/>
        <v>0</v>
      </c>
    </row>
    <row r="25" spans="1:64" ht="30" customHeight="1" x14ac:dyDescent="0.25">
      <c r="A25" s="84" t="str">
        <f t="shared" si="2"/>
        <v>Д</v>
      </c>
      <c r="B25" s="84" t="str">
        <f t="shared" si="38"/>
        <v>Б</v>
      </c>
      <c r="C25" s="101" t="s">
        <v>1471</v>
      </c>
      <c r="D25" s="16" t="str">
        <f t="shared" si="39"/>
        <v>'09.03.03</v>
      </c>
      <c r="E25" s="17" t="str">
        <f t="shared" si="40"/>
        <v>Прикладная информатика</v>
      </c>
      <c r="F25" s="9" t="s">
        <v>413</v>
      </c>
      <c r="G25" s="9" t="s">
        <v>42</v>
      </c>
      <c r="H25" s="10" t="s">
        <v>3233</v>
      </c>
      <c r="I25" s="10"/>
      <c r="J25" s="24" t="s">
        <v>3204</v>
      </c>
      <c r="K25" s="11">
        <v>1</v>
      </c>
      <c r="L25" s="11">
        <v>18</v>
      </c>
      <c r="M25" s="8" t="s">
        <v>94</v>
      </c>
      <c r="N25" s="11"/>
      <c r="O25" s="11">
        <v>2</v>
      </c>
      <c r="P25" s="11"/>
      <c r="Q25" s="8" t="s">
        <v>102</v>
      </c>
      <c r="R25" s="11"/>
      <c r="S25" s="11"/>
      <c r="T25" s="11"/>
      <c r="U25" s="11"/>
      <c r="V25" s="11"/>
      <c r="W25" s="83" t="str">
        <f t="shared" si="4"/>
        <v>НПИбд</v>
      </c>
      <c r="X25" s="110" t="s">
        <v>3247</v>
      </c>
      <c r="Y25" s="11">
        <v>1</v>
      </c>
      <c r="Z25" s="11">
        <v>1</v>
      </c>
      <c r="AA25" s="83">
        <f t="shared" si="41"/>
        <v>14</v>
      </c>
      <c r="AB25" s="11">
        <v>11</v>
      </c>
      <c r="AC25" s="11">
        <v>3</v>
      </c>
      <c r="AD25" s="81">
        <f t="shared" si="5"/>
        <v>12</v>
      </c>
      <c r="AE25" s="82">
        <f t="shared" si="42"/>
        <v>1</v>
      </c>
      <c r="AF25" s="82">
        <f t="shared" si="43"/>
        <v>1.1666666666666667</v>
      </c>
      <c r="AG25" s="102" t="s">
        <v>3250</v>
      </c>
      <c r="AH25" s="8" t="s">
        <v>204</v>
      </c>
      <c r="AI25" s="8" t="s">
        <v>212</v>
      </c>
      <c r="AJ25" s="35" t="s">
        <v>3255</v>
      </c>
      <c r="AK25" s="8"/>
      <c r="AL25" s="42">
        <f t="shared" si="7"/>
        <v>0</v>
      </c>
      <c r="AM25" s="42">
        <f t="shared" si="8"/>
        <v>0</v>
      </c>
      <c r="AN25" s="42">
        <f t="shared" si="9"/>
        <v>36</v>
      </c>
      <c r="AO25" s="42">
        <f t="shared" si="10"/>
        <v>4.62</v>
      </c>
      <c r="AP25" s="42">
        <f t="shared" si="11"/>
        <v>7</v>
      </c>
      <c r="AQ25" s="42">
        <f t="shared" si="12"/>
        <v>1</v>
      </c>
      <c r="AR25" s="42">
        <f t="shared" si="13"/>
        <v>0</v>
      </c>
      <c r="AS25" s="42">
        <f t="shared" si="14"/>
        <v>0</v>
      </c>
      <c r="AT25" s="42">
        <f t="shared" si="15"/>
        <v>0</v>
      </c>
      <c r="AU25" s="42">
        <f t="shared" si="16"/>
        <v>0</v>
      </c>
      <c r="AV25" s="42">
        <f>IF(M25="ПП",РПП*AA25*(U25/1.5),IF(M25="ВП",ВПр*AA25*(U25/1.5),IF(M25="РПА",РПА*AA25*(U25/1.5),IF(M25="КПА",КПА*AA25*(U25/1.5),0))))</f>
        <v>0</v>
      </c>
      <c r="AW25" s="42">
        <f t="shared" si="17"/>
        <v>0</v>
      </c>
      <c r="AX25" s="42">
        <f t="shared" si="18"/>
        <v>0</v>
      </c>
      <c r="AY25" s="42">
        <f t="shared" si="19"/>
        <v>0</v>
      </c>
      <c r="AZ25" s="42">
        <f t="shared" si="20"/>
        <v>0</v>
      </c>
      <c r="BA25" s="42">
        <f t="shared" si="21"/>
        <v>0</v>
      </c>
      <c r="BB25" s="42">
        <f t="shared" si="22"/>
        <v>0</v>
      </c>
      <c r="BC25" s="42">
        <f t="shared" si="23"/>
        <v>0</v>
      </c>
      <c r="BD25" s="42">
        <f t="shared" si="24"/>
        <v>0</v>
      </c>
      <c r="BE25" s="43">
        <f t="shared" si="25"/>
        <v>48.62</v>
      </c>
      <c r="BF25" s="44"/>
      <c r="BG25" s="45">
        <f t="shared" si="26"/>
        <v>36</v>
      </c>
      <c r="BH25" s="45">
        <f t="shared" si="27"/>
        <v>1</v>
      </c>
      <c r="BI25" s="45">
        <f t="shared" si="28"/>
        <v>12.620000000000001</v>
      </c>
      <c r="BJ25" s="46">
        <f t="shared" si="29"/>
        <v>0</v>
      </c>
      <c r="BK25" s="46">
        <f t="shared" si="30"/>
        <v>0</v>
      </c>
      <c r="BL25" s="46">
        <f t="shared" si="31"/>
        <v>0</v>
      </c>
    </row>
    <row r="26" spans="1:64" ht="30" customHeight="1" x14ac:dyDescent="0.25">
      <c r="A26" s="84" t="str">
        <f t="shared" si="2"/>
        <v>Д</v>
      </c>
      <c r="B26" s="84" t="str">
        <f t="shared" si="38"/>
        <v>Б</v>
      </c>
      <c r="C26" s="101" t="s">
        <v>1471</v>
      </c>
      <c r="D26" s="16" t="str">
        <f t="shared" si="39"/>
        <v>'09.03.03</v>
      </c>
      <c r="E26" s="17" t="str">
        <f t="shared" si="40"/>
        <v>Прикладная информатика</v>
      </c>
      <c r="F26" s="9" t="s">
        <v>413</v>
      </c>
      <c r="G26" s="9" t="s">
        <v>42</v>
      </c>
      <c r="H26" s="10" t="s">
        <v>3233</v>
      </c>
      <c r="I26" s="10"/>
      <c r="J26" s="24" t="s">
        <v>3204</v>
      </c>
      <c r="K26" s="11">
        <v>1</v>
      </c>
      <c r="L26" s="11">
        <v>18</v>
      </c>
      <c r="M26" s="8" t="s">
        <v>94</v>
      </c>
      <c r="N26" s="11"/>
      <c r="O26" s="11">
        <v>2</v>
      </c>
      <c r="P26" s="11"/>
      <c r="Q26" s="8" t="s">
        <v>102</v>
      </c>
      <c r="R26" s="11"/>
      <c r="S26" s="11"/>
      <c r="T26" s="11"/>
      <c r="U26" s="11"/>
      <c r="V26" s="11"/>
      <c r="W26" s="83" t="str">
        <f t="shared" si="4"/>
        <v>НПИбд</v>
      </c>
      <c r="X26" s="110" t="s">
        <v>3247</v>
      </c>
      <c r="Y26" s="11">
        <v>1</v>
      </c>
      <c r="Z26" s="11"/>
      <c r="AA26" s="83">
        <f t="shared" si="41"/>
        <v>13</v>
      </c>
      <c r="AB26" s="11">
        <v>10</v>
      </c>
      <c r="AC26" s="11">
        <v>3</v>
      </c>
      <c r="AD26" s="81">
        <f t="shared" si="5"/>
        <v>12</v>
      </c>
      <c r="AE26" s="82">
        <f t="shared" si="42"/>
        <v>1</v>
      </c>
      <c r="AF26" s="82">
        <f t="shared" si="43"/>
        <v>1.0833333333333333</v>
      </c>
      <c r="AG26" s="102" t="s">
        <v>3250</v>
      </c>
      <c r="AH26" s="8" t="s">
        <v>204</v>
      </c>
      <c r="AI26" s="8" t="s">
        <v>212</v>
      </c>
      <c r="AJ26" s="35" t="s">
        <v>3255</v>
      </c>
      <c r="AK26" s="8"/>
      <c r="AL26" s="42">
        <f t="shared" si="7"/>
        <v>0</v>
      </c>
      <c r="AM26" s="42">
        <f t="shared" si="8"/>
        <v>0</v>
      </c>
      <c r="AN26" s="42">
        <f t="shared" si="9"/>
        <v>36</v>
      </c>
      <c r="AO26" s="42">
        <f t="shared" si="10"/>
        <v>4.29</v>
      </c>
      <c r="AP26" s="42">
        <f t="shared" si="11"/>
        <v>6.5</v>
      </c>
      <c r="AQ26" s="42">
        <f t="shared" si="12"/>
        <v>0</v>
      </c>
      <c r="AR26" s="42">
        <f t="shared" si="13"/>
        <v>0</v>
      </c>
      <c r="AS26" s="42">
        <f t="shared" si="14"/>
        <v>0</v>
      </c>
      <c r="AT26" s="42">
        <f t="shared" si="15"/>
        <v>0</v>
      </c>
      <c r="AU26" s="42">
        <f t="shared" si="16"/>
        <v>0</v>
      </c>
      <c r="AV26" s="42">
        <f>IF(M26="ПП",РПП*AA26*(U26/1.5),IF(M26="ВП",ВПр*AA26*(U26/1.5),IF(M26="РПА",РПА*AA26*(U26/1.5),IF(M26="КПА",КПА*AA26*(U26/1.5),0))))</f>
        <v>0</v>
      </c>
      <c r="AW26" s="42">
        <f t="shared" si="17"/>
        <v>0</v>
      </c>
      <c r="AX26" s="42">
        <f t="shared" si="18"/>
        <v>0</v>
      </c>
      <c r="AY26" s="42">
        <f t="shared" si="19"/>
        <v>0</v>
      </c>
      <c r="AZ26" s="42">
        <f t="shared" si="20"/>
        <v>0</v>
      </c>
      <c r="BA26" s="42">
        <f t="shared" si="21"/>
        <v>0</v>
      </c>
      <c r="BB26" s="42">
        <f t="shared" si="22"/>
        <v>0</v>
      </c>
      <c r="BC26" s="42">
        <f t="shared" si="23"/>
        <v>0</v>
      </c>
      <c r="BD26" s="42">
        <f t="shared" si="24"/>
        <v>0</v>
      </c>
      <c r="BE26" s="43">
        <f t="shared" si="25"/>
        <v>46.79</v>
      </c>
      <c r="BF26" s="44"/>
      <c r="BG26" s="45">
        <f t="shared" si="26"/>
        <v>36</v>
      </c>
      <c r="BH26" s="45">
        <f t="shared" si="27"/>
        <v>1</v>
      </c>
      <c r="BI26" s="45">
        <f t="shared" si="28"/>
        <v>10.79</v>
      </c>
      <c r="BJ26" s="46">
        <f t="shared" si="29"/>
        <v>0</v>
      </c>
      <c r="BK26" s="46">
        <f t="shared" si="30"/>
        <v>0</v>
      </c>
      <c r="BL26" s="46">
        <f t="shared" si="31"/>
        <v>0</v>
      </c>
    </row>
    <row r="27" spans="1:64" ht="30" customHeight="1" x14ac:dyDescent="0.25">
      <c r="A27" s="84" t="str">
        <f t="shared" si="2"/>
        <v>Д</v>
      </c>
      <c r="B27" s="84" t="str">
        <f t="shared" si="38"/>
        <v>Б</v>
      </c>
      <c r="C27" s="101" t="s">
        <v>1471</v>
      </c>
      <c r="D27" s="16" t="str">
        <f t="shared" si="39"/>
        <v>'09.03.03</v>
      </c>
      <c r="E27" s="17" t="str">
        <f t="shared" si="40"/>
        <v>Прикладная информатика</v>
      </c>
      <c r="F27" s="9" t="s">
        <v>413</v>
      </c>
      <c r="G27" s="9" t="s">
        <v>42</v>
      </c>
      <c r="H27" s="10" t="s">
        <v>3233</v>
      </c>
      <c r="I27" s="10"/>
      <c r="J27" s="24" t="s">
        <v>3204</v>
      </c>
      <c r="K27" s="11">
        <v>1</v>
      </c>
      <c r="L27" s="11">
        <v>18</v>
      </c>
      <c r="M27" s="8" t="s">
        <v>94</v>
      </c>
      <c r="N27" s="11"/>
      <c r="O27" s="11">
        <v>2</v>
      </c>
      <c r="P27" s="11"/>
      <c r="Q27" s="8" t="s">
        <v>102</v>
      </c>
      <c r="R27" s="11"/>
      <c r="S27" s="11"/>
      <c r="T27" s="11"/>
      <c r="U27" s="11"/>
      <c r="V27" s="11"/>
      <c r="W27" s="83" t="str">
        <f t="shared" si="4"/>
        <v>НПИбд</v>
      </c>
      <c r="X27" s="110" t="s">
        <v>3248</v>
      </c>
      <c r="Y27" s="11">
        <v>1</v>
      </c>
      <c r="Z27" s="11">
        <v>1</v>
      </c>
      <c r="AA27" s="83">
        <f t="shared" si="41"/>
        <v>13</v>
      </c>
      <c r="AB27" s="11">
        <v>10</v>
      </c>
      <c r="AC27" s="11">
        <v>3</v>
      </c>
      <c r="AD27" s="81">
        <f t="shared" si="5"/>
        <v>12</v>
      </c>
      <c r="AE27" s="82">
        <f t="shared" si="42"/>
        <v>1</v>
      </c>
      <c r="AF27" s="82">
        <f t="shared" si="43"/>
        <v>1.0833333333333333</v>
      </c>
      <c r="AG27" s="102" t="s">
        <v>3250</v>
      </c>
      <c r="AH27" s="8" t="s">
        <v>204</v>
      </c>
      <c r="AI27" s="8" t="s">
        <v>212</v>
      </c>
      <c r="AJ27" s="36" t="s">
        <v>3255</v>
      </c>
      <c r="AK27" s="8"/>
      <c r="AL27" s="42">
        <f t="shared" si="7"/>
        <v>0</v>
      </c>
      <c r="AM27" s="42">
        <f t="shared" si="8"/>
        <v>0</v>
      </c>
      <c r="AN27" s="42">
        <f t="shared" si="9"/>
        <v>36</v>
      </c>
      <c r="AO27" s="42">
        <f t="shared" si="10"/>
        <v>4.29</v>
      </c>
      <c r="AP27" s="42">
        <f t="shared" si="11"/>
        <v>6.5</v>
      </c>
      <c r="AQ27" s="42">
        <f t="shared" si="12"/>
        <v>1</v>
      </c>
      <c r="AR27" s="42">
        <f t="shared" si="13"/>
        <v>0</v>
      </c>
      <c r="AS27" s="42">
        <f t="shared" si="14"/>
        <v>0</v>
      </c>
      <c r="AT27" s="42">
        <f t="shared" si="15"/>
        <v>0</v>
      </c>
      <c r="AU27" s="42">
        <f t="shared" si="16"/>
        <v>0</v>
      </c>
      <c r="AV27" s="42">
        <f>IF(M27="ПП",РПП*AA27*(U27/1.5),IF(M27="ВП",ВПр*AA27*(U27/1.5),IF(M27="РПА",РПА*AA27*(U27/1.5),IF(M27="КПА",КПА*AA27*(U27/1.5),0))))</f>
        <v>0</v>
      </c>
      <c r="AW27" s="42">
        <f t="shared" si="17"/>
        <v>0</v>
      </c>
      <c r="AX27" s="42">
        <f t="shared" si="18"/>
        <v>0</v>
      </c>
      <c r="AY27" s="42">
        <f t="shared" si="19"/>
        <v>0</v>
      </c>
      <c r="AZ27" s="42">
        <f t="shared" si="20"/>
        <v>0</v>
      </c>
      <c r="BA27" s="42">
        <f t="shared" si="21"/>
        <v>0</v>
      </c>
      <c r="BB27" s="42">
        <f t="shared" si="22"/>
        <v>0</v>
      </c>
      <c r="BC27" s="42">
        <f t="shared" si="23"/>
        <v>0</v>
      </c>
      <c r="BD27" s="42">
        <f t="shared" si="24"/>
        <v>0</v>
      </c>
      <c r="BE27" s="43">
        <f t="shared" si="25"/>
        <v>47.79</v>
      </c>
      <c r="BF27" s="44"/>
      <c r="BG27" s="45">
        <f t="shared" si="26"/>
        <v>36</v>
      </c>
      <c r="BH27" s="45">
        <f t="shared" si="27"/>
        <v>1</v>
      </c>
      <c r="BI27" s="45">
        <f t="shared" si="28"/>
        <v>11.79</v>
      </c>
      <c r="BJ27" s="46">
        <f t="shared" si="29"/>
        <v>0</v>
      </c>
      <c r="BK27" s="46">
        <f t="shared" si="30"/>
        <v>0</v>
      </c>
      <c r="BL27" s="46">
        <f t="shared" si="31"/>
        <v>0</v>
      </c>
    </row>
    <row r="28" spans="1:64" ht="30" customHeight="1" x14ac:dyDescent="0.25">
      <c r="A28" s="84" t="str">
        <f t="shared" si="2"/>
        <v>Д</v>
      </c>
      <c r="B28" s="84" t="str">
        <f t="shared" si="38"/>
        <v>Б</v>
      </c>
      <c r="C28" s="101" t="s">
        <v>1471</v>
      </c>
      <c r="D28" s="16" t="str">
        <f t="shared" si="39"/>
        <v>'09.03.03</v>
      </c>
      <c r="E28" s="17" t="str">
        <f t="shared" si="40"/>
        <v>Прикладная информатика</v>
      </c>
      <c r="F28" s="9" t="s">
        <v>413</v>
      </c>
      <c r="G28" s="9" t="s">
        <v>42</v>
      </c>
      <c r="H28" s="10" t="s">
        <v>3233</v>
      </c>
      <c r="I28" s="10"/>
      <c r="J28" s="24" t="s">
        <v>3204</v>
      </c>
      <c r="K28" s="11">
        <v>1</v>
      </c>
      <c r="L28" s="11">
        <v>18</v>
      </c>
      <c r="M28" s="8" t="s">
        <v>94</v>
      </c>
      <c r="N28" s="11"/>
      <c r="O28" s="11">
        <v>2</v>
      </c>
      <c r="P28" s="11"/>
      <c r="Q28" s="8" t="s">
        <v>102</v>
      </c>
      <c r="R28" s="11"/>
      <c r="S28" s="11"/>
      <c r="T28" s="11"/>
      <c r="U28" s="11"/>
      <c r="V28" s="11"/>
      <c r="W28" s="83" t="str">
        <f t="shared" si="4"/>
        <v>НПИбд</v>
      </c>
      <c r="X28" s="110" t="s">
        <v>3248</v>
      </c>
      <c r="Y28" s="11"/>
      <c r="Z28" s="11"/>
      <c r="AA28" s="83">
        <f t="shared" si="41"/>
        <v>0</v>
      </c>
      <c r="AB28" s="11"/>
      <c r="AC28" s="11"/>
      <c r="AD28" s="81">
        <f t="shared" si="5"/>
        <v>12</v>
      </c>
      <c r="AE28" s="82">
        <f t="shared" si="42"/>
        <v>0</v>
      </c>
      <c r="AF28" s="82">
        <f t="shared" si="43"/>
        <v>0</v>
      </c>
      <c r="AG28" s="102" t="s">
        <v>3250</v>
      </c>
      <c r="AH28" s="8" t="s">
        <v>204</v>
      </c>
      <c r="AI28" s="8" t="s">
        <v>212</v>
      </c>
      <c r="AJ28" s="35" t="s">
        <v>3255</v>
      </c>
      <c r="AK28" s="8"/>
      <c r="AL28" s="42">
        <f t="shared" si="7"/>
        <v>0</v>
      </c>
      <c r="AM28" s="42">
        <f t="shared" si="8"/>
        <v>0</v>
      </c>
      <c r="AN28" s="42">
        <f t="shared" si="9"/>
        <v>0</v>
      </c>
      <c r="AO28" s="42">
        <f t="shared" si="10"/>
        <v>0</v>
      </c>
      <c r="AP28" s="42">
        <f t="shared" si="11"/>
        <v>0</v>
      </c>
      <c r="AQ28" s="42">
        <f t="shared" si="12"/>
        <v>0</v>
      </c>
      <c r="AR28" s="42">
        <f t="shared" si="13"/>
        <v>0</v>
      </c>
      <c r="AS28" s="42">
        <f t="shared" si="14"/>
        <v>0</v>
      </c>
      <c r="AT28" s="42">
        <f t="shared" si="15"/>
        <v>0</v>
      </c>
      <c r="AU28" s="42">
        <f t="shared" si="16"/>
        <v>0</v>
      </c>
      <c r="AV28" s="42">
        <f>IF(M28="ПП",РПП*AA28*(U28/1.5),IF(M28="ВП",ВПр*AA28*(U28/1.5),IF(M28="РПА",РПА*AA28*(U28/1.5),IF(M28="КПА",КПА*AA28*(U28/1.5),0))))</f>
        <v>0</v>
      </c>
      <c r="AW28" s="42">
        <f t="shared" si="17"/>
        <v>0</v>
      </c>
      <c r="AX28" s="42">
        <f t="shared" si="18"/>
        <v>0</v>
      </c>
      <c r="AY28" s="42">
        <f t="shared" si="19"/>
        <v>0</v>
      </c>
      <c r="AZ28" s="42">
        <f t="shared" si="20"/>
        <v>0</v>
      </c>
      <c r="BA28" s="42">
        <f t="shared" si="21"/>
        <v>0</v>
      </c>
      <c r="BB28" s="42">
        <f t="shared" si="22"/>
        <v>0</v>
      </c>
      <c r="BC28" s="42">
        <f t="shared" si="23"/>
        <v>0</v>
      </c>
      <c r="BD28" s="42">
        <f t="shared" si="24"/>
        <v>0</v>
      </c>
      <c r="BE28" s="43">
        <f t="shared" si="25"/>
        <v>0</v>
      </c>
      <c r="BF28" s="44"/>
      <c r="BG28" s="45">
        <f t="shared" si="26"/>
        <v>0</v>
      </c>
      <c r="BH28" s="45">
        <f t="shared" si="27"/>
        <v>0</v>
      </c>
      <c r="BI28" s="45">
        <f t="shared" si="28"/>
        <v>0</v>
      </c>
      <c r="BJ28" s="46">
        <f t="shared" si="29"/>
        <v>0</v>
      </c>
      <c r="BK28" s="46">
        <f t="shared" si="30"/>
        <v>0</v>
      </c>
      <c r="BL28" s="46">
        <f t="shared" si="31"/>
        <v>0</v>
      </c>
    </row>
    <row r="29" spans="1:64" ht="30" customHeight="1" x14ac:dyDescent="0.25">
      <c r="A29" s="84" t="str">
        <f t="shared" si="2"/>
        <v>Д</v>
      </c>
      <c r="B29" s="84" t="str">
        <f t="shared" si="38"/>
        <v>Б</v>
      </c>
      <c r="C29" s="101" t="s">
        <v>1471</v>
      </c>
      <c r="D29" s="16" t="str">
        <f t="shared" si="39"/>
        <v>'09.03.03</v>
      </c>
      <c r="E29" s="17" t="str">
        <f t="shared" si="40"/>
        <v>Прикладная информатика</v>
      </c>
      <c r="F29" s="9" t="s">
        <v>413</v>
      </c>
      <c r="G29" s="9" t="s">
        <v>42</v>
      </c>
      <c r="H29" s="10" t="s">
        <v>3233</v>
      </c>
      <c r="I29" s="10"/>
      <c r="J29" s="24" t="s">
        <v>3205</v>
      </c>
      <c r="K29" s="11">
        <v>3</v>
      </c>
      <c r="L29" s="11">
        <v>18</v>
      </c>
      <c r="M29" s="8" t="s">
        <v>23</v>
      </c>
      <c r="N29" s="11">
        <v>1</v>
      </c>
      <c r="O29" s="11"/>
      <c r="P29" s="11"/>
      <c r="Q29" s="8" t="s">
        <v>103</v>
      </c>
      <c r="R29" s="11"/>
      <c r="S29" s="11"/>
      <c r="T29" s="11"/>
      <c r="U29" s="11"/>
      <c r="V29" s="11"/>
      <c r="W29" s="83" t="str">
        <f t="shared" si="4"/>
        <v>НПИбд</v>
      </c>
      <c r="X29" s="110" t="s">
        <v>3354</v>
      </c>
      <c r="Y29" s="11">
        <v>6</v>
      </c>
      <c r="Z29" s="11">
        <v>3</v>
      </c>
      <c r="AA29" s="83">
        <f t="shared" si="41"/>
        <v>78</v>
      </c>
      <c r="AB29" s="11">
        <v>62</v>
      </c>
      <c r="AC29" s="11">
        <v>16</v>
      </c>
      <c r="AD29" s="81">
        <f t="shared" si="5"/>
        <v>78</v>
      </c>
      <c r="AE29" s="82">
        <f t="shared" si="42"/>
        <v>1</v>
      </c>
      <c r="AF29" s="82">
        <f t="shared" si="43"/>
        <v>1</v>
      </c>
      <c r="AG29" s="102" t="s">
        <v>3250</v>
      </c>
      <c r="AH29" s="8" t="s">
        <v>204</v>
      </c>
      <c r="AI29" s="8" t="s">
        <v>212</v>
      </c>
      <c r="AJ29" s="35" t="s">
        <v>3255</v>
      </c>
      <c r="AK29" s="8"/>
      <c r="AL29" s="42">
        <f t="shared" si="7"/>
        <v>18</v>
      </c>
      <c r="AM29" s="42">
        <f t="shared" si="8"/>
        <v>0</v>
      </c>
      <c r="AN29" s="42">
        <f t="shared" si="9"/>
        <v>0</v>
      </c>
      <c r="AO29" s="42">
        <f t="shared" si="10"/>
        <v>25.740000000000002</v>
      </c>
      <c r="AP29" s="42">
        <f t="shared" si="11"/>
        <v>39</v>
      </c>
      <c r="AQ29" s="42">
        <f t="shared" si="12"/>
        <v>3</v>
      </c>
      <c r="AR29" s="42">
        <f t="shared" si="13"/>
        <v>2.7</v>
      </c>
      <c r="AS29" s="42">
        <f t="shared" si="14"/>
        <v>0</v>
      </c>
      <c r="AT29" s="42">
        <f t="shared" si="15"/>
        <v>0</v>
      </c>
      <c r="AU29" s="42">
        <f t="shared" si="16"/>
        <v>0</v>
      </c>
      <c r="AV29" s="42">
        <f>IF(M29="ПП",РПП*AA29*(U29/1.5),IF(M29="ВП",ВПр*AA29*(U29/1.5),IF(M29="РПА",РПА*AA29*(U29/1.5),IF(M29="КПА",КПА*AA29*(U29/1.5),0))))</f>
        <v>0</v>
      </c>
      <c r="AW29" s="42">
        <f t="shared" si="17"/>
        <v>0</v>
      </c>
      <c r="AX29" s="42">
        <f t="shared" si="18"/>
        <v>0</v>
      </c>
      <c r="AY29" s="42">
        <f t="shared" si="19"/>
        <v>0</v>
      </c>
      <c r="AZ29" s="42">
        <f t="shared" si="20"/>
        <v>0</v>
      </c>
      <c r="BA29" s="42">
        <f t="shared" si="21"/>
        <v>0</v>
      </c>
      <c r="BB29" s="42">
        <f t="shared" si="22"/>
        <v>0</v>
      </c>
      <c r="BC29" s="42">
        <f t="shared" si="23"/>
        <v>0</v>
      </c>
      <c r="BD29" s="42">
        <f t="shared" si="24"/>
        <v>0</v>
      </c>
      <c r="BE29" s="43">
        <f t="shared" si="25"/>
        <v>88.440000000000012</v>
      </c>
      <c r="BF29" s="44"/>
      <c r="BG29" s="45">
        <f t="shared" si="26"/>
        <v>18</v>
      </c>
      <c r="BH29" s="45">
        <f t="shared" si="27"/>
        <v>0.5</v>
      </c>
      <c r="BI29" s="45">
        <f t="shared" si="28"/>
        <v>70.440000000000012</v>
      </c>
      <c r="BJ29" s="46">
        <f t="shared" si="29"/>
        <v>0</v>
      </c>
      <c r="BK29" s="46">
        <f t="shared" si="30"/>
        <v>0</v>
      </c>
      <c r="BL29" s="46">
        <f t="shared" si="31"/>
        <v>0</v>
      </c>
    </row>
    <row r="30" spans="1:64" ht="30" customHeight="1" x14ac:dyDescent="0.25">
      <c r="A30" s="84" t="str">
        <f t="shared" si="2"/>
        <v>Д</v>
      </c>
      <c r="B30" s="84" t="str">
        <f t="shared" si="38"/>
        <v>Б</v>
      </c>
      <c r="C30" s="101" t="s">
        <v>1471</v>
      </c>
      <c r="D30" s="16" t="str">
        <f t="shared" si="39"/>
        <v>'09.03.03</v>
      </c>
      <c r="E30" s="17" t="str">
        <f t="shared" si="40"/>
        <v>Прикладная информатика</v>
      </c>
      <c r="F30" s="9" t="s">
        <v>413</v>
      </c>
      <c r="G30" s="9" t="s">
        <v>42</v>
      </c>
      <c r="H30" s="10" t="s">
        <v>3233</v>
      </c>
      <c r="I30" s="10"/>
      <c r="J30" s="24" t="s">
        <v>3205</v>
      </c>
      <c r="K30" s="11">
        <v>3</v>
      </c>
      <c r="L30" s="11">
        <v>18</v>
      </c>
      <c r="M30" s="8" t="s">
        <v>94</v>
      </c>
      <c r="N30" s="11"/>
      <c r="O30" s="11">
        <v>1</v>
      </c>
      <c r="P30" s="11"/>
      <c r="Q30" s="8"/>
      <c r="R30" s="11"/>
      <c r="S30" s="11"/>
      <c r="T30" s="11"/>
      <c r="U30" s="11"/>
      <c r="V30" s="11"/>
      <c r="W30" s="83" t="str">
        <f t="shared" si="4"/>
        <v>НПИбд</v>
      </c>
      <c r="X30" s="110" t="s">
        <v>3234</v>
      </c>
      <c r="Y30" s="11">
        <v>1</v>
      </c>
      <c r="Z30" s="11">
        <v>1</v>
      </c>
      <c r="AA30" s="83">
        <f t="shared" si="41"/>
        <v>14</v>
      </c>
      <c r="AB30" s="11">
        <v>11</v>
      </c>
      <c r="AC30" s="11">
        <v>3</v>
      </c>
      <c r="AD30" s="81">
        <f t="shared" si="5"/>
        <v>12</v>
      </c>
      <c r="AE30" s="82">
        <f t="shared" si="42"/>
        <v>1</v>
      </c>
      <c r="AF30" s="82">
        <f t="shared" si="43"/>
        <v>1.1666666666666667</v>
      </c>
      <c r="AG30" s="102" t="s">
        <v>3250</v>
      </c>
      <c r="AH30" s="8" t="s">
        <v>204</v>
      </c>
      <c r="AI30" s="8" t="s">
        <v>212</v>
      </c>
      <c r="AJ30" s="35" t="s">
        <v>3255</v>
      </c>
      <c r="AK30" s="8"/>
      <c r="AL30" s="42">
        <f t="shared" si="7"/>
        <v>0</v>
      </c>
      <c r="AM30" s="42">
        <f t="shared" si="8"/>
        <v>0</v>
      </c>
      <c r="AN30" s="42">
        <f t="shared" si="9"/>
        <v>18</v>
      </c>
      <c r="AO30" s="42">
        <f t="shared" si="10"/>
        <v>0</v>
      </c>
      <c r="AP30" s="42">
        <f t="shared" si="11"/>
        <v>0</v>
      </c>
      <c r="AQ30" s="42">
        <f t="shared" si="12"/>
        <v>0</v>
      </c>
      <c r="AR30" s="42">
        <f t="shared" si="13"/>
        <v>0</v>
      </c>
      <c r="AS30" s="42">
        <f t="shared" si="14"/>
        <v>0</v>
      </c>
      <c r="AT30" s="42">
        <f t="shared" si="15"/>
        <v>0</v>
      </c>
      <c r="AU30" s="42">
        <f t="shared" si="16"/>
        <v>0</v>
      </c>
      <c r="AV30" s="42">
        <f>IF(M30="ПП",РПП*AA30*(U30/1.5),IF(M30="ВП",ВПр*AA30*(U30/1.5),IF(M30="РПА",РПА*AA30*(U30/1.5),IF(M30="КПА",КПА*AA30*(U30/1.5),0))))</f>
        <v>0</v>
      </c>
      <c r="AW30" s="42">
        <f t="shared" si="17"/>
        <v>0</v>
      </c>
      <c r="AX30" s="42">
        <f t="shared" si="18"/>
        <v>0</v>
      </c>
      <c r="AY30" s="42">
        <f t="shared" si="19"/>
        <v>0</v>
      </c>
      <c r="AZ30" s="42">
        <f t="shared" si="20"/>
        <v>0</v>
      </c>
      <c r="BA30" s="42">
        <f t="shared" si="21"/>
        <v>0</v>
      </c>
      <c r="BB30" s="42">
        <f t="shared" si="22"/>
        <v>0</v>
      </c>
      <c r="BC30" s="42">
        <f t="shared" si="23"/>
        <v>0</v>
      </c>
      <c r="BD30" s="42">
        <f t="shared" si="24"/>
        <v>0</v>
      </c>
      <c r="BE30" s="43">
        <f t="shared" si="25"/>
        <v>18</v>
      </c>
      <c r="BF30" s="44"/>
      <c r="BG30" s="45">
        <f t="shared" si="26"/>
        <v>18</v>
      </c>
      <c r="BH30" s="45">
        <f t="shared" si="27"/>
        <v>0.5</v>
      </c>
      <c r="BI30" s="45">
        <f t="shared" si="28"/>
        <v>0</v>
      </c>
      <c r="BJ30" s="46">
        <f t="shared" si="29"/>
        <v>0</v>
      </c>
      <c r="BK30" s="46">
        <f t="shared" si="30"/>
        <v>0</v>
      </c>
      <c r="BL30" s="46">
        <f t="shared" si="31"/>
        <v>0</v>
      </c>
    </row>
    <row r="31" spans="1:64" ht="30" customHeight="1" x14ac:dyDescent="0.25">
      <c r="A31" s="84" t="str">
        <f t="shared" si="2"/>
        <v>Д</v>
      </c>
      <c r="B31" s="84" t="str">
        <f t="shared" si="38"/>
        <v>Б</v>
      </c>
      <c r="C31" s="101" t="s">
        <v>1471</v>
      </c>
      <c r="D31" s="16" t="str">
        <f t="shared" si="39"/>
        <v>'09.03.03</v>
      </c>
      <c r="E31" s="17" t="str">
        <f t="shared" si="40"/>
        <v>Прикладная информатика</v>
      </c>
      <c r="F31" s="9" t="s">
        <v>413</v>
      </c>
      <c r="G31" s="9" t="s">
        <v>42</v>
      </c>
      <c r="H31" s="10" t="s">
        <v>3233</v>
      </c>
      <c r="I31" s="10"/>
      <c r="J31" s="24" t="s">
        <v>3205</v>
      </c>
      <c r="K31" s="11">
        <v>3</v>
      </c>
      <c r="L31" s="11">
        <v>18</v>
      </c>
      <c r="M31" s="8" t="s">
        <v>94</v>
      </c>
      <c r="N31" s="11"/>
      <c r="O31" s="11">
        <v>1</v>
      </c>
      <c r="P31" s="11"/>
      <c r="Q31" s="8"/>
      <c r="R31" s="11"/>
      <c r="S31" s="11"/>
      <c r="T31" s="11"/>
      <c r="U31" s="11"/>
      <c r="V31" s="11"/>
      <c r="W31" s="83" t="str">
        <f t="shared" si="4"/>
        <v>НПИбд</v>
      </c>
      <c r="X31" s="110" t="s">
        <v>3234</v>
      </c>
      <c r="Y31" s="11">
        <v>1</v>
      </c>
      <c r="Z31" s="11"/>
      <c r="AA31" s="83">
        <f t="shared" si="41"/>
        <v>12</v>
      </c>
      <c r="AB31" s="11">
        <v>10</v>
      </c>
      <c r="AC31" s="11">
        <v>2</v>
      </c>
      <c r="AD31" s="81">
        <f t="shared" si="5"/>
        <v>12</v>
      </c>
      <c r="AE31" s="82">
        <f t="shared" si="42"/>
        <v>1</v>
      </c>
      <c r="AF31" s="82">
        <f t="shared" si="43"/>
        <v>1</v>
      </c>
      <c r="AG31" s="102" t="s">
        <v>3250</v>
      </c>
      <c r="AH31" s="8" t="s">
        <v>204</v>
      </c>
      <c r="AI31" s="8" t="s">
        <v>212</v>
      </c>
      <c r="AJ31" s="36" t="s">
        <v>3255</v>
      </c>
      <c r="AK31" s="8"/>
      <c r="AL31" s="42">
        <f t="shared" si="7"/>
        <v>0</v>
      </c>
      <c r="AM31" s="42">
        <f t="shared" si="8"/>
        <v>0</v>
      </c>
      <c r="AN31" s="42">
        <f t="shared" si="9"/>
        <v>18</v>
      </c>
      <c r="AO31" s="42">
        <f t="shared" si="10"/>
        <v>0</v>
      </c>
      <c r="AP31" s="42">
        <f t="shared" si="11"/>
        <v>0</v>
      </c>
      <c r="AQ31" s="42">
        <f t="shared" si="12"/>
        <v>0</v>
      </c>
      <c r="AR31" s="42">
        <f t="shared" si="13"/>
        <v>0</v>
      </c>
      <c r="AS31" s="42">
        <f t="shared" si="14"/>
        <v>0</v>
      </c>
      <c r="AT31" s="42">
        <f t="shared" si="15"/>
        <v>0</v>
      </c>
      <c r="AU31" s="42">
        <f t="shared" si="16"/>
        <v>0</v>
      </c>
      <c r="AV31" s="42">
        <f>IF(M31="ПП",РПП*AA31*(U31/1.5),IF(M31="ВП",ВПр*AA31*(U31/1.5),IF(M31="РПА",РПА*AA31*(U31/1.5),IF(M31="КПА",КПА*AA31*(U31/1.5),0))))</f>
        <v>0</v>
      </c>
      <c r="AW31" s="42">
        <f t="shared" si="17"/>
        <v>0</v>
      </c>
      <c r="AX31" s="42">
        <f t="shared" si="18"/>
        <v>0</v>
      </c>
      <c r="AY31" s="42">
        <f t="shared" si="19"/>
        <v>0</v>
      </c>
      <c r="AZ31" s="42">
        <f t="shared" si="20"/>
        <v>0</v>
      </c>
      <c r="BA31" s="42">
        <f t="shared" si="21"/>
        <v>0</v>
      </c>
      <c r="BB31" s="42">
        <f t="shared" si="22"/>
        <v>0</v>
      </c>
      <c r="BC31" s="42">
        <f t="shared" si="23"/>
        <v>0</v>
      </c>
      <c r="BD31" s="42">
        <f t="shared" si="24"/>
        <v>0</v>
      </c>
      <c r="BE31" s="43">
        <f t="shared" si="25"/>
        <v>18</v>
      </c>
      <c r="BF31" s="44"/>
      <c r="BG31" s="45">
        <f t="shared" si="26"/>
        <v>18</v>
      </c>
      <c r="BH31" s="45">
        <f t="shared" si="27"/>
        <v>0.5</v>
      </c>
      <c r="BI31" s="45">
        <f t="shared" si="28"/>
        <v>0</v>
      </c>
      <c r="BJ31" s="46">
        <f t="shared" si="29"/>
        <v>0</v>
      </c>
      <c r="BK31" s="46">
        <f t="shared" si="30"/>
        <v>0</v>
      </c>
      <c r="BL31" s="46">
        <f t="shared" si="31"/>
        <v>0</v>
      </c>
    </row>
    <row r="32" spans="1:64" ht="30" customHeight="1" x14ac:dyDescent="0.25">
      <c r="A32" s="84" t="str">
        <f t="shared" si="2"/>
        <v>Д</v>
      </c>
      <c r="B32" s="84" t="str">
        <f t="shared" ref="B32:B33" si="44">IF(C32&gt;0, VLOOKUP(C32,Код_ООП,11,FALSE),0)</f>
        <v>Б</v>
      </c>
      <c r="C32" s="101" t="s">
        <v>1471</v>
      </c>
      <c r="D32" s="16" t="str">
        <f t="shared" ref="D32:D33" si="45">IF(C32&gt;0, VLOOKUP(C32,Код_ООП,2,FALSE),0)</f>
        <v>'09.03.03</v>
      </c>
      <c r="E32" s="17" t="str">
        <f t="shared" ref="E32:E33" si="46">IF(C32&gt;0, VLOOKUP(C32,Код_ООП,13,FALSE),0)</f>
        <v>Прикладная информатика</v>
      </c>
      <c r="F32" s="9" t="s">
        <v>413</v>
      </c>
      <c r="G32" s="9" t="s">
        <v>42</v>
      </c>
      <c r="H32" s="10" t="s">
        <v>3233</v>
      </c>
      <c r="I32" s="10"/>
      <c r="J32" s="24" t="s">
        <v>3205</v>
      </c>
      <c r="K32" s="11">
        <v>3</v>
      </c>
      <c r="L32" s="11">
        <v>18</v>
      </c>
      <c r="M32" s="8" t="s">
        <v>94</v>
      </c>
      <c r="N32" s="11"/>
      <c r="O32" s="11">
        <v>1</v>
      </c>
      <c r="P32" s="11"/>
      <c r="Q32" s="8"/>
      <c r="R32" s="11"/>
      <c r="S32" s="11"/>
      <c r="T32" s="11"/>
      <c r="U32" s="11"/>
      <c r="V32" s="11"/>
      <c r="W32" s="83" t="str">
        <f t="shared" si="4"/>
        <v>НПИбд</v>
      </c>
      <c r="X32" s="110" t="s">
        <v>3235</v>
      </c>
      <c r="Y32" s="11">
        <v>1</v>
      </c>
      <c r="Z32" s="11">
        <v>1</v>
      </c>
      <c r="AA32" s="83">
        <f t="shared" ref="AA32:AA33" si="47">AB32+AC32</f>
        <v>14</v>
      </c>
      <c r="AB32" s="11">
        <v>11</v>
      </c>
      <c r="AC32" s="11">
        <v>3</v>
      </c>
      <c r="AD32" s="81">
        <f t="shared" si="5"/>
        <v>12</v>
      </c>
      <c r="AE32" s="82">
        <f t="shared" ref="AE32:AE33" si="48">IF(AF32&gt;1,1,AF32)</f>
        <v>1</v>
      </c>
      <c r="AF32" s="82">
        <f t="shared" ref="AF32:AF33" si="49">AA32/AD32</f>
        <v>1.1666666666666667</v>
      </c>
      <c r="AG32" s="102" t="s">
        <v>3250</v>
      </c>
      <c r="AH32" s="8" t="s">
        <v>203</v>
      </c>
      <c r="AI32" s="8" t="s">
        <v>213</v>
      </c>
      <c r="AJ32" s="35" t="s">
        <v>3344</v>
      </c>
      <c r="AK32" s="8"/>
      <c r="AL32" s="42">
        <f t="shared" si="7"/>
        <v>0</v>
      </c>
      <c r="AM32" s="42">
        <f t="shared" ref="AM32:AM33" si="50">IF(OR(M32="пр",M32="ия",M32="сп"),P32*AE32*L32,0)</f>
        <v>0</v>
      </c>
      <c r="AN32" s="42">
        <f t="shared" ref="AN32:AN33" si="51">IF(OR(M32="лаб",M32="клн"),O32*AE32*L32,0)</f>
        <v>18</v>
      </c>
      <c r="AO32" s="42">
        <f t="shared" ref="AO32:AO33" si="52">(IF((AND(OR(K32=1,K32=2,K32=3,K32=4,K32=5,K32=6,K32=7,K32=8,K32=9,K32=10,K32=11,K32=12),OR(Q32="Зач",Q32="Экз"))),ТКиРА*AA32,0)+IF(SUM(N32:P32)&lt;&gt;0,IF(Q32="ТК",ТКиРА*AA32,0),0))*(IF(F32="ФТД",0,1))</f>
        <v>0</v>
      </c>
      <c r="AP32" s="42">
        <f t="shared" ref="AP32:AP33" si="53">IF(SUM(O32:P32)&lt;&gt;0,IF(Q32="Зач",ПАБРС*AA32,0),0)+IF(N32&lt;&gt;0,IF(Q32="Экз",ПАБРС*AA32,0),0)</f>
        <v>0</v>
      </c>
      <c r="AQ32" s="42">
        <f t="shared" ref="AQ32:AQ33" si="54">(IF(AP32&lt;&gt;0,ОфВед*(IF(OR(M32="лек",M32="лаб"),Z32,AE32)),0))*(IF(F32="ФТД",0,1))</f>
        <v>0</v>
      </c>
      <c r="AR32" s="42">
        <f t="shared" si="13"/>
        <v>0</v>
      </c>
      <c r="AS32" s="42">
        <f t="shared" ref="AS32:AS33" si="55">IF(OR(M32="лаб",M32="пр"),IF(R32="К",AA32*ВПКР,IF(R32="М",AA32*ВПИБ,0)),0)</f>
        <v>0</v>
      </c>
      <c r="AT32" s="42">
        <f t="shared" ref="AT32:AT33" si="56">IF(OR(M32="лаб",M32="пр"),IF(S32="К",AA32*ВПКП,0),0)</f>
        <v>0</v>
      </c>
      <c r="AU32" s="42">
        <f t="shared" ref="AU32:AU33" si="57">IF(M32="УП",T32/1.5*AA32*РУП,IF(M32="УПМ",T32/1.5*AA32*РУПЛеч,0))</f>
        <v>0</v>
      </c>
      <c r="AV32" s="42">
        <f>IF(M32="ПП",РПП*AA32*(U32/1.5),IF(M32="ВП",ВПр*AA32*(U32/1.5),IF(M32="РПА",РПА*AA32*(U32/1.5),IF(M32="КПА",КПА*AA32*(U32/1.5),0))))</f>
        <v>0</v>
      </c>
      <c r="AW32" s="42">
        <f t="shared" ref="AW32:AW33" si="58">IF(M32="НР",(AB32*НИРМ+AC32*НИРМИн)*(V32/1.5),IF(M32="НИ",(AB32*НИРА+AC32*НИРАИ)*(V32/1.5),0))</f>
        <v>0</v>
      </c>
      <c r="AX32" s="42">
        <f t="shared" si="18"/>
        <v>0</v>
      </c>
      <c r="AY32" s="42">
        <f t="shared" si="19"/>
        <v>0</v>
      </c>
      <c r="AZ32" s="42">
        <f t="shared" ref="AZ32:AZ33" si="59">IF(AND(Q32="КЭ",M32="ЧК"),AA32*КдЭк,0)</f>
        <v>0</v>
      </c>
      <c r="BA32" s="42">
        <f t="shared" si="21"/>
        <v>0</v>
      </c>
      <c r="BB32" s="42">
        <f t="shared" si="22"/>
        <v>0</v>
      </c>
      <c r="BC32" s="42">
        <f t="shared" si="23"/>
        <v>0</v>
      </c>
      <c r="BD32" s="42">
        <f t="shared" ref="BD32:BD33" si="60">IF(M32="ЧГ",AA32*ЧГ,IF(M32="ПГ",AA32*ПГ,IF(M32="ТЕСТ",ТГИЭ*AE32,IF(M32="СГ",AA32*СГ,0))))</f>
        <v>0</v>
      </c>
      <c r="BE32" s="43">
        <f t="shared" ref="BE32:BE33" si="61">SUM(AL32:BD32)</f>
        <v>18</v>
      </c>
      <c r="BF32" s="44"/>
      <c r="BG32" s="45">
        <f t="shared" ref="BG32:BG33" si="62">IF(OR(K32="1;1",K32="1;2",K32=1,K32="3;1",K32="3;2",K32=3,K32="5;1",K32="5;2",K32=5,K32="7;1",K32="7;2",K32=7,K32="9;1",K32="9;2",K32=9,K32=11),SUM(AL32:AN32),0)</f>
        <v>18</v>
      </c>
      <c r="BH32" s="45">
        <f t="shared" ref="BH32:BH33" si="63">IF(BG32&lt;&gt;0,SUM(N32:P32)/2,0)</f>
        <v>0.5</v>
      </c>
      <c r="BI32" s="45">
        <f t="shared" ref="BI32:BI33" si="64">IF(OR(K32="1;1",K32="1;2",K32=1,K32="3;1",K32="3;2",K32=3,K32="5;1",K32="5;2",K32=5,K32="7;1",K32="7;2",K32=7,K32="9;1",K32="9;2",K32=9,K32=11),SUM(AO32:BD32),0)</f>
        <v>0</v>
      </c>
      <c r="BJ32" s="46">
        <f t="shared" ref="BJ32:BJ33" si="65">IF(OR(K32="2;3",K32="2;4",K32=2,K32="4;3",K32="4;4",K32=4,K32="6;3",K32="6;4",K32=6,K32="8;3",K32="8;4",K32=8,K32="10;3",K32="10;4",K32=10,K32=12),SUM(AL32:AN32),0)</f>
        <v>0</v>
      </c>
      <c r="BK32" s="46">
        <f t="shared" ref="BK32:BK33" si="66">IF(BJ32&lt;&gt;0,SUM(N32:P32)/2,0)</f>
        <v>0</v>
      </c>
      <c r="BL32" s="46">
        <f t="shared" ref="BL32:BL33" si="67">IF(OR(K32="2;3",K32="2;4",K32=2,K32="4;3",K32="4;4",K32=4,K32="6;3",K32="6;4",K32=6,K32="8;3",K32="8;4",K32=8,K32="10;3",K32="10;4",K32=10,K32=12),SUM(AO32:BD32),0)</f>
        <v>0</v>
      </c>
    </row>
    <row r="33" spans="1:64" ht="30" customHeight="1" x14ac:dyDescent="0.25">
      <c r="A33" s="84" t="str">
        <f t="shared" si="2"/>
        <v>Д</v>
      </c>
      <c r="B33" s="84" t="str">
        <f t="shared" si="44"/>
        <v>Б</v>
      </c>
      <c r="C33" s="101" t="s">
        <v>1471</v>
      </c>
      <c r="D33" s="16" t="str">
        <f t="shared" si="45"/>
        <v>'09.03.03</v>
      </c>
      <c r="E33" s="17" t="str">
        <f t="shared" si="46"/>
        <v>Прикладная информатика</v>
      </c>
      <c r="F33" s="9" t="s">
        <v>413</v>
      </c>
      <c r="G33" s="9" t="s">
        <v>42</v>
      </c>
      <c r="H33" s="10" t="s">
        <v>3233</v>
      </c>
      <c r="I33" s="10"/>
      <c r="J33" s="24" t="s">
        <v>3205</v>
      </c>
      <c r="K33" s="11">
        <v>3</v>
      </c>
      <c r="L33" s="11">
        <v>18</v>
      </c>
      <c r="M33" s="8" t="s">
        <v>94</v>
      </c>
      <c r="N33" s="11"/>
      <c r="O33" s="11">
        <v>1</v>
      </c>
      <c r="P33" s="11"/>
      <c r="Q33" s="8"/>
      <c r="R33" s="11"/>
      <c r="S33" s="11"/>
      <c r="T33" s="11"/>
      <c r="U33" s="11"/>
      <c r="V33" s="11"/>
      <c r="W33" s="83" t="str">
        <f t="shared" si="4"/>
        <v>НПИбд</v>
      </c>
      <c r="X33" s="110" t="s">
        <v>3235</v>
      </c>
      <c r="Y33" s="11">
        <v>1</v>
      </c>
      <c r="Z33" s="11"/>
      <c r="AA33" s="83">
        <f t="shared" si="47"/>
        <v>12</v>
      </c>
      <c r="AB33" s="11">
        <v>10</v>
      </c>
      <c r="AC33" s="11">
        <v>2</v>
      </c>
      <c r="AD33" s="81">
        <f t="shared" si="5"/>
        <v>12</v>
      </c>
      <c r="AE33" s="82">
        <f t="shared" si="48"/>
        <v>1</v>
      </c>
      <c r="AF33" s="82">
        <f t="shared" si="49"/>
        <v>1</v>
      </c>
      <c r="AG33" s="102" t="s">
        <v>3250</v>
      </c>
      <c r="AH33" s="8" t="s">
        <v>203</v>
      </c>
      <c r="AI33" s="8" t="s">
        <v>213</v>
      </c>
      <c r="AJ33" s="37" t="s">
        <v>3344</v>
      </c>
      <c r="AK33" s="8"/>
      <c r="AL33" s="42">
        <f t="shared" si="7"/>
        <v>0</v>
      </c>
      <c r="AM33" s="42">
        <f t="shared" si="50"/>
        <v>0</v>
      </c>
      <c r="AN33" s="42">
        <f t="shared" si="51"/>
        <v>18</v>
      </c>
      <c r="AO33" s="42">
        <f t="shared" si="52"/>
        <v>0</v>
      </c>
      <c r="AP33" s="42">
        <f t="shared" si="53"/>
        <v>0</v>
      </c>
      <c r="AQ33" s="42">
        <f t="shared" si="54"/>
        <v>0</v>
      </c>
      <c r="AR33" s="42">
        <f t="shared" si="13"/>
        <v>0</v>
      </c>
      <c r="AS33" s="42">
        <f t="shared" si="55"/>
        <v>0</v>
      </c>
      <c r="AT33" s="42">
        <f t="shared" si="56"/>
        <v>0</v>
      </c>
      <c r="AU33" s="42">
        <f t="shared" si="57"/>
        <v>0</v>
      </c>
      <c r="AV33" s="42">
        <f>IF(M33="ПП",РПП*AA33*(U33/1.5),IF(M33="ВП",ВПр*AA33*(U33/1.5),IF(M33="РПА",РПА*AA33*(U33/1.5),IF(M33="КПА",КПА*AA33*(U33/1.5),0))))</f>
        <v>0</v>
      </c>
      <c r="AW33" s="42">
        <f t="shared" si="58"/>
        <v>0</v>
      </c>
      <c r="AX33" s="42">
        <f t="shared" si="18"/>
        <v>0</v>
      </c>
      <c r="AY33" s="42">
        <f t="shared" si="19"/>
        <v>0</v>
      </c>
      <c r="AZ33" s="42">
        <f t="shared" si="59"/>
        <v>0</v>
      </c>
      <c r="BA33" s="42">
        <f t="shared" si="21"/>
        <v>0</v>
      </c>
      <c r="BB33" s="42">
        <f t="shared" si="22"/>
        <v>0</v>
      </c>
      <c r="BC33" s="42">
        <f t="shared" si="23"/>
        <v>0</v>
      </c>
      <c r="BD33" s="42">
        <f t="shared" si="60"/>
        <v>0</v>
      </c>
      <c r="BE33" s="43">
        <f t="shared" si="61"/>
        <v>18</v>
      </c>
      <c r="BF33" s="44"/>
      <c r="BG33" s="45">
        <f t="shared" si="62"/>
        <v>18</v>
      </c>
      <c r="BH33" s="45">
        <f t="shared" si="63"/>
        <v>0.5</v>
      </c>
      <c r="BI33" s="45">
        <f t="shared" si="64"/>
        <v>0</v>
      </c>
      <c r="BJ33" s="46">
        <f t="shared" si="65"/>
        <v>0</v>
      </c>
      <c r="BK33" s="46">
        <f t="shared" si="66"/>
        <v>0</v>
      </c>
      <c r="BL33" s="46">
        <f t="shared" si="67"/>
        <v>0</v>
      </c>
    </row>
    <row r="34" spans="1:64" ht="30" customHeight="1" x14ac:dyDescent="0.25">
      <c r="A34" s="84" t="str">
        <f t="shared" si="2"/>
        <v>Д</v>
      </c>
      <c r="B34" s="84" t="str">
        <f t="shared" si="38"/>
        <v>Б</v>
      </c>
      <c r="C34" s="101" t="s">
        <v>1471</v>
      </c>
      <c r="D34" s="16" t="str">
        <f t="shared" si="39"/>
        <v>'09.03.03</v>
      </c>
      <c r="E34" s="17" t="str">
        <f t="shared" si="40"/>
        <v>Прикладная информатика</v>
      </c>
      <c r="F34" s="9" t="s">
        <v>413</v>
      </c>
      <c r="G34" s="9" t="s">
        <v>42</v>
      </c>
      <c r="H34" s="10" t="s">
        <v>3233</v>
      </c>
      <c r="I34" s="10"/>
      <c r="J34" s="24" t="s">
        <v>3205</v>
      </c>
      <c r="K34" s="11">
        <v>3</v>
      </c>
      <c r="L34" s="11">
        <v>18</v>
      </c>
      <c r="M34" s="8" t="s">
        <v>94</v>
      </c>
      <c r="N34" s="11"/>
      <c r="O34" s="11">
        <v>1</v>
      </c>
      <c r="P34" s="11"/>
      <c r="Q34" s="8"/>
      <c r="R34" s="11"/>
      <c r="S34" s="11"/>
      <c r="T34" s="11"/>
      <c r="U34" s="11"/>
      <c r="V34" s="11"/>
      <c r="W34" s="83" t="str">
        <f t="shared" si="4"/>
        <v>НПИбд</v>
      </c>
      <c r="X34" s="110" t="s">
        <v>3236</v>
      </c>
      <c r="Y34" s="11">
        <v>1</v>
      </c>
      <c r="Z34" s="11">
        <v>1</v>
      </c>
      <c r="AA34" s="83">
        <f t="shared" si="41"/>
        <v>13</v>
      </c>
      <c r="AB34" s="11">
        <v>10</v>
      </c>
      <c r="AC34" s="11">
        <v>3</v>
      </c>
      <c r="AD34" s="81">
        <f t="shared" si="5"/>
        <v>12</v>
      </c>
      <c r="AE34" s="82">
        <f t="shared" si="42"/>
        <v>1</v>
      </c>
      <c r="AF34" s="82">
        <f t="shared" si="43"/>
        <v>1.0833333333333333</v>
      </c>
      <c r="AG34" s="102" t="s">
        <v>3250</v>
      </c>
      <c r="AH34" s="8" t="s">
        <v>203</v>
      </c>
      <c r="AI34" s="8" t="s">
        <v>213</v>
      </c>
      <c r="AJ34" s="35" t="s">
        <v>3344</v>
      </c>
      <c r="AK34" s="8"/>
      <c r="AL34" s="42">
        <f t="shared" si="7"/>
        <v>0</v>
      </c>
      <c r="AM34" s="42">
        <f t="shared" si="8"/>
        <v>0</v>
      </c>
      <c r="AN34" s="42">
        <f t="shared" si="9"/>
        <v>18</v>
      </c>
      <c r="AO34" s="42">
        <f t="shared" si="10"/>
        <v>0</v>
      </c>
      <c r="AP34" s="42">
        <f t="shared" si="11"/>
        <v>0</v>
      </c>
      <c r="AQ34" s="42">
        <f t="shared" si="12"/>
        <v>0</v>
      </c>
      <c r="AR34" s="42">
        <f t="shared" si="13"/>
        <v>0</v>
      </c>
      <c r="AS34" s="42">
        <f t="shared" si="14"/>
        <v>0</v>
      </c>
      <c r="AT34" s="42">
        <f t="shared" si="15"/>
        <v>0</v>
      </c>
      <c r="AU34" s="42">
        <f t="shared" si="16"/>
        <v>0</v>
      </c>
      <c r="AV34" s="42">
        <f>IF(M34="ПП",РПП*AA34*(U34/1.5),IF(M34="ВП",ВПр*AA34*(U34/1.5),IF(M34="РПА",РПА*AA34*(U34/1.5),IF(M34="КПА",КПА*AA34*(U34/1.5),0))))</f>
        <v>0</v>
      </c>
      <c r="AW34" s="42">
        <f t="shared" si="17"/>
        <v>0</v>
      </c>
      <c r="AX34" s="42">
        <f t="shared" si="18"/>
        <v>0</v>
      </c>
      <c r="AY34" s="42">
        <f t="shared" si="19"/>
        <v>0</v>
      </c>
      <c r="AZ34" s="42">
        <f t="shared" si="20"/>
        <v>0</v>
      </c>
      <c r="BA34" s="42">
        <f t="shared" si="21"/>
        <v>0</v>
      </c>
      <c r="BB34" s="42">
        <f t="shared" si="22"/>
        <v>0</v>
      </c>
      <c r="BC34" s="42">
        <f t="shared" si="23"/>
        <v>0</v>
      </c>
      <c r="BD34" s="42">
        <f t="shared" si="24"/>
        <v>0</v>
      </c>
      <c r="BE34" s="43">
        <f t="shared" si="25"/>
        <v>18</v>
      </c>
      <c r="BF34" s="44"/>
      <c r="BG34" s="45">
        <f t="shared" si="26"/>
        <v>18</v>
      </c>
      <c r="BH34" s="45">
        <f t="shared" si="27"/>
        <v>0.5</v>
      </c>
      <c r="BI34" s="45">
        <f t="shared" si="28"/>
        <v>0</v>
      </c>
      <c r="BJ34" s="46">
        <f t="shared" si="29"/>
        <v>0</v>
      </c>
      <c r="BK34" s="46">
        <f t="shared" si="30"/>
        <v>0</v>
      </c>
      <c r="BL34" s="46">
        <f t="shared" si="31"/>
        <v>0</v>
      </c>
    </row>
    <row r="35" spans="1:64" ht="30" customHeight="1" x14ac:dyDescent="0.25">
      <c r="A35" s="84" t="str">
        <f t="shared" si="2"/>
        <v>Д</v>
      </c>
      <c r="B35" s="84" t="str">
        <f t="shared" si="38"/>
        <v>Б</v>
      </c>
      <c r="C35" s="101" t="s">
        <v>1471</v>
      </c>
      <c r="D35" s="16" t="str">
        <f t="shared" si="39"/>
        <v>'09.03.03</v>
      </c>
      <c r="E35" s="17" t="str">
        <f t="shared" si="40"/>
        <v>Прикладная информатика</v>
      </c>
      <c r="F35" s="9" t="s">
        <v>413</v>
      </c>
      <c r="G35" s="9" t="s">
        <v>42</v>
      </c>
      <c r="H35" s="10" t="s">
        <v>3233</v>
      </c>
      <c r="I35" s="10"/>
      <c r="J35" s="24" t="s">
        <v>3205</v>
      </c>
      <c r="K35" s="11">
        <v>3</v>
      </c>
      <c r="L35" s="11">
        <v>18</v>
      </c>
      <c r="M35" s="8" t="s">
        <v>94</v>
      </c>
      <c r="N35" s="11"/>
      <c r="O35" s="11">
        <v>1</v>
      </c>
      <c r="P35" s="11"/>
      <c r="Q35" s="8"/>
      <c r="R35" s="11"/>
      <c r="S35" s="11"/>
      <c r="T35" s="11"/>
      <c r="U35" s="11"/>
      <c r="V35" s="11"/>
      <c r="W35" s="83" t="str">
        <f t="shared" si="4"/>
        <v>НПИбд</v>
      </c>
      <c r="X35" s="110" t="s">
        <v>3236</v>
      </c>
      <c r="Y35" s="11">
        <v>1</v>
      </c>
      <c r="Z35" s="11"/>
      <c r="AA35" s="83">
        <f t="shared" si="41"/>
        <v>13</v>
      </c>
      <c r="AB35" s="11">
        <v>10</v>
      </c>
      <c r="AC35" s="11">
        <v>3</v>
      </c>
      <c r="AD35" s="81">
        <f t="shared" si="5"/>
        <v>12</v>
      </c>
      <c r="AE35" s="82">
        <f t="shared" si="42"/>
        <v>1</v>
      </c>
      <c r="AF35" s="82">
        <f t="shared" si="43"/>
        <v>1.0833333333333333</v>
      </c>
      <c r="AG35" s="102" t="s">
        <v>3250</v>
      </c>
      <c r="AH35" s="8" t="s">
        <v>203</v>
      </c>
      <c r="AI35" s="8" t="s">
        <v>213</v>
      </c>
      <c r="AJ35" s="37" t="s">
        <v>3344</v>
      </c>
      <c r="AK35" s="8"/>
      <c r="AL35" s="42">
        <f t="shared" si="7"/>
        <v>0</v>
      </c>
      <c r="AM35" s="42">
        <f t="shared" si="8"/>
        <v>0</v>
      </c>
      <c r="AN35" s="42">
        <f t="shared" si="9"/>
        <v>18</v>
      </c>
      <c r="AO35" s="42">
        <f t="shared" si="10"/>
        <v>0</v>
      </c>
      <c r="AP35" s="42">
        <f t="shared" si="11"/>
        <v>0</v>
      </c>
      <c r="AQ35" s="42">
        <f t="shared" si="12"/>
        <v>0</v>
      </c>
      <c r="AR35" s="42">
        <f t="shared" si="13"/>
        <v>0</v>
      </c>
      <c r="AS35" s="42">
        <f t="shared" si="14"/>
        <v>0</v>
      </c>
      <c r="AT35" s="42">
        <f t="shared" si="15"/>
        <v>0</v>
      </c>
      <c r="AU35" s="42">
        <f t="shared" si="16"/>
        <v>0</v>
      </c>
      <c r="AV35" s="42">
        <f>IF(M35="ПП",РПП*AA35*(U35/1.5),IF(M35="ВП",ВПр*AA35*(U35/1.5),IF(M35="РПА",РПА*AA35*(U35/1.5),IF(M35="КПА",КПА*AA35*(U35/1.5),0))))</f>
        <v>0</v>
      </c>
      <c r="AW35" s="42">
        <f t="shared" si="17"/>
        <v>0</v>
      </c>
      <c r="AX35" s="42">
        <f t="shared" si="18"/>
        <v>0</v>
      </c>
      <c r="AY35" s="42">
        <f t="shared" si="19"/>
        <v>0</v>
      </c>
      <c r="AZ35" s="42">
        <f t="shared" si="20"/>
        <v>0</v>
      </c>
      <c r="BA35" s="42">
        <f t="shared" si="21"/>
        <v>0</v>
      </c>
      <c r="BB35" s="42">
        <f t="shared" si="22"/>
        <v>0</v>
      </c>
      <c r="BC35" s="42">
        <f t="shared" si="23"/>
        <v>0</v>
      </c>
      <c r="BD35" s="42">
        <f t="shared" si="24"/>
        <v>0</v>
      </c>
      <c r="BE35" s="43">
        <f t="shared" si="25"/>
        <v>18</v>
      </c>
      <c r="BF35" s="44"/>
      <c r="BG35" s="45">
        <f t="shared" si="26"/>
        <v>18</v>
      </c>
      <c r="BH35" s="45">
        <f t="shared" si="27"/>
        <v>0.5</v>
      </c>
      <c r="BI35" s="45">
        <f t="shared" si="28"/>
        <v>0</v>
      </c>
      <c r="BJ35" s="46">
        <f t="shared" si="29"/>
        <v>0</v>
      </c>
      <c r="BK35" s="46">
        <f t="shared" si="30"/>
        <v>0</v>
      </c>
      <c r="BL35" s="46">
        <f t="shared" si="31"/>
        <v>0</v>
      </c>
    </row>
    <row r="36" spans="1:64" ht="30" customHeight="1" x14ac:dyDescent="0.25">
      <c r="A36" s="84" t="str">
        <f t="shared" si="2"/>
        <v>Д</v>
      </c>
      <c r="B36" s="84" t="str">
        <f t="shared" si="38"/>
        <v>Б</v>
      </c>
      <c r="C36" s="101" t="s">
        <v>1471</v>
      </c>
      <c r="D36" s="16" t="str">
        <f t="shared" si="39"/>
        <v>'09.03.03</v>
      </c>
      <c r="E36" s="17" t="str">
        <f t="shared" si="40"/>
        <v>Прикладная информатика</v>
      </c>
      <c r="F36" s="9" t="s">
        <v>413</v>
      </c>
      <c r="G36" s="9" t="s">
        <v>42</v>
      </c>
      <c r="H36" s="10" t="s">
        <v>3233</v>
      </c>
      <c r="I36" s="10"/>
      <c r="J36" s="24" t="s">
        <v>384</v>
      </c>
      <c r="K36" s="12">
        <v>3</v>
      </c>
      <c r="L36" s="11">
        <v>18</v>
      </c>
      <c r="M36" s="8" t="s">
        <v>23</v>
      </c>
      <c r="N36" s="12">
        <v>1</v>
      </c>
      <c r="O36" s="12"/>
      <c r="P36" s="12"/>
      <c r="Q36" s="8"/>
      <c r="R36" s="12"/>
      <c r="S36" s="12"/>
      <c r="T36" s="12"/>
      <c r="U36" s="12"/>
      <c r="V36" s="12"/>
      <c r="W36" s="83" t="str">
        <f t="shared" si="4"/>
        <v>НПИбд</v>
      </c>
      <c r="X36" s="110" t="s">
        <v>3354</v>
      </c>
      <c r="Y36" s="11">
        <v>6</v>
      </c>
      <c r="Z36" s="11">
        <v>3</v>
      </c>
      <c r="AA36" s="83">
        <f t="shared" si="41"/>
        <v>78</v>
      </c>
      <c r="AB36" s="11">
        <v>62</v>
      </c>
      <c r="AC36" s="11">
        <v>16</v>
      </c>
      <c r="AD36" s="81">
        <f t="shared" si="5"/>
        <v>78</v>
      </c>
      <c r="AE36" s="82">
        <f t="shared" si="42"/>
        <v>1</v>
      </c>
      <c r="AF36" s="82">
        <f t="shared" si="43"/>
        <v>1</v>
      </c>
      <c r="AG36" s="102" t="s">
        <v>3250</v>
      </c>
      <c r="AH36" s="8" t="s">
        <v>205</v>
      </c>
      <c r="AI36" s="8" t="s">
        <v>213</v>
      </c>
      <c r="AJ36" s="35" t="s">
        <v>3258</v>
      </c>
      <c r="AK36" s="8"/>
      <c r="AL36" s="42">
        <f t="shared" si="7"/>
        <v>18</v>
      </c>
      <c r="AM36" s="42">
        <f t="shared" si="8"/>
        <v>0</v>
      </c>
      <c r="AN36" s="42">
        <f t="shared" si="9"/>
        <v>0</v>
      </c>
      <c r="AO36" s="42">
        <f t="shared" si="10"/>
        <v>0</v>
      </c>
      <c r="AP36" s="42">
        <f t="shared" si="11"/>
        <v>0</v>
      </c>
      <c r="AQ36" s="42">
        <f t="shared" si="12"/>
        <v>0</v>
      </c>
      <c r="AR36" s="42">
        <f t="shared" si="13"/>
        <v>2.7</v>
      </c>
      <c r="AS36" s="42">
        <f t="shared" si="14"/>
        <v>0</v>
      </c>
      <c r="AT36" s="42">
        <f t="shared" si="15"/>
        <v>0</v>
      </c>
      <c r="AU36" s="42">
        <f t="shared" si="16"/>
        <v>0</v>
      </c>
      <c r="AV36" s="42">
        <f>IF(M36="ПП",РПП*AA36*(U36/1.5),IF(M36="ВП",ВПр*AA36*(U36/1.5),IF(M36="РПА",РПА*AA36*(U36/1.5),IF(M36="КПА",КПА*AA36*(U36/1.5),0))))</f>
        <v>0</v>
      </c>
      <c r="AW36" s="42">
        <f t="shared" si="17"/>
        <v>0</v>
      </c>
      <c r="AX36" s="42">
        <f t="shared" si="18"/>
        <v>0</v>
      </c>
      <c r="AY36" s="42">
        <f t="shared" si="19"/>
        <v>0</v>
      </c>
      <c r="AZ36" s="42">
        <f t="shared" si="20"/>
        <v>0</v>
      </c>
      <c r="BA36" s="42">
        <f t="shared" si="21"/>
        <v>0</v>
      </c>
      <c r="BB36" s="42">
        <f t="shared" si="22"/>
        <v>0</v>
      </c>
      <c r="BC36" s="42">
        <f t="shared" si="23"/>
        <v>0</v>
      </c>
      <c r="BD36" s="42">
        <f t="shared" si="24"/>
        <v>0</v>
      </c>
      <c r="BE36" s="43">
        <f t="shared" si="25"/>
        <v>20.7</v>
      </c>
      <c r="BF36" s="44"/>
      <c r="BG36" s="45">
        <f t="shared" si="26"/>
        <v>18</v>
      </c>
      <c r="BH36" s="45">
        <f t="shared" si="27"/>
        <v>0.5</v>
      </c>
      <c r="BI36" s="45">
        <f t="shared" si="28"/>
        <v>2.7</v>
      </c>
      <c r="BJ36" s="46">
        <f t="shared" si="29"/>
        <v>0</v>
      </c>
      <c r="BK36" s="46">
        <f t="shared" si="30"/>
        <v>0</v>
      </c>
      <c r="BL36" s="46">
        <f t="shared" si="31"/>
        <v>0</v>
      </c>
    </row>
    <row r="37" spans="1:64" ht="30" customHeight="1" x14ac:dyDescent="0.25">
      <c r="A37" s="84" t="str">
        <f t="shared" si="2"/>
        <v>Д</v>
      </c>
      <c r="B37" s="84" t="str">
        <f t="shared" si="38"/>
        <v>Б</v>
      </c>
      <c r="C37" s="101" t="s">
        <v>1471</v>
      </c>
      <c r="D37" s="16" t="str">
        <f t="shared" si="39"/>
        <v>'09.03.03</v>
      </c>
      <c r="E37" s="17" t="str">
        <f t="shared" si="40"/>
        <v>Прикладная информатика</v>
      </c>
      <c r="F37" s="9" t="s">
        <v>413</v>
      </c>
      <c r="G37" s="9" t="s">
        <v>42</v>
      </c>
      <c r="H37" s="10" t="s">
        <v>3233</v>
      </c>
      <c r="I37" s="10"/>
      <c r="J37" s="24" t="s">
        <v>384</v>
      </c>
      <c r="K37" s="11">
        <v>3</v>
      </c>
      <c r="L37" s="11">
        <v>18</v>
      </c>
      <c r="M37" s="8" t="s">
        <v>24</v>
      </c>
      <c r="N37" s="11"/>
      <c r="O37" s="11"/>
      <c r="P37" s="11">
        <v>1</v>
      </c>
      <c r="Q37" s="8" t="s">
        <v>102</v>
      </c>
      <c r="R37" s="11"/>
      <c r="S37" s="11"/>
      <c r="T37" s="23"/>
      <c r="U37" s="11"/>
      <c r="V37" s="11"/>
      <c r="W37" s="83" t="str">
        <f t="shared" si="4"/>
        <v>НПИбд</v>
      </c>
      <c r="X37" s="110" t="s">
        <v>3234</v>
      </c>
      <c r="Y37" s="11">
        <v>2</v>
      </c>
      <c r="Z37" s="11">
        <v>1</v>
      </c>
      <c r="AA37" s="83">
        <f t="shared" si="41"/>
        <v>26</v>
      </c>
      <c r="AB37" s="11">
        <v>21</v>
      </c>
      <c r="AC37" s="11">
        <v>5</v>
      </c>
      <c r="AD37" s="81">
        <f t="shared" si="5"/>
        <v>24</v>
      </c>
      <c r="AE37" s="82">
        <f t="shared" si="42"/>
        <v>1</v>
      </c>
      <c r="AF37" s="82">
        <f t="shared" si="43"/>
        <v>1.0833333333333333</v>
      </c>
      <c r="AG37" s="102" t="s">
        <v>3250</v>
      </c>
      <c r="AH37" s="8" t="s">
        <v>205</v>
      </c>
      <c r="AI37" s="8" t="s">
        <v>213</v>
      </c>
      <c r="AJ37" s="35" t="s">
        <v>3258</v>
      </c>
      <c r="AK37" s="8"/>
      <c r="AL37" s="42">
        <f t="shared" si="7"/>
        <v>0</v>
      </c>
      <c r="AM37" s="42">
        <f t="shared" si="8"/>
        <v>18</v>
      </c>
      <c r="AN37" s="42">
        <f t="shared" si="9"/>
        <v>0</v>
      </c>
      <c r="AO37" s="42">
        <f t="shared" si="10"/>
        <v>8.58</v>
      </c>
      <c r="AP37" s="42">
        <f t="shared" si="11"/>
        <v>13</v>
      </c>
      <c r="AQ37" s="42">
        <f t="shared" si="12"/>
        <v>1</v>
      </c>
      <c r="AR37" s="42">
        <f t="shared" si="13"/>
        <v>0</v>
      </c>
      <c r="AS37" s="42">
        <f t="shared" si="14"/>
        <v>0</v>
      </c>
      <c r="AT37" s="42">
        <f t="shared" si="15"/>
        <v>0</v>
      </c>
      <c r="AU37" s="42">
        <f t="shared" si="16"/>
        <v>0</v>
      </c>
      <c r="AV37" s="42">
        <f>IF(M37="ПП",РПП*AA37*(U37/1.5),IF(M37="ВП",ВПр*AA37*(U37/1.5),IF(M37="РПА",РПА*AA37*(U37/1.5),IF(M37="КПА",КПА*AA37*(U37/1.5),0))))</f>
        <v>0</v>
      </c>
      <c r="AW37" s="42">
        <f t="shared" si="17"/>
        <v>0</v>
      </c>
      <c r="AX37" s="42">
        <f t="shared" si="18"/>
        <v>0</v>
      </c>
      <c r="AY37" s="42">
        <f t="shared" si="19"/>
        <v>0</v>
      </c>
      <c r="AZ37" s="42">
        <f t="shared" si="20"/>
        <v>0</v>
      </c>
      <c r="BA37" s="42">
        <f t="shared" si="21"/>
        <v>0</v>
      </c>
      <c r="BB37" s="42">
        <f t="shared" si="22"/>
        <v>0</v>
      </c>
      <c r="BC37" s="42">
        <f t="shared" si="23"/>
        <v>0</v>
      </c>
      <c r="BD37" s="42">
        <f t="shared" si="24"/>
        <v>0</v>
      </c>
      <c r="BE37" s="43">
        <f t="shared" si="25"/>
        <v>40.58</v>
      </c>
      <c r="BF37" s="44"/>
      <c r="BG37" s="45">
        <f t="shared" si="26"/>
        <v>18</v>
      </c>
      <c r="BH37" s="45">
        <f t="shared" si="27"/>
        <v>0.5</v>
      </c>
      <c r="BI37" s="45">
        <f t="shared" si="28"/>
        <v>22.58</v>
      </c>
      <c r="BJ37" s="46">
        <f t="shared" si="29"/>
        <v>0</v>
      </c>
      <c r="BK37" s="46">
        <f t="shared" si="30"/>
        <v>0</v>
      </c>
      <c r="BL37" s="46">
        <f t="shared" si="31"/>
        <v>0</v>
      </c>
    </row>
    <row r="38" spans="1:64" ht="30" customHeight="1" x14ac:dyDescent="0.25">
      <c r="A38" s="84" t="str">
        <f t="shared" si="2"/>
        <v>Д</v>
      </c>
      <c r="B38" s="84" t="str">
        <f t="shared" ref="B38" si="68">IF(C38&gt;0, VLOOKUP(C38,Код_ООП,11,FALSE),0)</f>
        <v>Б</v>
      </c>
      <c r="C38" s="101" t="s">
        <v>1471</v>
      </c>
      <c r="D38" s="16" t="str">
        <f t="shared" ref="D38" si="69">IF(C38&gt;0, VLOOKUP(C38,Код_ООП,2,FALSE),0)</f>
        <v>'09.03.03</v>
      </c>
      <c r="E38" s="17" t="str">
        <f t="shared" ref="E38" si="70">IF(C38&gt;0, VLOOKUP(C38,Код_ООП,13,FALSE),0)</f>
        <v>Прикладная информатика</v>
      </c>
      <c r="F38" s="9" t="s">
        <v>413</v>
      </c>
      <c r="G38" s="9" t="s">
        <v>42</v>
      </c>
      <c r="H38" s="10" t="s">
        <v>3233</v>
      </c>
      <c r="I38" s="10"/>
      <c r="J38" s="24" t="s">
        <v>384</v>
      </c>
      <c r="K38" s="11">
        <v>3</v>
      </c>
      <c r="L38" s="11">
        <v>18</v>
      </c>
      <c r="M38" s="8" t="s">
        <v>24</v>
      </c>
      <c r="N38" s="11"/>
      <c r="O38" s="11"/>
      <c r="P38" s="11">
        <v>1</v>
      </c>
      <c r="Q38" s="8" t="s">
        <v>102</v>
      </c>
      <c r="R38" s="11"/>
      <c r="S38" s="11"/>
      <c r="T38" s="23"/>
      <c r="U38" s="11"/>
      <c r="V38" s="11"/>
      <c r="W38" s="83" t="str">
        <f t="shared" si="4"/>
        <v>НПИбд</v>
      </c>
      <c r="X38" s="110" t="s">
        <v>3235</v>
      </c>
      <c r="Y38" s="11">
        <v>2</v>
      </c>
      <c r="Z38" s="11">
        <v>1</v>
      </c>
      <c r="AA38" s="83">
        <f t="shared" ref="AA38" si="71">AB38+AC38</f>
        <v>26</v>
      </c>
      <c r="AB38" s="11">
        <v>21</v>
      </c>
      <c r="AC38" s="11">
        <v>5</v>
      </c>
      <c r="AD38" s="81">
        <f t="shared" si="5"/>
        <v>24</v>
      </c>
      <c r="AE38" s="82">
        <f t="shared" ref="AE38" si="72">IF(AF38&gt;1,1,AF38)</f>
        <v>1</v>
      </c>
      <c r="AF38" s="82">
        <f t="shared" ref="AF38" si="73">AA38/AD38</f>
        <v>1.0833333333333333</v>
      </c>
      <c r="AG38" s="102" t="s">
        <v>3250</v>
      </c>
      <c r="AH38" s="8" t="s">
        <v>205</v>
      </c>
      <c r="AI38" s="8" t="s">
        <v>213</v>
      </c>
      <c r="AJ38" s="35" t="s">
        <v>3258</v>
      </c>
      <c r="AK38" s="8"/>
      <c r="AL38" s="42">
        <f t="shared" si="7"/>
        <v>0</v>
      </c>
      <c r="AM38" s="42">
        <f t="shared" ref="AM38" si="74">IF(OR(M38="пр",M38="ия",M38="сп"),P38*AE38*L38,0)</f>
        <v>18</v>
      </c>
      <c r="AN38" s="42">
        <f t="shared" ref="AN38" si="75">IF(OR(M38="лаб",M38="клн"),O38*AE38*L38,0)</f>
        <v>0</v>
      </c>
      <c r="AO38" s="42">
        <f t="shared" ref="AO38" si="76">(IF((AND(OR(K38=1,K38=2,K38=3,K38=4,K38=5,K38=6,K38=7,K38=8,K38=9,K38=10,K38=11,K38=12),OR(Q38="Зач",Q38="Экз"))),ТКиРА*AA38,0)+IF(SUM(N38:P38)&lt;&gt;0,IF(Q38="ТК",ТКиРА*AA38,0),0))*(IF(F38="ФТД",0,1))</f>
        <v>8.58</v>
      </c>
      <c r="AP38" s="42">
        <f t="shared" ref="AP38" si="77">IF(SUM(O38:P38)&lt;&gt;0,IF(Q38="Зач",ПАБРС*AA38,0),0)+IF(N38&lt;&gt;0,IF(Q38="Экз",ПАБРС*AA38,0),0)</f>
        <v>13</v>
      </c>
      <c r="AQ38" s="42">
        <f t="shared" ref="AQ38" si="78">(IF(AP38&lt;&gt;0,ОфВед*(IF(OR(M38="лек",M38="лаб"),Z38,AE38)),0))*(IF(F38="ФТД",0,1))</f>
        <v>1</v>
      </c>
      <c r="AR38" s="42">
        <f t="shared" si="13"/>
        <v>0</v>
      </c>
      <c r="AS38" s="42">
        <f t="shared" ref="AS38" si="79">IF(OR(M38="лаб",M38="пр"),IF(R38="К",AA38*ВПКР,IF(R38="М",AA38*ВПИБ,0)),0)</f>
        <v>0</v>
      </c>
      <c r="AT38" s="42">
        <f t="shared" ref="AT38" si="80">IF(OR(M38="лаб",M38="пр"),IF(S38="К",AA38*ВПКП,0),0)</f>
        <v>0</v>
      </c>
      <c r="AU38" s="42">
        <f t="shared" ref="AU38" si="81">IF(M38="УП",T38/1.5*AA38*РУП,IF(M38="УПМ",T38/1.5*AA38*РУПЛеч,0))</f>
        <v>0</v>
      </c>
      <c r="AV38" s="42">
        <f>IF(M38="ПП",РПП*AA38*(U38/1.5),IF(M38="ВП",ВПр*AA38*(U38/1.5),IF(M38="РПА",РПА*AA38*(U38/1.5),IF(M38="КПА",КПА*AA38*(U38/1.5),0))))</f>
        <v>0</v>
      </c>
      <c r="AW38" s="42">
        <f t="shared" ref="AW38" si="82">IF(M38="НР",(AB38*НИРМ+AC38*НИРМИн)*(V38/1.5),IF(M38="НИ",(AB38*НИРА+AC38*НИРАИ)*(V38/1.5),0))</f>
        <v>0</v>
      </c>
      <c r="AX38" s="42">
        <f t="shared" si="18"/>
        <v>0</v>
      </c>
      <c r="AY38" s="42">
        <f t="shared" si="19"/>
        <v>0</v>
      </c>
      <c r="AZ38" s="42">
        <f t="shared" ref="AZ38" si="83">IF(AND(Q38="КЭ",M38="ЧК"),AA38*КдЭк,0)</f>
        <v>0</v>
      </c>
      <c r="BA38" s="42">
        <f t="shared" si="21"/>
        <v>0</v>
      </c>
      <c r="BB38" s="42">
        <f t="shared" si="22"/>
        <v>0</v>
      </c>
      <c r="BC38" s="42">
        <f t="shared" si="23"/>
        <v>0</v>
      </c>
      <c r="BD38" s="42">
        <f t="shared" ref="BD38" si="84">IF(M38="ЧГ",AA38*ЧГ,IF(M38="ПГ",AA38*ПГ,IF(M38="ТЕСТ",ТГИЭ*AE38,IF(M38="СГ",AA38*СГ,0))))</f>
        <v>0</v>
      </c>
      <c r="BE38" s="43">
        <f t="shared" ref="BE38" si="85">SUM(AL38:BD38)</f>
        <v>40.58</v>
      </c>
      <c r="BF38" s="44"/>
      <c r="BG38" s="45">
        <f t="shared" ref="BG38" si="86">IF(OR(K38="1;1",K38="1;2",K38=1,K38="3;1",K38="3;2",K38=3,K38="5;1",K38="5;2",K38=5,K38="7;1",K38="7;2",K38=7,K38="9;1",K38="9;2",K38=9,K38=11),SUM(AL38:AN38),0)</f>
        <v>18</v>
      </c>
      <c r="BH38" s="45">
        <f t="shared" ref="BH38" si="87">IF(BG38&lt;&gt;0,SUM(N38:P38)/2,0)</f>
        <v>0.5</v>
      </c>
      <c r="BI38" s="45">
        <f t="shared" ref="BI38" si="88">IF(OR(K38="1;1",K38="1;2",K38=1,K38="3;1",K38="3;2",K38=3,K38="5;1",K38="5;2",K38=5,K38="7;1",K38="7;2",K38=7,K38="9;1",K38="9;2",K38=9,K38=11),SUM(AO38:BD38),0)</f>
        <v>22.58</v>
      </c>
      <c r="BJ38" s="46">
        <f t="shared" ref="BJ38" si="89">IF(OR(K38="2;3",K38="2;4",K38=2,K38="4;3",K38="4;4",K38=4,K38="6;3",K38="6;4",K38=6,K38="8;3",K38="8;4",K38=8,K38="10;3",K38="10;4",K38=10,K38=12),SUM(AL38:AN38),0)</f>
        <v>0</v>
      </c>
      <c r="BK38" s="46">
        <f t="shared" ref="BK38" si="90">IF(BJ38&lt;&gt;0,SUM(N38:P38)/2,0)</f>
        <v>0</v>
      </c>
      <c r="BL38" s="46">
        <f t="shared" ref="BL38" si="91">IF(OR(K38="2;3",K38="2;4",K38=2,K38="4;3",K38="4;4",K38=4,K38="6;3",K38="6;4",K38=6,K38="8;3",K38="8;4",K38=8,K38="10;3",K38="10;4",K38=10,K38=12),SUM(AO38:BD38),0)</f>
        <v>0</v>
      </c>
    </row>
    <row r="39" spans="1:64" ht="30" customHeight="1" x14ac:dyDescent="0.25">
      <c r="A39" s="84" t="str">
        <f t="shared" si="2"/>
        <v>Д</v>
      </c>
      <c r="B39" s="84" t="str">
        <f t="shared" si="38"/>
        <v>Б</v>
      </c>
      <c r="C39" s="101" t="s">
        <v>1471</v>
      </c>
      <c r="D39" s="16" t="str">
        <f t="shared" si="39"/>
        <v>'09.03.03</v>
      </c>
      <c r="E39" s="17" t="str">
        <f t="shared" si="40"/>
        <v>Прикладная информатика</v>
      </c>
      <c r="F39" s="9" t="s">
        <v>413</v>
      </c>
      <c r="G39" s="9" t="s">
        <v>42</v>
      </c>
      <c r="H39" s="10" t="s">
        <v>3233</v>
      </c>
      <c r="I39" s="10"/>
      <c r="J39" s="24" t="s">
        <v>384</v>
      </c>
      <c r="K39" s="11">
        <v>3</v>
      </c>
      <c r="L39" s="11">
        <v>18</v>
      </c>
      <c r="M39" s="8" t="s">
        <v>24</v>
      </c>
      <c r="N39" s="11"/>
      <c r="O39" s="11"/>
      <c r="P39" s="11">
        <v>1</v>
      </c>
      <c r="Q39" s="8" t="s">
        <v>102</v>
      </c>
      <c r="R39" s="11"/>
      <c r="S39" s="11"/>
      <c r="T39" s="23"/>
      <c r="U39" s="11"/>
      <c r="V39" s="11"/>
      <c r="W39" s="83" t="str">
        <f t="shared" si="4"/>
        <v>НПИбд</v>
      </c>
      <c r="X39" s="110" t="s">
        <v>3236</v>
      </c>
      <c r="Y39" s="11">
        <v>2</v>
      </c>
      <c r="Z39" s="11">
        <v>1</v>
      </c>
      <c r="AA39" s="83">
        <f t="shared" si="41"/>
        <v>26</v>
      </c>
      <c r="AB39" s="11">
        <v>20</v>
      </c>
      <c r="AC39" s="11">
        <v>6</v>
      </c>
      <c r="AD39" s="81">
        <f t="shared" si="5"/>
        <v>24</v>
      </c>
      <c r="AE39" s="82">
        <f t="shared" si="42"/>
        <v>1</v>
      </c>
      <c r="AF39" s="82">
        <f t="shared" si="43"/>
        <v>1.0833333333333333</v>
      </c>
      <c r="AG39" s="102" t="s">
        <v>3250</v>
      </c>
      <c r="AH39" s="8" t="s">
        <v>205</v>
      </c>
      <c r="AI39" s="8" t="s">
        <v>213</v>
      </c>
      <c r="AJ39" s="35" t="s">
        <v>3258</v>
      </c>
      <c r="AK39" s="8"/>
      <c r="AL39" s="42">
        <f t="shared" si="7"/>
        <v>0</v>
      </c>
      <c r="AM39" s="42">
        <f t="shared" si="8"/>
        <v>18</v>
      </c>
      <c r="AN39" s="42">
        <f t="shared" si="9"/>
        <v>0</v>
      </c>
      <c r="AO39" s="42">
        <f t="shared" si="10"/>
        <v>8.58</v>
      </c>
      <c r="AP39" s="42">
        <f t="shared" si="11"/>
        <v>13</v>
      </c>
      <c r="AQ39" s="42">
        <f t="shared" si="12"/>
        <v>1</v>
      </c>
      <c r="AR39" s="42">
        <f t="shared" si="13"/>
        <v>0</v>
      </c>
      <c r="AS39" s="42">
        <f t="shared" si="14"/>
        <v>0</v>
      </c>
      <c r="AT39" s="42">
        <f t="shared" si="15"/>
        <v>0</v>
      </c>
      <c r="AU39" s="42">
        <f t="shared" si="16"/>
        <v>0</v>
      </c>
      <c r="AV39" s="42">
        <f>IF(M39="ПП",РПП*AA39*(U39/1.5),IF(M39="ВП",ВПр*AA39*(U39/1.5),IF(M39="РПА",РПА*AA39*(U39/1.5),IF(M39="КПА",КПА*AA39*(U39/1.5),0))))</f>
        <v>0</v>
      </c>
      <c r="AW39" s="42">
        <f t="shared" si="17"/>
        <v>0</v>
      </c>
      <c r="AX39" s="42">
        <f t="shared" si="18"/>
        <v>0</v>
      </c>
      <c r="AY39" s="42">
        <f t="shared" si="19"/>
        <v>0</v>
      </c>
      <c r="AZ39" s="42">
        <f t="shared" si="20"/>
        <v>0</v>
      </c>
      <c r="BA39" s="42">
        <f t="shared" si="21"/>
        <v>0</v>
      </c>
      <c r="BB39" s="42">
        <f t="shared" si="22"/>
        <v>0</v>
      </c>
      <c r="BC39" s="42">
        <f t="shared" si="23"/>
        <v>0</v>
      </c>
      <c r="BD39" s="42">
        <f t="shared" si="24"/>
        <v>0</v>
      </c>
      <c r="BE39" s="43">
        <f t="shared" si="25"/>
        <v>40.58</v>
      </c>
      <c r="BF39" s="44"/>
      <c r="BG39" s="45">
        <f t="shared" si="26"/>
        <v>18</v>
      </c>
      <c r="BH39" s="45">
        <f t="shared" si="27"/>
        <v>0.5</v>
      </c>
      <c r="BI39" s="45">
        <f t="shared" si="28"/>
        <v>22.58</v>
      </c>
      <c r="BJ39" s="46">
        <f t="shared" si="29"/>
        <v>0</v>
      </c>
      <c r="BK39" s="46">
        <f t="shared" si="30"/>
        <v>0</v>
      </c>
      <c r="BL39" s="46">
        <f t="shared" si="31"/>
        <v>0</v>
      </c>
    </row>
    <row r="40" spans="1:64" ht="30" customHeight="1" x14ac:dyDescent="0.25">
      <c r="A40" s="84" t="str">
        <f t="shared" si="2"/>
        <v>Д</v>
      </c>
      <c r="B40" s="84" t="str">
        <f t="shared" si="38"/>
        <v>Б</v>
      </c>
      <c r="C40" s="101" t="s">
        <v>1471</v>
      </c>
      <c r="D40" s="16" t="str">
        <f t="shared" si="39"/>
        <v>'09.03.03</v>
      </c>
      <c r="E40" s="17" t="str">
        <f t="shared" si="40"/>
        <v>Прикладная информатика</v>
      </c>
      <c r="F40" s="9" t="s">
        <v>413</v>
      </c>
      <c r="G40" s="9" t="s">
        <v>42</v>
      </c>
      <c r="H40" s="10" t="s">
        <v>3233</v>
      </c>
      <c r="I40" s="10"/>
      <c r="J40" s="24" t="s">
        <v>3206</v>
      </c>
      <c r="K40" s="11">
        <v>3</v>
      </c>
      <c r="L40" s="11">
        <v>18</v>
      </c>
      <c r="M40" s="8" t="s">
        <v>23</v>
      </c>
      <c r="N40" s="11">
        <v>1</v>
      </c>
      <c r="O40" s="11"/>
      <c r="P40" s="11"/>
      <c r="Q40" s="8" t="s">
        <v>103</v>
      </c>
      <c r="R40" s="11"/>
      <c r="S40" s="11"/>
      <c r="T40" s="11"/>
      <c r="U40" s="11"/>
      <c r="V40" s="11"/>
      <c r="W40" s="83" t="str">
        <f t="shared" si="4"/>
        <v>НПИбд</v>
      </c>
      <c r="X40" s="110" t="s">
        <v>3354</v>
      </c>
      <c r="Y40" s="11">
        <v>6</v>
      </c>
      <c r="Z40" s="11">
        <v>3</v>
      </c>
      <c r="AA40" s="83">
        <f t="shared" si="41"/>
        <v>78</v>
      </c>
      <c r="AB40" s="11">
        <v>62</v>
      </c>
      <c r="AC40" s="11">
        <v>16</v>
      </c>
      <c r="AD40" s="81">
        <f t="shared" si="5"/>
        <v>78</v>
      </c>
      <c r="AE40" s="82">
        <f t="shared" si="42"/>
        <v>1</v>
      </c>
      <c r="AF40" s="82">
        <f t="shared" si="43"/>
        <v>1</v>
      </c>
      <c r="AG40" s="102" t="s">
        <v>3250</v>
      </c>
      <c r="AH40" s="8" t="s">
        <v>204</v>
      </c>
      <c r="AI40" s="8" t="s">
        <v>213</v>
      </c>
      <c r="AJ40" s="35" t="s">
        <v>3259</v>
      </c>
      <c r="AK40" s="8"/>
      <c r="AL40" s="42">
        <f t="shared" si="7"/>
        <v>18</v>
      </c>
      <c r="AM40" s="42">
        <f t="shared" si="8"/>
        <v>0</v>
      </c>
      <c r="AN40" s="42">
        <f t="shared" si="9"/>
        <v>0</v>
      </c>
      <c r="AO40" s="42">
        <f t="shared" si="10"/>
        <v>25.740000000000002</v>
      </c>
      <c r="AP40" s="42">
        <f t="shared" si="11"/>
        <v>39</v>
      </c>
      <c r="AQ40" s="42">
        <f t="shared" si="12"/>
        <v>3</v>
      </c>
      <c r="AR40" s="42">
        <f t="shared" si="13"/>
        <v>2.7</v>
      </c>
      <c r="AS40" s="42">
        <f t="shared" si="14"/>
        <v>0</v>
      </c>
      <c r="AT40" s="42">
        <f t="shared" si="15"/>
        <v>0</v>
      </c>
      <c r="AU40" s="42">
        <f t="shared" si="16"/>
        <v>0</v>
      </c>
      <c r="AV40" s="42">
        <f>IF(M40="ПП",РПП*AA40*(U40/1.5),IF(M40="ВП",ВПр*AA40*(U40/1.5),IF(M40="РПА",РПА*AA40*(U40/1.5),IF(M40="КПА",КПА*AA40*(U40/1.5),0))))</f>
        <v>0</v>
      </c>
      <c r="AW40" s="42">
        <f t="shared" si="17"/>
        <v>0</v>
      </c>
      <c r="AX40" s="42">
        <f t="shared" si="18"/>
        <v>0</v>
      </c>
      <c r="AY40" s="42">
        <f t="shared" si="19"/>
        <v>0</v>
      </c>
      <c r="AZ40" s="42">
        <f t="shared" si="20"/>
        <v>0</v>
      </c>
      <c r="BA40" s="42">
        <f t="shared" si="21"/>
        <v>0</v>
      </c>
      <c r="BB40" s="42">
        <f t="shared" si="22"/>
        <v>0</v>
      </c>
      <c r="BC40" s="42">
        <f t="shared" si="23"/>
        <v>0</v>
      </c>
      <c r="BD40" s="42">
        <f t="shared" si="24"/>
        <v>0</v>
      </c>
      <c r="BE40" s="43">
        <f t="shared" si="25"/>
        <v>88.440000000000012</v>
      </c>
      <c r="BF40" s="44"/>
      <c r="BG40" s="45">
        <f t="shared" si="26"/>
        <v>18</v>
      </c>
      <c r="BH40" s="45">
        <f t="shared" si="27"/>
        <v>0.5</v>
      </c>
      <c r="BI40" s="45">
        <f t="shared" si="28"/>
        <v>70.440000000000012</v>
      </c>
      <c r="BJ40" s="46">
        <f t="shared" si="29"/>
        <v>0</v>
      </c>
      <c r="BK40" s="46">
        <f t="shared" si="30"/>
        <v>0</v>
      </c>
      <c r="BL40" s="46">
        <f t="shared" si="31"/>
        <v>0</v>
      </c>
    </row>
    <row r="41" spans="1:64" ht="30" customHeight="1" x14ac:dyDescent="0.25">
      <c r="A41" s="84" t="str">
        <f t="shared" si="2"/>
        <v>Д</v>
      </c>
      <c r="B41" s="84" t="str">
        <f t="shared" si="38"/>
        <v>Б</v>
      </c>
      <c r="C41" s="101" t="s">
        <v>1471</v>
      </c>
      <c r="D41" s="16" t="str">
        <f t="shared" si="39"/>
        <v>'09.03.03</v>
      </c>
      <c r="E41" s="17" t="str">
        <f t="shared" si="40"/>
        <v>Прикладная информатика</v>
      </c>
      <c r="F41" s="9" t="s">
        <v>413</v>
      </c>
      <c r="G41" s="9" t="s">
        <v>42</v>
      </c>
      <c r="H41" s="10" t="s">
        <v>3233</v>
      </c>
      <c r="I41" s="10"/>
      <c r="J41" s="24" t="s">
        <v>3206</v>
      </c>
      <c r="K41" s="11">
        <v>3</v>
      </c>
      <c r="L41" s="11">
        <v>18</v>
      </c>
      <c r="M41" s="8" t="s">
        <v>94</v>
      </c>
      <c r="N41" s="11"/>
      <c r="O41" s="11">
        <v>2</v>
      </c>
      <c r="P41" s="11"/>
      <c r="Q41" s="8"/>
      <c r="R41" s="11"/>
      <c r="S41" s="11"/>
      <c r="T41" s="11"/>
      <c r="U41" s="11"/>
      <c r="V41" s="11"/>
      <c r="W41" s="83" t="str">
        <f t="shared" si="4"/>
        <v>НПИбд</v>
      </c>
      <c r="X41" s="110" t="s">
        <v>3234</v>
      </c>
      <c r="Y41" s="11">
        <v>1</v>
      </c>
      <c r="Z41" s="11">
        <v>1</v>
      </c>
      <c r="AA41" s="83">
        <f t="shared" si="41"/>
        <v>14</v>
      </c>
      <c r="AB41" s="11">
        <v>11</v>
      </c>
      <c r="AC41" s="11">
        <v>3</v>
      </c>
      <c r="AD41" s="81">
        <f t="shared" si="5"/>
        <v>12</v>
      </c>
      <c r="AE41" s="82">
        <f t="shared" si="42"/>
        <v>1</v>
      </c>
      <c r="AF41" s="82">
        <f t="shared" si="43"/>
        <v>1.1666666666666667</v>
      </c>
      <c r="AG41" s="102" t="s">
        <v>3250</v>
      </c>
      <c r="AH41" s="8" t="s">
        <v>204</v>
      </c>
      <c r="AI41" s="8" t="s">
        <v>213</v>
      </c>
      <c r="AJ41" s="35" t="s">
        <v>3259</v>
      </c>
      <c r="AK41" s="8"/>
      <c r="AL41" s="42">
        <f t="shared" si="7"/>
        <v>0</v>
      </c>
      <c r="AM41" s="42">
        <f t="shared" si="8"/>
        <v>0</v>
      </c>
      <c r="AN41" s="42">
        <f t="shared" si="9"/>
        <v>36</v>
      </c>
      <c r="AO41" s="42">
        <f t="shared" si="10"/>
        <v>0</v>
      </c>
      <c r="AP41" s="42">
        <f t="shared" si="11"/>
        <v>0</v>
      </c>
      <c r="AQ41" s="42">
        <f t="shared" si="12"/>
        <v>0</v>
      </c>
      <c r="AR41" s="42">
        <f t="shared" si="13"/>
        <v>0</v>
      </c>
      <c r="AS41" s="42">
        <f t="shared" si="14"/>
        <v>0</v>
      </c>
      <c r="AT41" s="42">
        <f t="shared" si="15"/>
        <v>0</v>
      </c>
      <c r="AU41" s="42">
        <f t="shared" si="16"/>
        <v>0</v>
      </c>
      <c r="AV41" s="42">
        <f>IF(M41="ПП",РПП*AA41*(U41/1.5),IF(M41="ВП",ВПр*AA41*(U41/1.5),IF(M41="РПА",РПА*AA41*(U41/1.5),IF(M41="КПА",КПА*AA41*(U41/1.5),0))))</f>
        <v>0</v>
      </c>
      <c r="AW41" s="42">
        <f t="shared" si="17"/>
        <v>0</v>
      </c>
      <c r="AX41" s="42">
        <f t="shared" si="18"/>
        <v>0</v>
      </c>
      <c r="AY41" s="42">
        <f t="shared" si="19"/>
        <v>0</v>
      </c>
      <c r="AZ41" s="42">
        <f t="shared" si="20"/>
        <v>0</v>
      </c>
      <c r="BA41" s="42">
        <f t="shared" si="21"/>
        <v>0</v>
      </c>
      <c r="BB41" s="42">
        <f t="shared" si="22"/>
        <v>0</v>
      </c>
      <c r="BC41" s="42">
        <f t="shared" si="23"/>
        <v>0</v>
      </c>
      <c r="BD41" s="42">
        <f t="shared" si="24"/>
        <v>0</v>
      </c>
      <c r="BE41" s="43">
        <f t="shared" si="25"/>
        <v>36</v>
      </c>
      <c r="BF41" s="44"/>
      <c r="BG41" s="45">
        <f t="shared" si="26"/>
        <v>36</v>
      </c>
      <c r="BH41" s="45">
        <f t="shared" si="27"/>
        <v>1</v>
      </c>
      <c r="BI41" s="45">
        <f t="shared" si="28"/>
        <v>0</v>
      </c>
      <c r="BJ41" s="46">
        <f t="shared" si="29"/>
        <v>0</v>
      </c>
      <c r="BK41" s="46">
        <f t="shared" si="30"/>
        <v>0</v>
      </c>
      <c r="BL41" s="46">
        <f t="shared" si="31"/>
        <v>0</v>
      </c>
    </row>
    <row r="42" spans="1:64" ht="30" customHeight="1" x14ac:dyDescent="0.25">
      <c r="A42" s="84" t="str">
        <f t="shared" si="2"/>
        <v>Д</v>
      </c>
      <c r="B42" s="84" t="str">
        <f t="shared" si="38"/>
        <v>Б</v>
      </c>
      <c r="C42" s="101" t="s">
        <v>1471</v>
      </c>
      <c r="D42" s="16" t="str">
        <f t="shared" si="39"/>
        <v>'09.03.03</v>
      </c>
      <c r="E42" s="17" t="str">
        <f t="shared" si="40"/>
        <v>Прикладная информатика</v>
      </c>
      <c r="F42" s="9" t="s">
        <v>413</v>
      </c>
      <c r="G42" s="9" t="s">
        <v>42</v>
      </c>
      <c r="H42" s="10" t="s">
        <v>3233</v>
      </c>
      <c r="I42" s="10"/>
      <c r="J42" s="24" t="s">
        <v>3206</v>
      </c>
      <c r="K42" s="11">
        <v>3</v>
      </c>
      <c r="L42" s="11">
        <v>18</v>
      </c>
      <c r="M42" s="8" t="s">
        <v>94</v>
      </c>
      <c r="N42" s="11"/>
      <c r="O42" s="11">
        <v>2</v>
      </c>
      <c r="P42" s="11"/>
      <c r="Q42" s="8"/>
      <c r="R42" s="11"/>
      <c r="S42" s="11"/>
      <c r="T42" s="11"/>
      <c r="U42" s="11"/>
      <c r="V42" s="11"/>
      <c r="W42" s="83" t="str">
        <f t="shared" si="4"/>
        <v>НПИбд</v>
      </c>
      <c r="X42" s="110" t="s">
        <v>3234</v>
      </c>
      <c r="Y42" s="11">
        <v>1</v>
      </c>
      <c r="Z42" s="11"/>
      <c r="AA42" s="83">
        <f t="shared" si="41"/>
        <v>12</v>
      </c>
      <c r="AB42" s="11">
        <v>10</v>
      </c>
      <c r="AC42" s="11">
        <v>2</v>
      </c>
      <c r="AD42" s="81">
        <f t="shared" si="5"/>
        <v>12</v>
      </c>
      <c r="AE42" s="82">
        <f t="shared" si="42"/>
        <v>1</v>
      </c>
      <c r="AF42" s="82">
        <f t="shared" si="43"/>
        <v>1</v>
      </c>
      <c r="AG42" s="102" t="s">
        <v>3250</v>
      </c>
      <c r="AH42" s="8" t="s">
        <v>204</v>
      </c>
      <c r="AI42" s="8" t="s">
        <v>213</v>
      </c>
      <c r="AJ42" s="36" t="s">
        <v>3259</v>
      </c>
      <c r="AK42" s="8"/>
      <c r="AL42" s="42">
        <f t="shared" si="7"/>
        <v>0</v>
      </c>
      <c r="AM42" s="42">
        <f t="shared" si="8"/>
        <v>0</v>
      </c>
      <c r="AN42" s="42">
        <f t="shared" si="9"/>
        <v>36</v>
      </c>
      <c r="AO42" s="42">
        <f t="shared" si="10"/>
        <v>0</v>
      </c>
      <c r="AP42" s="42">
        <f t="shared" si="11"/>
        <v>0</v>
      </c>
      <c r="AQ42" s="42">
        <f t="shared" si="12"/>
        <v>0</v>
      </c>
      <c r="AR42" s="42">
        <f t="shared" si="13"/>
        <v>0</v>
      </c>
      <c r="AS42" s="42">
        <f t="shared" si="14"/>
        <v>0</v>
      </c>
      <c r="AT42" s="42">
        <f t="shared" si="15"/>
        <v>0</v>
      </c>
      <c r="AU42" s="42">
        <f t="shared" si="16"/>
        <v>0</v>
      </c>
      <c r="AV42" s="42">
        <f>IF(M42="ПП",РПП*AA42*(U42/1.5),IF(M42="ВП",ВПр*AA42*(U42/1.5),IF(M42="РПА",РПА*AA42*(U42/1.5),IF(M42="КПА",КПА*AA42*(U42/1.5),0))))</f>
        <v>0</v>
      </c>
      <c r="AW42" s="42">
        <f t="shared" si="17"/>
        <v>0</v>
      </c>
      <c r="AX42" s="42">
        <f t="shared" si="18"/>
        <v>0</v>
      </c>
      <c r="AY42" s="42">
        <f t="shared" si="19"/>
        <v>0</v>
      </c>
      <c r="AZ42" s="42">
        <f t="shared" si="20"/>
        <v>0</v>
      </c>
      <c r="BA42" s="42">
        <f t="shared" si="21"/>
        <v>0</v>
      </c>
      <c r="BB42" s="42">
        <f t="shared" si="22"/>
        <v>0</v>
      </c>
      <c r="BC42" s="42">
        <f t="shared" si="23"/>
        <v>0</v>
      </c>
      <c r="BD42" s="42">
        <f t="shared" si="24"/>
        <v>0</v>
      </c>
      <c r="BE42" s="43">
        <f t="shared" si="25"/>
        <v>36</v>
      </c>
      <c r="BF42" s="44"/>
      <c r="BG42" s="45">
        <f t="shared" si="26"/>
        <v>36</v>
      </c>
      <c r="BH42" s="45">
        <f t="shared" si="27"/>
        <v>1</v>
      </c>
      <c r="BI42" s="45">
        <f t="shared" si="28"/>
        <v>0</v>
      </c>
      <c r="BJ42" s="46">
        <f t="shared" si="29"/>
        <v>0</v>
      </c>
      <c r="BK42" s="46">
        <f t="shared" si="30"/>
        <v>0</v>
      </c>
      <c r="BL42" s="46">
        <f t="shared" si="31"/>
        <v>0</v>
      </c>
    </row>
    <row r="43" spans="1:64" ht="30" customHeight="1" x14ac:dyDescent="0.25">
      <c r="A43" s="84" t="str">
        <f t="shared" si="2"/>
        <v>Д</v>
      </c>
      <c r="B43" s="84" t="str">
        <f t="shared" ref="B43:B44" si="92">IF(C43&gt;0, VLOOKUP(C43,Код_ООП,11,FALSE),0)</f>
        <v>Б</v>
      </c>
      <c r="C43" s="101" t="s">
        <v>1471</v>
      </c>
      <c r="D43" s="16" t="str">
        <f t="shared" ref="D43:D44" si="93">IF(C43&gt;0, VLOOKUP(C43,Код_ООП,2,FALSE),0)</f>
        <v>'09.03.03</v>
      </c>
      <c r="E43" s="17" t="str">
        <f t="shared" ref="E43:E44" si="94">IF(C43&gt;0, VLOOKUP(C43,Код_ООП,13,FALSE),0)</f>
        <v>Прикладная информатика</v>
      </c>
      <c r="F43" s="9" t="s">
        <v>413</v>
      </c>
      <c r="G43" s="9" t="s">
        <v>42</v>
      </c>
      <c r="H43" s="10" t="s">
        <v>3233</v>
      </c>
      <c r="I43" s="10"/>
      <c r="J43" s="24" t="s">
        <v>3206</v>
      </c>
      <c r="K43" s="11">
        <v>3</v>
      </c>
      <c r="L43" s="11">
        <v>18</v>
      </c>
      <c r="M43" s="8" t="s">
        <v>94</v>
      </c>
      <c r="N43" s="11"/>
      <c r="O43" s="11">
        <v>2</v>
      </c>
      <c r="P43" s="11"/>
      <c r="Q43" s="8"/>
      <c r="R43" s="11"/>
      <c r="S43" s="11"/>
      <c r="T43" s="11"/>
      <c r="U43" s="11"/>
      <c r="V43" s="11"/>
      <c r="W43" s="83" t="str">
        <f t="shared" si="4"/>
        <v>НПИбд</v>
      </c>
      <c r="X43" s="110" t="s">
        <v>3235</v>
      </c>
      <c r="Y43" s="11">
        <v>1</v>
      </c>
      <c r="Z43" s="11">
        <v>1</v>
      </c>
      <c r="AA43" s="83">
        <f t="shared" ref="AA43:AA44" si="95">AB43+AC43</f>
        <v>14</v>
      </c>
      <c r="AB43" s="11">
        <v>11</v>
      </c>
      <c r="AC43" s="11">
        <v>3</v>
      </c>
      <c r="AD43" s="81">
        <f t="shared" si="5"/>
        <v>12</v>
      </c>
      <c r="AE43" s="82">
        <f t="shared" ref="AE43:AE44" si="96">IF(AF43&gt;1,1,AF43)</f>
        <v>1</v>
      </c>
      <c r="AF43" s="82">
        <f t="shared" ref="AF43:AF44" si="97">AA43/AD43</f>
        <v>1.1666666666666667</v>
      </c>
      <c r="AG43" s="102" t="s">
        <v>3250</v>
      </c>
      <c r="AH43" s="8" t="s">
        <v>203</v>
      </c>
      <c r="AI43" s="8" t="s">
        <v>213</v>
      </c>
      <c r="AJ43" s="35" t="s">
        <v>3262</v>
      </c>
      <c r="AK43" s="8"/>
      <c r="AL43" s="42">
        <f t="shared" si="7"/>
        <v>0</v>
      </c>
      <c r="AM43" s="42">
        <f t="shared" ref="AM43:AM44" si="98">IF(OR(M43="пр",M43="ия",M43="сп"),P43*AE43*L43,0)</f>
        <v>0</v>
      </c>
      <c r="AN43" s="42">
        <f t="shared" ref="AN43:AN44" si="99">IF(OR(M43="лаб",M43="клн"),O43*AE43*L43,0)</f>
        <v>36</v>
      </c>
      <c r="AO43" s="42">
        <f t="shared" ref="AO43:AO44" si="100">(IF((AND(OR(K43=1,K43=2,K43=3,K43=4,K43=5,K43=6,K43=7,K43=8,K43=9,K43=10,K43=11,K43=12),OR(Q43="Зач",Q43="Экз"))),ТКиРА*AA43,0)+IF(SUM(N43:P43)&lt;&gt;0,IF(Q43="ТК",ТКиРА*AA43,0),0))*(IF(F43="ФТД",0,1))</f>
        <v>0</v>
      </c>
      <c r="AP43" s="42">
        <f t="shared" ref="AP43:AP44" si="101">IF(SUM(O43:P43)&lt;&gt;0,IF(Q43="Зач",ПАБРС*AA43,0),0)+IF(N43&lt;&gt;0,IF(Q43="Экз",ПАБРС*AA43,0),0)</f>
        <v>0</v>
      </c>
      <c r="AQ43" s="42">
        <f t="shared" ref="AQ43:AQ44" si="102">(IF(AP43&lt;&gt;0,ОфВед*(IF(OR(M43="лек",M43="лаб"),Z43,AE43)),0))*(IF(F43="ФТД",0,1))</f>
        <v>0</v>
      </c>
      <c r="AR43" s="42">
        <f t="shared" si="13"/>
        <v>0</v>
      </c>
      <c r="AS43" s="42">
        <f t="shared" ref="AS43:AS44" si="103">IF(OR(M43="лаб",M43="пр"),IF(R43="К",AA43*ВПКР,IF(R43="М",AA43*ВПИБ,0)),0)</f>
        <v>0</v>
      </c>
      <c r="AT43" s="42">
        <f t="shared" ref="AT43:AT44" si="104">IF(OR(M43="лаб",M43="пр"),IF(S43="К",AA43*ВПКП,0),0)</f>
        <v>0</v>
      </c>
      <c r="AU43" s="42">
        <f t="shared" ref="AU43:AU44" si="105">IF(M43="УП",T43/1.5*AA43*РУП,IF(M43="УПМ",T43/1.5*AA43*РУПЛеч,0))</f>
        <v>0</v>
      </c>
      <c r="AV43" s="42">
        <f>IF(M43="ПП",РПП*AA43*(U43/1.5),IF(M43="ВП",ВПр*AA43*(U43/1.5),IF(M43="РПА",РПА*AA43*(U43/1.5),IF(M43="КПА",КПА*AA43*(U43/1.5),0))))</f>
        <v>0</v>
      </c>
      <c r="AW43" s="42">
        <f t="shared" ref="AW43:AW44" si="106">IF(M43="НР",(AB43*НИРМ+AC43*НИРМИн)*(V43/1.5),IF(M43="НИ",(AB43*НИРА+AC43*НИРАИ)*(V43/1.5),0))</f>
        <v>0</v>
      </c>
      <c r="AX43" s="42">
        <f t="shared" si="18"/>
        <v>0</v>
      </c>
      <c r="AY43" s="42">
        <f t="shared" si="19"/>
        <v>0</v>
      </c>
      <c r="AZ43" s="42">
        <f t="shared" ref="AZ43:AZ44" si="107">IF(AND(Q43="КЭ",M43="ЧК"),AA43*КдЭк,0)</f>
        <v>0</v>
      </c>
      <c r="BA43" s="42">
        <f t="shared" si="21"/>
        <v>0</v>
      </c>
      <c r="BB43" s="42">
        <f t="shared" si="22"/>
        <v>0</v>
      </c>
      <c r="BC43" s="42">
        <f t="shared" si="23"/>
        <v>0</v>
      </c>
      <c r="BD43" s="42">
        <f t="shared" ref="BD43:BD44" si="108">IF(M43="ЧГ",AA43*ЧГ,IF(M43="ПГ",AA43*ПГ,IF(M43="ТЕСТ",ТГИЭ*AE43,IF(M43="СГ",AA43*СГ,0))))</f>
        <v>0</v>
      </c>
      <c r="BE43" s="43">
        <f t="shared" ref="BE43:BE44" si="109">SUM(AL43:BD43)</f>
        <v>36</v>
      </c>
      <c r="BF43" s="44"/>
      <c r="BG43" s="45">
        <f t="shared" ref="BG43:BG44" si="110">IF(OR(K43="1;1",K43="1;2",K43=1,K43="3;1",K43="3;2",K43=3,K43="5;1",K43="5;2",K43=5,K43="7;1",K43="7;2",K43=7,K43="9;1",K43="9;2",K43=9,K43=11),SUM(AL43:AN43),0)</f>
        <v>36</v>
      </c>
      <c r="BH43" s="45">
        <f t="shared" ref="BH43:BH44" si="111">IF(BG43&lt;&gt;0,SUM(N43:P43)/2,0)</f>
        <v>1</v>
      </c>
      <c r="BI43" s="45">
        <f t="shared" ref="BI43:BI44" si="112">IF(OR(K43="1;1",K43="1;2",K43=1,K43="3;1",K43="3;2",K43=3,K43="5;1",K43="5;2",K43=5,K43="7;1",K43="7;2",K43=7,K43="9;1",K43="9;2",K43=9,K43=11),SUM(AO43:BD43),0)</f>
        <v>0</v>
      </c>
      <c r="BJ43" s="46">
        <f t="shared" ref="BJ43:BJ44" si="113">IF(OR(K43="2;3",K43="2;4",K43=2,K43="4;3",K43="4;4",K43=4,K43="6;3",K43="6;4",K43=6,K43="8;3",K43="8;4",K43=8,K43="10;3",K43="10;4",K43=10,K43=12),SUM(AL43:AN43),0)</f>
        <v>0</v>
      </c>
      <c r="BK43" s="46">
        <f t="shared" ref="BK43:BK44" si="114">IF(BJ43&lt;&gt;0,SUM(N43:P43)/2,0)</f>
        <v>0</v>
      </c>
      <c r="BL43" s="46">
        <f t="shared" ref="BL43:BL44" si="115">IF(OR(K43="2;3",K43="2;4",K43=2,K43="4;3",K43="4;4",K43=4,K43="6;3",K43="6;4",K43=6,K43="8;3",K43="8;4",K43=8,K43="10;3",K43="10;4",K43=10,K43=12),SUM(AO43:BD43),0)</f>
        <v>0</v>
      </c>
    </row>
    <row r="44" spans="1:64" ht="30" customHeight="1" x14ac:dyDescent="0.25">
      <c r="A44" s="84" t="str">
        <f t="shared" si="2"/>
        <v>Д</v>
      </c>
      <c r="B44" s="84" t="str">
        <f t="shared" si="92"/>
        <v>Б</v>
      </c>
      <c r="C44" s="101" t="s">
        <v>1471</v>
      </c>
      <c r="D44" s="16" t="str">
        <f t="shared" si="93"/>
        <v>'09.03.03</v>
      </c>
      <c r="E44" s="17" t="str">
        <f t="shared" si="94"/>
        <v>Прикладная информатика</v>
      </c>
      <c r="F44" s="9" t="s">
        <v>413</v>
      </c>
      <c r="G44" s="9" t="s">
        <v>42</v>
      </c>
      <c r="H44" s="10" t="s">
        <v>3233</v>
      </c>
      <c r="I44" s="10"/>
      <c r="J44" s="24" t="s">
        <v>3206</v>
      </c>
      <c r="K44" s="11">
        <v>3</v>
      </c>
      <c r="L44" s="11">
        <v>18</v>
      </c>
      <c r="M44" s="8" t="s">
        <v>94</v>
      </c>
      <c r="N44" s="11"/>
      <c r="O44" s="11">
        <v>2</v>
      </c>
      <c r="P44" s="11"/>
      <c r="Q44" s="8"/>
      <c r="R44" s="11"/>
      <c r="S44" s="11"/>
      <c r="T44" s="11"/>
      <c r="U44" s="11"/>
      <c r="V44" s="11"/>
      <c r="W44" s="83" t="str">
        <f t="shared" si="4"/>
        <v>НПИбд</v>
      </c>
      <c r="X44" s="110" t="s">
        <v>3235</v>
      </c>
      <c r="Y44" s="11">
        <v>1</v>
      </c>
      <c r="Z44" s="11"/>
      <c r="AA44" s="83">
        <f t="shared" si="95"/>
        <v>12</v>
      </c>
      <c r="AB44" s="11">
        <v>10</v>
      </c>
      <c r="AC44" s="11">
        <v>2</v>
      </c>
      <c r="AD44" s="81">
        <f t="shared" si="5"/>
        <v>12</v>
      </c>
      <c r="AE44" s="82">
        <f t="shared" si="96"/>
        <v>1</v>
      </c>
      <c r="AF44" s="82">
        <f t="shared" si="97"/>
        <v>1</v>
      </c>
      <c r="AG44" s="102" t="s">
        <v>3250</v>
      </c>
      <c r="AH44" s="8" t="s">
        <v>203</v>
      </c>
      <c r="AI44" s="8" t="s">
        <v>213</v>
      </c>
      <c r="AJ44" s="35" t="s">
        <v>3262</v>
      </c>
      <c r="AK44" s="8"/>
      <c r="AL44" s="42">
        <f t="shared" si="7"/>
        <v>0</v>
      </c>
      <c r="AM44" s="42">
        <f t="shared" si="98"/>
        <v>0</v>
      </c>
      <c r="AN44" s="42">
        <f t="shared" si="99"/>
        <v>36</v>
      </c>
      <c r="AO44" s="42">
        <f t="shared" si="100"/>
        <v>0</v>
      </c>
      <c r="AP44" s="42">
        <f t="shared" si="101"/>
        <v>0</v>
      </c>
      <c r="AQ44" s="42">
        <f t="shared" si="102"/>
        <v>0</v>
      </c>
      <c r="AR44" s="42">
        <f t="shared" si="13"/>
        <v>0</v>
      </c>
      <c r="AS44" s="42">
        <f t="shared" si="103"/>
        <v>0</v>
      </c>
      <c r="AT44" s="42">
        <f t="shared" si="104"/>
        <v>0</v>
      </c>
      <c r="AU44" s="42">
        <f t="shared" si="105"/>
        <v>0</v>
      </c>
      <c r="AV44" s="42">
        <f>IF(M44="ПП",РПП*AA44*(U44/1.5),IF(M44="ВП",ВПр*AA44*(U44/1.5),IF(M44="РПА",РПА*AA44*(U44/1.5),IF(M44="КПА",КПА*AA44*(U44/1.5),0))))</f>
        <v>0</v>
      </c>
      <c r="AW44" s="42">
        <f t="shared" si="106"/>
        <v>0</v>
      </c>
      <c r="AX44" s="42">
        <f t="shared" si="18"/>
        <v>0</v>
      </c>
      <c r="AY44" s="42">
        <f t="shared" si="19"/>
        <v>0</v>
      </c>
      <c r="AZ44" s="42">
        <f t="shared" si="107"/>
        <v>0</v>
      </c>
      <c r="BA44" s="42">
        <f t="shared" si="21"/>
        <v>0</v>
      </c>
      <c r="BB44" s="42">
        <f t="shared" si="22"/>
        <v>0</v>
      </c>
      <c r="BC44" s="42">
        <f t="shared" si="23"/>
        <v>0</v>
      </c>
      <c r="BD44" s="42">
        <f t="shared" si="108"/>
        <v>0</v>
      </c>
      <c r="BE44" s="43">
        <f t="shared" si="109"/>
        <v>36</v>
      </c>
      <c r="BF44" s="44"/>
      <c r="BG44" s="45">
        <f t="shared" si="110"/>
        <v>36</v>
      </c>
      <c r="BH44" s="45">
        <f t="shared" si="111"/>
        <v>1</v>
      </c>
      <c r="BI44" s="45">
        <f t="shared" si="112"/>
        <v>0</v>
      </c>
      <c r="BJ44" s="46">
        <f t="shared" si="113"/>
        <v>0</v>
      </c>
      <c r="BK44" s="46">
        <f t="shared" si="114"/>
        <v>0</v>
      </c>
      <c r="BL44" s="46">
        <f t="shared" si="115"/>
        <v>0</v>
      </c>
    </row>
    <row r="45" spans="1:64" ht="30" customHeight="1" x14ac:dyDescent="0.25">
      <c r="A45" s="84" t="str">
        <f t="shared" si="2"/>
        <v>Д</v>
      </c>
      <c r="B45" s="84" t="str">
        <f t="shared" si="38"/>
        <v>Б</v>
      </c>
      <c r="C45" s="101" t="s">
        <v>1471</v>
      </c>
      <c r="D45" s="16" t="str">
        <f t="shared" si="39"/>
        <v>'09.03.03</v>
      </c>
      <c r="E45" s="17" t="str">
        <f t="shared" si="40"/>
        <v>Прикладная информатика</v>
      </c>
      <c r="F45" s="9" t="s">
        <v>413</v>
      </c>
      <c r="G45" s="9" t="s">
        <v>42</v>
      </c>
      <c r="H45" s="10" t="s">
        <v>3233</v>
      </c>
      <c r="I45" s="10"/>
      <c r="J45" s="24" t="s">
        <v>3206</v>
      </c>
      <c r="K45" s="11">
        <v>3</v>
      </c>
      <c r="L45" s="11">
        <v>18</v>
      </c>
      <c r="M45" s="8" t="s">
        <v>94</v>
      </c>
      <c r="N45" s="11"/>
      <c r="O45" s="11">
        <v>2</v>
      </c>
      <c r="P45" s="11"/>
      <c r="Q45" s="8"/>
      <c r="R45" s="11"/>
      <c r="S45" s="11"/>
      <c r="T45" s="11"/>
      <c r="U45" s="11"/>
      <c r="V45" s="11"/>
      <c r="W45" s="83" t="str">
        <f t="shared" si="4"/>
        <v>НПИбд</v>
      </c>
      <c r="X45" s="110" t="s">
        <v>3236</v>
      </c>
      <c r="Y45" s="11">
        <v>1</v>
      </c>
      <c r="Z45" s="11">
        <v>1</v>
      </c>
      <c r="AA45" s="83">
        <f t="shared" si="41"/>
        <v>13</v>
      </c>
      <c r="AB45" s="11">
        <v>10</v>
      </c>
      <c r="AC45" s="11">
        <v>3</v>
      </c>
      <c r="AD45" s="81">
        <f t="shared" si="5"/>
        <v>12</v>
      </c>
      <c r="AE45" s="82">
        <f t="shared" si="42"/>
        <v>1</v>
      </c>
      <c r="AF45" s="82">
        <f t="shared" si="43"/>
        <v>1.0833333333333333</v>
      </c>
      <c r="AG45" s="102" t="s">
        <v>3250</v>
      </c>
      <c r="AH45" s="8" t="s">
        <v>203</v>
      </c>
      <c r="AI45" s="8" t="s">
        <v>213</v>
      </c>
      <c r="AJ45" s="35" t="s">
        <v>3264</v>
      </c>
      <c r="AK45" s="8"/>
      <c r="AL45" s="42">
        <f t="shared" si="7"/>
        <v>0</v>
      </c>
      <c r="AM45" s="42">
        <f t="shared" si="8"/>
        <v>0</v>
      </c>
      <c r="AN45" s="42">
        <f t="shared" si="9"/>
        <v>36</v>
      </c>
      <c r="AO45" s="42">
        <f t="shared" si="10"/>
        <v>0</v>
      </c>
      <c r="AP45" s="42">
        <f t="shared" si="11"/>
        <v>0</v>
      </c>
      <c r="AQ45" s="42">
        <f t="shared" si="12"/>
        <v>0</v>
      </c>
      <c r="AR45" s="42">
        <f t="shared" si="13"/>
        <v>0</v>
      </c>
      <c r="AS45" s="42">
        <f t="shared" si="14"/>
        <v>0</v>
      </c>
      <c r="AT45" s="42">
        <f t="shared" si="15"/>
        <v>0</v>
      </c>
      <c r="AU45" s="42">
        <f t="shared" si="16"/>
        <v>0</v>
      </c>
      <c r="AV45" s="42">
        <f>IF(M45="ПП",РПП*AA45*(U45/1.5),IF(M45="ВП",ВПр*AA45*(U45/1.5),IF(M45="РПА",РПА*AA45*(U45/1.5),IF(M45="КПА",КПА*AA45*(U45/1.5),0))))</f>
        <v>0</v>
      </c>
      <c r="AW45" s="42">
        <f t="shared" si="17"/>
        <v>0</v>
      </c>
      <c r="AX45" s="42">
        <f t="shared" si="18"/>
        <v>0</v>
      </c>
      <c r="AY45" s="42">
        <f t="shared" si="19"/>
        <v>0</v>
      </c>
      <c r="AZ45" s="42">
        <f t="shared" si="20"/>
        <v>0</v>
      </c>
      <c r="BA45" s="42">
        <f t="shared" si="21"/>
        <v>0</v>
      </c>
      <c r="BB45" s="42">
        <f t="shared" si="22"/>
        <v>0</v>
      </c>
      <c r="BC45" s="42">
        <f t="shared" si="23"/>
        <v>0</v>
      </c>
      <c r="BD45" s="42">
        <f t="shared" si="24"/>
        <v>0</v>
      </c>
      <c r="BE45" s="43">
        <f t="shared" si="25"/>
        <v>36</v>
      </c>
      <c r="BF45" s="44"/>
      <c r="BG45" s="45">
        <f t="shared" si="26"/>
        <v>36</v>
      </c>
      <c r="BH45" s="45">
        <f t="shared" si="27"/>
        <v>1</v>
      </c>
      <c r="BI45" s="45">
        <f t="shared" si="28"/>
        <v>0</v>
      </c>
      <c r="BJ45" s="46">
        <f t="shared" si="29"/>
        <v>0</v>
      </c>
      <c r="BK45" s="46">
        <f t="shared" si="30"/>
        <v>0</v>
      </c>
      <c r="BL45" s="46">
        <f t="shared" si="31"/>
        <v>0</v>
      </c>
    </row>
    <row r="46" spans="1:64" ht="30" customHeight="1" x14ac:dyDescent="0.25">
      <c r="A46" s="84" t="str">
        <f t="shared" si="2"/>
        <v>Д</v>
      </c>
      <c r="B46" s="84" t="str">
        <f t="shared" si="38"/>
        <v>Б</v>
      </c>
      <c r="C46" s="101" t="s">
        <v>1471</v>
      </c>
      <c r="D46" s="16" t="str">
        <f t="shared" si="39"/>
        <v>'09.03.03</v>
      </c>
      <c r="E46" s="17" t="str">
        <f t="shared" si="40"/>
        <v>Прикладная информатика</v>
      </c>
      <c r="F46" s="9" t="s">
        <v>413</v>
      </c>
      <c r="G46" s="9" t="s">
        <v>42</v>
      </c>
      <c r="H46" s="10" t="s">
        <v>3233</v>
      </c>
      <c r="I46" s="10"/>
      <c r="J46" s="24" t="s">
        <v>3206</v>
      </c>
      <c r="K46" s="11">
        <v>3</v>
      </c>
      <c r="L46" s="11">
        <v>18</v>
      </c>
      <c r="M46" s="8" t="s">
        <v>94</v>
      </c>
      <c r="N46" s="11"/>
      <c r="O46" s="11">
        <v>2</v>
      </c>
      <c r="P46" s="11"/>
      <c r="Q46" s="8"/>
      <c r="R46" s="11"/>
      <c r="S46" s="11"/>
      <c r="T46" s="11"/>
      <c r="U46" s="11"/>
      <c r="V46" s="11"/>
      <c r="W46" s="83" t="str">
        <f t="shared" si="4"/>
        <v>НПИбд</v>
      </c>
      <c r="X46" s="110" t="s">
        <v>3236</v>
      </c>
      <c r="Y46" s="11">
        <v>1</v>
      </c>
      <c r="Z46" s="11"/>
      <c r="AA46" s="83">
        <f t="shared" si="41"/>
        <v>13</v>
      </c>
      <c r="AB46" s="11">
        <v>10</v>
      </c>
      <c r="AC46" s="11">
        <v>3</v>
      </c>
      <c r="AD46" s="81">
        <f t="shared" si="5"/>
        <v>12</v>
      </c>
      <c r="AE46" s="82">
        <f t="shared" si="42"/>
        <v>1</v>
      </c>
      <c r="AF46" s="82">
        <f t="shared" si="43"/>
        <v>1.0833333333333333</v>
      </c>
      <c r="AG46" s="102" t="s">
        <v>3250</v>
      </c>
      <c r="AH46" s="8" t="s">
        <v>203</v>
      </c>
      <c r="AI46" s="8" t="s">
        <v>213</v>
      </c>
      <c r="AJ46" s="35" t="s">
        <v>3264</v>
      </c>
      <c r="AK46" s="8"/>
      <c r="AL46" s="42">
        <f t="shared" si="7"/>
        <v>0</v>
      </c>
      <c r="AM46" s="42">
        <f t="shared" si="8"/>
        <v>0</v>
      </c>
      <c r="AN46" s="42">
        <f t="shared" si="9"/>
        <v>36</v>
      </c>
      <c r="AO46" s="42">
        <f t="shared" si="10"/>
        <v>0</v>
      </c>
      <c r="AP46" s="42">
        <f t="shared" si="11"/>
        <v>0</v>
      </c>
      <c r="AQ46" s="42">
        <f t="shared" si="12"/>
        <v>0</v>
      </c>
      <c r="AR46" s="42">
        <f t="shared" si="13"/>
        <v>0</v>
      </c>
      <c r="AS46" s="42">
        <f t="shared" si="14"/>
        <v>0</v>
      </c>
      <c r="AT46" s="42">
        <f t="shared" si="15"/>
        <v>0</v>
      </c>
      <c r="AU46" s="42">
        <f t="shared" si="16"/>
        <v>0</v>
      </c>
      <c r="AV46" s="42">
        <f>IF(M46="ПП",РПП*AA46*(U46/1.5),IF(M46="ВП",ВПр*AA46*(U46/1.5),IF(M46="РПА",РПА*AA46*(U46/1.5),IF(M46="КПА",КПА*AA46*(U46/1.5),0))))</f>
        <v>0</v>
      </c>
      <c r="AW46" s="42">
        <f t="shared" si="17"/>
        <v>0</v>
      </c>
      <c r="AX46" s="42">
        <f t="shared" si="18"/>
        <v>0</v>
      </c>
      <c r="AY46" s="42">
        <f t="shared" si="19"/>
        <v>0</v>
      </c>
      <c r="AZ46" s="42">
        <f t="shared" si="20"/>
        <v>0</v>
      </c>
      <c r="BA46" s="42">
        <f t="shared" si="21"/>
        <v>0</v>
      </c>
      <c r="BB46" s="42">
        <f t="shared" si="22"/>
        <v>0</v>
      </c>
      <c r="BC46" s="42">
        <f t="shared" si="23"/>
        <v>0</v>
      </c>
      <c r="BD46" s="42">
        <f t="shared" si="24"/>
        <v>0</v>
      </c>
      <c r="BE46" s="43">
        <f t="shared" si="25"/>
        <v>36</v>
      </c>
      <c r="BF46" s="44"/>
      <c r="BG46" s="45">
        <f t="shared" si="26"/>
        <v>36</v>
      </c>
      <c r="BH46" s="45">
        <f t="shared" si="27"/>
        <v>1</v>
      </c>
      <c r="BI46" s="45">
        <f t="shared" si="28"/>
        <v>0</v>
      </c>
      <c r="BJ46" s="46">
        <f t="shared" si="29"/>
        <v>0</v>
      </c>
      <c r="BK46" s="46">
        <f t="shared" si="30"/>
        <v>0</v>
      </c>
      <c r="BL46" s="46">
        <f t="shared" si="31"/>
        <v>0</v>
      </c>
    </row>
    <row r="47" spans="1:64" ht="30" customHeight="1" x14ac:dyDescent="0.25">
      <c r="A47" s="84" t="str">
        <f t="shared" si="2"/>
        <v>Д</v>
      </c>
      <c r="B47" s="84" t="str">
        <f t="shared" si="38"/>
        <v>Б</v>
      </c>
      <c r="C47" s="101" t="s">
        <v>1471</v>
      </c>
      <c r="D47" s="16" t="str">
        <f t="shared" si="39"/>
        <v>'09.03.03</v>
      </c>
      <c r="E47" s="17" t="str">
        <f t="shared" si="40"/>
        <v>Прикладная информатика</v>
      </c>
      <c r="F47" s="9" t="s">
        <v>413</v>
      </c>
      <c r="G47" s="9" t="s">
        <v>42</v>
      </c>
      <c r="H47" s="10" t="s">
        <v>3233</v>
      </c>
      <c r="I47" s="10"/>
      <c r="J47" s="24" t="s">
        <v>3207</v>
      </c>
      <c r="K47" s="12">
        <v>3</v>
      </c>
      <c r="L47" s="11">
        <v>18</v>
      </c>
      <c r="M47" s="8" t="s">
        <v>23</v>
      </c>
      <c r="N47" s="12">
        <v>1</v>
      </c>
      <c r="O47" s="12"/>
      <c r="P47" s="12"/>
      <c r="Q47" s="8"/>
      <c r="R47" s="12"/>
      <c r="S47" s="12"/>
      <c r="T47" s="12"/>
      <c r="U47" s="12"/>
      <c r="V47" s="12"/>
      <c r="W47" s="83" t="str">
        <f t="shared" si="4"/>
        <v>НПИбд</v>
      </c>
      <c r="X47" s="110" t="s">
        <v>3354</v>
      </c>
      <c r="Y47" s="11">
        <v>6</v>
      </c>
      <c r="Z47" s="11">
        <v>3</v>
      </c>
      <c r="AA47" s="83">
        <f t="shared" si="41"/>
        <v>78</v>
      </c>
      <c r="AB47" s="11">
        <v>62</v>
      </c>
      <c r="AC47" s="11">
        <v>16</v>
      </c>
      <c r="AD47" s="81">
        <f t="shared" si="5"/>
        <v>78</v>
      </c>
      <c r="AE47" s="82">
        <f t="shared" si="42"/>
        <v>1</v>
      </c>
      <c r="AF47" s="82">
        <f t="shared" si="43"/>
        <v>1</v>
      </c>
      <c r="AG47" s="102" t="s">
        <v>3250</v>
      </c>
      <c r="AH47" s="8" t="s">
        <v>203</v>
      </c>
      <c r="AI47" s="8" t="s">
        <v>213</v>
      </c>
      <c r="AJ47" s="35" t="s">
        <v>3344</v>
      </c>
      <c r="AK47" s="8"/>
      <c r="AL47" s="42">
        <f t="shared" si="7"/>
        <v>18</v>
      </c>
      <c r="AM47" s="42">
        <f t="shared" si="8"/>
        <v>0</v>
      </c>
      <c r="AN47" s="42">
        <f t="shared" si="9"/>
        <v>0</v>
      </c>
      <c r="AO47" s="42">
        <f t="shared" si="10"/>
        <v>0</v>
      </c>
      <c r="AP47" s="42">
        <f t="shared" si="11"/>
        <v>0</v>
      </c>
      <c r="AQ47" s="42">
        <f t="shared" si="12"/>
        <v>0</v>
      </c>
      <c r="AR47" s="42">
        <f t="shared" si="13"/>
        <v>2.7</v>
      </c>
      <c r="AS47" s="42">
        <f t="shared" si="14"/>
        <v>0</v>
      </c>
      <c r="AT47" s="42">
        <f t="shared" si="15"/>
        <v>0</v>
      </c>
      <c r="AU47" s="42">
        <f t="shared" si="16"/>
        <v>0</v>
      </c>
      <c r="AV47" s="42">
        <f>IF(M47="ПП",РПП*AA47*(U47/1.5),IF(M47="ВП",ВПр*AA47*(U47/1.5),IF(M47="РПА",РПА*AA47*(U47/1.5),IF(M47="КПА",КПА*AA47*(U47/1.5),0))))</f>
        <v>0</v>
      </c>
      <c r="AW47" s="42">
        <f t="shared" si="17"/>
        <v>0</v>
      </c>
      <c r="AX47" s="42">
        <f t="shared" si="18"/>
        <v>0</v>
      </c>
      <c r="AY47" s="42">
        <f t="shared" si="19"/>
        <v>0</v>
      </c>
      <c r="AZ47" s="42">
        <f t="shared" si="20"/>
        <v>0</v>
      </c>
      <c r="BA47" s="42">
        <f t="shared" si="21"/>
        <v>0</v>
      </c>
      <c r="BB47" s="42">
        <f t="shared" si="22"/>
        <v>0</v>
      </c>
      <c r="BC47" s="42">
        <f t="shared" si="23"/>
        <v>0</v>
      </c>
      <c r="BD47" s="42">
        <f t="shared" si="24"/>
        <v>0</v>
      </c>
      <c r="BE47" s="43">
        <f t="shared" si="25"/>
        <v>20.7</v>
      </c>
      <c r="BF47" s="44"/>
      <c r="BG47" s="45">
        <f t="shared" si="26"/>
        <v>18</v>
      </c>
      <c r="BH47" s="45">
        <f t="shared" si="27"/>
        <v>0.5</v>
      </c>
      <c r="BI47" s="45">
        <f t="shared" si="28"/>
        <v>2.7</v>
      </c>
      <c r="BJ47" s="46">
        <f t="shared" si="29"/>
        <v>0</v>
      </c>
      <c r="BK47" s="46">
        <f t="shared" si="30"/>
        <v>0</v>
      </c>
      <c r="BL47" s="46">
        <f t="shared" si="31"/>
        <v>0</v>
      </c>
    </row>
    <row r="48" spans="1:64" ht="30" customHeight="1" x14ac:dyDescent="0.25">
      <c r="A48" s="84" t="str">
        <f t="shared" si="2"/>
        <v>Д</v>
      </c>
      <c r="B48" s="84" t="str">
        <f t="shared" si="38"/>
        <v>Б</v>
      </c>
      <c r="C48" s="101" t="s">
        <v>1471</v>
      </c>
      <c r="D48" s="16" t="str">
        <f t="shared" si="39"/>
        <v>'09.03.03</v>
      </c>
      <c r="E48" s="17" t="str">
        <f t="shared" si="40"/>
        <v>Прикладная информатика</v>
      </c>
      <c r="F48" s="9" t="s">
        <v>413</v>
      </c>
      <c r="G48" s="9" t="s">
        <v>42</v>
      </c>
      <c r="H48" s="10" t="s">
        <v>3233</v>
      </c>
      <c r="I48" s="10"/>
      <c r="J48" s="24" t="s">
        <v>3207</v>
      </c>
      <c r="K48" s="11">
        <v>3</v>
      </c>
      <c r="L48" s="11">
        <v>18</v>
      </c>
      <c r="M48" s="8" t="s">
        <v>94</v>
      </c>
      <c r="N48" s="11"/>
      <c r="O48" s="11">
        <v>2</v>
      </c>
      <c r="P48" s="11"/>
      <c r="Q48" s="8" t="s">
        <v>102</v>
      </c>
      <c r="R48" s="11"/>
      <c r="S48" s="11"/>
      <c r="T48" s="23"/>
      <c r="U48" s="11"/>
      <c r="V48" s="11"/>
      <c r="W48" s="83" t="str">
        <f t="shared" si="4"/>
        <v>НПИбд</v>
      </c>
      <c r="X48" s="110" t="s">
        <v>3234</v>
      </c>
      <c r="Y48" s="11">
        <v>1</v>
      </c>
      <c r="Z48" s="11">
        <v>1</v>
      </c>
      <c r="AA48" s="83">
        <f t="shared" si="41"/>
        <v>14</v>
      </c>
      <c r="AB48" s="11">
        <v>11</v>
      </c>
      <c r="AC48" s="11">
        <v>3</v>
      </c>
      <c r="AD48" s="81">
        <f t="shared" si="5"/>
        <v>12</v>
      </c>
      <c r="AE48" s="82">
        <f t="shared" si="42"/>
        <v>1</v>
      </c>
      <c r="AF48" s="82">
        <f t="shared" si="43"/>
        <v>1.1666666666666667</v>
      </c>
      <c r="AG48" s="102" t="s">
        <v>3250</v>
      </c>
      <c r="AH48" s="8" t="s">
        <v>203</v>
      </c>
      <c r="AI48" s="8" t="s">
        <v>213</v>
      </c>
      <c r="AJ48" s="35" t="s">
        <v>3344</v>
      </c>
      <c r="AK48" s="8"/>
      <c r="AL48" s="42">
        <f t="shared" si="7"/>
        <v>0</v>
      </c>
      <c r="AM48" s="42">
        <f t="shared" si="8"/>
        <v>0</v>
      </c>
      <c r="AN48" s="42">
        <f t="shared" si="9"/>
        <v>36</v>
      </c>
      <c r="AO48" s="42">
        <f t="shared" si="10"/>
        <v>4.62</v>
      </c>
      <c r="AP48" s="42">
        <f t="shared" si="11"/>
        <v>7</v>
      </c>
      <c r="AQ48" s="42">
        <f t="shared" si="12"/>
        <v>1</v>
      </c>
      <c r="AR48" s="42">
        <f t="shared" si="13"/>
        <v>0</v>
      </c>
      <c r="AS48" s="42">
        <f t="shared" si="14"/>
        <v>0</v>
      </c>
      <c r="AT48" s="42">
        <f t="shared" si="15"/>
        <v>0</v>
      </c>
      <c r="AU48" s="42">
        <f t="shared" si="16"/>
        <v>0</v>
      </c>
      <c r="AV48" s="42">
        <f>IF(M48="ПП",РПП*AA48*(U48/1.5),IF(M48="ВП",ВПр*AA48*(U48/1.5),IF(M48="РПА",РПА*AA48*(U48/1.5),IF(M48="КПА",КПА*AA48*(U48/1.5),0))))</f>
        <v>0</v>
      </c>
      <c r="AW48" s="42">
        <f t="shared" si="17"/>
        <v>0</v>
      </c>
      <c r="AX48" s="42">
        <f t="shared" si="18"/>
        <v>0</v>
      </c>
      <c r="AY48" s="42">
        <f t="shared" si="19"/>
        <v>0</v>
      </c>
      <c r="AZ48" s="42">
        <f t="shared" si="20"/>
        <v>0</v>
      </c>
      <c r="BA48" s="42">
        <f t="shared" si="21"/>
        <v>0</v>
      </c>
      <c r="BB48" s="42">
        <f t="shared" si="22"/>
        <v>0</v>
      </c>
      <c r="BC48" s="42">
        <f t="shared" si="23"/>
        <v>0</v>
      </c>
      <c r="BD48" s="42">
        <f t="shared" si="24"/>
        <v>0</v>
      </c>
      <c r="BE48" s="43">
        <f t="shared" si="25"/>
        <v>48.62</v>
      </c>
      <c r="BF48" s="44"/>
      <c r="BG48" s="45">
        <f t="shared" si="26"/>
        <v>36</v>
      </c>
      <c r="BH48" s="45">
        <f t="shared" si="27"/>
        <v>1</v>
      </c>
      <c r="BI48" s="45">
        <f t="shared" si="28"/>
        <v>12.620000000000001</v>
      </c>
      <c r="BJ48" s="46">
        <f t="shared" si="29"/>
        <v>0</v>
      </c>
      <c r="BK48" s="46">
        <f t="shared" si="30"/>
        <v>0</v>
      </c>
      <c r="BL48" s="46">
        <f t="shared" si="31"/>
        <v>0</v>
      </c>
    </row>
    <row r="49" spans="1:64" ht="30" customHeight="1" x14ac:dyDescent="0.25">
      <c r="A49" s="84" t="str">
        <f t="shared" si="2"/>
        <v>Д</v>
      </c>
      <c r="B49" s="84" t="str">
        <f t="shared" si="38"/>
        <v>Б</v>
      </c>
      <c r="C49" s="101" t="s">
        <v>1471</v>
      </c>
      <c r="D49" s="16" t="str">
        <f t="shared" si="39"/>
        <v>'09.03.03</v>
      </c>
      <c r="E49" s="17" t="str">
        <f t="shared" si="40"/>
        <v>Прикладная информатика</v>
      </c>
      <c r="F49" s="9" t="s">
        <v>413</v>
      </c>
      <c r="G49" s="9" t="s">
        <v>42</v>
      </c>
      <c r="H49" s="10" t="s">
        <v>3233</v>
      </c>
      <c r="I49" s="10"/>
      <c r="J49" s="24" t="s">
        <v>3207</v>
      </c>
      <c r="K49" s="11">
        <v>3</v>
      </c>
      <c r="L49" s="11">
        <v>18</v>
      </c>
      <c r="M49" s="8" t="s">
        <v>94</v>
      </c>
      <c r="N49" s="11"/>
      <c r="O49" s="11">
        <v>2</v>
      </c>
      <c r="P49" s="11"/>
      <c r="Q49" s="8" t="s">
        <v>102</v>
      </c>
      <c r="R49" s="11"/>
      <c r="S49" s="11"/>
      <c r="T49" s="23"/>
      <c r="U49" s="11"/>
      <c r="V49" s="11"/>
      <c r="W49" s="83" t="str">
        <f t="shared" si="4"/>
        <v>НПИбд</v>
      </c>
      <c r="X49" s="110" t="s">
        <v>3234</v>
      </c>
      <c r="Y49" s="11">
        <v>1</v>
      </c>
      <c r="Z49" s="11"/>
      <c r="AA49" s="83">
        <f t="shared" si="41"/>
        <v>12</v>
      </c>
      <c r="AB49" s="11">
        <v>10</v>
      </c>
      <c r="AC49" s="11">
        <v>2</v>
      </c>
      <c r="AD49" s="81">
        <f t="shared" si="5"/>
        <v>12</v>
      </c>
      <c r="AE49" s="82">
        <f t="shared" si="42"/>
        <v>1</v>
      </c>
      <c r="AF49" s="82">
        <f t="shared" si="43"/>
        <v>1</v>
      </c>
      <c r="AG49" s="102" t="s">
        <v>3250</v>
      </c>
      <c r="AH49" s="8" t="s">
        <v>203</v>
      </c>
      <c r="AI49" s="8" t="s">
        <v>213</v>
      </c>
      <c r="AJ49" s="35" t="s">
        <v>3344</v>
      </c>
      <c r="AK49" s="8"/>
      <c r="AL49" s="42">
        <f t="shared" si="7"/>
        <v>0</v>
      </c>
      <c r="AM49" s="42">
        <f t="shared" si="8"/>
        <v>0</v>
      </c>
      <c r="AN49" s="42">
        <f t="shared" si="9"/>
        <v>36</v>
      </c>
      <c r="AO49" s="42">
        <f t="shared" si="10"/>
        <v>3.96</v>
      </c>
      <c r="AP49" s="42">
        <f t="shared" si="11"/>
        <v>6</v>
      </c>
      <c r="AQ49" s="42">
        <f t="shared" si="12"/>
        <v>0</v>
      </c>
      <c r="AR49" s="42">
        <f t="shared" si="13"/>
        <v>0</v>
      </c>
      <c r="AS49" s="42">
        <f t="shared" si="14"/>
        <v>0</v>
      </c>
      <c r="AT49" s="42">
        <f t="shared" si="15"/>
        <v>0</v>
      </c>
      <c r="AU49" s="42">
        <f t="shared" si="16"/>
        <v>0</v>
      </c>
      <c r="AV49" s="42">
        <f>IF(M49="ПП",РПП*AA49*(U49/1.5),IF(M49="ВП",ВПр*AA49*(U49/1.5),IF(M49="РПА",РПА*AA49*(U49/1.5),IF(M49="КПА",КПА*AA49*(U49/1.5),0))))</f>
        <v>0</v>
      </c>
      <c r="AW49" s="42">
        <f t="shared" si="17"/>
        <v>0</v>
      </c>
      <c r="AX49" s="42">
        <f t="shared" si="18"/>
        <v>0</v>
      </c>
      <c r="AY49" s="42">
        <f t="shared" si="19"/>
        <v>0</v>
      </c>
      <c r="AZ49" s="42">
        <f t="shared" si="20"/>
        <v>0</v>
      </c>
      <c r="BA49" s="42">
        <f t="shared" si="21"/>
        <v>0</v>
      </c>
      <c r="BB49" s="42">
        <f t="shared" si="22"/>
        <v>0</v>
      </c>
      <c r="BC49" s="42">
        <f t="shared" si="23"/>
        <v>0</v>
      </c>
      <c r="BD49" s="42">
        <f t="shared" si="24"/>
        <v>0</v>
      </c>
      <c r="BE49" s="43">
        <f t="shared" si="25"/>
        <v>45.96</v>
      </c>
      <c r="BF49" s="44"/>
      <c r="BG49" s="45">
        <f t="shared" si="26"/>
        <v>36</v>
      </c>
      <c r="BH49" s="45">
        <f t="shared" si="27"/>
        <v>1</v>
      </c>
      <c r="BI49" s="45">
        <f t="shared" si="28"/>
        <v>9.9600000000000009</v>
      </c>
      <c r="BJ49" s="46">
        <f t="shared" si="29"/>
        <v>0</v>
      </c>
      <c r="BK49" s="46">
        <f t="shared" si="30"/>
        <v>0</v>
      </c>
      <c r="BL49" s="46">
        <f t="shared" si="31"/>
        <v>0</v>
      </c>
    </row>
    <row r="50" spans="1:64" ht="30" customHeight="1" x14ac:dyDescent="0.25">
      <c r="A50" s="84" t="str">
        <f t="shared" si="2"/>
        <v>Д</v>
      </c>
      <c r="B50" s="84" t="str">
        <f t="shared" ref="B50:B51" si="116">IF(C50&gt;0, VLOOKUP(C50,Код_ООП,11,FALSE),0)</f>
        <v>Б</v>
      </c>
      <c r="C50" s="101" t="s">
        <v>1471</v>
      </c>
      <c r="D50" s="16" t="str">
        <f t="shared" ref="D50:D51" si="117">IF(C50&gt;0, VLOOKUP(C50,Код_ООП,2,FALSE),0)</f>
        <v>'09.03.03</v>
      </c>
      <c r="E50" s="17" t="str">
        <f t="shared" ref="E50:E51" si="118">IF(C50&gt;0, VLOOKUP(C50,Код_ООП,13,FALSE),0)</f>
        <v>Прикладная информатика</v>
      </c>
      <c r="F50" s="9" t="s">
        <v>413</v>
      </c>
      <c r="G50" s="9" t="s">
        <v>42</v>
      </c>
      <c r="H50" s="10" t="s">
        <v>3233</v>
      </c>
      <c r="I50" s="10"/>
      <c r="J50" s="24" t="s">
        <v>3207</v>
      </c>
      <c r="K50" s="11">
        <v>3</v>
      </c>
      <c r="L50" s="11">
        <v>18</v>
      </c>
      <c r="M50" s="8" t="s">
        <v>94</v>
      </c>
      <c r="N50" s="11"/>
      <c r="O50" s="11">
        <v>2</v>
      </c>
      <c r="P50" s="11"/>
      <c r="Q50" s="8" t="s">
        <v>102</v>
      </c>
      <c r="R50" s="11"/>
      <c r="S50" s="11"/>
      <c r="T50" s="11"/>
      <c r="U50" s="11"/>
      <c r="V50" s="11"/>
      <c r="W50" s="83" t="str">
        <f t="shared" si="4"/>
        <v>НПИбд</v>
      </c>
      <c r="X50" s="110" t="s">
        <v>3235</v>
      </c>
      <c r="Y50" s="11">
        <v>1</v>
      </c>
      <c r="Z50" s="11">
        <v>1</v>
      </c>
      <c r="AA50" s="83">
        <f t="shared" ref="AA50:AA51" si="119">AB50+AC50</f>
        <v>14</v>
      </c>
      <c r="AB50" s="11">
        <v>11</v>
      </c>
      <c r="AC50" s="11">
        <v>3</v>
      </c>
      <c r="AD50" s="81">
        <f t="shared" si="5"/>
        <v>12</v>
      </c>
      <c r="AE50" s="82">
        <f t="shared" ref="AE50:AE51" si="120">IF(AF50&gt;1,1,AF50)</f>
        <v>1</v>
      </c>
      <c r="AF50" s="82">
        <f t="shared" ref="AF50:AF51" si="121">AA50/AD50</f>
        <v>1.1666666666666667</v>
      </c>
      <c r="AG50" s="102" t="s">
        <v>3250</v>
      </c>
      <c r="AH50" s="8" t="s">
        <v>203</v>
      </c>
      <c r="AI50" s="8" t="s">
        <v>213</v>
      </c>
      <c r="AJ50" s="35" t="s">
        <v>3344</v>
      </c>
      <c r="AK50" s="8"/>
      <c r="AL50" s="42">
        <f t="shared" si="7"/>
        <v>0</v>
      </c>
      <c r="AM50" s="42">
        <f t="shared" ref="AM50:AM51" si="122">IF(OR(M50="пр",M50="ия",M50="сп"),P50*AE50*L50,0)</f>
        <v>0</v>
      </c>
      <c r="AN50" s="42">
        <f t="shared" ref="AN50:AN51" si="123">IF(OR(M50="лаб",M50="клн"),O50*AE50*L50,0)</f>
        <v>36</v>
      </c>
      <c r="AO50" s="42">
        <f t="shared" ref="AO50:AO51" si="124">(IF((AND(OR(K50=1,K50=2,K50=3,K50=4,K50=5,K50=6,K50=7,K50=8,K50=9,K50=10,K50=11,K50=12),OR(Q50="Зач",Q50="Экз"))),ТКиРА*AA50,0)+IF(SUM(N50:P50)&lt;&gt;0,IF(Q50="ТК",ТКиРА*AA50,0),0))*(IF(F50="ФТД",0,1))</f>
        <v>4.62</v>
      </c>
      <c r="AP50" s="42">
        <f t="shared" ref="AP50:AP51" si="125">IF(SUM(O50:P50)&lt;&gt;0,IF(Q50="Зач",ПАБРС*AA50,0),0)+IF(N50&lt;&gt;0,IF(Q50="Экз",ПАБРС*AA50,0),0)</f>
        <v>7</v>
      </c>
      <c r="AQ50" s="42">
        <f t="shared" ref="AQ50:AQ51" si="126">(IF(AP50&lt;&gt;0,ОфВед*(IF(OR(M50="лек",M50="лаб"),Z50,AE50)),0))*(IF(F50="ФТД",0,1))</f>
        <v>1</v>
      </c>
      <c r="AR50" s="42">
        <f t="shared" si="13"/>
        <v>0</v>
      </c>
      <c r="AS50" s="42">
        <f t="shared" ref="AS50:AS51" si="127">IF(OR(M50="лаб",M50="пр"),IF(R50="К",AA50*ВПКР,IF(R50="М",AA50*ВПИБ,0)),0)</f>
        <v>0</v>
      </c>
      <c r="AT50" s="42">
        <f t="shared" ref="AT50:AT51" si="128">IF(OR(M50="лаб",M50="пр"),IF(S50="К",AA50*ВПКП,0),0)</f>
        <v>0</v>
      </c>
      <c r="AU50" s="42">
        <f t="shared" ref="AU50:AU51" si="129">IF(M50="УП",T50/1.5*AA50*РУП,IF(M50="УПМ",T50/1.5*AA50*РУПЛеч,0))</f>
        <v>0</v>
      </c>
      <c r="AV50" s="42">
        <f>IF(M50="ПП",РПП*AA50*(U50/1.5),IF(M50="ВП",ВПр*AA50*(U50/1.5),IF(M50="РПА",РПА*AA50*(U50/1.5),IF(M50="КПА",КПА*AA50*(U50/1.5),0))))</f>
        <v>0</v>
      </c>
      <c r="AW50" s="42">
        <f t="shared" ref="AW50:AW51" si="130">IF(M50="НР",(AB50*НИРМ+AC50*НИРМИн)*(V50/1.5),IF(M50="НИ",(AB50*НИРА+AC50*НИРАИ)*(V50/1.5),0))</f>
        <v>0</v>
      </c>
      <c r="AX50" s="42">
        <f t="shared" si="18"/>
        <v>0</v>
      </c>
      <c r="AY50" s="42">
        <f t="shared" si="19"/>
        <v>0</v>
      </c>
      <c r="AZ50" s="42">
        <f t="shared" ref="AZ50:AZ51" si="131">IF(AND(Q50="КЭ",M50="ЧК"),AA50*КдЭк,0)</f>
        <v>0</v>
      </c>
      <c r="BA50" s="42">
        <f t="shared" si="21"/>
        <v>0</v>
      </c>
      <c r="BB50" s="42">
        <f t="shared" si="22"/>
        <v>0</v>
      </c>
      <c r="BC50" s="42">
        <f t="shared" si="23"/>
        <v>0</v>
      </c>
      <c r="BD50" s="42">
        <f t="shared" ref="BD50:BD51" si="132">IF(M50="ЧГ",AA50*ЧГ,IF(M50="ПГ",AA50*ПГ,IF(M50="ТЕСТ",ТГИЭ*AE50,IF(M50="СГ",AA50*СГ,0))))</f>
        <v>0</v>
      </c>
      <c r="BE50" s="43">
        <f t="shared" ref="BE50:BE51" si="133">SUM(AL50:BD50)</f>
        <v>48.62</v>
      </c>
      <c r="BF50" s="44"/>
      <c r="BG50" s="45">
        <f t="shared" ref="BG50:BG51" si="134">IF(OR(K50="1;1",K50="1;2",K50=1,K50="3;1",K50="3;2",K50=3,K50="5;1",K50="5;2",K50=5,K50="7;1",K50="7;2",K50=7,K50="9;1",K50="9;2",K50=9,K50=11),SUM(AL50:AN50),0)</f>
        <v>36</v>
      </c>
      <c r="BH50" s="45">
        <f t="shared" ref="BH50:BH51" si="135">IF(BG50&lt;&gt;0,SUM(N50:P50)/2,0)</f>
        <v>1</v>
      </c>
      <c r="BI50" s="45">
        <f t="shared" ref="BI50:BI51" si="136">IF(OR(K50="1;1",K50="1;2",K50=1,K50="3;1",K50="3;2",K50=3,K50="5;1",K50="5;2",K50=5,K50="7;1",K50="7;2",K50=7,K50="9;1",K50="9;2",K50=9,K50=11),SUM(AO50:BD50),0)</f>
        <v>12.620000000000001</v>
      </c>
      <c r="BJ50" s="46">
        <f t="shared" ref="BJ50:BJ51" si="137">IF(OR(K50="2;3",K50="2;4",K50=2,K50="4;3",K50="4;4",K50=4,K50="6;3",K50="6;4",K50=6,K50="8;3",K50="8;4",K50=8,K50="10;3",K50="10;4",K50=10,K50=12),SUM(AL50:AN50),0)</f>
        <v>0</v>
      </c>
      <c r="BK50" s="46">
        <f t="shared" ref="BK50:BK51" si="138">IF(BJ50&lt;&gt;0,SUM(N50:P50)/2,0)</f>
        <v>0</v>
      </c>
      <c r="BL50" s="46">
        <f t="shared" ref="BL50:BL51" si="139">IF(OR(K50="2;3",K50="2;4",K50=2,K50="4;3",K50="4;4",K50=4,K50="6;3",K50="6;4",K50=6,K50="8;3",K50="8;4",K50=8,K50="10;3",K50="10;4",K50=10,K50=12),SUM(AO50:BD50),0)</f>
        <v>0</v>
      </c>
    </row>
    <row r="51" spans="1:64" ht="30" customHeight="1" x14ac:dyDescent="0.25">
      <c r="A51" s="84" t="str">
        <f t="shared" si="2"/>
        <v>Д</v>
      </c>
      <c r="B51" s="84" t="str">
        <f t="shared" si="116"/>
        <v>Б</v>
      </c>
      <c r="C51" s="101" t="s">
        <v>1471</v>
      </c>
      <c r="D51" s="16" t="str">
        <f t="shared" si="117"/>
        <v>'09.03.03</v>
      </c>
      <c r="E51" s="17" t="str">
        <f t="shared" si="118"/>
        <v>Прикладная информатика</v>
      </c>
      <c r="F51" s="9" t="s">
        <v>413</v>
      </c>
      <c r="G51" s="9" t="s">
        <v>42</v>
      </c>
      <c r="H51" s="10" t="s">
        <v>3233</v>
      </c>
      <c r="I51" s="10"/>
      <c r="J51" s="24" t="s">
        <v>3207</v>
      </c>
      <c r="K51" s="11">
        <v>3</v>
      </c>
      <c r="L51" s="11">
        <v>18</v>
      </c>
      <c r="M51" s="8" t="s">
        <v>94</v>
      </c>
      <c r="N51" s="11"/>
      <c r="O51" s="11">
        <v>2</v>
      </c>
      <c r="P51" s="11"/>
      <c r="Q51" s="8" t="s">
        <v>102</v>
      </c>
      <c r="R51" s="11"/>
      <c r="S51" s="11"/>
      <c r="T51" s="11"/>
      <c r="U51" s="11"/>
      <c r="V51" s="11"/>
      <c r="W51" s="83" t="str">
        <f t="shared" si="4"/>
        <v>НПИбд</v>
      </c>
      <c r="X51" s="110" t="s">
        <v>3235</v>
      </c>
      <c r="Y51" s="11">
        <v>1</v>
      </c>
      <c r="Z51" s="11"/>
      <c r="AA51" s="83">
        <f t="shared" si="119"/>
        <v>12</v>
      </c>
      <c r="AB51" s="11">
        <v>10</v>
      </c>
      <c r="AC51" s="11">
        <v>2</v>
      </c>
      <c r="AD51" s="81">
        <f t="shared" si="5"/>
        <v>12</v>
      </c>
      <c r="AE51" s="82">
        <f t="shared" si="120"/>
        <v>1</v>
      </c>
      <c r="AF51" s="82">
        <f t="shared" si="121"/>
        <v>1</v>
      </c>
      <c r="AG51" s="102" t="s">
        <v>3250</v>
      </c>
      <c r="AH51" s="8" t="s">
        <v>203</v>
      </c>
      <c r="AI51" s="8" t="s">
        <v>213</v>
      </c>
      <c r="AJ51" s="35" t="s">
        <v>3344</v>
      </c>
      <c r="AK51" s="8"/>
      <c r="AL51" s="42">
        <f t="shared" si="7"/>
        <v>0</v>
      </c>
      <c r="AM51" s="42">
        <f t="shared" si="122"/>
        <v>0</v>
      </c>
      <c r="AN51" s="42">
        <f t="shared" si="123"/>
        <v>36</v>
      </c>
      <c r="AO51" s="42">
        <f t="shared" si="124"/>
        <v>3.96</v>
      </c>
      <c r="AP51" s="42">
        <f t="shared" si="125"/>
        <v>6</v>
      </c>
      <c r="AQ51" s="42">
        <f t="shared" si="126"/>
        <v>0</v>
      </c>
      <c r="AR51" s="42">
        <f t="shared" si="13"/>
        <v>0</v>
      </c>
      <c r="AS51" s="42">
        <f t="shared" si="127"/>
        <v>0</v>
      </c>
      <c r="AT51" s="42">
        <f t="shared" si="128"/>
        <v>0</v>
      </c>
      <c r="AU51" s="42">
        <f t="shared" si="129"/>
        <v>0</v>
      </c>
      <c r="AV51" s="42">
        <f>IF(M51="ПП",РПП*AA51*(U51/1.5),IF(M51="ВП",ВПр*AA51*(U51/1.5),IF(M51="РПА",РПА*AA51*(U51/1.5),IF(M51="КПА",КПА*AA51*(U51/1.5),0))))</f>
        <v>0</v>
      </c>
      <c r="AW51" s="42">
        <f t="shared" si="130"/>
        <v>0</v>
      </c>
      <c r="AX51" s="42">
        <f t="shared" si="18"/>
        <v>0</v>
      </c>
      <c r="AY51" s="42">
        <f t="shared" si="19"/>
        <v>0</v>
      </c>
      <c r="AZ51" s="42">
        <f t="shared" si="131"/>
        <v>0</v>
      </c>
      <c r="BA51" s="42">
        <f t="shared" si="21"/>
        <v>0</v>
      </c>
      <c r="BB51" s="42">
        <f t="shared" si="22"/>
        <v>0</v>
      </c>
      <c r="BC51" s="42">
        <f t="shared" si="23"/>
        <v>0</v>
      </c>
      <c r="BD51" s="42">
        <f t="shared" si="132"/>
        <v>0</v>
      </c>
      <c r="BE51" s="43">
        <f t="shared" si="133"/>
        <v>45.96</v>
      </c>
      <c r="BF51" s="44"/>
      <c r="BG51" s="45">
        <f t="shared" si="134"/>
        <v>36</v>
      </c>
      <c r="BH51" s="45">
        <f t="shared" si="135"/>
        <v>1</v>
      </c>
      <c r="BI51" s="45">
        <f t="shared" si="136"/>
        <v>9.9600000000000009</v>
      </c>
      <c r="BJ51" s="46">
        <f t="shared" si="137"/>
        <v>0</v>
      </c>
      <c r="BK51" s="46">
        <f t="shared" si="138"/>
        <v>0</v>
      </c>
      <c r="BL51" s="46">
        <f t="shared" si="139"/>
        <v>0</v>
      </c>
    </row>
    <row r="52" spans="1:64" ht="30" customHeight="1" x14ac:dyDescent="0.25">
      <c r="A52" s="84" t="str">
        <f t="shared" si="2"/>
        <v>Д</v>
      </c>
      <c r="B52" s="84" t="str">
        <f t="shared" si="38"/>
        <v>Б</v>
      </c>
      <c r="C52" s="101" t="s">
        <v>1471</v>
      </c>
      <c r="D52" s="16" t="str">
        <f t="shared" si="39"/>
        <v>'09.03.03</v>
      </c>
      <c r="E52" s="17" t="str">
        <f t="shared" si="40"/>
        <v>Прикладная информатика</v>
      </c>
      <c r="F52" s="9" t="s">
        <v>413</v>
      </c>
      <c r="G52" s="9" t="s">
        <v>42</v>
      </c>
      <c r="H52" s="10" t="s">
        <v>3233</v>
      </c>
      <c r="I52" s="10"/>
      <c r="J52" s="24" t="s">
        <v>3207</v>
      </c>
      <c r="K52" s="11">
        <v>3</v>
      </c>
      <c r="L52" s="11">
        <v>18</v>
      </c>
      <c r="M52" s="8" t="s">
        <v>94</v>
      </c>
      <c r="N52" s="11"/>
      <c r="O52" s="11">
        <v>2</v>
      </c>
      <c r="P52" s="11"/>
      <c r="Q52" s="8" t="s">
        <v>102</v>
      </c>
      <c r="R52" s="11"/>
      <c r="S52" s="11"/>
      <c r="T52" s="11"/>
      <c r="U52" s="11"/>
      <c r="V52" s="11"/>
      <c r="W52" s="83" t="str">
        <f t="shared" si="4"/>
        <v>НПИбд</v>
      </c>
      <c r="X52" s="110" t="s">
        <v>3236</v>
      </c>
      <c r="Y52" s="11">
        <v>1</v>
      </c>
      <c r="Z52" s="11">
        <v>1</v>
      </c>
      <c r="AA52" s="83">
        <f t="shared" si="41"/>
        <v>13</v>
      </c>
      <c r="AB52" s="11">
        <v>10</v>
      </c>
      <c r="AC52" s="11">
        <v>3</v>
      </c>
      <c r="AD52" s="81">
        <f t="shared" si="5"/>
        <v>12</v>
      </c>
      <c r="AE52" s="82">
        <f t="shared" si="42"/>
        <v>1</v>
      </c>
      <c r="AF52" s="82">
        <f t="shared" si="43"/>
        <v>1.0833333333333333</v>
      </c>
      <c r="AG52" s="102" t="s">
        <v>3250</v>
      </c>
      <c r="AH52" s="8" t="s">
        <v>203</v>
      </c>
      <c r="AI52" s="8" t="s">
        <v>213</v>
      </c>
      <c r="AJ52" s="35" t="s">
        <v>3344</v>
      </c>
      <c r="AK52" s="8"/>
      <c r="AL52" s="42">
        <f t="shared" si="7"/>
        <v>0</v>
      </c>
      <c r="AM52" s="42">
        <f t="shared" si="8"/>
        <v>0</v>
      </c>
      <c r="AN52" s="42">
        <f t="shared" si="9"/>
        <v>36</v>
      </c>
      <c r="AO52" s="42">
        <f t="shared" si="10"/>
        <v>4.29</v>
      </c>
      <c r="AP52" s="42">
        <f t="shared" si="11"/>
        <v>6.5</v>
      </c>
      <c r="AQ52" s="42">
        <f t="shared" si="12"/>
        <v>1</v>
      </c>
      <c r="AR52" s="42">
        <f t="shared" si="13"/>
        <v>0</v>
      </c>
      <c r="AS52" s="42">
        <f t="shared" si="14"/>
        <v>0</v>
      </c>
      <c r="AT52" s="42">
        <f t="shared" si="15"/>
        <v>0</v>
      </c>
      <c r="AU52" s="42">
        <f t="shared" si="16"/>
        <v>0</v>
      </c>
      <c r="AV52" s="42">
        <f>IF(M52="ПП",РПП*AA52*(U52/1.5),IF(M52="ВП",ВПр*AA52*(U52/1.5),IF(M52="РПА",РПА*AA52*(U52/1.5),IF(M52="КПА",КПА*AA52*(U52/1.5),0))))</f>
        <v>0</v>
      </c>
      <c r="AW52" s="42">
        <f t="shared" si="17"/>
        <v>0</v>
      </c>
      <c r="AX52" s="42">
        <f t="shared" si="18"/>
        <v>0</v>
      </c>
      <c r="AY52" s="42">
        <f t="shared" si="19"/>
        <v>0</v>
      </c>
      <c r="AZ52" s="42">
        <f t="shared" si="20"/>
        <v>0</v>
      </c>
      <c r="BA52" s="42">
        <f t="shared" si="21"/>
        <v>0</v>
      </c>
      <c r="BB52" s="42">
        <f t="shared" si="22"/>
        <v>0</v>
      </c>
      <c r="BC52" s="42">
        <f t="shared" si="23"/>
        <v>0</v>
      </c>
      <c r="BD52" s="42">
        <f t="shared" si="24"/>
        <v>0</v>
      </c>
      <c r="BE52" s="43">
        <f t="shared" si="25"/>
        <v>47.79</v>
      </c>
      <c r="BF52" s="44"/>
      <c r="BG52" s="45">
        <f t="shared" si="26"/>
        <v>36</v>
      </c>
      <c r="BH52" s="45">
        <f t="shared" si="27"/>
        <v>1</v>
      </c>
      <c r="BI52" s="45">
        <f t="shared" si="28"/>
        <v>11.79</v>
      </c>
      <c r="BJ52" s="46">
        <f t="shared" si="29"/>
        <v>0</v>
      </c>
      <c r="BK52" s="46">
        <f t="shared" si="30"/>
        <v>0</v>
      </c>
      <c r="BL52" s="46">
        <f t="shared" si="31"/>
        <v>0</v>
      </c>
    </row>
    <row r="53" spans="1:64" ht="30" customHeight="1" x14ac:dyDescent="0.25">
      <c r="A53" s="84" t="str">
        <f t="shared" si="2"/>
        <v>Д</v>
      </c>
      <c r="B53" s="84" t="str">
        <f t="shared" si="38"/>
        <v>Б</v>
      </c>
      <c r="C53" s="101" t="s">
        <v>1471</v>
      </c>
      <c r="D53" s="16" t="str">
        <f t="shared" si="39"/>
        <v>'09.03.03</v>
      </c>
      <c r="E53" s="17" t="str">
        <f t="shared" si="40"/>
        <v>Прикладная информатика</v>
      </c>
      <c r="F53" s="9" t="s">
        <v>413</v>
      </c>
      <c r="G53" s="9" t="s">
        <v>42</v>
      </c>
      <c r="H53" s="10" t="s">
        <v>3233</v>
      </c>
      <c r="I53" s="10"/>
      <c r="J53" s="24" t="s">
        <v>3207</v>
      </c>
      <c r="K53" s="11">
        <v>3</v>
      </c>
      <c r="L53" s="11">
        <v>18</v>
      </c>
      <c r="M53" s="8" t="s">
        <v>94</v>
      </c>
      <c r="N53" s="11"/>
      <c r="O53" s="11">
        <v>2</v>
      </c>
      <c r="P53" s="11"/>
      <c r="Q53" s="8" t="s">
        <v>102</v>
      </c>
      <c r="R53" s="11"/>
      <c r="S53" s="11"/>
      <c r="T53" s="11"/>
      <c r="U53" s="11"/>
      <c r="V53" s="11"/>
      <c r="W53" s="83" t="str">
        <f t="shared" si="4"/>
        <v>НПИбд</v>
      </c>
      <c r="X53" s="110" t="s">
        <v>3236</v>
      </c>
      <c r="Y53" s="11">
        <v>1</v>
      </c>
      <c r="Z53" s="11"/>
      <c r="AA53" s="83">
        <f t="shared" si="41"/>
        <v>13</v>
      </c>
      <c r="AB53" s="11">
        <v>10</v>
      </c>
      <c r="AC53" s="11">
        <v>3</v>
      </c>
      <c r="AD53" s="81">
        <f t="shared" si="5"/>
        <v>12</v>
      </c>
      <c r="AE53" s="82">
        <f t="shared" si="42"/>
        <v>1</v>
      </c>
      <c r="AF53" s="82">
        <f t="shared" si="43"/>
        <v>1.0833333333333333</v>
      </c>
      <c r="AG53" s="102" t="s">
        <v>3250</v>
      </c>
      <c r="AH53" s="8" t="s">
        <v>203</v>
      </c>
      <c r="AI53" s="8" t="s">
        <v>213</v>
      </c>
      <c r="AJ53" s="35" t="s">
        <v>3344</v>
      </c>
      <c r="AK53" s="8"/>
      <c r="AL53" s="42">
        <f t="shared" si="7"/>
        <v>0</v>
      </c>
      <c r="AM53" s="42">
        <f t="shared" si="8"/>
        <v>0</v>
      </c>
      <c r="AN53" s="42">
        <f t="shared" si="9"/>
        <v>36</v>
      </c>
      <c r="AO53" s="42">
        <f t="shared" si="10"/>
        <v>4.29</v>
      </c>
      <c r="AP53" s="42">
        <f t="shared" si="11"/>
        <v>6.5</v>
      </c>
      <c r="AQ53" s="42">
        <f t="shared" si="12"/>
        <v>0</v>
      </c>
      <c r="AR53" s="42">
        <f t="shared" si="13"/>
        <v>0</v>
      </c>
      <c r="AS53" s="42">
        <f t="shared" si="14"/>
        <v>0</v>
      </c>
      <c r="AT53" s="42">
        <f t="shared" si="15"/>
        <v>0</v>
      </c>
      <c r="AU53" s="42">
        <f t="shared" si="16"/>
        <v>0</v>
      </c>
      <c r="AV53" s="42">
        <f>IF(M53="ПП",РПП*AA53*(U53/1.5),IF(M53="ВП",ВПр*AA53*(U53/1.5),IF(M53="РПА",РПА*AA53*(U53/1.5),IF(M53="КПА",КПА*AA53*(U53/1.5),0))))</f>
        <v>0</v>
      </c>
      <c r="AW53" s="42">
        <f t="shared" si="17"/>
        <v>0</v>
      </c>
      <c r="AX53" s="42">
        <f t="shared" si="18"/>
        <v>0</v>
      </c>
      <c r="AY53" s="42">
        <f t="shared" si="19"/>
        <v>0</v>
      </c>
      <c r="AZ53" s="42">
        <f t="shared" si="20"/>
        <v>0</v>
      </c>
      <c r="BA53" s="42">
        <f t="shared" si="21"/>
        <v>0</v>
      </c>
      <c r="BB53" s="42">
        <f t="shared" si="22"/>
        <v>0</v>
      </c>
      <c r="BC53" s="42">
        <f t="shared" si="23"/>
        <v>0</v>
      </c>
      <c r="BD53" s="42">
        <f t="shared" si="24"/>
        <v>0</v>
      </c>
      <c r="BE53" s="43">
        <f t="shared" si="25"/>
        <v>46.79</v>
      </c>
      <c r="BF53" s="44"/>
      <c r="BG53" s="45">
        <f t="shared" si="26"/>
        <v>36</v>
      </c>
      <c r="BH53" s="45">
        <f t="shared" si="27"/>
        <v>1</v>
      </c>
      <c r="BI53" s="45">
        <f t="shared" si="28"/>
        <v>10.79</v>
      </c>
      <c r="BJ53" s="46">
        <f t="shared" si="29"/>
        <v>0</v>
      </c>
      <c r="BK53" s="46">
        <f t="shared" si="30"/>
        <v>0</v>
      </c>
      <c r="BL53" s="46">
        <f t="shared" si="31"/>
        <v>0</v>
      </c>
    </row>
    <row r="54" spans="1:64" ht="30" customHeight="1" x14ac:dyDescent="0.25">
      <c r="A54" s="84" t="str">
        <f t="shared" si="2"/>
        <v>Д</v>
      </c>
      <c r="B54" s="84" t="str">
        <f t="shared" si="38"/>
        <v>Б</v>
      </c>
      <c r="C54" s="101" t="s">
        <v>1471</v>
      </c>
      <c r="D54" s="16" t="str">
        <f t="shared" si="39"/>
        <v>'09.03.03</v>
      </c>
      <c r="E54" s="17" t="str">
        <f t="shared" si="40"/>
        <v>Прикладная информатика</v>
      </c>
      <c r="F54" s="9" t="s">
        <v>413</v>
      </c>
      <c r="G54" s="9" t="s">
        <v>42</v>
      </c>
      <c r="H54" s="10" t="s">
        <v>3233</v>
      </c>
      <c r="I54" s="10"/>
      <c r="J54" s="24" t="s">
        <v>3208</v>
      </c>
      <c r="K54" s="11">
        <v>5</v>
      </c>
      <c r="L54" s="11">
        <v>18</v>
      </c>
      <c r="M54" s="8" t="s">
        <v>23</v>
      </c>
      <c r="N54" s="11">
        <v>1</v>
      </c>
      <c r="O54" s="11"/>
      <c r="P54" s="11"/>
      <c r="Q54" s="8" t="s">
        <v>103</v>
      </c>
      <c r="R54" s="11"/>
      <c r="S54" s="11"/>
      <c r="T54" s="11"/>
      <c r="U54" s="11"/>
      <c r="V54" s="11"/>
      <c r="W54" s="83" t="str">
        <f t="shared" si="4"/>
        <v>НПИбд</v>
      </c>
      <c r="X54" s="110" t="s">
        <v>3355</v>
      </c>
      <c r="Y54" s="11">
        <v>3</v>
      </c>
      <c r="Z54" s="11">
        <v>2</v>
      </c>
      <c r="AA54" s="83">
        <f t="shared" si="41"/>
        <v>36</v>
      </c>
      <c r="AB54" s="11">
        <v>31</v>
      </c>
      <c r="AC54" s="11">
        <v>5</v>
      </c>
      <c r="AD54" s="81">
        <f t="shared" si="5"/>
        <v>36</v>
      </c>
      <c r="AE54" s="82">
        <f t="shared" si="42"/>
        <v>1</v>
      </c>
      <c r="AF54" s="82">
        <f t="shared" si="43"/>
        <v>1</v>
      </c>
      <c r="AG54" s="102" t="s">
        <v>3250</v>
      </c>
      <c r="AH54" s="8" t="s">
        <v>204</v>
      </c>
      <c r="AI54" s="8" t="s">
        <v>212</v>
      </c>
      <c r="AJ54" s="36" t="s">
        <v>3256</v>
      </c>
      <c r="AK54" s="8"/>
      <c r="AL54" s="42">
        <f t="shared" si="7"/>
        <v>18</v>
      </c>
      <c r="AM54" s="42">
        <f t="shared" si="8"/>
        <v>0</v>
      </c>
      <c r="AN54" s="42">
        <f t="shared" si="9"/>
        <v>0</v>
      </c>
      <c r="AO54" s="42">
        <f t="shared" si="10"/>
        <v>11.88</v>
      </c>
      <c r="AP54" s="42">
        <f t="shared" si="11"/>
        <v>18</v>
      </c>
      <c r="AQ54" s="42">
        <f t="shared" si="12"/>
        <v>2</v>
      </c>
      <c r="AR54" s="42">
        <f t="shared" si="13"/>
        <v>1.8</v>
      </c>
      <c r="AS54" s="42">
        <f t="shared" si="14"/>
        <v>0</v>
      </c>
      <c r="AT54" s="42">
        <f t="shared" si="15"/>
        <v>0</v>
      </c>
      <c r="AU54" s="42">
        <f t="shared" si="16"/>
        <v>0</v>
      </c>
      <c r="AV54" s="42">
        <f>IF(M54="ПП",РПП*AA54*(U54/1.5),IF(M54="ВП",ВПр*AA54*(U54/1.5),IF(M54="РПА",РПА*AA54*(U54/1.5),IF(M54="КПА",КПА*AA54*(U54/1.5),0))))</f>
        <v>0</v>
      </c>
      <c r="AW54" s="42">
        <f t="shared" si="17"/>
        <v>0</v>
      </c>
      <c r="AX54" s="42">
        <f t="shared" si="18"/>
        <v>0</v>
      </c>
      <c r="AY54" s="42">
        <f t="shared" si="19"/>
        <v>0</v>
      </c>
      <c r="AZ54" s="42">
        <f t="shared" si="20"/>
        <v>0</v>
      </c>
      <c r="BA54" s="42">
        <f t="shared" si="21"/>
        <v>0</v>
      </c>
      <c r="BB54" s="42">
        <f t="shared" si="22"/>
        <v>0</v>
      </c>
      <c r="BC54" s="42">
        <f t="shared" si="23"/>
        <v>0</v>
      </c>
      <c r="BD54" s="42">
        <f t="shared" si="24"/>
        <v>0</v>
      </c>
      <c r="BE54" s="43">
        <f t="shared" si="25"/>
        <v>51.68</v>
      </c>
      <c r="BF54" s="44"/>
      <c r="BG54" s="45">
        <f t="shared" si="26"/>
        <v>18</v>
      </c>
      <c r="BH54" s="45">
        <f t="shared" si="27"/>
        <v>0.5</v>
      </c>
      <c r="BI54" s="45">
        <f t="shared" si="28"/>
        <v>33.68</v>
      </c>
      <c r="BJ54" s="46">
        <f t="shared" si="29"/>
        <v>0</v>
      </c>
      <c r="BK54" s="46">
        <f t="shared" si="30"/>
        <v>0</v>
      </c>
      <c r="BL54" s="46">
        <f t="shared" si="31"/>
        <v>0</v>
      </c>
    </row>
    <row r="55" spans="1:64" ht="30" customHeight="1" x14ac:dyDescent="0.25">
      <c r="A55" s="84" t="str">
        <f t="shared" si="2"/>
        <v>Д</v>
      </c>
      <c r="B55" s="84" t="str">
        <f t="shared" si="38"/>
        <v>Б</v>
      </c>
      <c r="C55" s="101" t="s">
        <v>1471</v>
      </c>
      <c r="D55" s="16" t="str">
        <f t="shared" si="39"/>
        <v>'09.03.03</v>
      </c>
      <c r="E55" s="17" t="str">
        <f t="shared" si="40"/>
        <v>Прикладная информатика</v>
      </c>
      <c r="F55" s="9" t="s">
        <v>413</v>
      </c>
      <c r="G55" s="9" t="s">
        <v>42</v>
      </c>
      <c r="H55" s="10" t="s">
        <v>3233</v>
      </c>
      <c r="I55" s="10"/>
      <c r="J55" s="24" t="s">
        <v>3208</v>
      </c>
      <c r="K55" s="11">
        <v>5</v>
      </c>
      <c r="L55" s="11">
        <v>18</v>
      </c>
      <c r="M55" s="8" t="s">
        <v>94</v>
      </c>
      <c r="N55" s="11"/>
      <c r="O55" s="11">
        <v>2</v>
      </c>
      <c r="P55" s="11"/>
      <c r="Q55" s="8"/>
      <c r="R55" s="11"/>
      <c r="S55" s="11"/>
      <c r="T55" s="11"/>
      <c r="U55" s="11"/>
      <c r="V55" s="11"/>
      <c r="W55" s="83" t="str">
        <f t="shared" si="4"/>
        <v>НПИбд</v>
      </c>
      <c r="X55" s="110" t="s">
        <v>3241</v>
      </c>
      <c r="Y55" s="11">
        <v>1</v>
      </c>
      <c r="Z55" s="11">
        <v>1</v>
      </c>
      <c r="AA55" s="83">
        <f t="shared" si="41"/>
        <v>13</v>
      </c>
      <c r="AB55" s="11">
        <v>11</v>
      </c>
      <c r="AC55" s="11">
        <v>2</v>
      </c>
      <c r="AD55" s="81">
        <f t="shared" si="5"/>
        <v>12</v>
      </c>
      <c r="AE55" s="82">
        <f t="shared" si="42"/>
        <v>1</v>
      </c>
      <c r="AF55" s="82">
        <f t="shared" si="43"/>
        <v>1.0833333333333333</v>
      </c>
      <c r="AG55" s="102" t="s">
        <v>3250</v>
      </c>
      <c r="AH55" s="8" t="s">
        <v>203</v>
      </c>
      <c r="AI55" s="8" t="s">
        <v>213</v>
      </c>
      <c r="AJ55" s="35" t="s">
        <v>3370</v>
      </c>
      <c r="AK55" s="8"/>
      <c r="AL55" s="42">
        <f t="shared" si="7"/>
        <v>0</v>
      </c>
      <c r="AM55" s="42">
        <f t="shared" si="8"/>
        <v>0</v>
      </c>
      <c r="AN55" s="42">
        <f t="shared" si="9"/>
        <v>36</v>
      </c>
      <c r="AO55" s="42">
        <f t="shared" si="10"/>
        <v>0</v>
      </c>
      <c r="AP55" s="42">
        <f t="shared" si="11"/>
        <v>0</v>
      </c>
      <c r="AQ55" s="42">
        <f t="shared" si="12"/>
        <v>0</v>
      </c>
      <c r="AR55" s="42">
        <f t="shared" si="13"/>
        <v>0</v>
      </c>
      <c r="AS55" s="42">
        <f t="shared" si="14"/>
        <v>0</v>
      </c>
      <c r="AT55" s="42">
        <f t="shared" si="15"/>
        <v>0</v>
      </c>
      <c r="AU55" s="42">
        <f t="shared" si="16"/>
        <v>0</v>
      </c>
      <c r="AV55" s="42">
        <f>IF(M55="ПП",РПП*AA55*(U55/1.5),IF(M55="ВП",ВПр*AA55*(U55/1.5),IF(M55="РПА",РПА*AA55*(U55/1.5),IF(M55="КПА",КПА*AA55*(U55/1.5),0))))</f>
        <v>0</v>
      </c>
      <c r="AW55" s="42">
        <f t="shared" si="17"/>
        <v>0</v>
      </c>
      <c r="AX55" s="42">
        <f t="shared" si="18"/>
        <v>0</v>
      </c>
      <c r="AY55" s="42">
        <f t="shared" si="19"/>
        <v>0</v>
      </c>
      <c r="AZ55" s="42">
        <f t="shared" si="20"/>
        <v>0</v>
      </c>
      <c r="BA55" s="42">
        <f t="shared" si="21"/>
        <v>0</v>
      </c>
      <c r="BB55" s="42">
        <f t="shared" si="22"/>
        <v>0</v>
      </c>
      <c r="BC55" s="42">
        <f t="shared" si="23"/>
        <v>0</v>
      </c>
      <c r="BD55" s="42">
        <f t="shared" si="24"/>
        <v>0</v>
      </c>
      <c r="BE55" s="43">
        <f t="shared" si="25"/>
        <v>36</v>
      </c>
      <c r="BF55" s="44"/>
      <c r="BG55" s="45">
        <f t="shared" si="26"/>
        <v>36</v>
      </c>
      <c r="BH55" s="45">
        <f t="shared" si="27"/>
        <v>1</v>
      </c>
      <c r="BI55" s="45">
        <f t="shared" si="28"/>
        <v>0</v>
      </c>
      <c r="BJ55" s="46">
        <f t="shared" si="29"/>
        <v>0</v>
      </c>
      <c r="BK55" s="46">
        <f t="shared" si="30"/>
        <v>0</v>
      </c>
      <c r="BL55" s="46">
        <f t="shared" si="31"/>
        <v>0</v>
      </c>
    </row>
    <row r="56" spans="1:64" ht="30" customHeight="1" x14ac:dyDescent="0.25">
      <c r="A56" s="84" t="str">
        <f t="shared" si="2"/>
        <v>Д</v>
      </c>
      <c r="B56" s="84" t="str">
        <f t="shared" si="38"/>
        <v>Б</v>
      </c>
      <c r="C56" s="101" t="s">
        <v>1471</v>
      </c>
      <c r="D56" s="16" t="str">
        <f t="shared" si="39"/>
        <v>'09.03.03</v>
      </c>
      <c r="E56" s="17" t="str">
        <f t="shared" si="40"/>
        <v>Прикладная информатика</v>
      </c>
      <c r="F56" s="9" t="s">
        <v>413</v>
      </c>
      <c r="G56" s="9" t="s">
        <v>42</v>
      </c>
      <c r="H56" s="10" t="s">
        <v>3233</v>
      </c>
      <c r="I56" s="10"/>
      <c r="J56" s="24" t="s">
        <v>3208</v>
      </c>
      <c r="K56" s="11">
        <v>5</v>
      </c>
      <c r="L56" s="11">
        <v>18</v>
      </c>
      <c r="M56" s="8" t="s">
        <v>94</v>
      </c>
      <c r="N56" s="11"/>
      <c r="O56" s="11">
        <v>2</v>
      </c>
      <c r="P56" s="11"/>
      <c r="Q56" s="8"/>
      <c r="R56" s="11"/>
      <c r="S56" s="11"/>
      <c r="T56" s="11"/>
      <c r="U56" s="11"/>
      <c r="V56" s="11"/>
      <c r="W56" s="83" t="str">
        <f t="shared" si="4"/>
        <v>НПИбд</v>
      </c>
      <c r="X56" s="110" t="s">
        <v>3241</v>
      </c>
      <c r="Y56" s="11">
        <v>1</v>
      </c>
      <c r="Z56" s="11"/>
      <c r="AA56" s="83">
        <f t="shared" si="41"/>
        <v>12</v>
      </c>
      <c r="AB56" s="11">
        <v>10</v>
      </c>
      <c r="AC56" s="11">
        <v>2</v>
      </c>
      <c r="AD56" s="81">
        <f t="shared" si="5"/>
        <v>12</v>
      </c>
      <c r="AE56" s="82">
        <f t="shared" si="42"/>
        <v>1</v>
      </c>
      <c r="AF56" s="82">
        <f t="shared" si="43"/>
        <v>1</v>
      </c>
      <c r="AG56" s="102" t="s">
        <v>3250</v>
      </c>
      <c r="AH56" s="8" t="s">
        <v>203</v>
      </c>
      <c r="AI56" s="8" t="s">
        <v>213</v>
      </c>
      <c r="AJ56" s="37" t="s">
        <v>3370</v>
      </c>
      <c r="AK56" s="8"/>
      <c r="AL56" s="42">
        <f t="shared" si="7"/>
        <v>0</v>
      </c>
      <c r="AM56" s="42">
        <f t="shared" si="8"/>
        <v>0</v>
      </c>
      <c r="AN56" s="42">
        <f t="shared" si="9"/>
        <v>36</v>
      </c>
      <c r="AO56" s="42">
        <f t="shared" si="10"/>
        <v>0</v>
      </c>
      <c r="AP56" s="42">
        <f t="shared" si="11"/>
        <v>0</v>
      </c>
      <c r="AQ56" s="42">
        <f t="shared" si="12"/>
        <v>0</v>
      </c>
      <c r="AR56" s="42">
        <f t="shared" si="13"/>
        <v>0</v>
      </c>
      <c r="AS56" s="42">
        <f t="shared" si="14"/>
        <v>0</v>
      </c>
      <c r="AT56" s="42">
        <f t="shared" si="15"/>
        <v>0</v>
      </c>
      <c r="AU56" s="42">
        <f t="shared" si="16"/>
        <v>0</v>
      </c>
      <c r="AV56" s="42">
        <f>IF(M56="ПП",РПП*AA56*(U56/1.5),IF(M56="ВП",ВПр*AA56*(U56/1.5),IF(M56="РПА",РПА*AA56*(U56/1.5),IF(M56="КПА",КПА*AA56*(U56/1.5),0))))</f>
        <v>0</v>
      </c>
      <c r="AW56" s="42">
        <f t="shared" si="17"/>
        <v>0</v>
      </c>
      <c r="AX56" s="42">
        <f t="shared" si="18"/>
        <v>0</v>
      </c>
      <c r="AY56" s="42">
        <f t="shared" si="19"/>
        <v>0</v>
      </c>
      <c r="AZ56" s="42">
        <f t="shared" si="20"/>
        <v>0</v>
      </c>
      <c r="BA56" s="42">
        <f t="shared" si="21"/>
        <v>0</v>
      </c>
      <c r="BB56" s="42">
        <f t="shared" si="22"/>
        <v>0</v>
      </c>
      <c r="BC56" s="42">
        <f t="shared" si="23"/>
        <v>0</v>
      </c>
      <c r="BD56" s="42">
        <f t="shared" si="24"/>
        <v>0</v>
      </c>
      <c r="BE56" s="43">
        <f t="shared" si="25"/>
        <v>36</v>
      </c>
      <c r="BF56" s="44"/>
      <c r="BG56" s="45">
        <f t="shared" si="26"/>
        <v>36</v>
      </c>
      <c r="BH56" s="45">
        <f t="shared" si="27"/>
        <v>1</v>
      </c>
      <c r="BI56" s="45">
        <f t="shared" si="28"/>
        <v>0</v>
      </c>
      <c r="BJ56" s="46">
        <f t="shared" si="29"/>
        <v>0</v>
      </c>
      <c r="BK56" s="46">
        <f t="shared" si="30"/>
        <v>0</v>
      </c>
      <c r="BL56" s="46">
        <f t="shared" si="31"/>
        <v>0</v>
      </c>
    </row>
    <row r="57" spans="1:64" ht="30" customHeight="1" x14ac:dyDescent="0.25">
      <c r="A57" s="84" t="str">
        <f t="shared" si="2"/>
        <v>Д</v>
      </c>
      <c r="B57" s="84" t="str">
        <f t="shared" si="38"/>
        <v>Б</v>
      </c>
      <c r="C57" s="101" t="s">
        <v>1471</v>
      </c>
      <c r="D57" s="16" t="str">
        <f t="shared" si="39"/>
        <v>'09.03.03</v>
      </c>
      <c r="E57" s="17" t="str">
        <f t="shared" si="40"/>
        <v>Прикладная информатика</v>
      </c>
      <c r="F57" s="9" t="s">
        <v>413</v>
      </c>
      <c r="G57" s="9" t="s">
        <v>42</v>
      </c>
      <c r="H57" s="10" t="s">
        <v>3233</v>
      </c>
      <c r="I57" s="10"/>
      <c r="J57" s="24" t="s">
        <v>3208</v>
      </c>
      <c r="K57" s="11">
        <v>5</v>
      </c>
      <c r="L57" s="11">
        <v>18</v>
      </c>
      <c r="M57" s="8" t="s">
        <v>94</v>
      </c>
      <c r="N57" s="12"/>
      <c r="O57" s="11">
        <v>2</v>
      </c>
      <c r="P57" s="12"/>
      <c r="Q57" s="8"/>
      <c r="R57" s="12"/>
      <c r="S57" s="12"/>
      <c r="T57" s="12"/>
      <c r="U57" s="12"/>
      <c r="V57" s="12"/>
      <c r="W57" s="83" t="str">
        <f t="shared" si="4"/>
        <v>НПИбд</v>
      </c>
      <c r="X57" s="110" t="s">
        <v>3242</v>
      </c>
      <c r="Y57" s="11">
        <v>1</v>
      </c>
      <c r="Z57" s="11">
        <v>1</v>
      </c>
      <c r="AA57" s="83">
        <f t="shared" si="41"/>
        <v>11</v>
      </c>
      <c r="AB57" s="11">
        <v>10</v>
      </c>
      <c r="AC57" s="11">
        <v>1</v>
      </c>
      <c r="AD57" s="81">
        <f t="shared" si="5"/>
        <v>12</v>
      </c>
      <c r="AE57" s="82">
        <f t="shared" si="42"/>
        <v>0.91666666666666663</v>
      </c>
      <c r="AF57" s="82">
        <f t="shared" si="43"/>
        <v>0.91666666666666663</v>
      </c>
      <c r="AG57" s="102" t="s">
        <v>3250</v>
      </c>
      <c r="AH57" s="8" t="s">
        <v>203</v>
      </c>
      <c r="AI57" s="8" t="s">
        <v>213</v>
      </c>
      <c r="AJ57" s="35" t="s">
        <v>3370</v>
      </c>
      <c r="AK57" s="8"/>
      <c r="AL57" s="42">
        <f t="shared" si="7"/>
        <v>0</v>
      </c>
      <c r="AM57" s="42">
        <f t="shared" si="8"/>
        <v>0</v>
      </c>
      <c r="AN57" s="42">
        <f t="shared" si="9"/>
        <v>33</v>
      </c>
      <c r="AO57" s="42">
        <f t="shared" si="10"/>
        <v>0</v>
      </c>
      <c r="AP57" s="42">
        <f t="shared" si="11"/>
        <v>0</v>
      </c>
      <c r="AQ57" s="42">
        <f t="shared" si="12"/>
        <v>0</v>
      </c>
      <c r="AR57" s="42">
        <f t="shared" si="13"/>
        <v>0</v>
      </c>
      <c r="AS57" s="42">
        <f t="shared" si="14"/>
        <v>0</v>
      </c>
      <c r="AT57" s="42">
        <f t="shared" si="15"/>
        <v>0</v>
      </c>
      <c r="AU57" s="42">
        <f t="shared" si="16"/>
        <v>0</v>
      </c>
      <c r="AV57" s="42">
        <f>IF(M57="ПП",РПП*AA57*(U57/1.5),IF(M57="ВП",ВПр*AA57*(U57/1.5),IF(M57="РПА",РПА*AA57*(U57/1.5),IF(M57="КПА",КПА*AA57*(U57/1.5),0))))</f>
        <v>0</v>
      </c>
      <c r="AW57" s="42">
        <f t="shared" si="17"/>
        <v>0</v>
      </c>
      <c r="AX57" s="42">
        <f t="shared" si="18"/>
        <v>0</v>
      </c>
      <c r="AY57" s="42">
        <f t="shared" si="19"/>
        <v>0</v>
      </c>
      <c r="AZ57" s="42">
        <f t="shared" si="20"/>
        <v>0</v>
      </c>
      <c r="BA57" s="42">
        <f t="shared" si="21"/>
        <v>0</v>
      </c>
      <c r="BB57" s="42">
        <f t="shared" si="22"/>
        <v>0</v>
      </c>
      <c r="BC57" s="42">
        <f t="shared" si="23"/>
        <v>0</v>
      </c>
      <c r="BD57" s="42">
        <f t="shared" si="24"/>
        <v>0</v>
      </c>
      <c r="BE57" s="43">
        <f t="shared" si="25"/>
        <v>33</v>
      </c>
      <c r="BF57" s="44"/>
      <c r="BG57" s="45">
        <f t="shared" si="26"/>
        <v>33</v>
      </c>
      <c r="BH57" s="45">
        <f t="shared" si="27"/>
        <v>1</v>
      </c>
      <c r="BI57" s="45">
        <f t="shared" si="28"/>
        <v>0</v>
      </c>
      <c r="BJ57" s="46">
        <f t="shared" si="29"/>
        <v>0</v>
      </c>
      <c r="BK57" s="46">
        <f t="shared" si="30"/>
        <v>0</v>
      </c>
      <c r="BL57" s="46">
        <f t="shared" si="31"/>
        <v>0</v>
      </c>
    </row>
    <row r="58" spans="1:64" ht="30" customHeight="1" x14ac:dyDescent="0.25">
      <c r="A58" s="84" t="str">
        <f t="shared" si="2"/>
        <v>Д</v>
      </c>
      <c r="B58" s="84" t="str">
        <f t="shared" ref="B58:B65" si="140">IF(C58&gt;0, VLOOKUP(C58,Код_ООП,11,FALSE),0)</f>
        <v>Б</v>
      </c>
      <c r="C58" s="101" t="s">
        <v>1471</v>
      </c>
      <c r="D58" s="16" t="str">
        <f t="shared" ref="D58:D65" si="141">IF(C58&gt;0, VLOOKUP(C58,Код_ООП,2,FALSE),0)</f>
        <v>'09.03.03</v>
      </c>
      <c r="E58" s="17" t="str">
        <f t="shared" ref="E58:E65" si="142">IF(C58&gt;0, VLOOKUP(C58,Код_ООП,13,FALSE),0)</f>
        <v>Прикладная информатика</v>
      </c>
      <c r="F58" s="9" t="s">
        <v>413</v>
      </c>
      <c r="G58" s="9" t="s">
        <v>42</v>
      </c>
      <c r="H58" s="10" t="s">
        <v>3233</v>
      </c>
      <c r="I58" s="10"/>
      <c r="J58" s="24" t="s">
        <v>3209</v>
      </c>
      <c r="K58" s="11">
        <v>5</v>
      </c>
      <c r="L58" s="11">
        <v>18</v>
      </c>
      <c r="M58" s="8" t="s">
        <v>23</v>
      </c>
      <c r="N58" s="11">
        <v>1</v>
      </c>
      <c r="O58" s="11"/>
      <c r="P58" s="11"/>
      <c r="Q58" s="8" t="s">
        <v>103</v>
      </c>
      <c r="R58" s="11"/>
      <c r="S58" s="11"/>
      <c r="T58" s="11"/>
      <c r="U58" s="11"/>
      <c r="V58" s="11"/>
      <c r="W58" s="83" t="str">
        <f t="shared" si="4"/>
        <v>НПИбд</v>
      </c>
      <c r="X58" s="110" t="s">
        <v>3355</v>
      </c>
      <c r="Y58" s="11">
        <v>3</v>
      </c>
      <c r="Z58" s="11">
        <v>2</v>
      </c>
      <c r="AA58" s="83">
        <f t="shared" ref="AA58:AA65" si="143">AB58+AC58</f>
        <v>36</v>
      </c>
      <c r="AB58" s="11">
        <v>31</v>
      </c>
      <c r="AC58" s="11">
        <v>5</v>
      </c>
      <c r="AD58" s="81">
        <f t="shared" si="5"/>
        <v>36</v>
      </c>
      <c r="AE58" s="82">
        <f t="shared" ref="AE58:AE65" si="144">IF(AF58&gt;1,1,AF58)</f>
        <v>1</v>
      </c>
      <c r="AF58" s="82">
        <f t="shared" ref="AF58:AF65" si="145">AA58/AD58</f>
        <v>1</v>
      </c>
      <c r="AG58" s="102" t="s">
        <v>3250</v>
      </c>
      <c r="AH58" s="8" t="s">
        <v>203</v>
      </c>
      <c r="AI58" s="8" t="s">
        <v>213</v>
      </c>
      <c r="AJ58" s="37" t="s">
        <v>3344</v>
      </c>
      <c r="AK58" s="8"/>
      <c r="AL58" s="42">
        <f t="shared" si="7"/>
        <v>18</v>
      </c>
      <c r="AM58" s="42">
        <f t="shared" si="8"/>
        <v>0</v>
      </c>
      <c r="AN58" s="42">
        <f t="shared" si="9"/>
        <v>0</v>
      </c>
      <c r="AO58" s="42">
        <f t="shared" si="10"/>
        <v>11.88</v>
      </c>
      <c r="AP58" s="42">
        <f t="shared" si="11"/>
        <v>18</v>
      </c>
      <c r="AQ58" s="42">
        <f t="shared" si="12"/>
        <v>2</v>
      </c>
      <c r="AR58" s="42">
        <f t="shared" si="13"/>
        <v>1.8</v>
      </c>
      <c r="AS58" s="42">
        <f t="shared" si="14"/>
        <v>0</v>
      </c>
      <c r="AT58" s="42">
        <f t="shared" si="15"/>
        <v>0</v>
      </c>
      <c r="AU58" s="42">
        <f t="shared" si="16"/>
        <v>0</v>
      </c>
      <c r="AV58" s="42">
        <f>IF(M58="ПП",РПП*AA58*(U58/1.5),IF(M58="ВП",ВПр*AA58*(U58/1.5),IF(M58="РПА",РПА*AA58*(U58/1.5),IF(M58="КПА",КПА*AA58*(U58/1.5),0))))</f>
        <v>0</v>
      </c>
      <c r="AW58" s="42">
        <f t="shared" si="17"/>
        <v>0</v>
      </c>
      <c r="AX58" s="42">
        <f t="shared" si="18"/>
        <v>0</v>
      </c>
      <c r="AY58" s="42">
        <f t="shared" si="19"/>
        <v>0</v>
      </c>
      <c r="AZ58" s="42">
        <f t="shared" si="20"/>
        <v>0</v>
      </c>
      <c r="BA58" s="42">
        <f t="shared" si="21"/>
        <v>0</v>
      </c>
      <c r="BB58" s="42">
        <f t="shared" si="22"/>
        <v>0</v>
      </c>
      <c r="BC58" s="42">
        <f t="shared" si="23"/>
        <v>0</v>
      </c>
      <c r="BD58" s="42">
        <f t="shared" si="24"/>
        <v>0</v>
      </c>
      <c r="BE58" s="43">
        <f t="shared" si="25"/>
        <v>51.68</v>
      </c>
      <c r="BF58" s="44"/>
      <c r="BG58" s="45">
        <f t="shared" si="26"/>
        <v>18</v>
      </c>
      <c r="BH58" s="45">
        <f t="shared" si="27"/>
        <v>0.5</v>
      </c>
      <c r="BI58" s="45">
        <f t="shared" si="28"/>
        <v>33.68</v>
      </c>
      <c r="BJ58" s="46">
        <f t="shared" si="29"/>
        <v>0</v>
      </c>
      <c r="BK58" s="46">
        <f t="shared" si="30"/>
        <v>0</v>
      </c>
      <c r="BL58" s="46">
        <f t="shared" si="31"/>
        <v>0</v>
      </c>
    </row>
    <row r="59" spans="1:64" ht="30" customHeight="1" x14ac:dyDescent="0.25">
      <c r="A59" s="84" t="str">
        <f t="shared" si="2"/>
        <v>Д</v>
      </c>
      <c r="B59" s="84" t="str">
        <f t="shared" si="140"/>
        <v>Б</v>
      </c>
      <c r="C59" s="101" t="s">
        <v>1471</v>
      </c>
      <c r="D59" s="16" t="str">
        <f t="shared" si="141"/>
        <v>'09.03.03</v>
      </c>
      <c r="E59" s="17" t="str">
        <f t="shared" si="142"/>
        <v>Прикладная информатика</v>
      </c>
      <c r="F59" s="9" t="s">
        <v>413</v>
      </c>
      <c r="G59" s="9" t="s">
        <v>42</v>
      </c>
      <c r="H59" s="10" t="s">
        <v>3233</v>
      </c>
      <c r="I59" s="10"/>
      <c r="J59" s="24" t="s">
        <v>3209</v>
      </c>
      <c r="K59" s="11">
        <v>5</v>
      </c>
      <c r="L59" s="11">
        <v>18</v>
      </c>
      <c r="M59" s="8" t="s">
        <v>94</v>
      </c>
      <c r="N59" s="12"/>
      <c r="O59" s="12">
        <v>2</v>
      </c>
      <c r="P59" s="12"/>
      <c r="Q59" s="8"/>
      <c r="R59" s="12"/>
      <c r="S59" s="12"/>
      <c r="T59" s="12"/>
      <c r="U59" s="12"/>
      <c r="V59" s="12"/>
      <c r="W59" s="83" t="str">
        <f t="shared" si="4"/>
        <v>НПИбд</v>
      </c>
      <c r="X59" s="110" t="s">
        <v>3241</v>
      </c>
      <c r="Y59" s="11">
        <v>1</v>
      </c>
      <c r="Z59" s="11">
        <v>1</v>
      </c>
      <c r="AA59" s="83">
        <f t="shared" si="143"/>
        <v>13</v>
      </c>
      <c r="AB59" s="11">
        <v>11</v>
      </c>
      <c r="AC59" s="11">
        <v>2</v>
      </c>
      <c r="AD59" s="81">
        <f t="shared" si="5"/>
        <v>12</v>
      </c>
      <c r="AE59" s="82">
        <f t="shared" si="144"/>
        <v>1</v>
      </c>
      <c r="AF59" s="82">
        <f t="shared" si="145"/>
        <v>1.0833333333333333</v>
      </c>
      <c r="AG59" s="102" t="s">
        <v>3250</v>
      </c>
      <c r="AH59" s="8" t="s">
        <v>203</v>
      </c>
      <c r="AI59" s="8" t="s">
        <v>213</v>
      </c>
      <c r="AJ59" s="35" t="s">
        <v>3344</v>
      </c>
      <c r="AK59" s="8"/>
      <c r="AL59" s="42">
        <f t="shared" si="7"/>
        <v>0</v>
      </c>
      <c r="AM59" s="42">
        <f t="shared" si="8"/>
        <v>0</v>
      </c>
      <c r="AN59" s="42">
        <f t="shared" si="9"/>
        <v>36</v>
      </c>
      <c r="AO59" s="42">
        <f t="shared" si="10"/>
        <v>0</v>
      </c>
      <c r="AP59" s="42">
        <f t="shared" si="11"/>
        <v>0</v>
      </c>
      <c r="AQ59" s="42">
        <f t="shared" si="12"/>
        <v>0</v>
      </c>
      <c r="AR59" s="42">
        <f t="shared" si="13"/>
        <v>0</v>
      </c>
      <c r="AS59" s="42">
        <f t="shared" si="14"/>
        <v>0</v>
      </c>
      <c r="AT59" s="42">
        <f t="shared" si="15"/>
        <v>0</v>
      </c>
      <c r="AU59" s="42">
        <f t="shared" si="16"/>
        <v>0</v>
      </c>
      <c r="AV59" s="42">
        <f>IF(M59="ПП",РПП*AA59*(U59/1.5),IF(M59="ВП",ВПр*AA59*(U59/1.5),IF(M59="РПА",РПА*AA59*(U59/1.5),IF(M59="КПА",КПА*AA59*(U59/1.5),0))))</f>
        <v>0</v>
      </c>
      <c r="AW59" s="42">
        <f t="shared" si="17"/>
        <v>0</v>
      </c>
      <c r="AX59" s="42">
        <f t="shared" si="18"/>
        <v>0</v>
      </c>
      <c r="AY59" s="42">
        <f t="shared" si="19"/>
        <v>0</v>
      </c>
      <c r="AZ59" s="42">
        <f t="shared" si="20"/>
        <v>0</v>
      </c>
      <c r="BA59" s="42">
        <f t="shared" si="21"/>
        <v>0</v>
      </c>
      <c r="BB59" s="42">
        <f t="shared" si="22"/>
        <v>0</v>
      </c>
      <c r="BC59" s="42">
        <f t="shared" si="23"/>
        <v>0</v>
      </c>
      <c r="BD59" s="42">
        <f t="shared" si="24"/>
        <v>0</v>
      </c>
      <c r="BE59" s="43">
        <f t="shared" si="25"/>
        <v>36</v>
      </c>
      <c r="BF59" s="44"/>
      <c r="BG59" s="45">
        <f t="shared" si="26"/>
        <v>36</v>
      </c>
      <c r="BH59" s="45">
        <f t="shared" si="27"/>
        <v>1</v>
      </c>
      <c r="BI59" s="45">
        <f t="shared" si="28"/>
        <v>0</v>
      </c>
      <c r="BJ59" s="46">
        <f t="shared" si="29"/>
        <v>0</v>
      </c>
      <c r="BK59" s="46">
        <f t="shared" si="30"/>
        <v>0</v>
      </c>
      <c r="BL59" s="46">
        <f t="shared" si="31"/>
        <v>0</v>
      </c>
    </row>
    <row r="60" spans="1:64" ht="30" customHeight="1" x14ac:dyDescent="0.25">
      <c r="A60" s="84" t="str">
        <f t="shared" si="2"/>
        <v>Д</v>
      </c>
      <c r="B60" s="84" t="str">
        <f t="shared" si="140"/>
        <v>Б</v>
      </c>
      <c r="C60" s="101" t="s">
        <v>1471</v>
      </c>
      <c r="D60" s="16" t="str">
        <f t="shared" si="141"/>
        <v>'09.03.03</v>
      </c>
      <c r="E60" s="17" t="str">
        <f t="shared" si="142"/>
        <v>Прикладная информатика</v>
      </c>
      <c r="F60" s="9" t="s">
        <v>413</v>
      </c>
      <c r="G60" s="9" t="s">
        <v>42</v>
      </c>
      <c r="H60" s="10" t="s">
        <v>3233</v>
      </c>
      <c r="I60" s="10"/>
      <c r="J60" s="24" t="s">
        <v>3209</v>
      </c>
      <c r="K60" s="11">
        <v>5</v>
      </c>
      <c r="L60" s="11">
        <v>18</v>
      </c>
      <c r="M60" s="8" t="s">
        <v>94</v>
      </c>
      <c r="N60" s="13"/>
      <c r="O60" s="12">
        <v>2</v>
      </c>
      <c r="P60" s="13"/>
      <c r="Q60" s="8"/>
      <c r="R60" s="13"/>
      <c r="S60" s="13"/>
      <c r="T60" s="13"/>
      <c r="U60" s="13"/>
      <c r="V60" s="13"/>
      <c r="W60" s="83" t="str">
        <f t="shared" si="4"/>
        <v>НПИбд</v>
      </c>
      <c r="X60" s="110" t="s">
        <v>3241</v>
      </c>
      <c r="Y60" s="11">
        <v>1</v>
      </c>
      <c r="Z60" s="11"/>
      <c r="AA60" s="83">
        <f t="shared" si="143"/>
        <v>12</v>
      </c>
      <c r="AB60" s="11">
        <v>10</v>
      </c>
      <c r="AC60" s="11">
        <v>2</v>
      </c>
      <c r="AD60" s="81">
        <f t="shared" si="5"/>
        <v>12</v>
      </c>
      <c r="AE60" s="82">
        <f t="shared" si="144"/>
        <v>1</v>
      </c>
      <c r="AF60" s="82">
        <f t="shared" si="145"/>
        <v>1</v>
      </c>
      <c r="AG60" s="102" t="s">
        <v>3250</v>
      </c>
      <c r="AH60" s="8" t="s">
        <v>203</v>
      </c>
      <c r="AI60" s="8" t="s">
        <v>213</v>
      </c>
      <c r="AJ60" s="35" t="s">
        <v>3344</v>
      </c>
      <c r="AK60" s="8"/>
      <c r="AL60" s="42">
        <f t="shared" si="7"/>
        <v>0</v>
      </c>
      <c r="AM60" s="42">
        <f t="shared" si="8"/>
        <v>0</v>
      </c>
      <c r="AN60" s="42">
        <f t="shared" si="9"/>
        <v>36</v>
      </c>
      <c r="AO60" s="42">
        <f t="shared" si="10"/>
        <v>0</v>
      </c>
      <c r="AP60" s="42">
        <f t="shared" si="11"/>
        <v>0</v>
      </c>
      <c r="AQ60" s="42">
        <f t="shared" si="12"/>
        <v>0</v>
      </c>
      <c r="AR60" s="42">
        <f t="shared" si="13"/>
        <v>0</v>
      </c>
      <c r="AS60" s="42">
        <f t="shared" si="14"/>
        <v>0</v>
      </c>
      <c r="AT60" s="42">
        <f t="shared" si="15"/>
        <v>0</v>
      </c>
      <c r="AU60" s="42">
        <f t="shared" si="16"/>
        <v>0</v>
      </c>
      <c r="AV60" s="42">
        <f>IF(M60="ПП",РПП*AA60*(U60/1.5),IF(M60="ВП",ВПр*AA60*(U60/1.5),IF(M60="РПА",РПА*AA60*(U60/1.5),IF(M60="КПА",КПА*AA60*(U60/1.5),0))))</f>
        <v>0</v>
      </c>
      <c r="AW60" s="42">
        <f t="shared" si="17"/>
        <v>0</v>
      </c>
      <c r="AX60" s="42">
        <f t="shared" si="18"/>
        <v>0</v>
      </c>
      <c r="AY60" s="42">
        <f t="shared" si="19"/>
        <v>0</v>
      </c>
      <c r="AZ60" s="42">
        <f t="shared" si="20"/>
        <v>0</v>
      </c>
      <c r="BA60" s="42">
        <f t="shared" si="21"/>
        <v>0</v>
      </c>
      <c r="BB60" s="42">
        <f t="shared" si="22"/>
        <v>0</v>
      </c>
      <c r="BC60" s="42">
        <f t="shared" si="23"/>
        <v>0</v>
      </c>
      <c r="BD60" s="42">
        <f t="shared" si="24"/>
        <v>0</v>
      </c>
      <c r="BE60" s="43">
        <f t="shared" si="25"/>
        <v>36</v>
      </c>
      <c r="BF60" s="44"/>
      <c r="BG60" s="45">
        <f t="shared" si="26"/>
        <v>36</v>
      </c>
      <c r="BH60" s="45">
        <f t="shared" si="27"/>
        <v>1</v>
      </c>
      <c r="BI60" s="45">
        <f t="shared" si="28"/>
        <v>0</v>
      </c>
      <c r="BJ60" s="46">
        <f t="shared" si="29"/>
        <v>0</v>
      </c>
      <c r="BK60" s="46">
        <f t="shared" si="30"/>
        <v>0</v>
      </c>
      <c r="BL60" s="46">
        <f t="shared" si="31"/>
        <v>0</v>
      </c>
    </row>
    <row r="61" spans="1:64" ht="30" customHeight="1" x14ac:dyDescent="0.25">
      <c r="A61" s="84" t="str">
        <f t="shared" si="2"/>
        <v>Д</v>
      </c>
      <c r="B61" s="84" t="str">
        <f t="shared" si="140"/>
        <v>Б</v>
      </c>
      <c r="C61" s="101" t="s">
        <v>1471</v>
      </c>
      <c r="D61" s="16" t="str">
        <f t="shared" si="141"/>
        <v>'09.03.03</v>
      </c>
      <c r="E61" s="17" t="str">
        <f t="shared" si="142"/>
        <v>Прикладная информатика</v>
      </c>
      <c r="F61" s="9" t="s">
        <v>413</v>
      </c>
      <c r="G61" s="9" t="s">
        <v>42</v>
      </c>
      <c r="H61" s="10" t="s">
        <v>3233</v>
      </c>
      <c r="I61" s="10"/>
      <c r="J61" s="24" t="s">
        <v>3209</v>
      </c>
      <c r="K61" s="11">
        <v>5</v>
      </c>
      <c r="L61" s="11">
        <v>18</v>
      </c>
      <c r="M61" s="8" t="s">
        <v>94</v>
      </c>
      <c r="N61" s="13"/>
      <c r="O61" s="12">
        <v>2</v>
      </c>
      <c r="P61" s="13"/>
      <c r="Q61" s="8"/>
      <c r="R61" s="13"/>
      <c r="S61" s="13"/>
      <c r="T61" s="13"/>
      <c r="U61" s="13"/>
      <c r="V61" s="13"/>
      <c r="W61" s="83" t="str">
        <f t="shared" si="4"/>
        <v>НПИбд</v>
      </c>
      <c r="X61" s="110" t="s">
        <v>3242</v>
      </c>
      <c r="Y61" s="11">
        <v>1</v>
      </c>
      <c r="Z61" s="11">
        <v>1</v>
      </c>
      <c r="AA61" s="83">
        <f t="shared" si="143"/>
        <v>11</v>
      </c>
      <c r="AB61" s="11">
        <v>10</v>
      </c>
      <c r="AC61" s="11">
        <v>1</v>
      </c>
      <c r="AD61" s="81">
        <f t="shared" si="5"/>
        <v>12</v>
      </c>
      <c r="AE61" s="82">
        <f t="shared" si="144"/>
        <v>0.91666666666666663</v>
      </c>
      <c r="AF61" s="82">
        <f t="shared" si="145"/>
        <v>0.91666666666666663</v>
      </c>
      <c r="AG61" s="102" t="s">
        <v>3250</v>
      </c>
      <c r="AH61" s="8" t="s">
        <v>203</v>
      </c>
      <c r="AI61" s="8" t="s">
        <v>213</v>
      </c>
      <c r="AJ61" s="35" t="s">
        <v>3344</v>
      </c>
      <c r="AK61" s="8"/>
      <c r="AL61" s="42">
        <f t="shared" si="7"/>
        <v>0</v>
      </c>
      <c r="AM61" s="42">
        <f t="shared" si="8"/>
        <v>0</v>
      </c>
      <c r="AN61" s="42">
        <f t="shared" si="9"/>
        <v>33</v>
      </c>
      <c r="AO61" s="42">
        <f t="shared" si="10"/>
        <v>0</v>
      </c>
      <c r="AP61" s="42">
        <f t="shared" si="11"/>
        <v>0</v>
      </c>
      <c r="AQ61" s="42">
        <f t="shared" si="12"/>
        <v>0</v>
      </c>
      <c r="AR61" s="42">
        <f t="shared" si="13"/>
        <v>0</v>
      </c>
      <c r="AS61" s="42">
        <f t="shared" si="14"/>
        <v>0</v>
      </c>
      <c r="AT61" s="42">
        <f t="shared" si="15"/>
        <v>0</v>
      </c>
      <c r="AU61" s="42">
        <f t="shared" si="16"/>
        <v>0</v>
      </c>
      <c r="AV61" s="42">
        <f>IF(M61="ПП",РПП*AA61*(U61/1.5),IF(M61="ВП",ВПр*AA61*(U61/1.5),IF(M61="РПА",РПА*AA61*(U61/1.5),IF(M61="КПА",КПА*AA61*(U61/1.5),0))))</f>
        <v>0</v>
      </c>
      <c r="AW61" s="42">
        <f t="shared" si="17"/>
        <v>0</v>
      </c>
      <c r="AX61" s="42">
        <f t="shared" si="18"/>
        <v>0</v>
      </c>
      <c r="AY61" s="42">
        <f t="shared" si="19"/>
        <v>0</v>
      </c>
      <c r="AZ61" s="42">
        <f t="shared" si="20"/>
        <v>0</v>
      </c>
      <c r="BA61" s="42">
        <f t="shared" si="21"/>
        <v>0</v>
      </c>
      <c r="BB61" s="42">
        <f t="shared" si="22"/>
        <v>0</v>
      </c>
      <c r="BC61" s="42">
        <f t="shared" si="23"/>
        <v>0</v>
      </c>
      <c r="BD61" s="42">
        <f t="shared" si="24"/>
        <v>0</v>
      </c>
      <c r="BE61" s="43">
        <f t="shared" si="25"/>
        <v>33</v>
      </c>
      <c r="BF61" s="44"/>
      <c r="BG61" s="45">
        <f t="shared" si="26"/>
        <v>33</v>
      </c>
      <c r="BH61" s="45">
        <f t="shared" si="27"/>
        <v>1</v>
      </c>
      <c r="BI61" s="45">
        <f t="shared" si="28"/>
        <v>0</v>
      </c>
      <c r="BJ61" s="46">
        <f t="shared" si="29"/>
        <v>0</v>
      </c>
      <c r="BK61" s="46">
        <f t="shared" si="30"/>
        <v>0</v>
      </c>
      <c r="BL61" s="46">
        <f t="shared" si="31"/>
        <v>0</v>
      </c>
    </row>
    <row r="62" spans="1:64" ht="30" customHeight="1" x14ac:dyDescent="0.25">
      <c r="A62" s="84" t="str">
        <f t="shared" si="2"/>
        <v>Д</v>
      </c>
      <c r="B62" s="84" t="str">
        <f t="shared" si="140"/>
        <v>Б</v>
      </c>
      <c r="C62" s="101" t="s">
        <v>1471</v>
      </c>
      <c r="D62" s="16" t="str">
        <f t="shared" si="141"/>
        <v>'09.03.03</v>
      </c>
      <c r="E62" s="17" t="str">
        <f t="shared" si="142"/>
        <v>Прикладная информатика</v>
      </c>
      <c r="F62" s="9" t="s">
        <v>413</v>
      </c>
      <c r="G62" s="9" t="s">
        <v>42</v>
      </c>
      <c r="H62" s="10" t="s">
        <v>3233</v>
      </c>
      <c r="I62" s="10"/>
      <c r="J62" s="24" t="s">
        <v>3267</v>
      </c>
      <c r="K62" s="11">
        <v>5</v>
      </c>
      <c r="L62" s="11">
        <v>18</v>
      </c>
      <c r="M62" s="8" t="s">
        <v>23</v>
      </c>
      <c r="N62" s="11">
        <v>1</v>
      </c>
      <c r="O62" s="11"/>
      <c r="P62" s="11"/>
      <c r="Q62" s="8" t="s">
        <v>103</v>
      </c>
      <c r="R62" s="11"/>
      <c r="S62" s="11"/>
      <c r="T62" s="11"/>
      <c r="U62" s="11"/>
      <c r="V62" s="11"/>
      <c r="W62" s="83" t="str">
        <f t="shared" si="4"/>
        <v>НПИбд</v>
      </c>
      <c r="X62" s="110" t="s">
        <v>3355</v>
      </c>
      <c r="Y62" s="11">
        <v>3</v>
      </c>
      <c r="Z62" s="11">
        <v>2</v>
      </c>
      <c r="AA62" s="83">
        <f t="shared" si="143"/>
        <v>36</v>
      </c>
      <c r="AB62" s="11">
        <v>31</v>
      </c>
      <c r="AC62" s="11">
        <v>5</v>
      </c>
      <c r="AD62" s="81">
        <f t="shared" si="5"/>
        <v>36</v>
      </c>
      <c r="AE62" s="82">
        <f t="shared" si="144"/>
        <v>1</v>
      </c>
      <c r="AF62" s="82">
        <f t="shared" si="145"/>
        <v>1</v>
      </c>
      <c r="AG62" s="102" t="s">
        <v>3250</v>
      </c>
      <c r="AH62" s="8" t="s">
        <v>204</v>
      </c>
      <c r="AI62" s="8" t="s">
        <v>212</v>
      </c>
      <c r="AJ62" s="37" t="s">
        <v>3261</v>
      </c>
      <c r="AK62" s="8"/>
      <c r="AL62" s="42">
        <f t="shared" si="7"/>
        <v>18</v>
      </c>
      <c r="AM62" s="42">
        <f t="shared" ref="AM62:AM128" si="146">IF(OR(M62="пр",M62="ия",M62="сп"),P62*AE62*L62,0)</f>
        <v>0</v>
      </c>
      <c r="AN62" s="42">
        <f t="shared" ref="AN62:AN128" si="147">IF(OR(M62="лаб",M62="клн"),O62*AE62*L62,0)</f>
        <v>0</v>
      </c>
      <c r="AO62" s="42">
        <f t="shared" si="10"/>
        <v>11.88</v>
      </c>
      <c r="AP62" s="42">
        <f t="shared" ref="AP62:AP128" si="148">IF(SUM(O62:P62)&lt;&gt;0,IF(Q62="Зач",ПАБРС*AA62,0),0)+IF(N62&lt;&gt;0,IF(Q62="Экз",ПАБРС*AA62,0),0)</f>
        <v>18</v>
      </c>
      <c r="AQ62" s="42">
        <f t="shared" ref="AQ62:AQ128" si="149">(IF(AP62&lt;&gt;0,ОфВед*(IF(OR(M62="лек",M62="лаб"),Z62,AE62)),0))*(IF(F62="ФТД",0,1))</f>
        <v>2</v>
      </c>
      <c r="AR62" s="42">
        <f t="shared" si="13"/>
        <v>1.8</v>
      </c>
      <c r="AS62" s="42">
        <f t="shared" ref="AS62:AS128" si="150">IF(OR(M62="лаб",M62="пр"),IF(R62="К",AA62*ВПКР,IF(R62="М",AA62*ВПИБ,0)),0)</f>
        <v>0</v>
      </c>
      <c r="AT62" s="42">
        <f t="shared" ref="AT62:AT128" si="151">IF(OR(M62="лаб",M62="пр"),IF(S62="К",AA62*ВПКП,0),0)</f>
        <v>0</v>
      </c>
      <c r="AU62" s="42">
        <f t="shared" ref="AU62:AU128" si="152">IF(M62="УП",T62/1.5*AA62*РУП,IF(M62="УПМ",T62/1.5*AA62*РУПЛеч,0))</f>
        <v>0</v>
      </c>
      <c r="AV62" s="42">
        <f>IF(M62="ПП",РПП*AA62*(U62/1.5),IF(M62="ВП",ВПр*AA62*(U62/1.5),IF(M62="РПА",РПА*AA62*(U62/1.5),IF(M62="КПА",КПА*AA62*(U62/1.5),0))))</f>
        <v>0</v>
      </c>
      <c r="AW62" s="42">
        <f t="shared" ref="AW62:AW128" si="153">IF(M62="НР",(AB62*НИРМ+AC62*НИРМИн)*(V62/1.5),IF(M62="НИ",(AB62*НИРА+AC62*НИРАИ)*(V62/1.5),0))</f>
        <v>0</v>
      </c>
      <c r="AX62" s="42">
        <f t="shared" si="18"/>
        <v>0</v>
      </c>
      <c r="AY62" s="42">
        <f t="shared" si="19"/>
        <v>0</v>
      </c>
      <c r="AZ62" s="42">
        <f t="shared" ref="AZ62:AZ128" si="154">IF(AND(Q62="КЭ",M62="ЧК"),AA62*КдЭк,0)</f>
        <v>0</v>
      </c>
      <c r="BA62" s="42">
        <f t="shared" si="21"/>
        <v>0</v>
      </c>
      <c r="BB62" s="42">
        <f t="shared" si="22"/>
        <v>0</v>
      </c>
      <c r="BC62" s="42">
        <f t="shared" si="23"/>
        <v>0</v>
      </c>
      <c r="BD62" s="42">
        <f t="shared" ref="BD62:BD128" si="155">IF(M62="ЧГ",AA62*ЧГ,IF(M62="ПГ",AA62*ПГ,IF(M62="ТЕСТ",ТГИЭ*AE62,IF(M62="СГ",AA62*СГ,0))))</f>
        <v>0</v>
      </c>
      <c r="BE62" s="43">
        <f t="shared" ref="BE62:BE128" si="156">SUM(AL62:BD62)</f>
        <v>51.68</v>
      </c>
      <c r="BF62" s="44"/>
      <c r="BG62" s="45">
        <f t="shared" ref="BG62:BG128" si="157">IF(OR(K62="1;1",K62="1;2",K62=1,K62="3;1",K62="3;2",K62=3,K62="5;1",K62="5;2",K62=5,K62="7;1",K62="7;2",K62=7,K62="9;1",K62="9;2",K62=9,K62=11),SUM(AL62:AN62),0)</f>
        <v>18</v>
      </c>
      <c r="BH62" s="45">
        <f t="shared" ref="BH62:BH128" si="158">IF(BG62&lt;&gt;0,SUM(N62:P62)/2,0)</f>
        <v>0.5</v>
      </c>
      <c r="BI62" s="45">
        <f t="shared" ref="BI62:BI128" si="159">IF(OR(K62="1;1",K62="1;2",K62=1,K62="3;1",K62="3;2",K62=3,K62="5;1",K62="5;2",K62=5,K62="7;1",K62="7;2",K62=7,K62="9;1",K62="9;2",K62=9,K62=11),SUM(AO62:BD62),0)</f>
        <v>33.68</v>
      </c>
      <c r="BJ62" s="46">
        <f t="shared" ref="BJ62:BJ128" si="160">IF(OR(K62="2;3",K62="2;4",K62=2,K62="4;3",K62="4;4",K62=4,K62="6;3",K62="6;4",K62=6,K62="8;3",K62="8;4",K62=8,K62="10;3",K62="10;4",K62=10,K62=12),SUM(AL62:AN62),0)</f>
        <v>0</v>
      </c>
      <c r="BK62" s="46">
        <f t="shared" ref="BK62:BK128" si="161">IF(BJ62&lt;&gt;0,SUM(N62:P62)/2,0)</f>
        <v>0</v>
      </c>
      <c r="BL62" s="46">
        <f t="shared" ref="BL62:BL128" si="162">IF(OR(K62="2;3",K62="2;4",K62=2,K62="4;3",K62="4;4",K62=4,K62="6;3",K62="6;4",K62=6,K62="8;3",K62="8;4",K62=8,K62="10;3",K62="10;4",K62=10,K62=12),SUM(AO62:BD62),0)</f>
        <v>0</v>
      </c>
    </row>
    <row r="63" spans="1:64" ht="30" customHeight="1" x14ac:dyDescent="0.25">
      <c r="A63" s="84" t="str">
        <f t="shared" si="2"/>
        <v>Д</v>
      </c>
      <c r="B63" s="84" t="str">
        <f t="shared" si="140"/>
        <v>Б</v>
      </c>
      <c r="C63" s="101" t="s">
        <v>1471</v>
      </c>
      <c r="D63" s="16" t="str">
        <f t="shared" si="141"/>
        <v>'09.03.03</v>
      </c>
      <c r="E63" s="17" t="str">
        <f t="shared" si="142"/>
        <v>Прикладная информатика</v>
      </c>
      <c r="F63" s="9" t="s">
        <v>413</v>
      </c>
      <c r="G63" s="9" t="s">
        <v>42</v>
      </c>
      <c r="H63" s="10" t="s">
        <v>3233</v>
      </c>
      <c r="I63" s="10"/>
      <c r="J63" s="24" t="s">
        <v>3267</v>
      </c>
      <c r="K63" s="11">
        <v>5</v>
      </c>
      <c r="L63" s="11">
        <v>18</v>
      </c>
      <c r="M63" s="8" t="s">
        <v>94</v>
      </c>
      <c r="N63" s="12"/>
      <c r="O63" s="12">
        <v>2</v>
      </c>
      <c r="P63" s="12"/>
      <c r="Q63" s="8"/>
      <c r="R63" s="12"/>
      <c r="S63" s="12"/>
      <c r="T63" s="12"/>
      <c r="U63" s="12"/>
      <c r="V63" s="12"/>
      <c r="W63" s="83" t="str">
        <f t="shared" si="4"/>
        <v>НПИбд</v>
      </c>
      <c r="X63" s="110" t="s">
        <v>3241</v>
      </c>
      <c r="Y63" s="11">
        <v>1</v>
      </c>
      <c r="Z63" s="11">
        <v>1</v>
      </c>
      <c r="AA63" s="83">
        <f t="shared" si="143"/>
        <v>13</v>
      </c>
      <c r="AB63" s="11">
        <v>11</v>
      </c>
      <c r="AC63" s="11">
        <v>2</v>
      </c>
      <c r="AD63" s="81">
        <f t="shared" si="5"/>
        <v>12</v>
      </c>
      <c r="AE63" s="82">
        <f t="shared" si="144"/>
        <v>1</v>
      </c>
      <c r="AF63" s="82">
        <f t="shared" si="145"/>
        <v>1.0833333333333333</v>
      </c>
      <c r="AG63" s="102" t="s">
        <v>3250</v>
      </c>
      <c r="AH63" s="8" t="s">
        <v>203</v>
      </c>
      <c r="AI63" s="8" t="s">
        <v>213</v>
      </c>
      <c r="AJ63" s="35" t="s">
        <v>3262</v>
      </c>
      <c r="AK63" s="8"/>
      <c r="AL63" s="42">
        <f t="shared" si="7"/>
        <v>0</v>
      </c>
      <c r="AM63" s="42">
        <f t="shared" si="146"/>
        <v>0</v>
      </c>
      <c r="AN63" s="42">
        <f t="shared" si="147"/>
        <v>36</v>
      </c>
      <c r="AO63" s="42">
        <f t="shared" si="10"/>
        <v>0</v>
      </c>
      <c r="AP63" s="42">
        <f t="shared" si="148"/>
        <v>0</v>
      </c>
      <c r="AQ63" s="42">
        <f t="shared" si="149"/>
        <v>0</v>
      </c>
      <c r="AR63" s="42">
        <f t="shared" si="13"/>
        <v>0</v>
      </c>
      <c r="AS63" s="42">
        <f t="shared" si="150"/>
        <v>0</v>
      </c>
      <c r="AT63" s="42">
        <f t="shared" si="151"/>
        <v>0</v>
      </c>
      <c r="AU63" s="42">
        <f t="shared" si="152"/>
        <v>0</v>
      </c>
      <c r="AV63" s="42">
        <f>IF(M63="ПП",РПП*AA63*(U63/1.5),IF(M63="ВП",ВПр*AA63*(U63/1.5),IF(M63="РПА",РПА*AA63*(U63/1.5),IF(M63="КПА",КПА*AA63*(U63/1.5),0))))</f>
        <v>0</v>
      </c>
      <c r="AW63" s="42">
        <f t="shared" si="153"/>
        <v>0</v>
      </c>
      <c r="AX63" s="42">
        <f t="shared" si="18"/>
        <v>0</v>
      </c>
      <c r="AY63" s="42">
        <f t="shared" si="19"/>
        <v>0</v>
      </c>
      <c r="AZ63" s="42">
        <f t="shared" si="154"/>
        <v>0</v>
      </c>
      <c r="BA63" s="42">
        <f t="shared" si="21"/>
        <v>0</v>
      </c>
      <c r="BB63" s="42">
        <f t="shared" si="22"/>
        <v>0</v>
      </c>
      <c r="BC63" s="42">
        <f t="shared" si="23"/>
        <v>0</v>
      </c>
      <c r="BD63" s="42">
        <f t="shared" si="155"/>
        <v>0</v>
      </c>
      <c r="BE63" s="43">
        <f t="shared" si="156"/>
        <v>36</v>
      </c>
      <c r="BF63" s="44"/>
      <c r="BG63" s="45">
        <f t="shared" si="157"/>
        <v>36</v>
      </c>
      <c r="BH63" s="45">
        <f t="shared" si="158"/>
        <v>1</v>
      </c>
      <c r="BI63" s="45">
        <f t="shared" si="159"/>
        <v>0</v>
      </c>
      <c r="BJ63" s="46">
        <f t="shared" si="160"/>
        <v>0</v>
      </c>
      <c r="BK63" s="46">
        <f t="shared" si="161"/>
        <v>0</v>
      </c>
      <c r="BL63" s="46">
        <f t="shared" si="162"/>
        <v>0</v>
      </c>
    </row>
    <row r="64" spans="1:64" ht="30" customHeight="1" x14ac:dyDescent="0.25">
      <c r="A64" s="84" t="str">
        <f t="shared" si="2"/>
        <v>Д</v>
      </c>
      <c r="B64" s="84" t="str">
        <f t="shared" si="140"/>
        <v>Б</v>
      </c>
      <c r="C64" s="101" t="s">
        <v>1471</v>
      </c>
      <c r="D64" s="16" t="str">
        <f t="shared" si="141"/>
        <v>'09.03.03</v>
      </c>
      <c r="E64" s="17" t="str">
        <f t="shared" si="142"/>
        <v>Прикладная информатика</v>
      </c>
      <c r="F64" s="9" t="s">
        <v>413</v>
      </c>
      <c r="G64" s="9" t="s">
        <v>42</v>
      </c>
      <c r="H64" s="10" t="s">
        <v>3233</v>
      </c>
      <c r="I64" s="10"/>
      <c r="J64" s="24" t="s">
        <v>3267</v>
      </c>
      <c r="K64" s="11">
        <v>5</v>
      </c>
      <c r="L64" s="11">
        <v>18</v>
      </c>
      <c r="M64" s="8" t="s">
        <v>94</v>
      </c>
      <c r="N64" s="13"/>
      <c r="O64" s="12">
        <v>2</v>
      </c>
      <c r="P64" s="13"/>
      <c r="Q64" s="8"/>
      <c r="R64" s="13"/>
      <c r="S64" s="13"/>
      <c r="T64" s="13"/>
      <c r="U64" s="13"/>
      <c r="V64" s="13"/>
      <c r="W64" s="83" t="str">
        <f t="shared" si="4"/>
        <v>НПИбд</v>
      </c>
      <c r="X64" s="110" t="s">
        <v>3241</v>
      </c>
      <c r="Y64" s="11">
        <v>1</v>
      </c>
      <c r="Z64" s="11"/>
      <c r="AA64" s="83">
        <f t="shared" si="143"/>
        <v>12</v>
      </c>
      <c r="AB64" s="11">
        <v>10</v>
      </c>
      <c r="AC64" s="11">
        <v>2</v>
      </c>
      <c r="AD64" s="81">
        <f t="shared" si="5"/>
        <v>12</v>
      </c>
      <c r="AE64" s="82">
        <f t="shared" si="144"/>
        <v>1</v>
      </c>
      <c r="AF64" s="82">
        <f t="shared" si="145"/>
        <v>1</v>
      </c>
      <c r="AG64" s="102" t="s">
        <v>3250</v>
      </c>
      <c r="AH64" s="8" t="s">
        <v>203</v>
      </c>
      <c r="AI64" s="8" t="s">
        <v>213</v>
      </c>
      <c r="AJ64" s="35" t="s">
        <v>3262</v>
      </c>
      <c r="AK64" s="8"/>
      <c r="AL64" s="42">
        <f t="shared" si="7"/>
        <v>0</v>
      </c>
      <c r="AM64" s="42">
        <f t="shared" si="146"/>
        <v>0</v>
      </c>
      <c r="AN64" s="42">
        <f t="shared" si="147"/>
        <v>36</v>
      </c>
      <c r="AO64" s="42">
        <f t="shared" si="10"/>
        <v>0</v>
      </c>
      <c r="AP64" s="42">
        <f t="shared" si="148"/>
        <v>0</v>
      </c>
      <c r="AQ64" s="42">
        <f t="shared" si="149"/>
        <v>0</v>
      </c>
      <c r="AR64" s="42">
        <f t="shared" si="13"/>
        <v>0</v>
      </c>
      <c r="AS64" s="42">
        <f t="shared" si="150"/>
        <v>0</v>
      </c>
      <c r="AT64" s="42">
        <f t="shared" si="151"/>
        <v>0</v>
      </c>
      <c r="AU64" s="42">
        <f t="shared" si="152"/>
        <v>0</v>
      </c>
      <c r="AV64" s="42">
        <f>IF(M64="ПП",РПП*AA64*(U64/1.5),IF(M64="ВП",ВПр*AA64*(U64/1.5),IF(M64="РПА",РПА*AA64*(U64/1.5),IF(M64="КПА",КПА*AA64*(U64/1.5),0))))</f>
        <v>0</v>
      </c>
      <c r="AW64" s="42">
        <f t="shared" si="153"/>
        <v>0</v>
      </c>
      <c r="AX64" s="42">
        <f t="shared" si="18"/>
        <v>0</v>
      </c>
      <c r="AY64" s="42">
        <f t="shared" si="19"/>
        <v>0</v>
      </c>
      <c r="AZ64" s="42">
        <f t="shared" si="154"/>
        <v>0</v>
      </c>
      <c r="BA64" s="42">
        <f t="shared" si="21"/>
        <v>0</v>
      </c>
      <c r="BB64" s="42">
        <f t="shared" si="22"/>
        <v>0</v>
      </c>
      <c r="BC64" s="42">
        <f t="shared" si="23"/>
        <v>0</v>
      </c>
      <c r="BD64" s="42">
        <f t="shared" si="155"/>
        <v>0</v>
      </c>
      <c r="BE64" s="43">
        <f t="shared" si="156"/>
        <v>36</v>
      </c>
      <c r="BF64" s="44"/>
      <c r="BG64" s="45">
        <f t="shared" si="157"/>
        <v>36</v>
      </c>
      <c r="BH64" s="45">
        <f t="shared" si="158"/>
        <v>1</v>
      </c>
      <c r="BI64" s="45">
        <f t="shared" si="159"/>
        <v>0</v>
      </c>
      <c r="BJ64" s="46">
        <f t="shared" si="160"/>
        <v>0</v>
      </c>
      <c r="BK64" s="46">
        <f t="shared" si="161"/>
        <v>0</v>
      </c>
      <c r="BL64" s="46">
        <f t="shared" si="162"/>
        <v>0</v>
      </c>
    </row>
    <row r="65" spans="1:64" ht="30" customHeight="1" x14ac:dyDescent="0.25">
      <c r="A65" s="84" t="str">
        <f t="shared" si="2"/>
        <v>Д</v>
      </c>
      <c r="B65" s="84" t="str">
        <f t="shared" si="140"/>
        <v>Б</v>
      </c>
      <c r="C65" s="101" t="s">
        <v>1471</v>
      </c>
      <c r="D65" s="16" t="str">
        <f t="shared" si="141"/>
        <v>'09.03.03</v>
      </c>
      <c r="E65" s="17" t="str">
        <f t="shared" si="142"/>
        <v>Прикладная информатика</v>
      </c>
      <c r="F65" s="9" t="s">
        <v>413</v>
      </c>
      <c r="G65" s="9" t="s">
        <v>42</v>
      </c>
      <c r="H65" s="10" t="s">
        <v>3233</v>
      </c>
      <c r="I65" s="10"/>
      <c r="J65" s="24" t="s">
        <v>3267</v>
      </c>
      <c r="K65" s="11">
        <v>5</v>
      </c>
      <c r="L65" s="11">
        <v>18</v>
      </c>
      <c r="M65" s="8" t="s">
        <v>94</v>
      </c>
      <c r="N65" s="13"/>
      <c r="O65" s="12">
        <v>2</v>
      </c>
      <c r="P65" s="13"/>
      <c r="Q65" s="8"/>
      <c r="R65" s="13"/>
      <c r="S65" s="13"/>
      <c r="T65" s="13"/>
      <c r="U65" s="13"/>
      <c r="V65" s="13"/>
      <c r="W65" s="83" t="str">
        <f t="shared" si="4"/>
        <v>НПИбд</v>
      </c>
      <c r="X65" s="110" t="s">
        <v>3242</v>
      </c>
      <c r="Y65" s="11">
        <v>1</v>
      </c>
      <c r="Z65" s="11">
        <v>1</v>
      </c>
      <c r="AA65" s="83">
        <f t="shared" si="143"/>
        <v>11</v>
      </c>
      <c r="AB65" s="11">
        <v>10</v>
      </c>
      <c r="AC65" s="11">
        <v>1</v>
      </c>
      <c r="AD65" s="81">
        <f t="shared" si="5"/>
        <v>12</v>
      </c>
      <c r="AE65" s="82">
        <f t="shared" si="144"/>
        <v>0.91666666666666663</v>
      </c>
      <c r="AF65" s="82">
        <f t="shared" si="145"/>
        <v>0.91666666666666663</v>
      </c>
      <c r="AG65" s="102" t="s">
        <v>3250</v>
      </c>
      <c r="AH65" s="8" t="s">
        <v>203</v>
      </c>
      <c r="AI65" s="8" t="s">
        <v>213</v>
      </c>
      <c r="AJ65" s="35" t="s">
        <v>3262</v>
      </c>
      <c r="AK65" s="8"/>
      <c r="AL65" s="42">
        <f t="shared" si="7"/>
        <v>0</v>
      </c>
      <c r="AM65" s="42">
        <f t="shared" si="146"/>
        <v>0</v>
      </c>
      <c r="AN65" s="42">
        <f t="shared" si="147"/>
        <v>33</v>
      </c>
      <c r="AO65" s="42">
        <f t="shared" si="10"/>
        <v>0</v>
      </c>
      <c r="AP65" s="42">
        <f t="shared" si="148"/>
        <v>0</v>
      </c>
      <c r="AQ65" s="42">
        <f t="shared" si="149"/>
        <v>0</v>
      </c>
      <c r="AR65" s="42">
        <f t="shared" si="13"/>
        <v>0</v>
      </c>
      <c r="AS65" s="42">
        <f t="shared" si="150"/>
        <v>0</v>
      </c>
      <c r="AT65" s="42">
        <f t="shared" si="151"/>
        <v>0</v>
      </c>
      <c r="AU65" s="42">
        <f t="shared" si="152"/>
        <v>0</v>
      </c>
      <c r="AV65" s="42">
        <f>IF(M65="ПП",РПП*AA65*(U65/1.5),IF(M65="ВП",ВПр*AA65*(U65/1.5),IF(M65="РПА",РПА*AA65*(U65/1.5),IF(M65="КПА",КПА*AA65*(U65/1.5),0))))</f>
        <v>0</v>
      </c>
      <c r="AW65" s="42">
        <f t="shared" si="153"/>
        <v>0</v>
      </c>
      <c r="AX65" s="42">
        <f t="shared" si="18"/>
        <v>0</v>
      </c>
      <c r="AY65" s="42">
        <f t="shared" si="19"/>
        <v>0</v>
      </c>
      <c r="AZ65" s="42">
        <f t="shared" si="154"/>
        <v>0</v>
      </c>
      <c r="BA65" s="42">
        <f t="shared" si="21"/>
        <v>0</v>
      </c>
      <c r="BB65" s="42">
        <f t="shared" si="22"/>
        <v>0</v>
      </c>
      <c r="BC65" s="42">
        <f t="shared" si="23"/>
        <v>0</v>
      </c>
      <c r="BD65" s="42">
        <f t="shared" si="155"/>
        <v>0</v>
      </c>
      <c r="BE65" s="43">
        <f t="shared" si="156"/>
        <v>33</v>
      </c>
      <c r="BF65" s="44"/>
      <c r="BG65" s="45">
        <f t="shared" si="157"/>
        <v>33</v>
      </c>
      <c r="BH65" s="45">
        <f t="shared" si="158"/>
        <v>1</v>
      </c>
      <c r="BI65" s="45">
        <f t="shared" si="159"/>
        <v>0</v>
      </c>
      <c r="BJ65" s="46">
        <f t="shared" si="160"/>
        <v>0</v>
      </c>
      <c r="BK65" s="46">
        <f t="shared" si="161"/>
        <v>0</v>
      </c>
      <c r="BL65" s="46">
        <f t="shared" si="162"/>
        <v>0</v>
      </c>
    </row>
    <row r="66" spans="1:64" ht="30" customHeight="1" x14ac:dyDescent="0.25">
      <c r="A66" s="84" t="str">
        <f t="shared" si="2"/>
        <v>Д</v>
      </c>
      <c r="B66" s="84" t="str">
        <f t="shared" si="38"/>
        <v>Б</v>
      </c>
      <c r="C66" s="101" t="s">
        <v>1471</v>
      </c>
      <c r="D66" s="16" t="str">
        <f t="shared" si="39"/>
        <v>'09.03.03</v>
      </c>
      <c r="E66" s="17" t="str">
        <f t="shared" si="40"/>
        <v>Прикладная информатика</v>
      </c>
      <c r="F66" s="9" t="s">
        <v>413</v>
      </c>
      <c r="G66" s="9" t="s">
        <v>42</v>
      </c>
      <c r="H66" s="10" t="s">
        <v>3233</v>
      </c>
      <c r="I66" s="10"/>
      <c r="J66" s="111" t="s">
        <v>3268</v>
      </c>
      <c r="K66" s="11">
        <v>5</v>
      </c>
      <c r="L66" s="11">
        <v>18</v>
      </c>
      <c r="M66" s="8" t="s">
        <v>23</v>
      </c>
      <c r="N66" s="11">
        <v>1</v>
      </c>
      <c r="O66" s="11"/>
      <c r="P66" s="11"/>
      <c r="Q66" s="8" t="s">
        <v>103</v>
      </c>
      <c r="R66" s="11"/>
      <c r="S66" s="11"/>
      <c r="T66" s="11"/>
      <c r="U66" s="11"/>
      <c r="V66" s="11"/>
      <c r="W66" s="83" t="str">
        <f t="shared" si="4"/>
        <v>НПИбд</v>
      </c>
      <c r="X66" s="110" t="s">
        <v>3355</v>
      </c>
      <c r="Y66" s="11">
        <v>3</v>
      </c>
      <c r="Z66" s="11">
        <v>2</v>
      </c>
      <c r="AA66" s="83">
        <f t="shared" si="41"/>
        <v>36</v>
      </c>
      <c r="AB66" s="11">
        <v>31</v>
      </c>
      <c r="AC66" s="11">
        <v>5</v>
      </c>
      <c r="AD66" s="81">
        <f t="shared" si="5"/>
        <v>36</v>
      </c>
      <c r="AE66" s="82">
        <f t="shared" si="42"/>
        <v>1</v>
      </c>
      <c r="AF66" s="82">
        <f t="shared" si="43"/>
        <v>1</v>
      </c>
      <c r="AG66" s="102" t="s">
        <v>3250</v>
      </c>
      <c r="AH66" s="8" t="s">
        <v>204</v>
      </c>
      <c r="AI66" s="8" t="s">
        <v>212</v>
      </c>
      <c r="AJ66" s="37" t="s">
        <v>3346</v>
      </c>
      <c r="AK66" s="8" t="s">
        <v>949</v>
      </c>
      <c r="AL66" s="42">
        <f t="shared" si="7"/>
        <v>18</v>
      </c>
      <c r="AM66" s="42">
        <f t="shared" si="146"/>
        <v>0</v>
      </c>
      <c r="AN66" s="42">
        <f t="shared" si="147"/>
        <v>0</v>
      </c>
      <c r="AO66" s="42">
        <f t="shared" si="10"/>
        <v>11.88</v>
      </c>
      <c r="AP66" s="42">
        <f t="shared" si="148"/>
        <v>18</v>
      </c>
      <c r="AQ66" s="42">
        <f t="shared" si="149"/>
        <v>2</v>
      </c>
      <c r="AR66" s="42">
        <f t="shared" si="13"/>
        <v>1.8</v>
      </c>
      <c r="AS66" s="42">
        <f t="shared" si="150"/>
        <v>0</v>
      </c>
      <c r="AT66" s="42">
        <f t="shared" si="151"/>
        <v>0</v>
      </c>
      <c r="AU66" s="42">
        <f t="shared" si="152"/>
        <v>0</v>
      </c>
      <c r="AV66" s="42">
        <f>IF(M66="ПП",РПП*AA66*(U66/1.5),IF(M66="ВП",ВПр*AA66*(U66/1.5),IF(M66="РПА",РПА*AA66*(U66/1.5),IF(M66="КПА",КПА*AA66*(U66/1.5),0))))</f>
        <v>0</v>
      </c>
      <c r="AW66" s="42">
        <f t="shared" si="153"/>
        <v>0</v>
      </c>
      <c r="AX66" s="42">
        <f t="shared" si="18"/>
        <v>0</v>
      </c>
      <c r="AY66" s="42">
        <f t="shared" si="19"/>
        <v>0</v>
      </c>
      <c r="AZ66" s="42">
        <f t="shared" si="154"/>
        <v>0</v>
      </c>
      <c r="BA66" s="42">
        <f t="shared" si="21"/>
        <v>0</v>
      </c>
      <c r="BB66" s="42">
        <f t="shared" si="22"/>
        <v>0</v>
      </c>
      <c r="BC66" s="42">
        <f t="shared" si="23"/>
        <v>0</v>
      </c>
      <c r="BD66" s="42">
        <f t="shared" si="155"/>
        <v>0</v>
      </c>
      <c r="BE66" s="43">
        <f t="shared" si="156"/>
        <v>51.68</v>
      </c>
      <c r="BF66" s="44"/>
      <c r="BG66" s="45">
        <f t="shared" si="157"/>
        <v>18</v>
      </c>
      <c r="BH66" s="45">
        <f t="shared" si="158"/>
        <v>0.5</v>
      </c>
      <c r="BI66" s="45">
        <f t="shared" si="159"/>
        <v>33.68</v>
      </c>
      <c r="BJ66" s="46">
        <f t="shared" si="160"/>
        <v>0</v>
      </c>
      <c r="BK66" s="46">
        <f t="shared" si="161"/>
        <v>0</v>
      </c>
      <c r="BL66" s="46">
        <f t="shared" si="162"/>
        <v>0</v>
      </c>
    </row>
    <row r="67" spans="1:64" ht="30" customHeight="1" x14ac:dyDescent="0.25">
      <c r="A67" s="84" t="str">
        <f t="shared" si="2"/>
        <v>Д</v>
      </c>
      <c r="B67" s="84" t="str">
        <f t="shared" si="38"/>
        <v>Б</v>
      </c>
      <c r="C67" s="101" t="s">
        <v>1471</v>
      </c>
      <c r="D67" s="16" t="str">
        <f t="shared" si="39"/>
        <v>'09.03.03</v>
      </c>
      <c r="E67" s="17" t="str">
        <f t="shared" si="40"/>
        <v>Прикладная информатика</v>
      </c>
      <c r="F67" s="9" t="s">
        <v>413</v>
      </c>
      <c r="G67" s="9" t="s">
        <v>42</v>
      </c>
      <c r="H67" s="10" t="s">
        <v>3233</v>
      </c>
      <c r="I67" s="10"/>
      <c r="J67" s="111" t="s">
        <v>3268</v>
      </c>
      <c r="K67" s="11">
        <v>5</v>
      </c>
      <c r="L67" s="11">
        <v>18</v>
      </c>
      <c r="M67" s="8" t="s">
        <v>94</v>
      </c>
      <c r="N67" s="12"/>
      <c r="O67" s="12">
        <v>2</v>
      </c>
      <c r="P67" s="12"/>
      <c r="Q67" s="8"/>
      <c r="R67" s="12"/>
      <c r="S67" s="12"/>
      <c r="T67" s="12"/>
      <c r="U67" s="12"/>
      <c r="V67" s="12"/>
      <c r="W67" s="83" t="str">
        <f t="shared" si="4"/>
        <v>НПИбд</v>
      </c>
      <c r="X67" s="110" t="s">
        <v>3241</v>
      </c>
      <c r="Y67" s="11">
        <v>1</v>
      </c>
      <c r="Z67" s="11">
        <v>1</v>
      </c>
      <c r="AA67" s="83">
        <f t="shared" si="41"/>
        <v>13</v>
      </c>
      <c r="AB67" s="11">
        <v>11</v>
      </c>
      <c r="AC67" s="11">
        <v>2</v>
      </c>
      <c r="AD67" s="81">
        <f t="shared" si="5"/>
        <v>12</v>
      </c>
      <c r="AE67" s="82">
        <f t="shared" si="42"/>
        <v>1</v>
      </c>
      <c r="AF67" s="82">
        <f t="shared" si="43"/>
        <v>1.0833333333333333</v>
      </c>
      <c r="AG67" s="102" t="s">
        <v>3250</v>
      </c>
      <c r="AH67" s="8" t="s">
        <v>203</v>
      </c>
      <c r="AI67" s="8" t="s">
        <v>214</v>
      </c>
      <c r="AJ67" s="35" t="s">
        <v>3346</v>
      </c>
      <c r="AK67" s="8"/>
      <c r="AL67" s="42">
        <f t="shared" si="7"/>
        <v>0</v>
      </c>
      <c r="AM67" s="42">
        <f t="shared" si="146"/>
        <v>0</v>
      </c>
      <c r="AN67" s="42">
        <f t="shared" si="147"/>
        <v>36</v>
      </c>
      <c r="AO67" s="42">
        <f t="shared" si="10"/>
        <v>0</v>
      </c>
      <c r="AP67" s="42">
        <f t="shared" si="148"/>
        <v>0</v>
      </c>
      <c r="AQ67" s="42">
        <f t="shared" si="149"/>
        <v>0</v>
      </c>
      <c r="AR67" s="42">
        <f t="shared" si="13"/>
        <v>0</v>
      </c>
      <c r="AS67" s="42">
        <f t="shared" si="150"/>
        <v>0</v>
      </c>
      <c r="AT67" s="42">
        <f t="shared" si="151"/>
        <v>0</v>
      </c>
      <c r="AU67" s="42">
        <f t="shared" si="152"/>
        <v>0</v>
      </c>
      <c r="AV67" s="42">
        <f>IF(M67="ПП",РПП*AA67*(U67/1.5),IF(M67="ВП",ВПр*AA67*(U67/1.5),IF(M67="РПА",РПА*AA67*(U67/1.5),IF(M67="КПА",КПА*AA67*(U67/1.5),0))))</f>
        <v>0</v>
      </c>
      <c r="AW67" s="42">
        <f t="shared" si="153"/>
        <v>0</v>
      </c>
      <c r="AX67" s="42">
        <f t="shared" si="18"/>
        <v>0</v>
      </c>
      <c r="AY67" s="42">
        <f t="shared" si="19"/>
        <v>0</v>
      </c>
      <c r="AZ67" s="42">
        <f t="shared" si="154"/>
        <v>0</v>
      </c>
      <c r="BA67" s="42">
        <f t="shared" si="21"/>
        <v>0</v>
      </c>
      <c r="BB67" s="42">
        <f t="shared" si="22"/>
        <v>0</v>
      </c>
      <c r="BC67" s="42">
        <f t="shared" si="23"/>
        <v>0</v>
      </c>
      <c r="BD67" s="42">
        <f t="shared" si="155"/>
        <v>0</v>
      </c>
      <c r="BE67" s="43">
        <f t="shared" si="156"/>
        <v>36</v>
      </c>
      <c r="BF67" s="44"/>
      <c r="BG67" s="45">
        <f t="shared" si="157"/>
        <v>36</v>
      </c>
      <c r="BH67" s="45">
        <f t="shared" si="158"/>
        <v>1</v>
      </c>
      <c r="BI67" s="45">
        <f t="shared" si="159"/>
        <v>0</v>
      </c>
      <c r="BJ67" s="46">
        <f t="shared" si="160"/>
        <v>0</v>
      </c>
      <c r="BK67" s="46">
        <f t="shared" si="161"/>
        <v>0</v>
      </c>
      <c r="BL67" s="46">
        <f t="shared" si="162"/>
        <v>0</v>
      </c>
    </row>
    <row r="68" spans="1:64" ht="30" customHeight="1" x14ac:dyDescent="0.25">
      <c r="A68" s="84" t="str">
        <f t="shared" si="2"/>
        <v>Д</v>
      </c>
      <c r="B68" s="84" t="str">
        <f t="shared" si="38"/>
        <v>Б</v>
      </c>
      <c r="C68" s="101" t="s">
        <v>1471</v>
      </c>
      <c r="D68" s="16" t="str">
        <f t="shared" si="39"/>
        <v>'09.03.03</v>
      </c>
      <c r="E68" s="17" t="str">
        <f t="shared" si="40"/>
        <v>Прикладная информатика</v>
      </c>
      <c r="F68" s="9" t="s">
        <v>413</v>
      </c>
      <c r="G68" s="9" t="s">
        <v>42</v>
      </c>
      <c r="H68" s="10" t="s">
        <v>3233</v>
      </c>
      <c r="I68" s="10"/>
      <c r="J68" s="111" t="s">
        <v>3268</v>
      </c>
      <c r="K68" s="11">
        <v>5</v>
      </c>
      <c r="L68" s="11">
        <v>18</v>
      </c>
      <c r="M68" s="8" t="s">
        <v>94</v>
      </c>
      <c r="N68" s="13"/>
      <c r="O68" s="12">
        <v>2</v>
      </c>
      <c r="P68" s="13"/>
      <c r="Q68" s="8"/>
      <c r="R68" s="13"/>
      <c r="S68" s="13"/>
      <c r="T68" s="13"/>
      <c r="U68" s="13"/>
      <c r="V68" s="13"/>
      <c r="W68" s="83" t="str">
        <f t="shared" si="4"/>
        <v>НПИбд</v>
      </c>
      <c r="X68" s="110" t="s">
        <v>3241</v>
      </c>
      <c r="Y68" s="11">
        <v>1</v>
      </c>
      <c r="Z68" s="11"/>
      <c r="AA68" s="83">
        <f t="shared" si="41"/>
        <v>12</v>
      </c>
      <c r="AB68" s="11">
        <v>10</v>
      </c>
      <c r="AC68" s="11">
        <v>2</v>
      </c>
      <c r="AD68" s="81">
        <f t="shared" si="5"/>
        <v>12</v>
      </c>
      <c r="AE68" s="82">
        <f t="shared" si="42"/>
        <v>1</v>
      </c>
      <c r="AF68" s="82">
        <f t="shared" si="43"/>
        <v>1</v>
      </c>
      <c r="AG68" s="102" t="s">
        <v>3250</v>
      </c>
      <c r="AH68" s="8" t="s">
        <v>203</v>
      </c>
      <c r="AI68" s="8" t="s">
        <v>214</v>
      </c>
      <c r="AJ68" s="35" t="s">
        <v>3346</v>
      </c>
      <c r="AK68" s="8"/>
      <c r="AL68" s="42">
        <f t="shared" si="7"/>
        <v>0</v>
      </c>
      <c r="AM68" s="42">
        <f t="shared" si="146"/>
        <v>0</v>
      </c>
      <c r="AN68" s="42">
        <f t="shared" si="147"/>
        <v>36</v>
      </c>
      <c r="AO68" s="42">
        <f t="shared" si="10"/>
        <v>0</v>
      </c>
      <c r="AP68" s="42">
        <f t="shared" si="148"/>
        <v>0</v>
      </c>
      <c r="AQ68" s="42">
        <f t="shared" si="149"/>
        <v>0</v>
      </c>
      <c r="AR68" s="42">
        <f t="shared" si="13"/>
        <v>0</v>
      </c>
      <c r="AS68" s="42">
        <f t="shared" si="150"/>
        <v>0</v>
      </c>
      <c r="AT68" s="42">
        <f t="shared" si="151"/>
        <v>0</v>
      </c>
      <c r="AU68" s="42">
        <f t="shared" si="152"/>
        <v>0</v>
      </c>
      <c r="AV68" s="42">
        <f>IF(M68="ПП",РПП*AA68*(U68/1.5),IF(M68="ВП",ВПр*AA68*(U68/1.5),IF(M68="РПА",РПА*AA68*(U68/1.5),IF(M68="КПА",КПА*AA68*(U68/1.5),0))))</f>
        <v>0</v>
      </c>
      <c r="AW68" s="42">
        <f t="shared" si="153"/>
        <v>0</v>
      </c>
      <c r="AX68" s="42">
        <f t="shared" si="18"/>
        <v>0</v>
      </c>
      <c r="AY68" s="42">
        <f t="shared" si="19"/>
        <v>0</v>
      </c>
      <c r="AZ68" s="42">
        <f t="shared" si="154"/>
        <v>0</v>
      </c>
      <c r="BA68" s="42">
        <f t="shared" si="21"/>
        <v>0</v>
      </c>
      <c r="BB68" s="42">
        <f t="shared" si="22"/>
        <v>0</v>
      </c>
      <c r="BC68" s="42">
        <f t="shared" si="23"/>
        <v>0</v>
      </c>
      <c r="BD68" s="42">
        <f t="shared" si="155"/>
        <v>0</v>
      </c>
      <c r="BE68" s="43">
        <f t="shared" si="156"/>
        <v>36</v>
      </c>
      <c r="BF68" s="44"/>
      <c r="BG68" s="45">
        <f t="shared" si="157"/>
        <v>36</v>
      </c>
      <c r="BH68" s="45">
        <f t="shared" si="158"/>
        <v>1</v>
      </c>
      <c r="BI68" s="45">
        <f t="shared" si="159"/>
        <v>0</v>
      </c>
      <c r="BJ68" s="46">
        <f t="shared" si="160"/>
        <v>0</v>
      </c>
      <c r="BK68" s="46">
        <f t="shared" si="161"/>
        <v>0</v>
      </c>
      <c r="BL68" s="46">
        <f t="shared" si="162"/>
        <v>0</v>
      </c>
    </row>
    <row r="69" spans="1:64" ht="30" customHeight="1" x14ac:dyDescent="0.25">
      <c r="A69" s="84" t="str">
        <f t="shared" si="2"/>
        <v>Д</v>
      </c>
      <c r="B69" s="84" t="str">
        <f t="shared" si="38"/>
        <v>Б</v>
      </c>
      <c r="C69" s="101" t="s">
        <v>1471</v>
      </c>
      <c r="D69" s="16" t="str">
        <f t="shared" si="39"/>
        <v>'09.03.03</v>
      </c>
      <c r="E69" s="17" t="str">
        <f t="shared" si="40"/>
        <v>Прикладная информатика</v>
      </c>
      <c r="F69" s="9" t="s">
        <v>413</v>
      </c>
      <c r="G69" s="9" t="s">
        <v>42</v>
      </c>
      <c r="H69" s="10" t="s">
        <v>3233</v>
      </c>
      <c r="I69" s="10"/>
      <c r="J69" s="111" t="s">
        <v>3268</v>
      </c>
      <c r="K69" s="11">
        <v>5</v>
      </c>
      <c r="L69" s="11">
        <v>18</v>
      </c>
      <c r="M69" s="8" t="s">
        <v>94</v>
      </c>
      <c r="N69" s="13"/>
      <c r="O69" s="12">
        <v>2</v>
      </c>
      <c r="P69" s="13"/>
      <c r="Q69" s="8"/>
      <c r="R69" s="13"/>
      <c r="S69" s="13"/>
      <c r="T69" s="13"/>
      <c r="U69" s="13"/>
      <c r="V69" s="13"/>
      <c r="W69" s="83" t="str">
        <f t="shared" si="4"/>
        <v>НПИбд</v>
      </c>
      <c r="X69" s="110" t="s">
        <v>3242</v>
      </c>
      <c r="Y69" s="11">
        <v>1</v>
      </c>
      <c r="Z69" s="11">
        <v>1</v>
      </c>
      <c r="AA69" s="83">
        <f t="shared" si="41"/>
        <v>11</v>
      </c>
      <c r="AB69" s="11">
        <v>10</v>
      </c>
      <c r="AC69" s="11">
        <v>1</v>
      </c>
      <c r="AD69" s="81">
        <f t="shared" si="5"/>
        <v>12</v>
      </c>
      <c r="AE69" s="82">
        <f t="shared" si="42"/>
        <v>0.91666666666666663</v>
      </c>
      <c r="AF69" s="82">
        <f t="shared" si="43"/>
        <v>0.91666666666666663</v>
      </c>
      <c r="AG69" s="102" t="s">
        <v>3250</v>
      </c>
      <c r="AH69" s="8" t="s">
        <v>203</v>
      </c>
      <c r="AI69" s="8" t="s">
        <v>214</v>
      </c>
      <c r="AJ69" s="35" t="s">
        <v>3346</v>
      </c>
      <c r="AK69" s="8"/>
      <c r="AL69" s="42">
        <f t="shared" si="7"/>
        <v>0</v>
      </c>
      <c r="AM69" s="42">
        <f t="shared" si="146"/>
        <v>0</v>
      </c>
      <c r="AN69" s="42">
        <f t="shared" si="147"/>
        <v>33</v>
      </c>
      <c r="AO69" s="42">
        <f t="shared" si="10"/>
        <v>0</v>
      </c>
      <c r="AP69" s="42">
        <f t="shared" si="148"/>
        <v>0</v>
      </c>
      <c r="AQ69" s="42">
        <f t="shared" si="149"/>
        <v>0</v>
      </c>
      <c r="AR69" s="42">
        <f t="shared" si="13"/>
        <v>0</v>
      </c>
      <c r="AS69" s="42">
        <f t="shared" si="150"/>
        <v>0</v>
      </c>
      <c r="AT69" s="42">
        <f t="shared" si="151"/>
        <v>0</v>
      </c>
      <c r="AU69" s="42">
        <f t="shared" si="152"/>
        <v>0</v>
      </c>
      <c r="AV69" s="42">
        <f>IF(M69="ПП",РПП*AA69*(U69/1.5),IF(M69="ВП",ВПр*AA69*(U69/1.5),IF(M69="РПА",РПА*AA69*(U69/1.5),IF(M69="КПА",КПА*AA69*(U69/1.5),0))))</f>
        <v>0</v>
      </c>
      <c r="AW69" s="42">
        <f t="shared" si="153"/>
        <v>0</v>
      </c>
      <c r="AX69" s="42">
        <f t="shared" si="18"/>
        <v>0</v>
      </c>
      <c r="AY69" s="42">
        <f t="shared" si="19"/>
        <v>0</v>
      </c>
      <c r="AZ69" s="42">
        <f t="shared" si="154"/>
        <v>0</v>
      </c>
      <c r="BA69" s="42">
        <f t="shared" si="21"/>
        <v>0</v>
      </c>
      <c r="BB69" s="42">
        <f t="shared" si="22"/>
        <v>0</v>
      </c>
      <c r="BC69" s="42">
        <f t="shared" si="23"/>
        <v>0</v>
      </c>
      <c r="BD69" s="42">
        <f t="shared" si="155"/>
        <v>0</v>
      </c>
      <c r="BE69" s="43">
        <f t="shared" si="156"/>
        <v>33</v>
      </c>
      <c r="BF69" s="44"/>
      <c r="BG69" s="45">
        <f t="shared" si="157"/>
        <v>33</v>
      </c>
      <c r="BH69" s="45">
        <f t="shared" si="158"/>
        <v>1</v>
      </c>
      <c r="BI69" s="45">
        <f t="shared" si="159"/>
        <v>0</v>
      </c>
      <c r="BJ69" s="46">
        <f t="shared" si="160"/>
        <v>0</v>
      </c>
      <c r="BK69" s="46">
        <f t="shared" si="161"/>
        <v>0</v>
      </c>
      <c r="BL69" s="46">
        <f t="shared" si="162"/>
        <v>0</v>
      </c>
    </row>
    <row r="70" spans="1:64" ht="30" customHeight="1" x14ac:dyDescent="0.25">
      <c r="A70" s="84" t="str">
        <f t="shared" ref="A70:A133" si="163">IF(C70&gt;0, VLOOKUP(C70,Код_ООП,12,FALSE),0)</f>
        <v>Д</v>
      </c>
      <c r="B70" s="84" t="str">
        <f t="shared" ref="B70:B136" si="164">IF(C70&gt;0, VLOOKUP(C70,Код_ООП,11,FALSE),0)</f>
        <v>Б</v>
      </c>
      <c r="C70" s="101" t="s">
        <v>1471</v>
      </c>
      <c r="D70" s="16" t="str">
        <f t="shared" ref="D70:D136" si="165">IF(C70&gt;0, VLOOKUP(C70,Код_ООП,2,FALSE),0)</f>
        <v>'09.03.03</v>
      </c>
      <c r="E70" s="17" t="str">
        <f t="shared" ref="E70:E136" si="166">IF(C70&gt;0, VLOOKUP(C70,Код_ООП,13,FALSE),0)</f>
        <v>Прикладная информатика</v>
      </c>
      <c r="F70" s="9" t="s">
        <v>413</v>
      </c>
      <c r="G70" s="9" t="s">
        <v>42</v>
      </c>
      <c r="H70" s="10" t="s">
        <v>3233</v>
      </c>
      <c r="I70" s="10"/>
      <c r="J70" s="24" t="s">
        <v>3210</v>
      </c>
      <c r="K70" s="11">
        <v>2</v>
      </c>
      <c r="L70" s="11">
        <v>18</v>
      </c>
      <c r="M70" s="8" t="s">
        <v>23</v>
      </c>
      <c r="N70" s="11">
        <v>1</v>
      </c>
      <c r="O70" s="11"/>
      <c r="P70" s="11"/>
      <c r="Q70" s="8"/>
      <c r="R70" s="11"/>
      <c r="S70" s="11"/>
      <c r="T70" s="23"/>
      <c r="U70" s="11"/>
      <c r="V70" s="11"/>
      <c r="W70" s="83" t="str">
        <f t="shared" ref="W70:W133" si="167">MID(C70,1,5)</f>
        <v>НПИбд</v>
      </c>
      <c r="X70" s="110" t="s">
        <v>3273</v>
      </c>
      <c r="Y70" s="11">
        <v>5</v>
      </c>
      <c r="Z70" s="11">
        <v>3</v>
      </c>
      <c r="AA70" s="83">
        <f t="shared" ref="AA70:AA136" si="168">AB70+AC70</f>
        <v>67</v>
      </c>
      <c r="AB70" s="11">
        <v>53</v>
      </c>
      <c r="AC70" s="11">
        <v>14</v>
      </c>
      <c r="AD70" s="81">
        <f t="shared" ref="AD70:AD133" si="169">IF(M70="сп",6,IF(M70="клн",8,IF(OR(M70="лаб",M70="ия"),12,IF(OR(M70="пр",M70="ТЕСТ"),IF(OR(B70="Б",B70="С"),24,12),IF(M70="лек",AA70,1)))))</f>
        <v>67</v>
      </c>
      <c r="AE70" s="82">
        <f t="shared" ref="AE70:AE136" si="170">IF(AF70&gt;1,1,AF70)</f>
        <v>1</v>
      </c>
      <c r="AF70" s="82">
        <f t="shared" ref="AF70:AF136" si="171">AA70/AD70</f>
        <v>1</v>
      </c>
      <c r="AG70" s="102" t="s">
        <v>3250</v>
      </c>
      <c r="AH70" s="8" t="s">
        <v>204</v>
      </c>
      <c r="AI70" s="8" t="s">
        <v>212</v>
      </c>
      <c r="AJ70" s="35" t="s">
        <v>3261</v>
      </c>
      <c r="AK70" s="8"/>
      <c r="AL70" s="42">
        <f t="shared" ref="AL70:AL133" si="172">IF(OR(M70="лек",M70="ТУИС"),(IF(NOT(B70="ЦМ"),N70*L70,0)),0)</f>
        <v>18</v>
      </c>
      <c r="AM70" s="42">
        <f t="shared" si="146"/>
        <v>0</v>
      </c>
      <c r="AN70" s="42">
        <f t="shared" si="147"/>
        <v>0</v>
      </c>
      <c r="AO70" s="42">
        <f t="shared" si="10"/>
        <v>0</v>
      </c>
      <c r="AP70" s="42">
        <f t="shared" si="148"/>
        <v>0</v>
      </c>
      <c r="AQ70" s="42">
        <f t="shared" si="149"/>
        <v>0</v>
      </c>
      <c r="AR70" s="42">
        <f t="shared" ref="AR70:AR133" si="173">(IF(A70="Д",ТКЛД,IF(A70="В",ТКЛВ,IF(A70="З",ТКЛЗ,0))))*(IF(F70="ФТД",0,AL70))*Z70</f>
        <v>2.7</v>
      </c>
      <c r="AS70" s="42">
        <f t="shared" si="150"/>
        <v>0</v>
      </c>
      <c r="AT70" s="42">
        <f t="shared" si="151"/>
        <v>0</v>
      </c>
      <c r="AU70" s="42">
        <f t="shared" si="152"/>
        <v>0</v>
      </c>
      <c r="AV70" s="42">
        <f>IF(M70="ПП",РПП*AA70*(U70/1.5),IF(M70="ВП",ВПр*AA70*(U70/1.5),IF(M70="РПА",РПА*AA70*(U70/1.5),IF(M70="КПА",КПА*AA70*(U70/1.5),0))))</f>
        <v>0</v>
      </c>
      <c r="AW70" s="42">
        <f t="shared" si="153"/>
        <v>0</v>
      </c>
      <c r="AX70" s="42">
        <f t="shared" ref="AX70:AX133" si="174">IF(AND(M70="ЦП",B70="ЦМ"),AA70*ЦП,0)</f>
        <v>0</v>
      </c>
      <c r="AY70" s="42">
        <f t="shared" ref="AY70:AY133" si="175">IF(B70="А",IF(M70="РР",AA70*РефАсп,IF(M70="РРФ",AA70*РефФил,0)),0)</f>
        <v>0</v>
      </c>
      <c r="AZ70" s="42">
        <f t="shared" si="154"/>
        <v>0</v>
      </c>
      <c r="BA70" s="42">
        <f t="shared" ref="BA70:BA133" si="176">IF(AND(M70="НКД",B70="Д"),AA70*НКД,0)+IF(AND(M70="РПЛ",B70="А"),AA70*РукПЛ,0)+IF(AND(M70="РСтж",B70="А"),AB70*РукСт+AC70*РукИСт,0)+IF(M70="ФГТ",AB70*РукРФа+AC70*РукИна,0)</f>
        <v>0</v>
      </c>
      <c r="BB70" s="42">
        <f t="shared" ref="BB70:BB133" si="177">IF(M70="РК",IF(OR(B70="С",B70="М",B70="ЦМ"),(AB70*РСМ+AC70*РСМИ),0),0)+IF(M70="РК",IF(B70="Б",(AB70*РБ+AC70*РБИ),0),0)+IF(M70="РК",IF(B70="А",(AB70*РНКР+AC70*РНКРИн),0),0)+IF(AND(Q70="ПАкр"),AA70*0.3)</f>
        <v>0</v>
      </c>
      <c r="BC70" s="42">
        <f t="shared" ref="BC70:BC133" si="178">IF(M70="РДП",IF(B70="А",AA70*РРА,IF(OR(B70="С",B70="М",B70="ЦМ"),AA70*РРСМ,IF(B70="Б",AA70*РРБ,0))),IF(M70="РДИ",AA70*РДП,0))</f>
        <v>0</v>
      </c>
      <c r="BD70" s="42">
        <f t="shared" si="155"/>
        <v>0</v>
      </c>
      <c r="BE70" s="43">
        <f t="shared" si="156"/>
        <v>20.7</v>
      </c>
      <c r="BF70" s="44"/>
      <c r="BG70" s="45">
        <f t="shared" si="157"/>
        <v>0</v>
      </c>
      <c r="BH70" s="45">
        <f t="shared" si="158"/>
        <v>0</v>
      </c>
      <c r="BI70" s="45">
        <f t="shared" si="159"/>
        <v>0</v>
      </c>
      <c r="BJ70" s="46">
        <f t="shared" si="160"/>
        <v>18</v>
      </c>
      <c r="BK70" s="46">
        <f t="shared" si="161"/>
        <v>0.5</v>
      </c>
      <c r="BL70" s="46">
        <f t="shared" si="162"/>
        <v>2.7</v>
      </c>
    </row>
    <row r="71" spans="1:64" ht="30" customHeight="1" x14ac:dyDescent="0.25">
      <c r="A71" s="84" t="str">
        <f t="shared" si="163"/>
        <v>Д</v>
      </c>
      <c r="B71" s="84" t="str">
        <f t="shared" si="164"/>
        <v>Б</v>
      </c>
      <c r="C71" s="101" t="s">
        <v>1471</v>
      </c>
      <c r="D71" s="16" t="str">
        <f t="shared" si="165"/>
        <v>'09.03.03</v>
      </c>
      <c r="E71" s="17" t="str">
        <f t="shared" si="166"/>
        <v>Прикладная информатика</v>
      </c>
      <c r="F71" s="9" t="s">
        <v>413</v>
      </c>
      <c r="G71" s="9" t="s">
        <v>42</v>
      </c>
      <c r="H71" s="10" t="s">
        <v>3233</v>
      </c>
      <c r="I71" s="10"/>
      <c r="J71" s="24" t="s">
        <v>3210</v>
      </c>
      <c r="K71" s="11">
        <v>2</v>
      </c>
      <c r="L71" s="11">
        <v>18</v>
      </c>
      <c r="M71" s="8" t="s">
        <v>94</v>
      </c>
      <c r="N71" s="11"/>
      <c r="O71" s="11">
        <v>2</v>
      </c>
      <c r="P71" s="11"/>
      <c r="Q71" s="8" t="s">
        <v>102</v>
      </c>
      <c r="R71" s="11"/>
      <c r="S71" s="11"/>
      <c r="T71" s="23"/>
      <c r="U71" s="11"/>
      <c r="V71" s="11"/>
      <c r="W71" s="83" t="str">
        <f t="shared" si="167"/>
        <v>НПИбд</v>
      </c>
      <c r="X71" s="110" t="s">
        <v>3246</v>
      </c>
      <c r="Y71" s="11">
        <v>1</v>
      </c>
      <c r="Z71" s="11">
        <v>1</v>
      </c>
      <c r="AA71" s="83">
        <f t="shared" si="168"/>
        <v>14</v>
      </c>
      <c r="AB71" s="11">
        <v>11</v>
      </c>
      <c r="AC71" s="11">
        <v>3</v>
      </c>
      <c r="AD71" s="81">
        <f t="shared" si="169"/>
        <v>12</v>
      </c>
      <c r="AE71" s="82">
        <f t="shared" si="170"/>
        <v>1</v>
      </c>
      <c r="AF71" s="82">
        <f t="shared" si="171"/>
        <v>1.1666666666666667</v>
      </c>
      <c r="AG71" s="102" t="s">
        <v>3250</v>
      </c>
      <c r="AH71" s="8" t="s">
        <v>204</v>
      </c>
      <c r="AI71" s="8" t="s">
        <v>212</v>
      </c>
      <c r="AJ71" s="35" t="s">
        <v>3261</v>
      </c>
      <c r="AK71" s="8"/>
      <c r="AL71" s="42">
        <f t="shared" si="172"/>
        <v>0</v>
      </c>
      <c r="AM71" s="42">
        <f t="shared" si="146"/>
        <v>0</v>
      </c>
      <c r="AN71" s="42">
        <f t="shared" si="147"/>
        <v>36</v>
      </c>
      <c r="AO71" s="42">
        <f t="shared" si="10"/>
        <v>4.62</v>
      </c>
      <c r="AP71" s="42">
        <f t="shared" si="148"/>
        <v>7</v>
      </c>
      <c r="AQ71" s="42">
        <f t="shared" si="149"/>
        <v>1</v>
      </c>
      <c r="AR71" s="42">
        <f t="shared" si="173"/>
        <v>0</v>
      </c>
      <c r="AS71" s="42">
        <f t="shared" si="150"/>
        <v>0</v>
      </c>
      <c r="AT71" s="42">
        <f t="shared" si="151"/>
        <v>0</v>
      </c>
      <c r="AU71" s="42">
        <f t="shared" si="152"/>
        <v>0</v>
      </c>
      <c r="AV71" s="42">
        <f>IF(M71="ПП",РПП*AA71*(U71/1.5),IF(M71="ВП",ВПр*AA71*(U71/1.5),IF(M71="РПА",РПА*AA71*(U71/1.5),IF(M71="КПА",КПА*AA71*(U71/1.5),0))))</f>
        <v>0</v>
      </c>
      <c r="AW71" s="42">
        <f t="shared" si="153"/>
        <v>0</v>
      </c>
      <c r="AX71" s="42">
        <f t="shared" si="174"/>
        <v>0</v>
      </c>
      <c r="AY71" s="42">
        <f t="shared" si="175"/>
        <v>0</v>
      </c>
      <c r="AZ71" s="42">
        <f t="shared" si="154"/>
        <v>0</v>
      </c>
      <c r="BA71" s="42">
        <f t="shared" si="176"/>
        <v>0</v>
      </c>
      <c r="BB71" s="42">
        <f t="shared" si="177"/>
        <v>0</v>
      </c>
      <c r="BC71" s="42">
        <f t="shared" si="178"/>
        <v>0</v>
      </c>
      <c r="BD71" s="42">
        <f t="shared" si="155"/>
        <v>0</v>
      </c>
      <c r="BE71" s="43">
        <f t="shared" si="156"/>
        <v>48.62</v>
      </c>
      <c r="BF71" s="44"/>
      <c r="BG71" s="45">
        <f t="shared" si="157"/>
        <v>0</v>
      </c>
      <c r="BH71" s="45">
        <f t="shared" si="158"/>
        <v>0</v>
      </c>
      <c r="BI71" s="45">
        <f t="shared" si="159"/>
        <v>0</v>
      </c>
      <c r="BJ71" s="46">
        <f t="shared" si="160"/>
        <v>36</v>
      </c>
      <c r="BK71" s="46">
        <f t="shared" si="161"/>
        <v>1</v>
      </c>
      <c r="BL71" s="46">
        <f t="shared" si="162"/>
        <v>12.620000000000001</v>
      </c>
    </row>
    <row r="72" spans="1:64" ht="30" customHeight="1" x14ac:dyDescent="0.25">
      <c r="A72" s="84" t="str">
        <f t="shared" si="163"/>
        <v>Д</v>
      </c>
      <c r="B72" s="84" t="str">
        <f t="shared" si="164"/>
        <v>Б</v>
      </c>
      <c r="C72" s="101" t="s">
        <v>1471</v>
      </c>
      <c r="D72" s="16" t="str">
        <f t="shared" si="165"/>
        <v>'09.03.03</v>
      </c>
      <c r="E72" s="17" t="str">
        <f t="shared" si="166"/>
        <v>Прикладная информатика</v>
      </c>
      <c r="F72" s="9" t="s">
        <v>413</v>
      </c>
      <c r="G72" s="9" t="s">
        <v>42</v>
      </c>
      <c r="H72" s="10" t="s">
        <v>3233</v>
      </c>
      <c r="I72" s="10"/>
      <c r="J72" s="24" t="s">
        <v>3210</v>
      </c>
      <c r="K72" s="11">
        <v>2</v>
      </c>
      <c r="L72" s="11">
        <v>18</v>
      </c>
      <c r="M72" s="8" t="s">
        <v>94</v>
      </c>
      <c r="N72" s="11"/>
      <c r="O72" s="11">
        <v>2</v>
      </c>
      <c r="P72" s="11"/>
      <c r="Q72" s="8" t="s">
        <v>102</v>
      </c>
      <c r="R72" s="11"/>
      <c r="S72" s="11"/>
      <c r="T72" s="11"/>
      <c r="U72" s="11"/>
      <c r="V72" s="11"/>
      <c r="W72" s="83" t="str">
        <f t="shared" si="167"/>
        <v>НПИбд</v>
      </c>
      <c r="X72" s="110" t="s">
        <v>3246</v>
      </c>
      <c r="Y72" s="11">
        <v>1</v>
      </c>
      <c r="Z72" s="11"/>
      <c r="AA72" s="83">
        <f t="shared" si="168"/>
        <v>13</v>
      </c>
      <c r="AB72" s="11">
        <v>11</v>
      </c>
      <c r="AC72" s="11">
        <v>2</v>
      </c>
      <c r="AD72" s="81">
        <f t="shared" si="169"/>
        <v>12</v>
      </c>
      <c r="AE72" s="82">
        <f t="shared" si="170"/>
        <v>1</v>
      </c>
      <c r="AF72" s="82">
        <f t="shared" si="171"/>
        <v>1.0833333333333333</v>
      </c>
      <c r="AG72" s="102" t="s">
        <v>3250</v>
      </c>
      <c r="AH72" s="8" t="s">
        <v>204</v>
      </c>
      <c r="AI72" s="8" t="s">
        <v>212</v>
      </c>
      <c r="AJ72" s="35" t="s">
        <v>3261</v>
      </c>
      <c r="AK72" s="8"/>
      <c r="AL72" s="42">
        <f t="shared" si="172"/>
        <v>0</v>
      </c>
      <c r="AM72" s="42">
        <f t="shared" si="146"/>
        <v>0</v>
      </c>
      <c r="AN72" s="42">
        <f t="shared" si="147"/>
        <v>36</v>
      </c>
      <c r="AO72" s="42">
        <f t="shared" si="10"/>
        <v>4.29</v>
      </c>
      <c r="AP72" s="42">
        <f t="shared" si="148"/>
        <v>6.5</v>
      </c>
      <c r="AQ72" s="42">
        <f t="shared" si="149"/>
        <v>0</v>
      </c>
      <c r="AR72" s="42">
        <f t="shared" si="173"/>
        <v>0</v>
      </c>
      <c r="AS72" s="42">
        <f t="shared" si="150"/>
        <v>0</v>
      </c>
      <c r="AT72" s="42">
        <f t="shared" si="151"/>
        <v>0</v>
      </c>
      <c r="AU72" s="42">
        <f t="shared" si="152"/>
        <v>0</v>
      </c>
      <c r="AV72" s="42">
        <f>IF(M72="ПП",РПП*AA72*(U72/1.5),IF(M72="ВП",ВПр*AA72*(U72/1.5),IF(M72="РПА",РПА*AA72*(U72/1.5),IF(M72="КПА",КПА*AA72*(U72/1.5),0))))</f>
        <v>0</v>
      </c>
      <c r="AW72" s="42">
        <f t="shared" si="153"/>
        <v>0</v>
      </c>
      <c r="AX72" s="42">
        <f t="shared" si="174"/>
        <v>0</v>
      </c>
      <c r="AY72" s="42">
        <f t="shared" si="175"/>
        <v>0</v>
      </c>
      <c r="AZ72" s="42">
        <f t="shared" si="154"/>
        <v>0</v>
      </c>
      <c r="BA72" s="42">
        <f t="shared" si="176"/>
        <v>0</v>
      </c>
      <c r="BB72" s="42">
        <f t="shared" si="177"/>
        <v>0</v>
      </c>
      <c r="BC72" s="42">
        <f t="shared" si="178"/>
        <v>0</v>
      </c>
      <c r="BD72" s="42">
        <f t="shared" si="155"/>
        <v>0</v>
      </c>
      <c r="BE72" s="43">
        <f t="shared" si="156"/>
        <v>46.79</v>
      </c>
      <c r="BF72" s="44"/>
      <c r="BG72" s="45">
        <f t="shared" si="157"/>
        <v>0</v>
      </c>
      <c r="BH72" s="45">
        <f t="shared" si="158"/>
        <v>0</v>
      </c>
      <c r="BI72" s="45">
        <f t="shared" si="159"/>
        <v>0</v>
      </c>
      <c r="BJ72" s="46">
        <f t="shared" si="160"/>
        <v>36</v>
      </c>
      <c r="BK72" s="46">
        <f t="shared" si="161"/>
        <v>1</v>
      </c>
      <c r="BL72" s="46">
        <f t="shared" si="162"/>
        <v>10.79</v>
      </c>
    </row>
    <row r="73" spans="1:64" ht="30" customHeight="1" x14ac:dyDescent="0.25">
      <c r="A73" s="84" t="str">
        <f t="shared" si="163"/>
        <v>Д</v>
      </c>
      <c r="B73" s="84" t="str">
        <f t="shared" si="164"/>
        <v>Б</v>
      </c>
      <c r="C73" s="101" t="s">
        <v>1471</v>
      </c>
      <c r="D73" s="16" t="str">
        <f t="shared" si="165"/>
        <v>'09.03.03</v>
      </c>
      <c r="E73" s="17" t="str">
        <f t="shared" si="166"/>
        <v>Прикладная информатика</v>
      </c>
      <c r="F73" s="9" t="s">
        <v>413</v>
      </c>
      <c r="G73" s="9" t="s">
        <v>42</v>
      </c>
      <c r="H73" s="10" t="s">
        <v>3233</v>
      </c>
      <c r="I73" s="10"/>
      <c r="J73" s="24" t="s">
        <v>3210</v>
      </c>
      <c r="K73" s="11">
        <v>2</v>
      </c>
      <c r="L73" s="11">
        <v>18</v>
      </c>
      <c r="M73" s="8" t="s">
        <v>94</v>
      </c>
      <c r="N73" s="11"/>
      <c r="O73" s="11">
        <v>2</v>
      </c>
      <c r="P73" s="11"/>
      <c r="Q73" s="8" t="s">
        <v>102</v>
      </c>
      <c r="R73" s="11"/>
      <c r="S73" s="11"/>
      <c r="T73" s="11"/>
      <c r="U73" s="11"/>
      <c r="V73" s="11"/>
      <c r="W73" s="83" t="str">
        <f t="shared" si="167"/>
        <v>НПИбд</v>
      </c>
      <c r="X73" s="110" t="s">
        <v>3247</v>
      </c>
      <c r="Y73" s="11">
        <v>1</v>
      </c>
      <c r="Z73" s="11">
        <v>1</v>
      </c>
      <c r="AA73" s="83">
        <f t="shared" si="168"/>
        <v>14</v>
      </c>
      <c r="AB73" s="11">
        <v>11</v>
      </c>
      <c r="AC73" s="11">
        <v>3</v>
      </c>
      <c r="AD73" s="81">
        <f t="shared" si="169"/>
        <v>12</v>
      </c>
      <c r="AE73" s="82">
        <f t="shared" si="170"/>
        <v>1</v>
      </c>
      <c r="AF73" s="82">
        <f t="shared" si="171"/>
        <v>1.1666666666666667</v>
      </c>
      <c r="AG73" s="102" t="s">
        <v>3250</v>
      </c>
      <c r="AH73" s="8" t="s">
        <v>203</v>
      </c>
      <c r="AI73" s="8" t="s">
        <v>213</v>
      </c>
      <c r="AJ73" s="35" t="s">
        <v>3262</v>
      </c>
      <c r="AK73" s="8"/>
      <c r="AL73" s="42">
        <f t="shared" si="172"/>
        <v>0</v>
      </c>
      <c r="AM73" s="42">
        <f t="shared" si="146"/>
        <v>0</v>
      </c>
      <c r="AN73" s="42">
        <f t="shared" si="147"/>
        <v>36</v>
      </c>
      <c r="AO73" s="42">
        <f t="shared" si="10"/>
        <v>4.62</v>
      </c>
      <c r="AP73" s="42">
        <f t="shared" si="148"/>
        <v>7</v>
      </c>
      <c r="AQ73" s="42">
        <f t="shared" si="149"/>
        <v>1</v>
      </c>
      <c r="AR73" s="42">
        <f t="shared" si="173"/>
        <v>0</v>
      </c>
      <c r="AS73" s="42">
        <f t="shared" si="150"/>
        <v>0</v>
      </c>
      <c r="AT73" s="42">
        <f t="shared" si="151"/>
        <v>0</v>
      </c>
      <c r="AU73" s="42">
        <f t="shared" si="152"/>
        <v>0</v>
      </c>
      <c r="AV73" s="42">
        <f>IF(M73="ПП",РПП*AA73*(U73/1.5),IF(M73="ВП",ВПр*AA73*(U73/1.5),IF(M73="РПА",РПА*AA73*(U73/1.5),IF(M73="КПА",КПА*AA73*(U73/1.5),0))))</f>
        <v>0</v>
      </c>
      <c r="AW73" s="42">
        <f t="shared" si="153"/>
        <v>0</v>
      </c>
      <c r="AX73" s="42">
        <f t="shared" si="174"/>
        <v>0</v>
      </c>
      <c r="AY73" s="42">
        <f t="shared" si="175"/>
        <v>0</v>
      </c>
      <c r="AZ73" s="42">
        <f t="shared" si="154"/>
        <v>0</v>
      </c>
      <c r="BA73" s="42">
        <f t="shared" si="176"/>
        <v>0</v>
      </c>
      <c r="BB73" s="42">
        <f t="shared" si="177"/>
        <v>0</v>
      </c>
      <c r="BC73" s="42">
        <f t="shared" si="178"/>
        <v>0</v>
      </c>
      <c r="BD73" s="42">
        <f t="shared" si="155"/>
        <v>0</v>
      </c>
      <c r="BE73" s="43">
        <f t="shared" si="156"/>
        <v>48.62</v>
      </c>
      <c r="BF73" s="44"/>
      <c r="BG73" s="45">
        <f t="shared" si="157"/>
        <v>0</v>
      </c>
      <c r="BH73" s="45">
        <f t="shared" si="158"/>
        <v>0</v>
      </c>
      <c r="BI73" s="45">
        <f t="shared" si="159"/>
        <v>0</v>
      </c>
      <c r="BJ73" s="46">
        <f t="shared" si="160"/>
        <v>36</v>
      </c>
      <c r="BK73" s="46">
        <f t="shared" si="161"/>
        <v>1</v>
      </c>
      <c r="BL73" s="46">
        <f t="shared" si="162"/>
        <v>12.620000000000001</v>
      </c>
    </row>
    <row r="74" spans="1:64" ht="30" customHeight="1" x14ac:dyDescent="0.25">
      <c r="A74" s="84" t="str">
        <f t="shared" si="163"/>
        <v>Д</v>
      </c>
      <c r="B74" s="84" t="str">
        <f t="shared" si="164"/>
        <v>Б</v>
      </c>
      <c r="C74" s="101" t="s">
        <v>1471</v>
      </c>
      <c r="D74" s="16" t="str">
        <f t="shared" si="165"/>
        <v>'09.03.03</v>
      </c>
      <c r="E74" s="17" t="str">
        <f t="shared" si="166"/>
        <v>Прикладная информатика</v>
      </c>
      <c r="F74" s="9" t="s">
        <v>413</v>
      </c>
      <c r="G74" s="9" t="s">
        <v>42</v>
      </c>
      <c r="H74" s="10" t="s">
        <v>3233</v>
      </c>
      <c r="I74" s="10"/>
      <c r="J74" s="24" t="s">
        <v>3210</v>
      </c>
      <c r="K74" s="11">
        <v>2</v>
      </c>
      <c r="L74" s="11">
        <v>18</v>
      </c>
      <c r="M74" s="8" t="s">
        <v>94</v>
      </c>
      <c r="N74" s="11"/>
      <c r="O74" s="11">
        <v>2</v>
      </c>
      <c r="P74" s="11"/>
      <c r="Q74" s="8" t="s">
        <v>102</v>
      </c>
      <c r="R74" s="11"/>
      <c r="S74" s="11"/>
      <c r="T74" s="11"/>
      <c r="U74" s="11"/>
      <c r="V74" s="11"/>
      <c r="W74" s="83" t="str">
        <f t="shared" si="167"/>
        <v>НПИбд</v>
      </c>
      <c r="X74" s="110" t="s">
        <v>3247</v>
      </c>
      <c r="Y74" s="11">
        <v>1</v>
      </c>
      <c r="Z74" s="11"/>
      <c r="AA74" s="83">
        <f t="shared" si="168"/>
        <v>13</v>
      </c>
      <c r="AB74" s="11">
        <v>10</v>
      </c>
      <c r="AC74" s="11">
        <v>3</v>
      </c>
      <c r="AD74" s="81">
        <f t="shared" si="169"/>
        <v>12</v>
      </c>
      <c r="AE74" s="82">
        <f t="shared" si="170"/>
        <v>1</v>
      </c>
      <c r="AF74" s="82">
        <f t="shared" si="171"/>
        <v>1.0833333333333333</v>
      </c>
      <c r="AG74" s="102" t="s">
        <v>3250</v>
      </c>
      <c r="AH74" s="8" t="s">
        <v>203</v>
      </c>
      <c r="AI74" s="8" t="s">
        <v>213</v>
      </c>
      <c r="AJ74" s="36" t="s">
        <v>3262</v>
      </c>
      <c r="AK74" s="8"/>
      <c r="AL74" s="42">
        <f t="shared" si="172"/>
        <v>0</v>
      </c>
      <c r="AM74" s="42">
        <f t="shared" si="146"/>
        <v>0</v>
      </c>
      <c r="AN74" s="42">
        <f t="shared" si="147"/>
        <v>36</v>
      </c>
      <c r="AO74" s="42">
        <f t="shared" si="10"/>
        <v>4.29</v>
      </c>
      <c r="AP74" s="42">
        <f t="shared" si="148"/>
        <v>6.5</v>
      </c>
      <c r="AQ74" s="42">
        <f t="shared" si="149"/>
        <v>0</v>
      </c>
      <c r="AR74" s="42">
        <f t="shared" si="173"/>
        <v>0</v>
      </c>
      <c r="AS74" s="42">
        <f t="shared" si="150"/>
        <v>0</v>
      </c>
      <c r="AT74" s="42">
        <f t="shared" si="151"/>
        <v>0</v>
      </c>
      <c r="AU74" s="42">
        <f t="shared" si="152"/>
        <v>0</v>
      </c>
      <c r="AV74" s="42">
        <f>IF(M74="ПП",РПП*AA74*(U74/1.5),IF(M74="ВП",ВПр*AA74*(U74/1.5),IF(M74="РПА",РПА*AA74*(U74/1.5),IF(M74="КПА",КПА*AA74*(U74/1.5),0))))</f>
        <v>0</v>
      </c>
      <c r="AW74" s="42">
        <f t="shared" si="153"/>
        <v>0</v>
      </c>
      <c r="AX74" s="42">
        <f t="shared" si="174"/>
        <v>0</v>
      </c>
      <c r="AY74" s="42">
        <f t="shared" si="175"/>
        <v>0</v>
      </c>
      <c r="AZ74" s="42">
        <f t="shared" si="154"/>
        <v>0</v>
      </c>
      <c r="BA74" s="42">
        <f t="shared" si="176"/>
        <v>0</v>
      </c>
      <c r="BB74" s="42">
        <f t="shared" si="177"/>
        <v>0</v>
      </c>
      <c r="BC74" s="42">
        <f t="shared" si="178"/>
        <v>0</v>
      </c>
      <c r="BD74" s="42">
        <f t="shared" si="155"/>
        <v>0</v>
      </c>
      <c r="BE74" s="43">
        <f t="shared" si="156"/>
        <v>46.79</v>
      </c>
      <c r="BF74" s="44"/>
      <c r="BG74" s="45">
        <f t="shared" si="157"/>
        <v>0</v>
      </c>
      <c r="BH74" s="45">
        <f t="shared" si="158"/>
        <v>0</v>
      </c>
      <c r="BI74" s="45">
        <f t="shared" si="159"/>
        <v>0</v>
      </c>
      <c r="BJ74" s="46">
        <f t="shared" si="160"/>
        <v>36</v>
      </c>
      <c r="BK74" s="46">
        <f t="shared" si="161"/>
        <v>1</v>
      </c>
      <c r="BL74" s="46">
        <f t="shared" si="162"/>
        <v>10.79</v>
      </c>
    </row>
    <row r="75" spans="1:64" ht="30" customHeight="1" x14ac:dyDescent="0.25">
      <c r="A75" s="84" t="str">
        <f t="shared" si="163"/>
        <v>Д</v>
      </c>
      <c r="B75" s="84" t="str">
        <f t="shared" si="164"/>
        <v>Б</v>
      </c>
      <c r="C75" s="101" t="s">
        <v>1471</v>
      </c>
      <c r="D75" s="16" t="str">
        <f t="shared" si="165"/>
        <v>'09.03.03</v>
      </c>
      <c r="E75" s="17" t="str">
        <f t="shared" si="166"/>
        <v>Прикладная информатика</v>
      </c>
      <c r="F75" s="9" t="s">
        <v>413</v>
      </c>
      <c r="G75" s="9" t="s">
        <v>42</v>
      </c>
      <c r="H75" s="10" t="s">
        <v>3233</v>
      </c>
      <c r="I75" s="10"/>
      <c r="J75" s="24" t="s">
        <v>3210</v>
      </c>
      <c r="K75" s="11">
        <v>2</v>
      </c>
      <c r="L75" s="11">
        <v>18</v>
      </c>
      <c r="M75" s="8" t="s">
        <v>94</v>
      </c>
      <c r="N75" s="11"/>
      <c r="O75" s="11">
        <v>2</v>
      </c>
      <c r="P75" s="11"/>
      <c r="Q75" s="8" t="s">
        <v>102</v>
      </c>
      <c r="R75" s="11"/>
      <c r="S75" s="11"/>
      <c r="T75" s="11"/>
      <c r="U75" s="11"/>
      <c r="V75" s="11"/>
      <c r="W75" s="83" t="str">
        <f t="shared" si="167"/>
        <v>НПИбд</v>
      </c>
      <c r="X75" s="110" t="s">
        <v>3248</v>
      </c>
      <c r="Y75" s="11">
        <v>1</v>
      </c>
      <c r="Z75" s="11">
        <v>1</v>
      </c>
      <c r="AA75" s="83">
        <f t="shared" si="168"/>
        <v>13</v>
      </c>
      <c r="AB75" s="11">
        <v>10</v>
      </c>
      <c r="AC75" s="11">
        <v>3</v>
      </c>
      <c r="AD75" s="81">
        <f t="shared" si="169"/>
        <v>12</v>
      </c>
      <c r="AE75" s="82">
        <f t="shared" si="170"/>
        <v>1</v>
      </c>
      <c r="AF75" s="82">
        <f t="shared" si="171"/>
        <v>1.0833333333333333</v>
      </c>
      <c r="AG75" s="102" t="s">
        <v>3250</v>
      </c>
      <c r="AH75" s="8" t="s">
        <v>203</v>
      </c>
      <c r="AI75" s="8" t="s">
        <v>213</v>
      </c>
      <c r="AJ75" s="35" t="s">
        <v>3262</v>
      </c>
      <c r="AK75" s="8"/>
      <c r="AL75" s="42">
        <f t="shared" si="172"/>
        <v>0</v>
      </c>
      <c r="AM75" s="42">
        <f t="shared" si="146"/>
        <v>0</v>
      </c>
      <c r="AN75" s="42">
        <f t="shared" si="147"/>
        <v>36</v>
      </c>
      <c r="AO75" s="42">
        <f t="shared" si="10"/>
        <v>4.29</v>
      </c>
      <c r="AP75" s="42">
        <f t="shared" si="148"/>
        <v>6.5</v>
      </c>
      <c r="AQ75" s="42">
        <f t="shared" si="149"/>
        <v>1</v>
      </c>
      <c r="AR75" s="42">
        <f t="shared" si="173"/>
        <v>0</v>
      </c>
      <c r="AS75" s="42">
        <f t="shared" si="150"/>
        <v>0</v>
      </c>
      <c r="AT75" s="42">
        <f t="shared" si="151"/>
        <v>0</v>
      </c>
      <c r="AU75" s="42">
        <f t="shared" si="152"/>
        <v>0</v>
      </c>
      <c r="AV75" s="42">
        <f>IF(M75="ПП",РПП*AA75*(U75/1.5),IF(M75="ВП",ВПр*AA75*(U75/1.5),IF(M75="РПА",РПА*AA75*(U75/1.5),IF(M75="КПА",КПА*AA75*(U75/1.5),0))))</f>
        <v>0</v>
      </c>
      <c r="AW75" s="42">
        <f t="shared" si="153"/>
        <v>0</v>
      </c>
      <c r="AX75" s="42">
        <f t="shared" si="174"/>
        <v>0</v>
      </c>
      <c r="AY75" s="42">
        <f t="shared" si="175"/>
        <v>0</v>
      </c>
      <c r="AZ75" s="42">
        <f t="shared" si="154"/>
        <v>0</v>
      </c>
      <c r="BA75" s="42">
        <f t="shared" si="176"/>
        <v>0</v>
      </c>
      <c r="BB75" s="42">
        <f t="shared" si="177"/>
        <v>0</v>
      </c>
      <c r="BC75" s="42">
        <f t="shared" si="178"/>
        <v>0</v>
      </c>
      <c r="BD75" s="42">
        <f t="shared" si="155"/>
        <v>0</v>
      </c>
      <c r="BE75" s="43">
        <f t="shared" si="156"/>
        <v>47.79</v>
      </c>
      <c r="BF75" s="44"/>
      <c r="BG75" s="45">
        <f t="shared" si="157"/>
        <v>0</v>
      </c>
      <c r="BH75" s="45">
        <f t="shared" si="158"/>
        <v>0</v>
      </c>
      <c r="BI75" s="45">
        <f t="shared" si="159"/>
        <v>0</v>
      </c>
      <c r="BJ75" s="46">
        <f t="shared" si="160"/>
        <v>36</v>
      </c>
      <c r="BK75" s="46">
        <f t="shared" si="161"/>
        <v>1</v>
      </c>
      <c r="BL75" s="46">
        <f t="shared" si="162"/>
        <v>11.79</v>
      </c>
    </row>
    <row r="76" spans="1:64" ht="30" customHeight="1" x14ac:dyDescent="0.25">
      <c r="A76" s="84" t="str">
        <f t="shared" si="163"/>
        <v>Д</v>
      </c>
      <c r="B76" s="84" t="str">
        <f t="shared" si="164"/>
        <v>Б</v>
      </c>
      <c r="C76" s="101" t="s">
        <v>1471</v>
      </c>
      <c r="D76" s="16" t="str">
        <f t="shared" si="165"/>
        <v>'09.03.03</v>
      </c>
      <c r="E76" s="17" t="str">
        <f t="shared" si="166"/>
        <v>Прикладная информатика</v>
      </c>
      <c r="F76" s="9" t="s">
        <v>413</v>
      </c>
      <c r="G76" s="9" t="s">
        <v>42</v>
      </c>
      <c r="H76" s="10" t="s">
        <v>3233</v>
      </c>
      <c r="I76" s="10"/>
      <c r="J76" s="24" t="s">
        <v>3210</v>
      </c>
      <c r="K76" s="11">
        <v>2</v>
      </c>
      <c r="L76" s="11">
        <v>18</v>
      </c>
      <c r="M76" s="8" t="s">
        <v>94</v>
      </c>
      <c r="N76" s="11"/>
      <c r="O76" s="11">
        <v>2</v>
      </c>
      <c r="P76" s="11"/>
      <c r="Q76" s="8" t="s">
        <v>102</v>
      </c>
      <c r="R76" s="11"/>
      <c r="S76" s="11"/>
      <c r="T76" s="11"/>
      <c r="U76" s="11"/>
      <c r="V76" s="11"/>
      <c r="W76" s="83" t="str">
        <f t="shared" si="167"/>
        <v>НПИбд</v>
      </c>
      <c r="X76" s="110" t="s">
        <v>3248</v>
      </c>
      <c r="Y76" s="11"/>
      <c r="Z76" s="11"/>
      <c r="AA76" s="83">
        <f t="shared" si="168"/>
        <v>0</v>
      </c>
      <c r="AB76" s="11"/>
      <c r="AC76" s="11"/>
      <c r="AD76" s="81">
        <f t="shared" si="169"/>
        <v>12</v>
      </c>
      <c r="AE76" s="82">
        <f t="shared" si="170"/>
        <v>0</v>
      </c>
      <c r="AF76" s="82">
        <f t="shared" si="171"/>
        <v>0</v>
      </c>
      <c r="AG76" s="102" t="s">
        <v>3250</v>
      </c>
      <c r="AH76" s="8" t="s">
        <v>203</v>
      </c>
      <c r="AI76" s="8" t="s">
        <v>213</v>
      </c>
      <c r="AJ76" s="37" t="s">
        <v>3262</v>
      </c>
      <c r="AK76" s="8"/>
      <c r="AL76" s="42">
        <f t="shared" si="172"/>
        <v>0</v>
      </c>
      <c r="AM76" s="42">
        <f t="shared" si="146"/>
        <v>0</v>
      </c>
      <c r="AN76" s="42">
        <f t="shared" si="147"/>
        <v>0</v>
      </c>
      <c r="AO76" s="42">
        <f t="shared" si="10"/>
        <v>0</v>
      </c>
      <c r="AP76" s="42">
        <f t="shared" si="148"/>
        <v>0</v>
      </c>
      <c r="AQ76" s="42">
        <f t="shared" si="149"/>
        <v>0</v>
      </c>
      <c r="AR76" s="42">
        <f t="shared" si="173"/>
        <v>0</v>
      </c>
      <c r="AS76" s="42">
        <f t="shared" si="150"/>
        <v>0</v>
      </c>
      <c r="AT76" s="42">
        <f t="shared" si="151"/>
        <v>0</v>
      </c>
      <c r="AU76" s="42">
        <f t="shared" si="152"/>
        <v>0</v>
      </c>
      <c r="AV76" s="42">
        <f>IF(M76="ПП",РПП*AA76*(U76/1.5),IF(M76="ВП",ВПр*AA76*(U76/1.5),IF(M76="РПА",РПА*AA76*(U76/1.5),IF(M76="КПА",КПА*AA76*(U76/1.5),0))))</f>
        <v>0</v>
      </c>
      <c r="AW76" s="42">
        <f t="shared" si="153"/>
        <v>0</v>
      </c>
      <c r="AX76" s="42">
        <f t="shared" si="174"/>
        <v>0</v>
      </c>
      <c r="AY76" s="42">
        <f t="shared" si="175"/>
        <v>0</v>
      </c>
      <c r="AZ76" s="42">
        <f t="shared" si="154"/>
        <v>0</v>
      </c>
      <c r="BA76" s="42">
        <f t="shared" si="176"/>
        <v>0</v>
      </c>
      <c r="BB76" s="42">
        <f t="shared" si="177"/>
        <v>0</v>
      </c>
      <c r="BC76" s="42">
        <f t="shared" si="178"/>
        <v>0</v>
      </c>
      <c r="BD76" s="42">
        <f t="shared" si="155"/>
        <v>0</v>
      </c>
      <c r="BE76" s="43">
        <f t="shared" si="156"/>
        <v>0</v>
      </c>
      <c r="BF76" s="44"/>
      <c r="BG76" s="45">
        <f t="shared" si="157"/>
        <v>0</v>
      </c>
      <c r="BH76" s="45">
        <f t="shared" si="158"/>
        <v>0</v>
      </c>
      <c r="BI76" s="45">
        <f t="shared" si="159"/>
        <v>0</v>
      </c>
      <c r="BJ76" s="46">
        <f t="shared" si="160"/>
        <v>0</v>
      </c>
      <c r="BK76" s="46">
        <f t="shared" si="161"/>
        <v>0</v>
      </c>
      <c r="BL76" s="46">
        <f t="shared" si="162"/>
        <v>0</v>
      </c>
    </row>
    <row r="77" spans="1:64" ht="30" customHeight="1" x14ac:dyDescent="0.25">
      <c r="A77" s="84" t="str">
        <f t="shared" si="163"/>
        <v>Д</v>
      </c>
      <c r="B77" s="84" t="str">
        <f t="shared" si="164"/>
        <v>Б</v>
      </c>
      <c r="C77" s="101" t="s">
        <v>1471</v>
      </c>
      <c r="D77" s="16" t="str">
        <f t="shared" si="165"/>
        <v>'09.03.03</v>
      </c>
      <c r="E77" s="17" t="str">
        <f t="shared" si="166"/>
        <v>Прикладная информатика</v>
      </c>
      <c r="F77" s="9" t="s">
        <v>413</v>
      </c>
      <c r="G77" s="9" t="s">
        <v>42</v>
      </c>
      <c r="H77" s="10" t="s">
        <v>3233</v>
      </c>
      <c r="I77" s="10"/>
      <c r="J77" s="24" t="s">
        <v>3211</v>
      </c>
      <c r="K77" s="12">
        <v>4</v>
      </c>
      <c r="L77" s="11">
        <v>18</v>
      </c>
      <c r="M77" s="8" t="s">
        <v>23</v>
      </c>
      <c r="N77" s="12">
        <v>1</v>
      </c>
      <c r="O77" s="12"/>
      <c r="P77" s="12"/>
      <c r="Q77" s="8" t="s">
        <v>103</v>
      </c>
      <c r="R77" s="12"/>
      <c r="S77" s="12"/>
      <c r="T77" s="12"/>
      <c r="U77" s="12"/>
      <c r="V77" s="12"/>
      <c r="W77" s="83" t="str">
        <f t="shared" si="167"/>
        <v>НПИбд</v>
      </c>
      <c r="X77" s="110" t="s">
        <v>3354</v>
      </c>
      <c r="Y77" s="11">
        <v>6</v>
      </c>
      <c r="Z77" s="11">
        <v>3</v>
      </c>
      <c r="AA77" s="83">
        <f t="shared" si="168"/>
        <v>78</v>
      </c>
      <c r="AB77" s="11">
        <v>62</v>
      </c>
      <c r="AC77" s="11">
        <v>16</v>
      </c>
      <c r="AD77" s="81">
        <f t="shared" si="169"/>
        <v>78</v>
      </c>
      <c r="AE77" s="82">
        <f t="shared" si="170"/>
        <v>1</v>
      </c>
      <c r="AF77" s="82">
        <f t="shared" si="171"/>
        <v>1</v>
      </c>
      <c r="AG77" s="102" t="s">
        <v>3250</v>
      </c>
      <c r="AH77" s="8" t="s">
        <v>204</v>
      </c>
      <c r="AI77" s="8" t="s">
        <v>213</v>
      </c>
      <c r="AJ77" s="35" t="s">
        <v>3263</v>
      </c>
      <c r="AK77" s="8"/>
      <c r="AL77" s="42">
        <f t="shared" si="172"/>
        <v>18</v>
      </c>
      <c r="AM77" s="42">
        <f t="shared" si="146"/>
        <v>0</v>
      </c>
      <c r="AN77" s="42">
        <f t="shared" si="147"/>
        <v>0</v>
      </c>
      <c r="AO77" s="42">
        <f t="shared" si="10"/>
        <v>25.740000000000002</v>
      </c>
      <c r="AP77" s="42">
        <f t="shared" si="148"/>
        <v>39</v>
      </c>
      <c r="AQ77" s="42">
        <f t="shared" si="149"/>
        <v>3</v>
      </c>
      <c r="AR77" s="42">
        <f t="shared" si="173"/>
        <v>2.7</v>
      </c>
      <c r="AS77" s="42">
        <f t="shared" si="150"/>
        <v>0</v>
      </c>
      <c r="AT77" s="42">
        <f t="shared" si="151"/>
        <v>0</v>
      </c>
      <c r="AU77" s="42">
        <f t="shared" si="152"/>
        <v>0</v>
      </c>
      <c r="AV77" s="42">
        <f>IF(M77="ПП",РПП*AA77*(U77/1.5),IF(M77="ВП",ВПр*AA77*(U77/1.5),IF(M77="РПА",РПА*AA77*(U77/1.5),IF(M77="КПА",КПА*AA77*(U77/1.5),0))))</f>
        <v>0</v>
      </c>
      <c r="AW77" s="42">
        <f t="shared" si="153"/>
        <v>0</v>
      </c>
      <c r="AX77" s="42">
        <f t="shared" si="174"/>
        <v>0</v>
      </c>
      <c r="AY77" s="42">
        <f t="shared" si="175"/>
        <v>0</v>
      </c>
      <c r="AZ77" s="42">
        <f t="shared" si="154"/>
        <v>0</v>
      </c>
      <c r="BA77" s="42">
        <f t="shared" si="176"/>
        <v>0</v>
      </c>
      <c r="BB77" s="42">
        <f t="shared" si="177"/>
        <v>0</v>
      </c>
      <c r="BC77" s="42">
        <f t="shared" si="178"/>
        <v>0</v>
      </c>
      <c r="BD77" s="42">
        <f t="shared" si="155"/>
        <v>0</v>
      </c>
      <c r="BE77" s="43">
        <f t="shared" si="156"/>
        <v>88.440000000000012</v>
      </c>
      <c r="BF77" s="44"/>
      <c r="BG77" s="45">
        <f t="shared" si="157"/>
        <v>0</v>
      </c>
      <c r="BH77" s="45">
        <f t="shared" si="158"/>
        <v>0</v>
      </c>
      <c r="BI77" s="45">
        <f t="shared" si="159"/>
        <v>0</v>
      </c>
      <c r="BJ77" s="46">
        <f t="shared" si="160"/>
        <v>18</v>
      </c>
      <c r="BK77" s="46">
        <f t="shared" si="161"/>
        <v>0.5</v>
      </c>
      <c r="BL77" s="46">
        <f t="shared" si="162"/>
        <v>70.440000000000012</v>
      </c>
    </row>
    <row r="78" spans="1:64" ht="30" customHeight="1" x14ac:dyDescent="0.25">
      <c r="A78" s="84" t="str">
        <f t="shared" si="163"/>
        <v>Д</v>
      </c>
      <c r="B78" s="84" t="str">
        <f t="shared" si="164"/>
        <v>Б</v>
      </c>
      <c r="C78" s="101" t="s">
        <v>1471</v>
      </c>
      <c r="D78" s="16" t="str">
        <f t="shared" si="165"/>
        <v>'09.03.03</v>
      </c>
      <c r="E78" s="17" t="str">
        <f t="shared" si="166"/>
        <v>Прикладная информатика</v>
      </c>
      <c r="F78" s="9" t="s">
        <v>413</v>
      </c>
      <c r="G78" s="9" t="s">
        <v>42</v>
      </c>
      <c r="H78" s="10" t="s">
        <v>3233</v>
      </c>
      <c r="I78" s="10"/>
      <c r="J78" s="24" t="s">
        <v>3211</v>
      </c>
      <c r="K78" s="11">
        <v>4</v>
      </c>
      <c r="L78" s="11">
        <v>18</v>
      </c>
      <c r="M78" s="8" t="s">
        <v>94</v>
      </c>
      <c r="N78" s="11"/>
      <c r="O78" s="11">
        <v>2</v>
      </c>
      <c r="P78" s="11"/>
      <c r="Q78" s="8"/>
      <c r="R78" s="11"/>
      <c r="S78" s="11"/>
      <c r="T78" s="23"/>
      <c r="U78" s="11"/>
      <c r="V78" s="11"/>
      <c r="W78" s="83" t="str">
        <f t="shared" si="167"/>
        <v>НПИбд</v>
      </c>
      <c r="X78" s="110" t="s">
        <v>3234</v>
      </c>
      <c r="Y78" s="11">
        <v>1</v>
      </c>
      <c r="Z78" s="11">
        <v>1</v>
      </c>
      <c r="AA78" s="83">
        <f t="shared" si="168"/>
        <v>14</v>
      </c>
      <c r="AB78" s="11">
        <v>11</v>
      </c>
      <c r="AC78" s="11">
        <v>3</v>
      </c>
      <c r="AD78" s="81">
        <f t="shared" si="169"/>
        <v>12</v>
      </c>
      <c r="AE78" s="82">
        <f t="shared" si="170"/>
        <v>1</v>
      </c>
      <c r="AF78" s="82">
        <f t="shared" si="171"/>
        <v>1.1666666666666667</v>
      </c>
      <c r="AG78" s="102" t="s">
        <v>3250</v>
      </c>
      <c r="AH78" s="8" t="s">
        <v>204</v>
      </c>
      <c r="AI78" s="8" t="s">
        <v>213</v>
      </c>
      <c r="AJ78" s="35" t="s">
        <v>3263</v>
      </c>
      <c r="AK78" s="8"/>
      <c r="AL78" s="42">
        <f t="shared" si="172"/>
        <v>0</v>
      </c>
      <c r="AM78" s="42">
        <f t="shared" si="146"/>
        <v>0</v>
      </c>
      <c r="AN78" s="42">
        <f t="shared" si="147"/>
        <v>36</v>
      </c>
      <c r="AO78" s="42">
        <f t="shared" si="10"/>
        <v>0</v>
      </c>
      <c r="AP78" s="42">
        <f t="shared" si="148"/>
        <v>0</v>
      </c>
      <c r="AQ78" s="42">
        <f t="shared" si="149"/>
        <v>0</v>
      </c>
      <c r="AR78" s="42">
        <f t="shared" si="173"/>
        <v>0</v>
      </c>
      <c r="AS78" s="42">
        <f t="shared" si="150"/>
        <v>0</v>
      </c>
      <c r="AT78" s="42">
        <f t="shared" si="151"/>
        <v>0</v>
      </c>
      <c r="AU78" s="42">
        <f t="shared" si="152"/>
        <v>0</v>
      </c>
      <c r="AV78" s="42">
        <f>IF(M78="ПП",РПП*AA78*(U78/1.5),IF(M78="ВП",ВПр*AA78*(U78/1.5),IF(M78="РПА",РПА*AA78*(U78/1.5),IF(M78="КПА",КПА*AA78*(U78/1.5),0))))</f>
        <v>0</v>
      </c>
      <c r="AW78" s="42">
        <f t="shared" si="153"/>
        <v>0</v>
      </c>
      <c r="AX78" s="42">
        <f t="shared" si="174"/>
        <v>0</v>
      </c>
      <c r="AY78" s="42">
        <f t="shared" si="175"/>
        <v>0</v>
      </c>
      <c r="AZ78" s="42">
        <f t="shared" si="154"/>
        <v>0</v>
      </c>
      <c r="BA78" s="42">
        <f t="shared" si="176"/>
        <v>0</v>
      </c>
      <c r="BB78" s="42">
        <f t="shared" si="177"/>
        <v>0</v>
      </c>
      <c r="BC78" s="42">
        <f t="shared" si="178"/>
        <v>0</v>
      </c>
      <c r="BD78" s="42">
        <f t="shared" si="155"/>
        <v>0</v>
      </c>
      <c r="BE78" s="43">
        <f t="shared" si="156"/>
        <v>36</v>
      </c>
      <c r="BF78" s="44"/>
      <c r="BG78" s="45">
        <f t="shared" si="157"/>
        <v>0</v>
      </c>
      <c r="BH78" s="45">
        <f t="shared" si="158"/>
        <v>0</v>
      </c>
      <c r="BI78" s="45">
        <f t="shared" si="159"/>
        <v>0</v>
      </c>
      <c r="BJ78" s="46">
        <f t="shared" si="160"/>
        <v>36</v>
      </c>
      <c r="BK78" s="46">
        <f t="shared" si="161"/>
        <v>1</v>
      </c>
      <c r="BL78" s="46">
        <f t="shared" si="162"/>
        <v>0</v>
      </c>
    </row>
    <row r="79" spans="1:64" ht="30" customHeight="1" x14ac:dyDescent="0.25">
      <c r="A79" s="84" t="str">
        <f t="shared" si="163"/>
        <v>Д</v>
      </c>
      <c r="B79" s="84" t="str">
        <f t="shared" si="164"/>
        <v>Б</v>
      </c>
      <c r="C79" s="101" t="s">
        <v>1471</v>
      </c>
      <c r="D79" s="16" t="str">
        <f t="shared" si="165"/>
        <v>'09.03.03</v>
      </c>
      <c r="E79" s="17" t="str">
        <f t="shared" si="166"/>
        <v>Прикладная информатика</v>
      </c>
      <c r="F79" s="9" t="s">
        <v>413</v>
      </c>
      <c r="G79" s="9" t="s">
        <v>42</v>
      </c>
      <c r="H79" s="10" t="s">
        <v>3233</v>
      </c>
      <c r="I79" s="10"/>
      <c r="J79" s="24" t="s">
        <v>3211</v>
      </c>
      <c r="K79" s="11">
        <v>4</v>
      </c>
      <c r="L79" s="11">
        <v>18</v>
      </c>
      <c r="M79" s="8" t="s">
        <v>94</v>
      </c>
      <c r="N79" s="11"/>
      <c r="O79" s="11">
        <v>2</v>
      </c>
      <c r="P79" s="11"/>
      <c r="Q79" s="8"/>
      <c r="R79" s="11"/>
      <c r="S79" s="11"/>
      <c r="T79" s="23"/>
      <c r="U79" s="11"/>
      <c r="V79" s="11"/>
      <c r="W79" s="83" t="str">
        <f t="shared" si="167"/>
        <v>НПИбд</v>
      </c>
      <c r="X79" s="110" t="s">
        <v>3234</v>
      </c>
      <c r="Y79" s="11">
        <v>1</v>
      </c>
      <c r="Z79" s="11"/>
      <c r="AA79" s="83">
        <f t="shared" si="168"/>
        <v>12</v>
      </c>
      <c r="AB79" s="11">
        <v>10</v>
      </c>
      <c r="AC79" s="11">
        <v>2</v>
      </c>
      <c r="AD79" s="81">
        <f t="shared" si="169"/>
        <v>12</v>
      </c>
      <c r="AE79" s="82">
        <f t="shared" si="170"/>
        <v>1</v>
      </c>
      <c r="AF79" s="82">
        <f t="shared" si="171"/>
        <v>1</v>
      </c>
      <c r="AG79" s="102" t="s">
        <v>3250</v>
      </c>
      <c r="AH79" s="8" t="s">
        <v>204</v>
      </c>
      <c r="AI79" s="8" t="s">
        <v>213</v>
      </c>
      <c r="AJ79" s="35" t="s">
        <v>3263</v>
      </c>
      <c r="AK79" s="8"/>
      <c r="AL79" s="42">
        <f t="shared" si="172"/>
        <v>0</v>
      </c>
      <c r="AM79" s="42">
        <f t="shared" si="146"/>
        <v>0</v>
      </c>
      <c r="AN79" s="42">
        <f t="shared" si="147"/>
        <v>36</v>
      </c>
      <c r="AO79" s="42">
        <f t="shared" si="10"/>
        <v>0</v>
      </c>
      <c r="AP79" s="42">
        <f t="shared" si="148"/>
        <v>0</v>
      </c>
      <c r="AQ79" s="42">
        <f t="shared" si="149"/>
        <v>0</v>
      </c>
      <c r="AR79" s="42">
        <f t="shared" si="173"/>
        <v>0</v>
      </c>
      <c r="AS79" s="42">
        <f t="shared" si="150"/>
        <v>0</v>
      </c>
      <c r="AT79" s="42">
        <f t="shared" si="151"/>
        <v>0</v>
      </c>
      <c r="AU79" s="42">
        <f t="shared" si="152"/>
        <v>0</v>
      </c>
      <c r="AV79" s="42">
        <f>IF(M79="ПП",РПП*AA79*(U79/1.5),IF(M79="ВП",ВПр*AA79*(U79/1.5),IF(M79="РПА",РПА*AA79*(U79/1.5),IF(M79="КПА",КПА*AA79*(U79/1.5),0))))</f>
        <v>0</v>
      </c>
      <c r="AW79" s="42">
        <f t="shared" si="153"/>
        <v>0</v>
      </c>
      <c r="AX79" s="42">
        <f t="shared" si="174"/>
        <v>0</v>
      </c>
      <c r="AY79" s="42">
        <f t="shared" si="175"/>
        <v>0</v>
      </c>
      <c r="AZ79" s="42">
        <f t="shared" si="154"/>
        <v>0</v>
      </c>
      <c r="BA79" s="42">
        <f t="shared" si="176"/>
        <v>0</v>
      </c>
      <c r="BB79" s="42">
        <f t="shared" si="177"/>
        <v>0</v>
      </c>
      <c r="BC79" s="42">
        <f t="shared" si="178"/>
        <v>0</v>
      </c>
      <c r="BD79" s="42">
        <f t="shared" si="155"/>
        <v>0</v>
      </c>
      <c r="BE79" s="43">
        <f t="shared" si="156"/>
        <v>36</v>
      </c>
      <c r="BF79" s="44"/>
      <c r="BG79" s="45">
        <f t="shared" si="157"/>
        <v>0</v>
      </c>
      <c r="BH79" s="45">
        <f t="shared" si="158"/>
        <v>0</v>
      </c>
      <c r="BI79" s="45">
        <f t="shared" si="159"/>
        <v>0</v>
      </c>
      <c r="BJ79" s="46">
        <f t="shared" si="160"/>
        <v>36</v>
      </c>
      <c r="BK79" s="46">
        <f t="shared" si="161"/>
        <v>1</v>
      </c>
      <c r="BL79" s="46">
        <f t="shared" si="162"/>
        <v>0</v>
      </c>
    </row>
    <row r="80" spans="1:64" ht="30" customHeight="1" x14ac:dyDescent="0.25">
      <c r="A80" s="84" t="str">
        <f t="shared" si="163"/>
        <v>Д</v>
      </c>
      <c r="B80" s="84" t="str">
        <f t="shared" ref="B80:B81" si="179">IF(C80&gt;0, VLOOKUP(C80,Код_ООП,11,FALSE),0)</f>
        <v>Б</v>
      </c>
      <c r="C80" s="101" t="s">
        <v>1471</v>
      </c>
      <c r="D80" s="16" t="str">
        <f t="shared" ref="D80:D81" si="180">IF(C80&gt;0, VLOOKUP(C80,Код_ООП,2,FALSE),0)</f>
        <v>'09.03.03</v>
      </c>
      <c r="E80" s="17" t="str">
        <f t="shared" ref="E80:E81" si="181">IF(C80&gt;0, VLOOKUP(C80,Код_ООП,13,FALSE),0)</f>
        <v>Прикладная информатика</v>
      </c>
      <c r="F80" s="9" t="s">
        <v>413</v>
      </c>
      <c r="G80" s="9" t="s">
        <v>42</v>
      </c>
      <c r="H80" s="10" t="s">
        <v>3233</v>
      </c>
      <c r="I80" s="10"/>
      <c r="J80" s="24" t="s">
        <v>3211</v>
      </c>
      <c r="K80" s="11">
        <v>4</v>
      </c>
      <c r="L80" s="11">
        <v>18</v>
      </c>
      <c r="M80" s="8" t="s">
        <v>94</v>
      </c>
      <c r="N80" s="11"/>
      <c r="O80" s="11">
        <v>2</v>
      </c>
      <c r="P80" s="11"/>
      <c r="Q80" s="8"/>
      <c r="R80" s="11"/>
      <c r="S80" s="11"/>
      <c r="T80" s="11"/>
      <c r="U80" s="11"/>
      <c r="V80" s="11"/>
      <c r="W80" s="83" t="str">
        <f t="shared" si="167"/>
        <v>НПИбд</v>
      </c>
      <c r="X80" s="110" t="s">
        <v>3235</v>
      </c>
      <c r="Y80" s="11">
        <v>1</v>
      </c>
      <c r="Z80" s="11">
        <v>1</v>
      </c>
      <c r="AA80" s="83">
        <f t="shared" ref="AA80:AA81" si="182">AB80+AC80</f>
        <v>14</v>
      </c>
      <c r="AB80" s="11">
        <v>11</v>
      </c>
      <c r="AC80" s="11">
        <v>3</v>
      </c>
      <c r="AD80" s="81">
        <f t="shared" si="169"/>
        <v>12</v>
      </c>
      <c r="AE80" s="82">
        <f t="shared" ref="AE80:AE81" si="183">IF(AF80&gt;1,1,AF80)</f>
        <v>1</v>
      </c>
      <c r="AF80" s="82">
        <f t="shared" ref="AF80:AF81" si="184">AA80/AD80</f>
        <v>1.1666666666666667</v>
      </c>
      <c r="AG80" s="102" t="s">
        <v>3250</v>
      </c>
      <c r="AH80" s="8" t="s">
        <v>203</v>
      </c>
      <c r="AI80" s="8" t="s">
        <v>213</v>
      </c>
      <c r="AJ80" s="35" t="s">
        <v>3262</v>
      </c>
      <c r="AK80" s="8"/>
      <c r="AL80" s="42">
        <f t="shared" si="172"/>
        <v>0</v>
      </c>
      <c r="AM80" s="42">
        <f t="shared" ref="AM80:AM81" si="185">IF(OR(M80="пр",M80="ия",M80="сп"),P80*AE80*L80,0)</f>
        <v>0</v>
      </c>
      <c r="AN80" s="42">
        <f t="shared" ref="AN80:AN81" si="186">IF(OR(M80="лаб",M80="клн"),O80*AE80*L80,0)</f>
        <v>36</v>
      </c>
      <c r="AO80" s="42">
        <f t="shared" ref="AO80:AO81" si="187">(IF((AND(OR(K80=1,K80=2,K80=3,K80=4,K80=5,K80=6,K80=7,K80=8,K80=9,K80=10,K80=11,K80=12),OR(Q80="Зач",Q80="Экз"))),ТКиРА*AA80,0)+IF(SUM(N80:P80)&lt;&gt;0,IF(Q80="ТК",ТКиРА*AA80,0),0))*(IF(F80="ФТД",0,1))</f>
        <v>0</v>
      </c>
      <c r="AP80" s="42">
        <f t="shared" ref="AP80:AP81" si="188">IF(SUM(O80:P80)&lt;&gt;0,IF(Q80="Зач",ПАБРС*AA80,0),0)+IF(N80&lt;&gt;0,IF(Q80="Экз",ПАБРС*AA80,0),0)</f>
        <v>0</v>
      </c>
      <c r="AQ80" s="42">
        <f t="shared" ref="AQ80:AQ81" si="189">(IF(AP80&lt;&gt;0,ОфВед*(IF(OR(M80="лек",M80="лаб"),Z80,AE80)),0))*(IF(F80="ФТД",0,1))</f>
        <v>0</v>
      </c>
      <c r="AR80" s="42">
        <f t="shared" si="173"/>
        <v>0</v>
      </c>
      <c r="AS80" s="42">
        <f t="shared" ref="AS80:AS81" si="190">IF(OR(M80="лаб",M80="пр"),IF(R80="К",AA80*ВПКР,IF(R80="М",AA80*ВПИБ,0)),0)</f>
        <v>0</v>
      </c>
      <c r="AT80" s="42">
        <f t="shared" ref="AT80:AT81" si="191">IF(OR(M80="лаб",M80="пр"),IF(S80="К",AA80*ВПКП,0),0)</f>
        <v>0</v>
      </c>
      <c r="AU80" s="42">
        <f t="shared" ref="AU80:AU81" si="192">IF(M80="УП",T80/1.5*AA80*РУП,IF(M80="УПМ",T80/1.5*AA80*РУПЛеч,0))</f>
        <v>0</v>
      </c>
      <c r="AV80" s="42">
        <f>IF(M80="ПП",РПП*AA80*(U80/1.5),IF(M80="ВП",ВПр*AA80*(U80/1.5),IF(M80="РПА",РПА*AA80*(U80/1.5),IF(M80="КПА",КПА*AA80*(U80/1.5),0))))</f>
        <v>0</v>
      </c>
      <c r="AW80" s="42">
        <f t="shared" ref="AW80:AW81" si="193">IF(M80="НР",(AB80*НИРМ+AC80*НИРМИн)*(V80/1.5),IF(M80="НИ",(AB80*НИРА+AC80*НИРАИ)*(V80/1.5),0))</f>
        <v>0</v>
      </c>
      <c r="AX80" s="42">
        <f t="shared" si="174"/>
        <v>0</v>
      </c>
      <c r="AY80" s="42">
        <f t="shared" si="175"/>
        <v>0</v>
      </c>
      <c r="AZ80" s="42">
        <f t="shared" ref="AZ80:AZ81" si="194">IF(AND(Q80="КЭ",M80="ЧК"),AA80*КдЭк,0)</f>
        <v>0</v>
      </c>
      <c r="BA80" s="42">
        <f t="shared" si="176"/>
        <v>0</v>
      </c>
      <c r="BB80" s="42">
        <f t="shared" si="177"/>
        <v>0</v>
      </c>
      <c r="BC80" s="42">
        <f t="shared" si="178"/>
        <v>0</v>
      </c>
      <c r="BD80" s="42">
        <f t="shared" ref="BD80:BD81" si="195">IF(M80="ЧГ",AA80*ЧГ,IF(M80="ПГ",AA80*ПГ,IF(M80="ТЕСТ",ТГИЭ*AE80,IF(M80="СГ",AA80*СГ,0))))</f>
        <v>0</v>
      </c>
      <c r="BE80" s="43">
        <f t="shared" ref="BE80:BE81" si="196">SUM(AL80:BD80)</f>
        <v>36</v>
      </c>
      <c r="BF80" s="44"/>
      <c r="BG80" s="45">
        <f t="shared" ref="BG80:BG81" si="197">IF(OR(K80="1;1",K80="1;2",K80=1,K80="3;1",K80="3;2",K80=3,K80="5;1",K80="5;2",K80=5,K80="7;1",K80="7;2",K80=7,K80="9;1",K80="9;2",K80=9,K80=11),SUM(AL80:AN80),0)</f>
        <v>0</v>
      </c>
      <c r="BH80" s="45">
        <f t="shared" ref="BH80:BH81" si="198">IF(BG80&lt;&gt;0,SUM(N80:P80)/2,0)</f>
        <v>0</v>
      </c>
      <c r="BI80" s="45">
        <f t="shared" ref="BI80:BI81" si="199">IF(OR(K80="1;1",K80="1;2",K80=1,K80="3;1",K80="3;2",K80=3,K80="5;1",K80="5;2",K80=5,K80="7;1",K80="7;2",K80=7,K80="9;1",K80="9;2",K80=9,K80=11),SUM(AO80:BD80),0)</f>
        <v>0</v>
      </c>
      <c r="BJ80" s="46">
        <f t="shared" ref="BJ80:BJ81" si="200">IF(OR(K80="2;3",K80="2;4",K80=2,K80="4;3",K80="4;4",K80=4,K80="6;3",K80="6;4",K80=6,K80="8;3",K80="8;4",K80=8,K80="10;3",K80="10;4",K80=10,K80=12),SUM(AL80:AN80),0)</f>
        <v>36</v>
      </c>
      <c r="BK80" s="46">
        <f t="shared" ref="BK80:BK81" si="201">IF(BJ80&lt;&gt;0,SUM(N80:P80)/2,0)</f>
        <v>1</v>
      </c>
      <c r="BL80" s="46">
        <f t="shared" ref="BL80:BL81" si="202">IF(OR(K80="2;3",K80="2;4",K80=2,K80="4;3",K80="4;4",K80=4,K80="6;3",K80="6;4",K80=6,K80="8;3",K80="8;4",K80=8,K80="10;3",K80="10;4",K80=10,K80=12),SUM(AO80:BD80),0)</f>
        <v>0</v>
      </c>
    </row>
    <row r="81" spans="1:64" ht="30" customHeight="1" x14ac:dyDescent="0.25">
      <c r="A81" s="84" t="str">
        <f t="shared" si="163"/>
        <v>Д</v>
      </c>
      <c r="B81" s="84" t="str">
        <f t="shared" si="179"/>
        <v>Б</v>
      </c>
      <c r="C81" s="101" t="s">
        <v>1471</v>
      </c>
      <c r="D81" s="16" t="str">
        <f t="shared" si="180"/>
        <v>'09.03.03</v>
      </c>
      <c r="E81" s="17" t="str">
        <f t="shared" si="181"/>
        <v>Прикладная информатика</v>
      </c>
      <c r="F81" s="9" t="s">
        <v>413</v>
      </c>
      <c r="G81" s="9" t="s">
        <v>42</v>
      </c>
      <c r="H81" s="10" t="s">
        <v>3233</v>
      </c>
      <c r="I81" s="10"/>
      <c r="J81" s="24" t="s">
        <v>3211</v>
      </c>
      <c r="K81" s="11">
        <v>4</v>
      </c>
      <c r="L81" s="11">
        <v>18</v>
      </c>
      <c r="M81" s="8" t="s">
        <v>94</v>
      </c>
      <c r="N81" s="11"/>
      <c r="O81" s="11">
        <v>2</v>
      </c>
      <c r="P81" s="11"/>
      <c r="Q81" s="8"/>
      <c r="R81" s="11"/>
      <c r="S81" s="11"/>
      <c r="T81" s="11"/>
      <c r="U81" s="11"/>
      <c r="V81" s="11"/>
      <c r="W81" s="83" t="str">
        <f t="shared" si="167"/>
        <v>НПИбд</v>
      </c>
      <c r="X81" s="110" t="s">
        <v>3235</v>
      </c>
      <c r="Y81" s="11">
        <v>1</v>
      </c>
      <c r="Z81" s="11"/>
      <c r="AA81" s="83">
        <f t="shared" si="182"/>
        <v>12</v>
      </c>
      <c r="AB81" s="11">
        <v>10</v>
      </c>
      <c r="AC81" s="11">
        <v>2</v>
      </c>
      <c r="AD81" s="81">
        <f t="shared" si="169"/>
        <v>12</v>
      </c>
      <c r="AE81" s="82">
        <f t="shared" si="183"/>
        <v>1</v>
      </c>
      <c r="AF81" s="82">
        <f t="shared" si="184"/>
        <v>1</v>
      </c>
      <c r="AG81" s="102" t="s">
        <v>3250</v>
      </c>
      <c r="AH81" s="8" t="s">
        <v>203</v>
      </c>
      <c r="AI81" s="8" t="s">
        <v>213</v>
      </c>
      <c r="AJ81" s="35" t="s">
        <v>3262</v>
      </c>
      <c r="AK81" s="8"/>
      <c r="AL81" s="42">
        <f t="shared" si="172"/>
        <v>0</v>
      </c>
      <c r="AM81" s="42">
        <f t="shared" si="185"/>
        <v>0</v>
      </c>
      <c r="AN81" s="42">
        <f t="shared" si="186"/>
        <v>36</v>
      </c>
      <c r="AO81" s="42">
        <f t="shared" si="187"/>
        <v>0</v>
      </c>
      <c r="AP81" s="42">
        <f t="shared" si="188"/>
        <v>0</v>
      </c>
      <c r="AQ81" s="42">
        <f t="shared" si="189"/>
        <v>0</v>
      </c>
      <c r="AR81" s="42">
        <f t="shared" si="173"/>
        <v>0</v>
      </c>
      <c r="AS81" s="42">
        <f t="shared" si="190"/>
        <v>0</v>
      </c>
      <c r="AT81" s="42">
        <f t="shared" si="191"/>
        <v>0</v>
      </c>
      <c r="AU81" s="42">
        <f t="shared" si="192"/>
        <v>0</v>
      </c>
      <c r="AV81" s="42">
        <f>IF(M81="ПП",РПП*AA81*(U81/1.5),IF(M81="ВП",ВПр*AA81*(U81/1.5),IF(M81="РПА",РПА*AA81*(U81/1.5),IF(M81="КПА",КПА*AA81*(U81/1.5),0))))</f>
        <v>0</v>
      </c>
      <c r="AW81" s="42">
        <f t="shared" si="193"/>
        <v>0</v>
      </c>
      <c r="AX81" s="42">
        <f t="shared" si="174"/>
        <v>0</v>
      </c>
      <c r="AY81" s="42">
        <f t="shared" si="175"/>
        <v>0</v>
      </c>
      <c r="AZ81" s="42">
        <f t="shared" si="194"/>
        <v>0</v>
      </c>
      <c r="BA81" s="42">
        <f t="shared" si="176"/>
        <v>0</v>
      </c>
      <c r="BB81" s="42">
        <f t="shared" si="177"/>
        <v>0</v>
      </c>
      <c r="BC81" s="42">
        <f t="shared" si="178"/>
        <v>0</v>
      </c>
      <c r="BD81" s="42">
        <f t="shared" si="195"/>
        <v>0</v>
      </c>
      <c r="BE81" s="43">
        <f t="shared" si="196"/>
        <v>36</v>
      </c>
      <c r="BF81" s="44"/>
      <c r="BG81" s="45">
        <f t="shared" si="197"/>
        <v>0</v>
      </c>
      <c r="BH81" s="45">
        <f t="shared" si="198"/>
        <v>0</v>
      </c>
      <c r="BI81" s="45">
        <f t="shared" si="199"/>
        <v>0</v>
      </c>
      <c r="BJ81" s="46">
        <f t="shared" si="200"/>
        <v>36</v>
      </c>
      <c r="BK81" s="46">
        <f t="shared" si="201"/>
        <v>1</v>
      </c>
      <c r="BL81" s="46">
        <f t="shared" si="202"/>
        <v>0</v>
      </c>
    </row>
    <row r="82" spans="1:64" ht="30" customHeight="1" x14ac:dyDescent="0.25">
      <c r="A82" s="84" t="str">
        <f t="shared" si="163"/>
        <v>Д</v>
      </c>
      <c r="B82" s="84" t="str">
        <f t="shared" si="164"/>
        <v>Б</v>
      </c>
      <c r="C82" s="101" t="s">
        <v>1471</v>
      </c>
      <c r="D82" s="16" t="str">
        <f t="shared" si="165"/>
        <v>'09.03.03</v>
      </c>
      <c r="E82" s="17" t="str">
        <f t="shared" si="166"/>
        <v>Прикладная информатика</v>
      </c>
      <c r="F82" s="9" t="s">
        <v>413</v>
      </c>
      <c r="G82" s="9" t="s">
        <v>42</v>
      </c>
      <c r="H82" s="10" t="s">
        <v>3233</v>
      </c>
      <c r="I82" s="10"/>
      <c r="J82" s="24" t="s">
        <v>3211</v>
      </c>
      <c r="K82" s="11">
        <v>4</v>
      </c>
      <c r="L82" s="11">
        <v>18</v>
      </c>
      <c r="M82" s="8" t="s">
        <v>94</v>
      </c>
      <c r="N82" s="11"/>
      <c r="O82" s="11">
        <v>2</v>
      </c>
      <c r="P82" s="11"/>
      <c r="Q82" s="8"/>
      <c r="R82" s="11"/>
      <c r="S82" s="11"/>
      <c r="T82" s="11"/>
      <c r="U82" s="11"/>
      <c r="V82" s="11"/>
      <c r="W82" s="83" t="str">
        <f t="shared" si="167"/>
        <v>НПИбд</v>
      </c>
      <c r="X82" s="110" t="s">
        <v>3236</v>
      </c>
      <c r="Y82" s="11">
        <v>1</v>
      </c>
      <c r="Z82" s="11">
        <v>1</v>
      </c>
      <c r="AA82" s="83">
        <f t="shared" si="168"/>
        <v>13</v>
      </c>
      <c r="AB82" s="11">
        <v>10</v>
      </c>
      <c r="AC82" s="11">
        <v>3</v>
      </c>
      <c r="AD82" s="81">
        <f t="shared" si="169"/>
        <v>12</v>
      </c>
      <c r="AE82" s="82">
        <f t="shared" si="170"/>
        <v>1</v>
      </c>
      <c r="AF82" s="82">
        <f t="shared" si="171"/>
        <v>1.0833333333333333</v>
      </c>
      <c r="AG82" s="102" t="s">
        <v>3250</v>
      </c>
      <c r="AH82" s="8" t="s">
        <v>203</v>
      </c>
      <c r="AI82" s="8" t="s">
        <v>213</v>
      </c>
      <c r="AJ82" s="35" t="s">
        <v>3262</v>
      </c>
      <c r="AK82" s="8"/>
      <c r="AL82" s="42">
        <f t="shared" si="172"/>
        <v>0</v>
      </c>
      <c r="AM82" s="42">
        <f t="shared" si="146"/>
        <v>0</v>
      </c>
      <c r="AN82" s="42">
        <f t="shared" si="147"/>
        <v>36</v>
      </c>
      <c r="AO82" s="42">
        <f t="shared" si="10"/>
        <v>0</v>
      </c>
      <c r="AP82" s="42">
        <f t="shared" si="148"/>
        <v>0</v>
      </c>
      <c r="AQ82" s="42">
        <f t="shared" si="149"/>
        <v>0</v>
      </c>
      <c r="AR82" s="42">
        <f t="shared" si="173"/>
        <v>0</v>
      </c>
      <c r="AS82" s="42">
        <f t="shared" si="150"/>
        <v>0</v>
      </c>
      <c r="AT82" s="42">
        <f t="shared" si="151"/>
        <v>0</v>
      </c>
      <c r="AU82" s="42">
        <f t="shared" si="152"/>
        <v>0</v>
      </c>
      <c r="AV82" s="42">
        <f>IF(M82="ПП",РПП*AA82*(U82/1.5),IF(M82="ВП",ВПр*AA82*(U82/1.5),IF(M82="РПА",РПА*AA82*(U82/1.5),IF(M82="КПА",КПА*AA82*(U82/1.5),0))))</f>
        <v>0</v>
      </c>
      <c r="AW82" s="42">
        <f t="shared" si="153"/>
        <v>0</v>
      </c>
      <c r="AX82" s="42">
        <f t="shared" si="174"/>
        <v>0</v>
      </c>
      <c r="AY82" s="42">
        <f t="shared" si="175"/>
        <v>0</v>
      </c>
      <c r="AZ82" s="42">
        <f t="shared" si="154"/>
        <v>0</v>
      </c>
      <c r="BA82" s="42">
        <f t="shared" si="176"/>
        <v>0</v>
      </c>
      <c r="BB82" s="42">
        <f t="shared" si="177"/>
        <v>0</v>
      </c>
      <c r="BC82" s="42">
        <f t="shared" si="178"/>
        <v>0</v>
      </c>
      <c r="BD82" s="42">
        <f t="shared" si="155"/>
        <v>0</v>
      </c>
      <c r="BE82" s="43">
        <f t="shared" si="156"/>
        <v>36</v>
      </c>
      <c r="BF82" s="44"/>
      <c r="BG82" s="45">
        <f t="shared" si="157"/>
        <v>0</v>
      </c>
      <c r="BH82" s="45">
        <f t="shared" si="158"/>
        <v>0</v>
      </c>
      <c r="BI82" s="45">
        <f t="shared" si="159"/>
        <v>0</v>
      </c>
      <c r="BJ82" s="46">
        <f t="shared" si="160"/>
        <v>36</v>
      </c>
      <c r="BK82" s="46">
        <f t="shared" si="161"/>
        <v>1</v>
      </c>
      <c r="BL82" s="46">
        <f t="shared" si="162"/>
        <v>0</v>
      </c>
    </row>
    <row r="83" spans="1:64" ht="30" customHeight="1" x14ac:dyDescent="0.25">
      <c r="A83" s="84" t="str">
        <f t="shared" si="163"/>
        <v>Д</v>
      </c>
      <c r="B83" s="84" t="str">
        <f t="shared" si="164"/>
        <v>Б</v>
      </c>
      <c r="C83" s="101" t="s">
        <v>1471</v>
      </c>
      <c r="D83" s="16" t="str">
        <f t="shared" si="165"/>
        <v>'09.03.03</v>
      </c>
      <c r="E83" s="17" t="str">
        <f t="shared" si="166"/>
        <v>Прикладная информатика</v>
      </c>
      <c r="F83" s="9" t="s">
        <v>413</v>
      </c>
      <c r="G83" s="9" t="s">
        <v>42</v>
      </c>
      <c r="H83" s="10" t="s">
        <v>3233</v>
      </c>
      <c r="I83" s="10"/>
      <c r="J83" s="24" t="s">
        <v>3211</v>
      </c>
      <c r="K83" s="11">
        <v>4</v>
      </c>
      <c r="L83" s="11">
        <v>18</v>
      </c>
      <c r="M83" s="8" t="s">
        <v>94</v>
      </c>
      <c r="N83" s="11"/>
      <c r="O83" s="11">
        <v>2</v>
      </c>
      <c r="P83" s="11"/>
      <c r="Q83" s="8"/>
      <c r="R83" s="11"/>
      <c r="S83" s="11"/>
      <c r="T83" s="11"/>
      <c r="U83" s="11"/>
      <c r="V83" s="11"/>
      <c r="W83" s="83" t="str">
        <f t="shared" si="167"/>
        <v>НПИбд</v>
      </c>
      <c r="X83" s="110" t="s">
        <v>3236</v>
      </c>
      <c r="Y83" s="11">
        <v>1</v>
      </c>
      <c r="Z83" s="11"/>
      <c r="AA83" s="83">
        <f t="shared" si="168"/>
        <v>13</v>
      </c>
      <c r="AB83" s="11">
        <v>10</v>
      </c>
      <c r="AC83" s="11">
        <v>3</v>
      </c>
      <c r="AD83" s="81">
        <f t="shared" si="169"/>
        <v>12</v>
      </c>
      <c r="AE83" s="82">
        <f t="shared" si="170"/>
        <v>1</v>
      </c>
      <c r="AF83" s="82">
        <f t="shared" si="171"/>
        <v>1.0833333333333333</v>
      </c>
      <c r="AG83" s="102" t="s">
        <v>3250</v>
      </c>
      <c r="AH83" s="8" t="s">
        <v>203</v>
      </c>
      <c r="AI83" s="8" t="s">
        <v>213</v>
      </c>
      <c r="AJ83" s="35" t="s">
        <v>3262</v>
      </c>
      <c r="AK83" s="8"/>
      <c r="AL83" s="42">
        <f t="shared" si="172"/>
        <v>0</v>
      </c>
      <c r="AM83" s="42">
        <f t="shared" si="146"/>
        <v>0</v>
      </c>
      <c r="AN83" s="42">
        <f t="shared" si="147"/>
        <v>36</v>
      </c>
      <c r="AO83" s="42">
        <f t="shared" si="10"/>
        <v>0</v>
      </c>
      <c r="AP83" s="42">
        <f t="shared" si="148"/>
        <v>0</v>
      </c>
      <c r="AQ83" s="42">
        <f t="shared" si="149"/>
        <v>0</v>
      </c>
      <c r="AR83" s="42">
        <f t="shared" si="173"/>
        <v>0</v>
      </c>
      <c r="AS83" s="42">
        <f t="shared" si="150"/>
        <v>0</v>
      </c>
      <c r="AT83" s="42">
        <f t="shared" si="151"/>
        <v>0</v>
      </c>
      <c r="AU83" s="42">
        <f t="shared" si="152"/>
        <v>0</v>
      </c>
      <c r="AV83" s="42">
        <f>IF(M83="ПП",РПП*AA83*(U83/1.5),IF(M83="ВП",ВПр*AA83*(U83/1.5),IF(M83="РПА",РПА*AA83*(U83/1.5),IF(M83="КПА",КПА*AA83*(U83/1.5),0))))</f>
        <v>0</v>
      </c>
      <c r="AW83" s="42">
        <f t="shared" si="153"/>
        <v>0</v>
      </c>
      <c r="AX83" s="42">
        <f t="shared" si="174"/>
        <v>0</v>
      </c>
      <c r="AY83" s="42">
        <f t="shared" si="175"/>
        <v>0</v>
      </c>
      <c r="AZ83" s="42">
        <f t="shared" si="154"/>
        <v>0</v>
      </c>
      <c r="BA83" s="42">
        <f t="shared" si="176"/>
        <v>0</v>
      </c>
      <c r="BB83" s="42">
        <f t="shared" si="177"/>
        <v>0</v>
      </c>
      <c r="BC83" s="42">
        <f t="shared" si="178"/>
        <v>0</v>
      </c>
      <c r="BD83" s="42">
        <f t="shared" si="155"/>
        <v>0</v>
      </c>
      <c r="BE83" s="43">
        <f t="shared" si="156"/>
        <v>36</v>
      </c>
      <c r="BF83" s="44"/>
      <c r="BG83" s="45">
        <f t="shared" si="157"/>
        <v>0</v>
      </c>
      <c r="BH83" s="45">
        <f t="shared" si="158"/>
        <v>0</v>
      </c>
      <c r="BI83" s="45">
        <f t="shared" si="159"/>
        <v>0</v>
      </c>
      <c r="BJ83" s="46">
        <f t="shared" si="160"/>
        <v>36</v>
      </c>
      <c r="BK83" s="46">
        <f t="shared" si="161"/>
        <v>1</v>
      </c>
      <c r="BL83" s="46">
        <f t="shared" si="162"/>
        <v>0</v>
      </c>
    </row>
    <row r="84" spans="1:64" ht="30" customHeight="1" x14ac:dyDescent="0.25">
      <c r="A84" s="84" t="str">
        <f t="shared" si="163"/>
        <v>Д</v>
      </c>
      <c r="B84" s="84" t="str">
        <f t="shared" si="164"/>
        <v>Б</v>
      </c>
      <c r="C84" s="101" t="s">
        <v>1471</v>
      </c>
      <c r="D84" s="16" t="str">
        <f t="shared" si="165"/>
        <v>'09.03.03</v>
      </c>
      <c r="E84" s="17" t="str">
        <f t="shared" si="166"/>
        <v>Прикладная информатика</v>
      </c>
      <c r="F84" s="9" t="s">
        <v>413</v>
      </c>
      <c r="G84" s="9" t="s">
        <v>42</v>
      </c>
      <c r="H84" s="10" t="s">
        <v>3233</v>
      </c>
      <c r="I84" s="10"/>
      <c r="J84" s="24" t="s">
        <v>3212</v>
      </c>
      <c r="K84" s="11">
        <v>4</v>
      </c>
      <c r="L84" s="11">
        <v>18</v>
      </c>
      <c r="M84" s="8" t="s">
        <v>23</v>
      </c>
      <c r="N84" s="11">
        <v>1</v>
      </c>
      <c r="O84" s="11"/>
      <c r="P84" s="11"/>
      <c r="Q84" s="8" t="s">
        <v>103</v>
      </c>
      <c r="R84" s="11"/>
      <c r="S84" s="11"/>
      <c r="T84" s="11"/>
      <c r="U84" s="11"/>
      <c r="V84" s="11"/>
      <c r="W84" s="83" t="str">
        <f t="shared" si="167"/>
        <v>НПИбд</v>
      </c>
      <c r="X84" s="110" t="s">
        <v>3354</v>
      </c>
      <c r="Y84" s="11">
        <v>6</v>
      </c>
      <c r="Z84" s="11">
        <v>3</v>
      </c>
      <c r="AA84" s="83">
        <f t="shared" si="168"/>
        <v>78</v>
      </c>
      <c r="AB84" s="11">
        <v>62</v>
      </c>
      <c r="AC84" s="11">
        <v>16</v>
      </c>
      <c r="AD84" s="81">
        <f t="shared" si="169"/>
        <v>78</v>
      </c>
      <c r="AE84" s="82">
        <f t="shared" si="170"/>
        <v>1</v>
      </c>
      <c r="AF84" s="82">
        <f t="shared" si="171"/>
        <v>1</v>
      </c>
      <c r="AG84" s="102" t="s">
        <v>3250</v>
      </c>
      <c r="AH84" s="8" t="s">
        <v>204</v>
      </c>
      <c r="AI84" s="8" t="s">
        <v>213</v>
      </c>
      <c r="AJ84" s="36" t="s">
        <v>3255</v>
      </c>
      <c r="AK84" s="8"/>
      <c r="AL84" s="42">
        <f t="shared" si="172"/>
        <v>18</v>
      </c>
      <c r="AM84" s="42">
        <f t="shared" si="146"/>
        <v>0</v>
      </c>
      <c r="AN84" s="42">
        <f t="shared" si="147"/>
        <v>0</v>
      </c>
      <c r="AO84" s="42">
        <f t="shared" si="10"/>
        <v>25.740000000000002</v>
      </c>
      <c r="AP84" s="42">
        <f t="shared" si="148"/>
        <v>39</v>
      </c>
      <c r="AQ84" s="42">
        <f t="shared" si="149"/>
        <v>3</v>
      </c>
      <c r="AR84" s="42">
        <f t="shared" si="173"/>
        <v>2.7</v>
      </c>
      <c r="AS84" s="42">
        <f t="shared" si="150"/>
        <v>0</v>
      </c>
      <c r="AT84" s="42">
        <f t="shared" si="151"/>
        <v>0</v>
      </c>
      <c r="AU84" s="42">
        <f t="shared" si="152"/>
        <v>0</v>
      </c>
      <c r="AV84" s="42">
        <f>IF(M84="ПП",РПП*AA84*(U84/1.5),IF(M84="ВП",ВПр*AA84*(U84/1.5),IF(M84="РПА",РПА*AA84*(U84/1.5),IF(M84="КПА",КПА*AA84*(U84/1.5),0))))</f>
        <v>0</v>
      </c>
      <c r="AW84" s="42">
        <f t="shared" si="153"/>
        <v>0</v>
      </c>
      <c r="AX84" s="42">
        <f t="shared" si="174"/>
        <v>0</v>
      </c>
      <c r="AY84" s="42">
        <f t="shared" si="175"/>
        <v>0</v>
      </c>
      <c r="AZ84" s="42">
        <f t="shared" si="154"/>
        <v>0</v>
      </c>
      <c r="BA84" s="42">
        <f t="shared" si="176"/>
        <v>0</v>
      </c>
      <c r="BB84" s="42">
        <f t="shared" si="177"/>
        <v>0</v>
      </c>
      <c r="BC84" s="42">
        <f t="shared" si="178"/>
        <v>0</v>
      </c>
      <c r="BD84" s="42">
        <f t="shared" si="155"/>
        <v>0</v>
      </c>
      <c r="BE84" s="43">
        <f t="shared" si="156"/>
        <v>88.440000000000012</v>
      </c>
      <c r="BF84" s="44"/>
      <c r="BG84" s="45">
        <f t="shared" si="157"/>
        <v>0</v>
      </c>
      <c r="BH84" s="45">
        <f t="shared" si="158"/>
        <v>0</v>
      </c>
      <c r="BI84" s="45">
        <f t="shared" si="159"/>
        <v>0</v>
      </c>
      <c r="BJ84" s="46">
        <f t="shared" si="160"/>
        <v>18</v>
      </c>
      <c r="BK84" s="46">
        <f t="shared" si="161"/>
        <v>0.5</v>
      </c>
      <c r="BL84" s="46">
        <f t="shared" si="162"/>
        <v>70.440000000000012</v>
      </c>
    </row>
    <row r="85" spans="1:64" ht="30" customHeight="1" x14ac:dyDescent="0.25">
      <c r="A85" s="84" t="str">
        <f t="shared" si="163"/>
        <v>Д</v>
      </c>
      <c r="B85" s="84" t="str">
        <f t="shared" si="164"/>
        <v>Б</v>
      </c>
      <c r="C85" s="101" t="s">
        <v>1471</v>
      </c>
      <c r="D85" s="16" t="str">
        <f t="shared" si="165"/>
        <v>'09.03.03</v>
      </c>
      <c r="E85" s="17" t="str">
        <f t="shared" si="166"/>
        <v>Прикладная информатика</v>
      </c>
      <c r="F85" s="9" t="s">
        <v>413</v>
      </c>
      <c r="G85" s="9" t="s">
        <v>42</v>
      </c>
      <c r="H85" s="10" t="s">
        <v>3233</v>
      </c>
      <c r="I85" s="10"/>
      <c r="J85" s="24" t="s">
        <v>3212</v>
      </c>
      <c r="K85" s="11">
        <v>4</v>
      </c>
      <c r="L85" s="11">
        <v>18</v>
      </c>
      <c r="M85" s="8" t="s">
        <v>94</v>
      </c>
      <c r="N85" s="11"/>
      <c r="O85" s="11">
        <v>2</v>
      </c>
      <c r="P85" s="11"/>
      <c r="Q85" s="8"/>
      <c r="R85" s="11"/>
      <c r="S85" s="11"/>
      <c r="T85" s="11"/>
      <c r="U85" s="11"/>
      <c r="V85" s="11"/>
      <c r="W85" s="83" t="str">
        <f t="shared" si="167"/>
        <v>НПИбд</v>
      </c>
      <c r="X85" s="110" t="s">
        <v>3234</v>
      </c>
      <c r="Y85" s="11">
        <v>1</v>
      </c>
      <c r="Z85" s="11">
        <v>1</v>
      </c>
      <c r="AA85" s="83">
        <f t="shared" si="168"/>
        <v>14</v>
      </c>
      <c r="AB85" s="11">
        <v>11</v>
      </c>
      <c r="AC85" s="11">
        <v>3</v>
      </c>
      <c r="AD85" s="81">
        <f t="shared" si="169"/>
        <v>12</v>
      </c>
      <c r="AE85" s="82">
        <f t="shared" si="170"/>
        <v>1</v>
      </c>
      <c r="AF85" s="82">
        <f t="shared" si="171"/>
        <v>1.1666666666666667</v>
      </c>
      <c r="AG85" s="102" t="s">
        <v>3250</v>
      </c>
      <c r="AH85" s="8" t="s">
        <v>204</v>
      </c>
      <c r="AI85" s="8" t="s">
        <v>213</v>
      </c>
      <c r="AJ85" s="35" t="s">
        <v>3255</v>
      </c>
      <c r="AK85" s="8"/>
      <c r="AL85" s="42">
        <f t="shared" si="172"/>
        <v>0</v>
      </c>
      <c r="AM85" s="42">
        <f t="shared" si="146"/>
        <v>0</v>
      </c>
      <c r="AN85" s="42">
        <f t="shared" si="147"/>
        <v>36</v>
      </c>
      <c r="AO85" s="42">
        <f t="shared" si="10"/>
        <v>0</v>
      </c>
      <c r="AP85" s="42">
        <f t="shared" si="148"/>
        <v>0</v>
      </c>
      <c r="AQ85" s="42">
        <f t="shared" si="149"/>
        <v>0</v>
      </c>
      <c r="AR85" s="42">
        <f t="shared" si="173"/>
        <v>0</v>
      </c>
      <c r="AS85" s="42">
        <f t="shared" si="150"/>
        <v>0</v>
      </c>
      <c r="AT85" s="42">
        <f t="shared" si="151"/>
        <v>0</v>
      </c>
      <c r="AU85" s="42">
        <f t="shared" si="152"/>
        <v>0</v>
      </c>
      <c r="AV85" s="42">
        <f>IF(M85="ПП",РПП*AA85*(U85/1.5),IF(M85="ВП",ВПр*AA85*(U85/1.5),IF(M85="РПА",РПА*AA85*(U85/1.5),IF(M85="КПА",КПА*AA85*(U85/1.5),0))))</f>
        <v>0</v>
      </c>
      <c r="AW85" s="42">
        <f t="shared" si="153"/>
        <v>0</v>
      </c>
      <c r="AX85" s="42">
        <f t="shared" si="174"/>
        <v>0</v>
      </c>
      <c r="AY85" s="42">
        <f t="shared" si="175"/>
        <v>0</v>
      </c>
      <c r="AZ85" s="42">
        <f t="shared" si="154"/>
        <v>0</v>
      </c>
      <c r="BA85" s="42">
        <f t="shared" si="176"/>
        <v>0</v>
      </c>
      <c r="BB85" s="42">
        <f t="shared" si="177"/>
        <v>0</v>
      </c>
      <c r="BC85" s="42">
        <f t="shared" si="178"/>
        <v>0</v>
      </c>
      <c r="BD85" s="42">
        <f t="shared" si="155"/>
        <v>0</v>
      </c>
      <c r="BE85" s="43">
        <f t="shared" si="156"/>
        <v>36</v>
      </c>
      <c r="BF85" s="44"/>
      <c r="BG85" s="45">
        <f t="shared" si="157"/>
        <v>0</v>
      </c>
      <c r="BH85" s="45">
        <f t="shared" si="158"/>
        <v>0</v>
      </c>
      <c r="BI85" s="45">
        <f t="shared" si="159"/>
        <v>0</v>
      </c>
      <c r="BJ85" s="46">
        <f t="shared" si="160"/>
        <v>36</v>
      </c>
      <c r="BK85" s="46">
        <f t="shared" si="161"/>
        <v>1</v>
      </c>
      <c r="BL85" s="46">
        <f t="shared" si="162"/>
        <v>0</v>
      </c>
    </row>
    <row r="86" spans="1:64" ht="30" customHeight="1" x14ac:dyDescent="0.25">
      <c r="A86" s="84" t="str">
        <f t="shared" si="163"/>
        <v>Д</v>
      </c>
      <c r="B86" s="84" t="str">
        <f t="shared" si="164"/>
        <v>Б</v>
      </c>
      <c r="C86" s="101" t="s">
        <v>1471</v>
      </c>
      <c r="D86" s="16" t="str">
        <f t="shared" si="165"/>
        <v>'09.03.03</v>
      </c>
      <c r="E86" s="17" t="str">
        <f t="shared" si="166"/>
        <v>Прикладная информатика</v>
      </c>
      <c r="F86" s="9" t="s">
        <v>413</v>
      </c>
      <c r="G86" s="9" t="s">
        <v>42</v>
      </c>
      <c r="H86" s="10" t="s">
        <v>3233</v>
      </c>
      <c r="I86" s="10"/>
      <c r="J86" s="24" t="s">
        <v>3212</v>
      </c>
      <c r="K86" s="11">
        <v>4</v>
      </c>
      <c r="L86" s="11">
        <v>18</v>
      </c>
      <c r="M86" s="8" t="s">
        <v>94</v>
      </c>
      <c r="N86" s="11"/>
      <c r="O86" s="11">
        <v>2</v>
      </c>
      <c r="P86" s="11"/>
      <c r="Q86" s="8"/>
      <c r="R86" s="11"/>
      <c r="S86" s="11"/>
      <c r="T86" s="11"/>
      <c r="U86" s="11"/>
      <c r="V86" s="11"/>
      <c r="W86" s="83" t="str">
        <f t="shared" si="167"/>
        <v>НПИбд</v>
      </c>
      <c r="X86" s="110" t="s">
        <v>3234</v>
      </c>
      <c r="Y86" s="11">
        <v>1</v>
      </c>
      <c r="Z86" s="11"/>
      <c r="AA86" s="83">
        <f t="shared" si="168"/>
        <v>12</v>
      </c>
      <c r="AB86" s="11">
        <v>10</v>
      </c>
      <c r="AC86" s="11">
        <v>2</v>
      </c>
      <c r="AD86" s="81">
        <f t="shared" si="169"/>
        <v>12</v>
      </c>
      <c r="AE86" s="82">
        <f t="shared" si="170"/>
        <v>1</v>
      </c>
      <c r="AF86" s="82">
        <f t="shared" si="171"/>
        <v>1</v>
      </c>
      <c r="AG86" s="102" t="s">
        <v>3250</v>
      </c>
      <c r="AH86" s="8" t="s">
        <v>204</v>
      </c>
      <c r="AI86" s="8" t="s">
        <v>213</v>
      </c>
      <c r="AJ86" s="37" t="s">
        <v>3255</v>
      </c>
      <c r="AK86" s="8"/>
      <c r="AL86" s="42">
        <f t="shared" si="172"/>
        <v>0</v>
      </c>
      <c r="AM86" s="42">
        <f t="shared" si="146"/>
        <v>0</v>
      </c>
      <c r="AN86" s="42">
        <f t="shared" si="147"/>
        <v>36</v>
      </c>
      <c r="AO86" s="42">
        <f t="shared" si="10"/>
        <v>0</v>
      </c>
      <c r="AP86" s="42">
        <f t="shared" si="148"/>
        <v>0</v>
      </c>
      <c r="AQ86" s="42">
        <f t="shared" si="149"/>
        <v>0</v>
      </c>
      <c r="AR86" s="42">
        <f t="shared" si="173"/>
        <v>0</v>
      </c>
      <c r="AS86" s="42">
        <f t="shared" si="150"/>
        <v>0</v>
      </c>
      <c r="AT86" s="42">
        <f t="shared" si="151"/>
        <v>0</v>
      </c>
      <c r="AU86" s="42">
        <f t="shared" si="152"/>
        <v>0</v>
      </c>
      <c r="AV86" s="42">
        <f>IF(M86="ПП",РПП*AA86*(U86/1.5),IF(M86="ВП",ВПр*AA86*(U86/1.5),IF(M86="РПА",РПА*AA86*(U86/1.5),IF(M86="КПА",КПА*AA86*(U86/1.5),0))))</f>
        <v>0</v>
      </c>
      <c r="AW86" s="42">
        <f t="shared" si="153"/>
        <v>0</v>
      </c>
      <c r="AX86" s="42">
        <f t="shared" si="174"/>
        <v>0</v>
      </c>
      <c r="AY86" s="42">
        <f t="shared" si="175"/>
        <v>0</v>
      </c>
      <c r="AZ86" s="42">
        <f t="shared" si="154"/>
        <v>0</v>
      </c>
      <c r="BA86" s="42">
        <f t="shared" si="176"/>
        <v>0</v>
      </c>
      <c r="BB86" s="42">
        <f t="shared" si="177"/>
        <v>0</v>
      </c>
      <c r="BC86" s="42">
        <f t="shared" si="178"/>
        <v>0</v>
      </c>
      <c r="BD86" s="42">
        <f t="shared" si="155"/>
        <v>0</v>
      </c>
      <c r="BE86" s="43">
        <f t="shared" si="156"/>
        <v>36</v>
      </c>
      <c r="BF86" s="44"/>
      <c r="BG86" s="45">
        <f t="shared" si="157"/>
        <v>0</v>
      </c>
      <c r="BH86" s="45">
        <f t="shared" si="158"/>
        <v>0</v>
      </c>
      <c r="BI86" s="45">
        <f t="shared" si="159"/>
        <v>0</v>
      </c>
      <c r="BJ86" s="46">
        <f t="shared" si="160"/>
        <v>36</v>
      </c>
      <c r="BK86" s="46">
        <f t="shared" si="161"/>
        <v>1</v>
      </c>
      <c r="BL86" s="46">
        <f t="shared" si="162"/>
        <v>0</v>
      </c>
    </row>
    <row r="87" spans="1:64" ht="30" customHeight="1" x14ac:dyDescent="0.25">
      <c r="A87" s="84" t="str">
        <f t="shared" si="163"/>
        <v>Д</v>
      </c>
      <c r="B87" s="84" t="str">
        <f t="shared" ref="B87:B88" si="203">IF(C87&gt;0, VLOOKUP(C87,Код_ООП,11,FALSE),0)</f>
        <v>Б</v>
      </c>
      <c r="C87" s="101" t="s">
        <v>1471</v>
      </c>
      <c r="D87" s="16" t="str">
        <f t="shared" ref="D87:D88" si="204">IF(C87&gt;0, VLOOKUP(C87,Код_ООП,2,FALSE),0)</f>
        <v>'09.03.03</v>
      </c>
      <c r="E87" s="17" t="str">
        <f t="shared" ref="E87:E88" si="205">IF(C87&gt;0, VLOOKUP(C87,Код_ООП,13,FALSE),0)</f>
        <v>Прикладная информатика</v>
      </c>
      <c r="F87" s="9" t="s">
        <v>413</v>
      </c>
      <c r="G87" s="9" t="s">
        <v>42</v>
      </c>
      <c r="H87" s="10" t="s">
        <v>3233</v>
      </c>
      <c r="I87" s="10"/>
      <c r="J87" s="24" t="s">
        <v>3212</v>
      </c>
      <c r="K87" s="12">
        <v>4</v>
      </c>
      <c r="L87" s="11">
        <v>18</v>
      </c>
      <c r="M87" s="8" t="s">
        <v>94</v>
      </c>
      <c r="N87" s="12"/>
      <c r="O87" s="12">
        <v>2</v>
      </c>
      <c r="P87" s="12"/>
      <c r="Q87" s="8"/>
      <c r="R87" s="12"/>
      <c r="S87" s="12"/>
      <c r="T87" s="12"/>
      <c r="U87" s="12"/>
      <c r="V87" s="12"/>
      <c r="W87" s="83" t="str">
        <f t="shared" si="167"/>
        <v>НПИбд</v>
      </c>
      <c r="X87" s="110" t="s">
        <v>3235</v>
      </c>
      <c r="Y87" s="11">
        <v>1</v>
      </c>
      <c r="Z87" s="11">
        <v>1</v>
      </c>
      <c r="AA87" s="83">
        <f t="shared" ref="AA87:AA88" si="206">AB87+AC87</f>
        <v>14</v>
      </c>
      <c r="AB87" s="11">
        <v>11</v>
      </c>
      <c r="AC87" s="11">
        <v>3</v>
      </c>
      <c r="AD87" s="81">
        <f t="shared" si="169"/>
        <v>12</v>
      </c>
      <c r="AE87" s="82">
        <f t="shared" ref="AE87:AE88" si="207">IF(AF87&gt;1,1,AF87)</f>
        <v>1</v>
      </c>
      <c r="AF87" s="82">
        <f t="shared" ref="AF87:AF88" si="208">AA87/AD87</f>
        <v>1.1666666666666667</v>
      </c>
      <c r="AG87" s="102" t="s">
        <v>3250</v>
      </c>
      <c r="AH87" s="8" t="s">
        <v>204</v>
      </c>
      <c r="AI87" s="8" t="s">
        <v>213</v>
      </c>
      <c r="AJ87" s="35" t="s">
        <v>3255</v>
      </c>
      <c r="AK87" s="8"/>
      <c r="AL87" s="42">
        <f t="shared" si="172"/>
        <v>0</v>
      </c>
      <c r="AM87" s="42">
        <f t="shared" ref="AM87:AM88" si="209">IF(OR(M87="пр",M87="ия",M87="сп"),P87*AE87*L87,0)</f>
        <v>0</v>
      </c>
      <c r="AN87" s="42">
        <f t="shared" ref="AN87:AN88" si="210">IF(OR(M87="лаб",M87="клн"),O87*AE87*L87,0)</f>
        <v>36</v>
      </c>
      <c r="AO87" s="42">
        <f t="shared" ref="AO87:AO88" si="211">(IF((AND(OR(K87=1,K87=2,K87=3,K87=4,K87=5,K87=6,K87=7,K87=8,K87=9,K87=10,K87=11,K87=12),OR(Q87="Зач",Q87="Экз"))),ТКиРА*AA87,0)+IF(SUM(N87:P87)&lt;&gt;0,IF(Q87="ТК",ТКиРА*AA87,0),0))*(IF(F87="ФТД",0,1))</f>
        <v>0</v>
      </c>
      <c r="AP87" s="42">
        <f t="shared" ref="AP87:AP88" si="212">IF(SUM(O87:P87)&lt;&gt;0,IF(Q87="Зач",ПАБРС*AA87,0),0)+IF(N87&lt;&gt;0,IF(Q87="Экз",ПАБРС*AA87,0),0)</f>
        <v>0</v>
      </c>
      <c r="AQ87" s="42">
        <f t="shared" ref="AQ87:AQ88" si="213">(IF(AP87&lt;&gt;0,ОфВед*(IF(OR(M87="лек",M87="лаб"),Z87,AE87)),0))*(IF(F87="ФТД",0,1))</f>
        <v>0</v>
      </c>
      <c r="AR87" s="42">
        <f t="shared" si="173"/>
        <v>0</v>
      </c>
      <c r="AS87" s="42">
        <f t="shared" ref="AS87:AS88" si="214">IF(OR(M87="лаб",M87="пр"),IF(R87="К",AA87*ВПКР,IF(R87="М",AA87*ВПИБ,0)),0)</f>
        <v>0</v>
      </c>
      <c r="AT87" s="42">
        <f t="shared" ref="AT87:AT88" si="215">IF(OR(M87="лаб",M87="пр"),IF(S87="К",AA87*ВПКП,0),0)</f>
        <v>0</v>
      </c>
      <c r="AU87" s="42">
        <f t="shared" ref="AU87:AU88" si="216">IF(M87="УП",T87/1.5*AA87*РУП,IF(M87="УПМ",T87/1.5*AA87*РУПЛеч,0))</f>
        <v>0</v>
      </c>
      <c r="AV87" s="42">
        <f>IF(M87="ПП",РПП*AA87*(U87/1.5),IF(M87="ВП",ВПр*AA87*(U87/1.5),IF(M87="РПА",РПА*AA87*(U87/1.5),IF(M87="КПА",КПА*AA87*(U87/1.5),0))))</f>
        <v>0</v>
      </c>
      <c r="AW87" s="42">
        <f t="shared" ref="AW87:AW88" si="217">IF(M87="НР",(AB87*НИРМ+AC87*НИРМИн)*(V87/1.5),IF(M87="НИ",(AB87*НИРА+AC87*НИРАИ)*(V87/1.5),0))</f>
        <v>0</v>
      </c>
      <c r="AX87" s="42">
        <f t="shared" si="174"/>
        <v>0</v>
      </c>
      <c r="AY87" s="42">
        <f t="shared" si="175"/>
        <v>0</v>
      </c>
      <c r="AZ87" s="42">
        <f t="shared" ref="AZ87:AZ88" si="218">IF(AND(Q87="КЭ",M87="ЧК"),AA87*КдЭк,0)</f>
        <v>0</v>
      </c>
      <c r="BA87" s="42">
        <f t="shared" si="176"/>
        <v>0</v>
      </c>
      <c r="BB87" s="42">
        <f t="shared" si="177"/>
        <v>0</v>
      </c>
      <c r="BC87" s="42">
        <f t="shared" si="178"/>
        <v>0</v>
      </c>
      <c r="BD87" s="42">
        <f t="shared" ref="BD87:BD88" si="219">IF(M87="ЧГ",AA87*ЧГ,IF(M87="ПГ",AA87*ПГ,IF(M87="ТЕСТ",ТГИЭ*AE87,IF(M87="СГ",AA87*СГ,0))))</f>
        <v>0</v>
      </c>
      <c r="BE87" s="43">
        <f t="shared" ref="BE87:BE88" si="220">SUM(AL87:BD87)</f>
        <v>36</v>
      </c>
      <c r="BF87" s="44"/>
      <c r="BG87" s="45">
        <f t="shared" ref="BG87:BG88" si="221">IF(OR(K87="1;1",K87="1;2",K87=1,K87="3;1",K87="3;2",K87=3,K87="5;1",K87="5;2",K87=5,K87="7;1",K87="7;2",K87=7,K87="9;1",K87="9;2",K87=9,K87=11),SUM(AL87:AN87),0)</f>
        <v>0</v>
      </c>
      <c r="BH87" s="45">
        <f t="shared" ref="BH87:BH88" si="222">IF(BG87&lt;&gt;0,SUM(N87:P87)/2,0)</f>
        <v>0</v>
      </c>
      <c r="BI87" s="45">
        <f t="shared" ref="BI87:BI88" si="223">IF(OR(K87="1;1",K87="1;2",K87=1,K87="3;1",K87="3;2",K87=3,K87="5;1",K87="5;2",K87=5,K87="7;1",K87="7;2",K87=7,K87="9;1",K87="9;2",K87=9,K87=11),SUM(AO87:BD87),0)</f>
        <v>0</v>
      </c>
      <c r="BJ87" s="46">
        <f t="shared" ref="BJ87:BJ88" si="224">IF(OR(K87="2;3",K87="2;4",K87=2,K87="4;3",K87="4;4",K87=4,K87="6;3",K87="6;4",K87=6,K87="8;3",K87="8;4",K87=8,K87="10;3",K87="10;4",K87=10,K87=12),SUM(AL87:AN87),0)</f>
        <v>36</v>
      </c>
      <c r="BK87" s="46">
        <f t="shared" ref="BK87:BK88" si="225">IF(BJ87&lt;&gt;0,SUM(N87:P87)/2,0)</f>
        <v>1</v>
      </c>
      <c r="BL87" s="46">
        <f t="shared" ref="BL87:BL88" si="226">IF(OR(K87="2;3",K87="2;4",K87=2,K87="4;3",K87="4;4",K87=4,K87="6;3",K87="6;4",K87=6,K87="8;3",K87="8;4",K87=8,K87="10;3",K87="10;4",K87=10,K87=12),SUM(AO87:BD87),0)</f>
        <v>0</v>
      </c>
    </row>
    <row r="88" spans="1:64" ht="30" customHeight="1" x14ac:dyDescent="0.25">
      <c r="A88" s="84" t="str">
        <f t="shared" si="163"/>
        <v>Д</v>
      </c>
      <c r="B88" s="84" t="str">
        <f t="shared" si="203"/>
        <v>Б</v>
      </c>
      <c r="C88" s="101" t="s">
        <v>1471</v>
      </c>
      <c r="D88" s="16" t="str">
        <f t="shared" si="204"/>
        <v>'09.03.03</v>
      </c>
      <c r="E88" s="17" t="str">
        <f t="shared" si="205"/>
        <v>Прикладная информатика</v>
      </c>
      <c r="F88" s="9" t="s">
        <v>413</v>
      </c>
      <c r="G88" s="9" t="s">
        <v>42</v>
      </c>
      <c r="H88" s="10" t="s">
        <v>3233</v>
      </c>
      <c r="I88" s="10"/>
      <c r="J88" s="24" t="s">
        <v>3212</v>
      </c>
      <c r="K88" s="11">
        <v>4</v>
      </c>
      <c r="L88" s="11">
        <v>18</v>
      </c>
      <c r="M88" s="8" t="s">
        <v>94</v>
      </c>
      <c r="N88" s="11"/>
      <c r="O88" s="11">
        <v>2</v>
      </c>
      <c r="P88" s="11"/>
      <c r="Q88" s="8"/>
      <c r="R88" s="11"/>
      <c r="S88" s="11"/>
      <c r="T88" s="23"/>
      <c r="U88" s="11"/>
      <c r="V88" s="11"/>
      <c r="W88" s="83" t="str">
        <f t="shared" si="167"/>
        <v>НПИбд</v>
      </c>
      <c r="X88" s="110" t="s">
        <v>3235</v>
      </c>
      <c r="Y88" s="11">
        <v>1</v>
      </c>
      <c r="Z88" s="11"/>
      <c r="AA88" s="83">
        <f t="shared" si="206"/>
        <v>12</v>
      </c>
      <c r="AB88" s="11">
        <v>10</v>
      </c>
      <c r="AC88" s="11">
        <v>2</v>
      </c>
      <c r="AD88" s="81">
        <f t="shared" si="169"/>
        <v>12</v>
      </c>
      <c r="AE88" s="82">
        <f t="shared" si="207"/>
        <v>1</v>
      </c>
      <c r="AF88" s="82">
        <f t="shared" si="208"/>
        <v>1</v>
      </c>
      <c r="AG88" s="102" t="s">
        <v>3250</v>
      </c>
      <c r="AH88" s="8" t="s">
        <v>204</v>
      </c>
      <c r="AI88" s="8" t="s">
        <v>213</v>
      </c>
      <c r="AJ88" s="35" t="s">
        <v>3255</v>
      </c>
      <c r="AK88" s="8"/>
      <c r="AL88" s="42">
        <f t="shared" si="172"/>
        <v>0</v>
      </c>
      <c r="AM88" s="42">
        <f t="shared" si="209"/>
        <v>0</v>
      </c>
      <c r="AN88" s="42">
        <f t="shared" si="210"/>
        <v>36</v>
      </c>
      <c r="AO88" s="42">
        <f t="shared" si="211"/>
        <v>0</v>
      </c>
      <c r="AP88" s="42">
        <f t="shared" si="212"/>
        <v>0</v>
      </c>
      <c r="AQ88" s="42">
        <f t="shared" si="213"/>
        <v>0</v>
      </c>
      <c r="AR88" s="42">
        <f t="shared" si="173"/>
        <v>0</v>
      </c>
      <c r="AS88" s="42">
        <f t="shared" si="214"/>
        <v>0</v>
      </c>
      <c r="AT88" s="42">
        <f t="shared" si="215"/>
        <v>0</v>
      </c>
      <c r="AU88" s="42">
        <f t="shared" si="216"/>
        <v>0</v>
      </c>
      <c r="AV88" s="42">
        <f>IF(M88="ПП",РПП*AA88*(U88/1.5),IF(M88="ВП",ВПр*AA88*(U88/1.5),IF(M88="РПА",РПА*AA88*(U88/1.5),IF(M88="КПА",КПА*AA88*(U88/1.5),0))))</f>
        <v>0</v>
      </c>
      <c r="AW88" s="42">
        <f t="shared" si="217"/>
        <v>0</v>
      </c>
      <c r="AX88" s="42">
        <f t="shared" si="174"/>
        <v>0</v>
      </c>
      <c r="AY88" s="42">
        <f t="shared" si="175"/>
        <v>0</v>
      </c>
      <c r="AZ88" s="42">
        <f t="shared" si="218"/>
        <v>0</v>
      </c>
      <c r="BA88" s="42">
        <f t="shared" si="176"/>
        <v>0</v>
      </c>
      <c r="BB88" s="42">
        <f t="shared" si="177"/>
        <v>0</v>
      </c>
      <c r="BC88" s="42">
        <f t="shared" si="178"/>
        <v>0</v>
      </c>
      <c r="BD88" s="42">
        <f t="shared" si="219"/>
        <v>0</v>
      </c>
      <c r="BE88" s="43">
        <f t="shared" si="220"/>
        <v>36</v>
      </c>
      <c r="BF88" s="44"/>
      <c r="BG88" s="45">
        <f t="shared" si="221"/>
        <v>0</v>
      </c>
      <c r="BH88" s="45">
        <f t="shared" si="222"/>
        <v>0</v>
      </c>
      <c r="BI88" s="45">
        <f t="shared" si="223"/>
        <v>0</v>
      </c>
      <c r="BJ88" s="46">
        <f t="shared" si="224"/>
        <v>36</v>
      </c>
      <c r="BK88" s="46">
        <f t="shared" si="225"/>
        <v>1</v>
      </c>
      <c r="BL88" s="46">
        <f t="shared" si="226"/>
        <v>0</v>
      </c>
    </row>
    <row r="89" spans="1:64" ht="30" customHeight="1" x14ac:dyDescent="0.25">
      <c r="A89" s="84" t="str">
        <f t="shared" si="163"/>
        <v>Д</v>
      </c>
      <c r="B89" s="84" t="str">
        <f t="shared" si="164"/>
        <v>Б</v>
      </c>
      <c r="C89" s="101" t="s">
        <v>1471</v>
      </c>
      <c r="D89" s="16" t="str">
        <f t="shared" si="165"/>
        <v>'09.03.03</v>
      </c>
      <c r="E89" s="17" t="str">
        <f t="shared" si="166"/>
        <v>Прикладная информатика</v>
      </c>
      <c r="F89" s="9" t="s">
        <v>413</v>
      </c>
      <c r="G89" s="9" t="s">
        <v>42</v>
      </c>
      <c r="H89" s="10" t="s">
        <v>3233</v>
      </c>
      <c r="I89" s="10"/>
      <c r="J89" s="24" t="s">
        <v>3212</v>
      </c>
      <c r="K89" s="12">
        <v>4</v>
      </c>
      <c r="L89" s="11">
        <v>18</v>
      </c>
      <c r="M89" s="8" t="s">
        <v>94</v>
      </c>
      <c r="N89" s="12"/>
      <c r="O89" s="12">
        <v>2</v>
      </c>
      <c r="P89" s="12"/>
      <c r="Q89" s="8"/>
      <c r="R89" s="12"/>
      <c r="S89" s="12"/>
      <c r="T89" s="12"/>
      <c r="U89" s="12"/>
      <c r="V89" s="12"/>
      <c r="W89" s="83" t="str">
        <f t="shared" si="167"/>
        <v>НПИбд</v>
      </c>
      <c r="X89" s="110" t="s">
        <v>3236</v>
      </c>
      <c r="Y89" s="11">
        <v>1</v>
      </c>
      <c r="Z89" s="11">
        <v>1</v>
      </c>
      <c r="AA89" s="83">
        <f t="shared" si="168"/>
        <v>13</v>
      </c>
      <c r="AB89" s="11">
        <v>10</v>
      </c>
      <c r="AC89" s="11">
        <v>3</v>
      </c>
      <c r="AD89" s="81">
        <f t="shared" si="169"/>
        <v>12</v>
      </c>
      <c r="AE89" s="82">
        <f t="shared" si="170"/>
        <v>1</v>
      </c>
      <c r="AF89" s="82">
        <f t="shared" si="171"/>
        <v>1.0833333333333333</v>
      </c>
      <c r="AG89" s="102" t="s">
        <v>3250</v>
      </c>
      <c r="AH89" s="8" t="s">
        <v>204</v>
      </c>
      <c r="AI89" s="8" t="s">
        <v>213</v>
      </c>
      <c r="AJ89" s="35" t="s">
        <v>3255</v>
      </c>
      <c r="AK89" s="8"/>
      <c r="AL89" s="42">
        <f t="shared" si="172"/>
        <v>0</v>
      </c>
      <c r="AM89" s="42">
        <f t="shared" si="146"/>
        <v>0</v>
      </c>
      <c r="AN89" s="42">
        <f t="shared" si="147"/>
        <v>36</v>
      </c>
      <c r="AO89" s="42">
        <f t="shared" si="10"/>
        <v>0</v>
      </c>
      <c r="AP89" s="42">
        <f t="shared" si="148"/>
        <v>0</v>
      </c>
      <c r="AQ89" s="42">
        <f t="shared" si="149"/>
        <v>0</v>
      </c>
      <c r="AR89" s="42">
        <f t="shared" si="173"/>
        <v>0</v>
      </c>
      <c r="AS89" s="42">
        <f t="shared" si="150"/>
        <v>0</v>
      </c>
      <c r="AT89" s="42">
        <f t="shared" si="151"/>
        <v>0</v>
      </c>
      <c r="AU89" s="42">
        <f t="shared" si="152"/>
        <v>0</v>
      </c>
      <c r="AV89" s="42">
        <f>IF(M89="ПП",РПП*AA89*(U89/1.5),IF(M89="ВП",ВПр*AA89*(U89/1.5),IF(M89="РПА",РПА*AA89*(U89/1.5),IF(M89="КПА",КПА*AA89*(U89/1.5),0))))</f>
        <v>0</v>
      </c>
      <c r="AW89" s="42">
        <f t="shared" si="153"/>
        <v>0</v>
      </c>
      <c r="AX89" s="42">
        <f t="shared" si="174"/>
        <v>0</v>
      </c>
      <c r="AY89" s="42">
        <f t="shared" si="175"/>
        <v>0</v>
      </c>
      <c r="AZ89" s="42">
        <f t="shared" si="154"/>
        <v>0</v>
      </c>
      <c r="BA89" s="42">
        <f t="shared" si="176"/>
        <v>0</v>
      </c>
      <c r="BB89" s="42">
        <f t="shared" si="177"/>
        <v>0</v>
      </c>
      <c r="BC89" s="42">
        <f t="shared" si="178"/>
        <v>0</v>
      </c>
      <c r="BD89" s="42">
        <f t="shared" si="155"/>
        <v>0</v>
      </c>
      <c r="BE89" s="43">
        <f t="shared" si="156"/>
        <v>36</v>
      </c>
      <c r="BF89" s="44"/>
      <c r="BG89" s="45">
        <f t="shared" si="157"/>
        <v>0</v>
      </c>
      <c r="BH89" s="45">
        <f t="shared" si="158"/>
        <v>0</v>
      </c>
      <c r="BI89" s="45">
        <f t="shared" si="159"/>
        <v>0</v>
      </c>
      <c r="BJ89" s="46">
        <f t="shared" si="160"/>
        <v>36</v>
      </c>
      <c r="BK89" s="46">
        <f t="shared" si="161"/>
        <v>1</v>
      </c>
      <c r="BL89" s="46">
        <f t="shared" si="162"/>
        <v>0</v>
      </c>
    </row>
    <row r="90" spans="1:64" ht="30" customHeight="1" x14ac:dyDescent="0.25">
      <c r="A90" s="84" t="str">
        <f t="shared" si="163"/>
        <v>Д</v>
      </c>
      <c r="B90" s="84" t="str">
        <f t="shared" si="164"/>
        <v>Б</v>
      </c>
      <c r="C90" s="101" t="s">
        <v>1471</v>
      </c>
      <c r="D90" s="16" t="str">
        <f t="shared" si="165"/>
        <v>'09.03.03</v>
      </c>
      <c r="E90" s="17" t="str">
        <f t="shared" si="166"/>
        <v>Прикладная информатика</v>
      </c>
      <c r="F90" s="9" t="s">
        <v>413</v>
      </c>
      <c r="G90" s="9" t="s">
        <v>42</v>
      </c>
      <c r="H90" s="10" t="s">
        <v>3233</v>
      </c>
      <c r="I90" s="10"/>
      <c r="J90" s="24" t="s">
        <v>3212</v>
      </c>
      <c r="K90" s="11">
        <v>4</v>
      </c>
      <c r="L90" s="11">
        <v>18</v>
      </c>
      <c r="M90" s="8" t="s">
        <v>94</v>
      </c>
      <c r="N90" s="11"/>
      <c r="O90" s="11">
        <v>2</v>
      </c>
      <c r="P90" s="11"/>
      <c r="Q90" s="8"/>
      <c r="R90" s="11"/>
      <c r="S90" s="11"/>
      <c r="T90" s="23"/>
      <c r="U90" s="11"/>
      <c r="V90" s="11"/>
      <c r="W90" s="83" t="str">
        <f t="shared" si="167"/>
        <v>НПИбд</v>
      </c>
      <c r="X90" s="110" t="s">
        <v>3236</v>
      </c>
      <c r="Y90" s="11">
        <v>1</v>
      </c>
      <c r="Z90" s="11"/>
      <c r="AA90" s="83">
        <f t="shared" si="168"/>
        <v>13</v>
      </c>
      <c r="AB90" s="11">
        <v>10</v>
      </c>
      <c r="AC90" s="11">
        <v>3</v>
      </c>
      <c r="AD90" s="81">
        <f t="shared" si="169"/>
        <v>12</v>
      </c>
      <c r="AE90" s="82">
        <f t="shared" si="170"/>
        <v>1</v>
      </c>
      <c r="AF90" s="82">
        <f t="shared" si="171"/>
        <v>1.0833333333333333</v>
      </c>
      <c r="AG90" s="102" t="s">
        <v>3250</v>
      </c>
      <c r="AH90" s="8" t="s">
        <v>204</v>
      </c>
      <c r="AI90" s="8" t="s">
        <v>213</v>
      </c>
      <c r="AJ90" s="35" t="s">
        <v>3255</v>
      </c>
      <c r="AK90" s="8"/>
      <c r="AL90" s="42">
        <f t="shared" si="172"/>
        <v>0</v>
      </c>
      <c r="AM90" s="42">
        <f t="shared" si="146"/>
        <v>0</v>
      </c>
      <c r="AN90" s="42">
        <f t="shared" si="147"/>
        <v>36</v>
      </c>
      <c r="AO90" s="42">
        <f t="shared" si="10"/>
        <v>0</v>
      </c>
      <c r="AP90" s="42">
        <f t="shared" si="148"/>
        <v>0</v>
      </c>
      <c r="AQ90" s="42">
        <f t="shared" si="149"/>
        <v>0</v>
      </c>
      <c r="AR90" s="42">
        <f t="shared" si="173"/>
        <v>0</v>
      </c>
      <c r="AS90" s="42">
        <f t="shared" si="150"/>
        <v>0</v>
      </c>
      <c r="AT90" s="42">
        <f t="shared" si="151"/>
        <v>0</v>
      </c>
      <c r="AU90" s="42">
        <f t="shared" si="152"/>
        <v>0</v>
      </c>
      <c r="AV90" s="42">
        <f>IF(M90="ПП",РПП*AA90*(U90/1.5),IF(M90="ВП",ВПр*AA90*(U90/1.5),IF(M90="РПА",РПА*AA90*(U90/1.5),IF(M90="КПА",КПА*AA90*(U90/1.5),0))))</f>
        <v>0</v>
      </c>
      <c r="AW90" s="42">
        <f t="shared" si="153"/>
        <v>0</v>
      </c>
      <c r="AX90" s="42">
        <f t="shared" si="174"/>
        <v>0</v>
      </c>
      <c r="AY90" s="42">
        <f t="shared" si="175"/>
        <v>0</v>
      </c>
      <c r="AZ90" s="42">
        <f t="shared" si="154"/>
        <v>0</v>
      </c>
      <c r="BA90" s="42">
        <f t="shared" si="176"/>
        <v>0</v>
      </c>
      <c r="BB90" s="42">
        <f t="shared" si="177"/>
        <v>0</v>
      </c>
      <c r="BC90" s="42">
        <f t="shared" si="178"/>
        <v>0</v>
      </c>
      <c r="BD90" s="42">
        <f t="shared" si="155"/>
        <v>0</v>
      </c>
      <c r="BE90" s="43">
        <f t="shared" si="156"/>
        <v>36</v>
      </c>
      <c r="BF90" s="44"/>
      <c r="BG90" s="45">
        <f t="shared" si="157"/>
        <v>0</v>
      </c>
      <c r="BH90" s="45">
        <f t="shared" si="158"/>
        <v>0</v>
      </c>
      <c r="BI90" s="45">
        <f t="shared" si="159"/>
        <v>0</v>
      </c>
      <c r="BJ90" s="46">
        <f t="shared" si="160"/>
        <v>36</v>
      </c>
      <c r="BK90" s="46">
        <f t="shared" si="161"/>
        <v>1</v>
      </c>
      <c r="BL90" s="46">
        <f t="shared" si="162"/>
        <v>0</v>
      </c>
    </row>
    <row r="91" spans="1:64" ht="30" customHeight="1" x14ac:dyDescent="0.25">
      <c r="A91" s="84" t="str">
        <f t="shared" si="163"/>
        <v>Д</v>
      </c>
      <c r="B91" s="84" t="str">
        <f t="shared" ref="B91:B94" si="227">IF(C91&gt;0, VLOOKUP(C91,Код_ООП,11,FALSE),0)</f>
        <v>Б</v>
      </c>
      <c r="C91" s="101" t="s">
        <v>1471</v>
      </c>
      <c r="D91" s="16" t="str">
        <f t="shared" ref="D91:D94" si="228">IF(C91&gt;0, VLOOKUP(C91,Код_ООП,2,FALSE),0)</f>
        <v>'09.03.03</v>
      </c>
      <c r="E91" s="17" t="str">
        <f t="shared" ref="E91:E94" si="229">IF(C91&gt;0, VLOOKUP(C91,Код_ООП,13,FALSE),0)</f>
        <v>Прикладная информатика</v>
      </c>
      <c r="F91" s="9" t="s">
        <v>413</v>
      </c>
      <c r="G91" s="9" t="s">
        <v>42</v>
      </c>
      <c r="H91" s="10" t="s">
        <v>3233</v>
      </c>
      <c r="I91" s="10"/>
      <c r="J91" s="24" t="s">
        <v>3213</v>
      </c>
      <c r="K91" s="11">
        <v>6</v>
      </c>
      <c r="L91" s="11">
        <v>18</v>
      </c>
      <c r="M91" s="8" t="s">
        <v>23</v>
      </c>
      <c r="N91" s="11">
        <v>1</v>
      </c>
      <c r="O91" s="11"/>
      <c r="P91" s="11"/>
      <c r="Q91" s="8" t="s">
        <v>103</v>
      </c>
      <c r="R91" s="11"/>
      <c r="S91" s="11"/>
      <c r="T91" s="23"/>
      <c r="U91" s="11"/>
      <c r="V91" s="11"/>
      <c r="W91" s="83" t="str">
        <f t="shared" si="167"/>
        <v>НПИбд</v>
      </c>
      <c r="X91" s="110" t="s">
        <v>3355</v>
      </c>
      <c r="Y91" s="11">
        <v>3</v>
      </c>
      <c r="Z91" s="11">
        <v>2</v>
      </c>
      <c r="AA91" s="83">
        <f t="shared" ref="AA91:AA94" si="230">AB91+AC91</f>
        <v>36</v>
      </c>
      <c r="AB91" s="11">
        <v>31</v>
      </c>
      <c r="AC91" s="11">
        <v>5</v>
      </c>
      <c r="AD91" s="81">
        <f t="shared" si="169"/>
        <v>36</v>
      </c>
      <c r="AE91" s="82">
        <f t="shared" ref="AE91:AE94" si="231">IF(AF91&gt;1,1,AF91)</f>
        <v>1</v>
      </c>
      <c r="AF91" s="82">
        <f t="shared" ref="AF91:AF94" si="232">AA91/AD91</f>
        <v>1</v>
      </c>
      <c r="AG91" s="102" t="s">
        <v>3250</v>
      </c>
      <c r="AH91" s="8" t="s">
        <v>204</v>
      </c>
      <c r="AI91" s="8" t="s">
        <v>213</v>
      </c>
      <c r="AJ91" s="35" t="s">
        <v>3263</v>
      </c>
      <c r="AK91" s="8"/>
      <c r="AL91" s="42">
        <f t="shared" si="172"/>
        <v>18</v>
      </c>
      <c r="AM91" s="42">
        <f t="shared" si="146"/>
        <v>0</v>
      </c>
      <c r="AN91" s="42">
        <f t="shared" si="147"/>
        <v>0</v>
      </c>
      <c r="AO91" s="42">
        <f t="shared" si="10"/>
        <v>11.88</v>
      </c>
      <c r="AP91" s="42">
        <f t="shared" si="148"/>
        <v>18</v>
      </c>
      <c r="AQ91" s="42">
        <f t="shared" si="149"/>
        <v>2</v>
      </c>
      <c r="AR91" s="42">
        <f t="shared" si="173"/>
        <v>1.8</v>
      </c>
      <c r="AS91" s="42">
        <f t="shared" si="150"/>
        <v>0</v>
      </c>
      <c r="AT91" s="42">
        <f t="shared" si="151"/>
        <v>0</v>
      </c>
      <c r="AU91" s="42">
        <f t="shared" si="152"/>
        <v>0</v>
      </c>
      <c r="AV91" s="42">
        <f>IF(M91="ПП",РПП*AA91*(U91/1.5),IF(M91="ВП",ВПр*AA91*(U91/1.5),IF(M91="РПА",РПА*AA91*(U91/1.5),IF(M91="КПА",КПА*AA91*(U91/1.5),0))))</f>
        <v>0</v>
      </c>
      <c r="AW91" s="42">
        <f t="shared" si="153"/>
        <v>0</v>
      </c>
      <c r="AX91" s="42">
        <f t="shared" si="174"/>
        <v>0</v>
      </c>
      <c r="AY91" s="42">
        <f t="shared" si="175"/>
        <v>0</v>
      </c>
      <c r="AZ91" s="42">
        <f t="shared" si="154"/>
        <v>0</v>
      </c>
      <c r="BA91" s="42">
        <f t="shared" si="176"/>
        <v>0</v>
      </c>
      <c r="BB91" s="42">
        <f t="shared" si="177"/>
        <v>0</v>
      </c>
      <c r="BC91" s="42">
        <f t="shared" si="178"/>
        <v>0</v>
      </c>
      <c r="BD91" s="42">
        <f t="shared" si="155"/>
        <v>0</v>
      </c>
      <c r="BE91" s="43">
        <f t="shared" si="156"/>
        <v>51.68</v>
      </c>
      <c r="BF91" s="44"/>
      <c r="BG91" s="45">
        <f t="shared" si="157"/>
        <v>0</v>
      </c>
      <c r="BH91" s="45">
        <f t="shared" si="158"/>
        <v>0</v>
      </c>
      <c r="BI91" s="45">
        <f t="shared" si="159"/>
        <v>0</v>
      </c>
      <c r="BJ91" s="46">
        <f t="shared" si="160"/>
        <v>18</v>
      </c>
      <c r="BK91" s="46">
        <f t="shared" si="161"/>
        <v>0.5</v>
      </c>
      <c r="BL91" s="46">
        <f t="shared" si="162"/>
        <v>33.68</v>
      </c>
    </row>
    <row r="92" spans="1:64" ht="30" customHeight="1" x14ac:dyDescent="0.25">
      <c r="A92" s="84" t="str">
        <f t="shared" si="163"/>
        <v>Д</v>
      </c>
      <c r="B92" s="84" t="str">
        <f t="shared" si="227"/>
        <v>Б</v>
      </c>
      <c r="C92" s="101" t="s">
        <v>1471</v>
      </c>
      <c r="D92" s="16" t="str">
        <f t="shared" si="228"/>
        <v>'09.03.03</v>
      </c>
      <c r="E92" s="17" t="str">
        <f t="shared" si="229"/>
        <v>Прикладная информатика</v>
      </c>
      <c r="F92" s="9" t="s">
        <v>413</v>
      </c>
      <c r="G92" s="9" t="s">
        <v>42</v>
      </c>
      <c r="H92" s="10" t="s">
        <v>3233</v>
      </c>
      <c r="I92" s="10"/>
      <c r="J92" s="24" t="s">
        <v>3213</v>
      </c>
      <c r="K92" s="11">
        <v>6</v>
      </c>
      <c r="L92" s="11">
        <v>18</v>
      </c>
      <c r="M92" s="8" t="s">
        <v>94</v>
      </c>
      <c r="N92" s="11"/>
      <c r="O92" s="11">
        <v>2</v>
      </c>
      <c r="P92" s="11"/>
      <c r="Q92" s="8"/>
      <c r="R92" s="11"/>
      <c r="S92" s="11"/>
      <c r="T92" s="11"/>
      <c r="U92" s="11"/>
      <c r="V92" s="11"/>
      <c r="W92" s="83" t="str">
        <f t="shared" si="167"/>
        <v>НПИбд</v>
      </c>
      <c r="X92" s="110" t="s">
        <v>3241</v>
      </c>
      <c r="Y92" s="11">
        <v>1</v>
      </c>
      <c r="Z92" s="11">
        <v>1</v>
      </c>
      <c r="AA92" s="83">
        <f t="shared" si="230"/>
        <v>13</v>
      </c>
      <c r="AB92" s="11">
        <v>11</v>
      </c>
      <c r="AC92" s="11">
        <v>2</v>
      </c>
      <c r="AD92" s="81">
        <f t="shared" si="169"/>
        <v>12</v>
      </c>
      <c r="AE92" s="82">
        <f t="shared" si="231"/>
        <v>1</v>
      </c>
      <c r="AF92" s="82">
        <f t="shared" si="232"/>
        <v>1.0833333333333333</v>
      </c>
      <c r="AG92" s="102" t="s">
        <v>3250</v>
      </c>
      <c r="AH92" s="8" t="s">
        <v>203</v>
      </c>
      <c r="AI92" s="8" t="s">
        <v>213</v>
      </c>
      <c r="AJ92" s="35" t="s">
        <v>3264</v>
      </c>
      <c r="AK92" s="8"/>
      <c r="AL92" s="42">
        <f t="shared" si="172"/>
        <v>0</v>
      </c>
      <c r="AM92" s="42">
        <f t="shared" si="146"/>
        <v>0</v>
      </c>
      <c r="AN92" s="42">
        <f t="shared" si="147"/>
        <v>36</v>
      </c>
      <c r="AO92" s="42">
        <f t="shared" si="10"/>
        <v>0</v>
      </c>
      <c r="AP92" s="42">
        <f t="shared" si="148"/>
        <v>0</v>
      </c>
      <c r="AQ92" s="42">
        <f t="shared" si="149"/>
        <v>0</v>
      </c>
      <c r="AR92" s="42">
        <f t="shared" si="173"/>
        <v>0</v>
      </c>
      <c r="AS92" s="42">
        <f t="shared" si="150"/>
        <v>0</v>
      </c>
      <c r="AT92" s="42">
        <f t="shared" si="151"/>
        <v>0</v>
      </c>
      <c r="AU92" s="42">
        <f t="shared" si="152"/>
        <v>0</v>
      </c>
      <c r="AV92" s="42">
        <f>IF(M92="ПП",РПП*AA92*(U92/1.5),IF(M92="ВП",ВПр*AA92*(U92/1.5),IF(M92="РПА",РПА*AA92*(U92/1.5),IF(M92="КПА",КПА*AA92*(U92/1.5),0))))</f>
        <v>0</v>
      </c>
      <c r="AW92" s="42">
        <f t="shared" si="153"/>
        <v>0</v>
      </c>
      <c r="AX92" s="42">
        <f t="shared" si="174"/>
        <v>0</v>
      </c>
      <c r="AY92" s="42">
        <f t="shared" si="175"/>
        <v>0</v>
      </c>
      <c r="AZ92" s="42">
        <f t="shared" si="154"/>
        <v>0</v>
      </c>
      <c r="BA92" s="42">
        <f t="shared" si="176"/>
        <v>0</v>
      </c>
      <c r="BB92" s="42">
        <f t="shared" si="177"/>
        <v>0</v>
      </c>
      <c r="BC92" s="42">
        <f t="shared" si="178"/>
        <v>0</v>
      </c>
      <c r="BD92" s="42">
        <f t="shared" si="155"/>
        <v>0</v>
      </c>
      <c r="BE92" s="43">
        <f t="shared" si="156"/>
        <v>36</v>
      </c>
      <c r="BF92" s="44"/>
      <c r="BG92" s="45">
        <f t="shared" si="157"/>
        <v>0</v>
      </c>
      <c r="BH92" s="45">
        <f t="shared" si="158"/>
        <v>0</v>
      </c>
      <c r="BI92" s="45">
        <f t="shared" si="159"/>
        <v>0</v>
      </c>
      <c r="BJ92" s="46">
        <f t="shared" si="160"/>
        <v>36</v>
      </c>
      <c r="BK92" s="46">
        <f t="shared" si="161"/>
        <v>1</v>
      </c>
      <c r="BL92" s="46">
        <f t="shared" si="162"/>
        <v>0</v>
      </c>
    </row>
    <row r="93" spans="1:64" ht="30" customHeight="1" x14ac:dyDescent="0.25">
      <c r="A93" s="84" t="str">
        <f t="shared" si="163"/>
        <v>Д</v>
      </c>
      <c r="B93" s="84" t="str">
        <f t="shared" si="227"/>
        <v>Б</v>
      </c>
      <c r="C93" s="101" t="s">
        <v>1471</v>
      </c>
      <c r="D93" s="16" t="str">
        <f t="shared" si="228"/>
        <v>'09.03.03</v>
      </c>
      <c r="E93" s="17" t="str">
        <f t="shared" si="229"/>
        <v>Прикладная информатика</v>
      </c>
      <c r="F93" s="9" t="s">
        <v>413</v>
      </c>
      <c r="G93" s="9" t="s">
        <v>42</v>
      </c>
      <c r="H93" s="10" t="s">
        <v>3233</v>
      </c>
      <c r="I93" s="10"/>
      <c r="J93" s="24" t="s">
        <v>3213</v>
      </c>
      <c r="K93" s="11">
        <v>6</v>
      </c>
      <c r="L93" s="11">
        <v>18</v>
      </c>
      <c r="M93" s="8" t="s">
        <v>94</v>
      </c>
      <c r="N93" s="11"/>
      <c r="O93" s="11">
        <v>2</v>
      </c>
      <c r="P93" s="11"/>
      <c r="Q93" s="8"/>
      <c r="R93" s="11"/>
      <c r="S93" s="11"/>
      <c r="T93" s="11"/>
      <c r="U93" s="11"/>
      <c r="V93" s="11"/>
      <c r="W93" s="83" t="str">
        <f t="shared" si="167"/>
        <v>НПИбд</v>
      </c>
      <c r="X93" s="110" t="s">
        <v>3241</v>
      </c>
      <c r="Y93" s="11">
        <v>1</v>
      </c>
      <c r="Z93" s="11"/>
      <c r="AA93" s="83">
        <f t="shared" si="230"/>
        <v>12</v>
      </c>
      <c r="AB93" s="11">
        <v>10</v>
      </c>
      <c r="AC93" s="11">
        <v>2</v>
      </c>
      <c r="AD93" s="81">
        <f t="shared" si="169"/>
        <v>12</v>
      </c>
      <c r="AE93" s="82">
        <f t="shared" si="231"/>
        <v>1</v>
      </c>
      <c r="AF93" s="82">
        <f t="shared" si="232"/>
        <v>1</v>
      </c>
      <c r="AG93" s="102" t="s">
        <v>3250</v>
      </c>
      <c r="AH93" s="8" t="s">
        <v>203</v>
      </c>
      <c r="AI93" s="8" t="s">
        <v>213</v>
      </c>
      <c r="AJ93" s="35" t="s">
        <v>3264</v>
      </c>
      <c r="AK93" s="8"/>
      <c r="AL93" s="42">
        <f t="shared" si="172"/>
        <v>0</v>
      </c>
      <c r="AM93" s="42">
        <f t="shared" si="146"/>
        <v>0</v>
      </c>
      <c r="AN93" s="42">
        <f t="shared" si="147"/>
        <v>36</v>
      </c>
      <c r="AO93" s="42">
        <f t="shared" si="10"/>
        <v>0</v>
      </c>
      <c r="AP93" s="42">
        <f t="shared" si="148"/>
        <v>0</v>
      </c>
      <c r="AQ93" s="42">
        <f t="shared" si="149"/>
        <v>0</v>
      </c>
      <c r="AR93" s="42">
        <f t="shared" si="173"/>
        <v>0</v>
      </c>
      <c r="AS93" s="42">
        <f t="shared" si="150"/>
        <v>0</v>
      </c>
      <c r="AT93" s="42">
        <f t="shared" si="151"/>
        <v>0</v>
      </c>
      <c r="AU93" s="42">
        <f t="shared" si="152"/>
        <v>0</v>
      </c>
      <c r="AV93" s="42">
        <f>IF(M93="ПП",РПП*AA93*(U93/1.5),IF(M93="ВП",ВПр*AA93*(U93/1.5),IF(M93="РПА",РПА*AA93*(U93/1.5),IF(M93="КПА",КПА*AA93*(U93/1.5),0))))</f>
        <v>0</v>
      </c>
      <c r="AW93" s="42">
        <f t="shared" si="153"/>
        <v>0</v>
      </c>
      <c r="AX93" s="42">
        <f t="shared" si="174"/>
        <v>0</v>
      </c>
      <c r="AY93" s="42">
        <f t="shared" si="175"/>
        <v>0</v>
      </c>
      <c r="AZ93" s="42">
        <f t="shared" si="154"/>
        <v>0</v>
      </c>
      <c r="BA93" s="42">
        <f t="shared" si="176"/>
        <v>0</v>
      </c>
      <c r="BB93" s="42">
        <f t="shared" si="177"/>
        <v>0</v>
      </c>
      <c r="BC93" s="42">
        <f t="shared" si="178"/>
        <v>0</v>
      </c>
      <c r="BD93" s="42">
        <f t="shared" si="155"/>
        <v>0</v>
      </c>
      <c r="BE93" s="43">
        <f t="shared" si="156"/>
        <v>36</v>
      </c>
      <c r="BF93" s="44"/>
      <c r="BG93" s="45">
        <f t="shared" si="157"/>
        <v>0</v>
      </c>
      <c r="BH93" s="45">
        <f t="shared" si="158"/>
        <v>0</v>
      </c>
      <c r="BI93" s="45">
        <f t="shared" si="159"/>
        <v>0</v>
      </c>
      <c r="BJ93" s="46">
        <f t="shared" si="160"/>
        <v>36</v>
      </c>
      <c r="BK93" s="46">
        <f t="shared" si="161"/>
        <v>1</v>
      </c>
      <c r="BL93" s="46">
        <f t="shared" si="162"/>
        <v>0</v>
      </c>
    </row>
    <row r="94" spans="1:64" ht="30" customHeight="1" x14ac:dyDescent="0.25">
      <c r="A94" s="84" t="str">
        <f t="shared" si="163"/>
        <v>Д</v>
      </c>
      <c r="B94" s="84" t="str">
        <f t="shared" si="227"/>
        <v>Б</v>
      </c>
      <c r="C94" s="101" t="s">
        <v>1471</v>
      </c>
      <c r="D94" s="16" t="str">
        <f t="shared" si="228"/>
        <v>'09.03.03</v>
      </c>
      <c r="E94" s="17" t="str">
        <f t="shared" si="229"/>
        <v>Прикладная информатика</v>
      </c>
      <c r="F94" s="9" t="s">
        <v>413</v>
      </c>
      <c r="G94" s="9" t="s">
        <v>42</v>
      </c>
      <c r="H94" s="10" t="s">
        <v>3233</v>
      </c>
      <c r="I94" s="10"/>
      <c r="J94" s="24" t="s">
        <v>3213</v>
      </c>
      <c r="K94" s="11">
        <v>6</v>
      </c>
      <c r="L94" s="11">
        <v>18</v>
      </c>
      <c r="M94" s="8" t="s">
        <v>94</v>
      </c>
      <c r="N94" s="11"/>
      <c r="O94" s="11">
        <v>2</v>
      </c>
      <c r="P94" s="11"/>
      <c r="Q94" s="8"/>
      <c r="R94" s="11"/>
      <c r="S94" s="11"/>
      <c r="T94" s="11"/>
      <c r="U94" s="11"/>
      <c r="V94" s="11"/>
      <c r="W94" s="83" t="str">
        <f t="shared" si="167"/>
        <v>НПИбд</v>
      </c>
      <c r="X94" s="110" t="s">
        <v>3242</v>
      </c>
      <c r="Y94" s="11">
        <v>1</v>
      </c>
      <c r="Z94" s="11">
        <v>1</v>
      </c>
      <c r="AA94" s="83">
        <f t="shared" si="230"/>
        <v>11</v>
      </c>
      <c r="AB94" s="11">
        <v>10</v>
      </c>
      <c r="AC94" s="11">
        <v>1</v>
      </c>
      <c r="AD94" s="81">
        <f t="shared" si="169"/>
        <v>12</v>
      </c>
      <c r="AE94" s="82">
        <f t="shared" si="231"/>
        <v>0.91666666666666663</v>
      </c>
      <c r="AF94" s="82">
        <f t="shared" si="232"/>
        <v>0.91666666666666663</v>
      </c>
      <c r="AG94" s="102" t="s">
        <v>3250</v>
      </c>
      <c r="AH94" s="8" t="s">
        <v>203</v>
      </c>
      <c r="AI94" s="8" t="s">
        <v>213</v>
      </c>
      <c r="AJ94" s="135" t="s">
        <v>3264</v>
      </c>
      <c r="AK94" s="8"/>
      <c r="AL94" s="42">
        <f t="shared" si="172"/>
        <v>0</v>
      </c>
      <c r="AM94" s="42">
        <f t="shared" si="146"/>
        <v>0</v>
      </c>
      <c r="AN94" s="42">
        <f t="shared" si="147"/>
        <v>33</v>
      </c>
      <c r="AO94" s="42">
        <f t="shared" si="10"/>
        <v>0</v>
      </c>
      <c r="AP94" s="42">
        <f t="shared" si="148"/>
        <v>0</v>
      </c>
      <c r="AQ94" s="42">
        <f t="shared" si="149"/>
        <v>0</v>
      </c>
      <c r="AR94" s="42">
        <f t="shared" si="173"/>
        <v>0</v>
      </c>
      <c r="AS94" s="42">
        <f t="shared" si="150"/>
        <v>0</v>
      </c>
      <c r="AT94" s="42">
        <f t="shared" si="151"/>
        <v>0</v>
      </c>
      <c r="AU94" s="42">
        <f t="shared" si="152"/>
        <v>0</v>
      </c>
      <c r="AV94" s="42">
        <f>IF(M94="ПП",РПП*AA94*(U94/1.5),IF(M94="ВП",ВПр*AA94*(U94/1.5),IF(M94="РПА",РПА*AA94*(U94/1.5),IF(M94="КПА",КПА*AA94*(U94/1.5),0))))</f>
        <v>0</v>
      </c>
      <c r="AW94" s="42">
        <f t="shared" si="153"/>
        <v>0</v>
      </c>
      <c r="AX94" s="42">
        <f t="shared" si="174"/>
        <v>0</v>
      </c>
      <c r="AY94" s="42">
        <f t="shared" si="175"/>
        <v>0</v>
      </c>
      <c r="AZ94" s="42">
        <f t="shared" si="154"/>
        <v>0</v>
      </c>
      <c r="BA94" s="42">
        <f t="shared" si="176"/>
        <v>0</v>
      </c>
      <c r="BB94" s="42">
        <f t="shared" si="177"/>
        <v>0</v>
      </c>
      <c r="BC94" s="42">
        <f t="shared" si="178"/>
        <v>0</v>
      </c>
      <c r="BD94" s="42">
        <f t="shared" si="155"/>
        <v>0</v>
      </c>
      <c r="BE94" s="43">
        <f t="shared" si="156"/>
        <v>33</v>
      </c>
      <c r="BF94" s="44"/>
      <c r="BG94" s="45">
        <f t="shared" si="157"/>
        <v>0</v>
      </c>
      <c r="BH94" s="45">
        <f t="shared" si="158"/>
        <v>0</v>
      </c>
      <c r="BI94" s="45">
        <f t="shared" si="159"/>
        <v>0</v>
      </c>
      <c r="BJ94" s="46">
        <f t="shared" si="160"/>
        <v>33</v>
      </c>
      <c r="BK94" s="46">
        <f t="shared" si="161"/>
        <v>1</v>
      </c>
      <c r="BL94" s="46">
        <f t="shared" si="162"/>
        <v>0</v>
      </c>
    </row>
    <row r="95" spans="1:64" ht="30" customHeight="1" x14ac:dyDescent="0.25">
      <c r="A95" s="84" t="str">
        <f t="shared" si="163"/>
        <v>Д</v>
      </c>
      <c r="B95" s="84" t="str">
        <f t="shared" si="164"/>
        <v>Б</v>
      </c>
      <c r="C95" s="101" t="s">
        <v>1471</v>
      </c>
      <c r="D95" s="16" t="str">
        <f t="shared" si="165"/>
        <v>'09.03.03</v>
      </c>
      <c r="E95" s="17" t="str">
        <f t="shared" si="166"/>
        <v>Прикладная информатика</v>
      </c>
      <c r="F95" s="9" t="s">
        <v>413</v>
      </c>
      <c r="G95" s="9" t="s">
        <v>42</v>
      </c>
      <c r="H95" s="10" t="s">
        <v>3233</v>
      </c>
      <c r="I95" s="10"/>
      <c r="J95" s="24" t="s">
        <v>3269</v>
      </c>
      <c r="K95" s="11">
        <v>6</v>
      </c>
      <c r="L95" s="11">
        <v>18</v>
      </c>
      <c r="M95" s="8" t="s">
        <v>23</v>
      </c>
      <c r="N95" s="11">
        <v>1</v>
      </c>
      <c r="O95" s="11"/>
      <c r="P95" s="11"/>
      <c r="Q95" s="8" t="s">
        <v>103</v>
      </c>
      <c r="R95" s="11"/>
      <c r="S95" s="11"/>
      <c r="T95" s="23"/>
      <c r="U95" s="11"/>
      <c r="V95" s="11"/>
      <c r="W95" s="83" t="str">
        <f t="shared" si="167"/>
        <v>НПИбд</v>
      </c>
      <c r="X95" s="110" t="s">
        <v>3355</v>
      </c>
      <c r="Y95" s="11">
        <v>3</v>
      </c>
      <c r="Z95" s="11">
        <v>2</v>
      </c>
      <c r="AA95" s="83">
        <f t="shared" si="168"/>
        <v>36</v>
      </c>
      <c r="AB95" s="11">
        <v>31</v>
      </c>
      <c r="AC95" s="11">
        <v>5</v>
      </c>
      <c r="AD95" s="81">
        <f t="shared" si="169"/>
        <v>36</v>
      </c>
      <c r="AE95" s="82">
        <f t="shared" si="170"/>
        <v>1</v>
      </c>
      <c r="AF95" s="82">
        <f t="shared" si="171"/>
        <v>1</v>
      </c>
      <c r="AG95" s="102" t="s">
        <v>3250</v>
      </c>
      <c r="AH95" s="8" t="s">
        <v>204</v>
      </c>
      <c r="AI95" s="8" t="s">
        <v>213</v>
      </c>
      <c r="AJ95" s="137" t="s">
        <v>3372</v>
      </c>
      <c r="AK95" s="8"/>
      <c r="AL95" s="42">
        <f t="shared" si="172"/>
        <v>18</v>
      </c>
      <c r="AM95" s="42">
        <f t="shared" si="146"/>
        <v>0</v>
      </c>
      <c r="AN95" s="42">
        <f t="shared" si="147"/>
        <v>0</v>
      </c>
      <c r="AO95" s="42">
        <f t="shared" si="10"/>
        <v>11.88</v>
      </c>
      <c r="AP95" s="42">
        <f t="shared" si="148"/>
        <v>18</v>
      </c>
      <c r="AQ95" s="42">
        <f t="shared" si="149"/>
        <v>2</v>
      </c>
      <c r="AR95" s="42">
        <f t="shared" si="173"/>
        <v>1.8</v>
      </c>
      <c r="AS95" s="42">
        <f t="shared" si="150"/>
        <v>0</v>
      </c>
      <c r="AT95" s="42">
        <f t="shared" si="151"/>
        <v>0</v>
      </c>
      <c r="AU95" s="42">
        <f t="shared" si="152"/>
        <v>0</v>
      </c>
      <c r="AV95" s="42">
        <f>IF(M95="ПП",РПП*AA95*(U95/1.5),IF(M95="ВП",ВПр*AA95*(U95/1.5),IF(M95="РПА",РПА*AA95*(U95/1.5),IF(M95="КПА",КПА*AA95*(U95/1.5),0))))</f>
        <v>0</v>
      </c>
      <c r="AW95" s="42">
        <f t="shared" si="153"/>
        <v>0</v>
      </c>
      <c r="AX95" s="42">
        <f t="shared" si="174"/>
        <v>0</v>
      </c>
      <c r="AY95" s="42">
        <f t="shared" si="175"/>
        <v>0</v>
      </c>
      <c r="AZ95" s="42">
        <f t="shared" si="154"/>
        <v>0</v>
      </c>
      <c r="BA95" s="42">
        <f t="shared" si="176"/>
        <v>0</v>
      </c>
      <c r="BB95" s="42">
        <f t="shared" si="177"/>
        <v>0</v>
      </c>
      <c r="BC95" s="42">
        <f t="shared" si="178"/>
        <v>0</v>
      </c>
      <c r="BD95" s="42">
        <f t="shared" si="155"/>
        <v>0</v>
      </c>
      <c r="BE95" s="43">
        <f t="shared" si="156"/>
        <v>51.68</v>
      </c>
      <c r="BF95" s="44"/>
      <c r="BG95" s="45">
        <f t="shared" si="157"/>
        <v>0</v>
      </c>
      <c r="BH95" s="45">
        <f t="shared" si="158"/>
        <v>0</v>
      </c>
      <c r="BI95" s="45">
        <f t="shared" si="159"/>
        <v>0</v>
      </c>
      <c r="BJ95" s="46">
        <f t="shared" si="160"/>
        <v>18</v>
      </c>
      <c r="BK95" s="46">
        <f t="shared" si="161"/>
        <v>0.5</v>
      </c>
      <c r="BL95" s="46">
        <f t="shared" si="162"/>
        <v>33.68</v>
      </c>
    </row>
    <row r="96" spans="1:64" ht="30" customHeight="1" x14ac:dyDescent="0.25">
      <c r="A96" s="84" t="str">
        <f t="shared" si="163"/>
        <v>Д</v>
      </c>
      <c r="B96" s="84" t="str">
        <f t="shared" si="164"/>
        <v>Б</v>
      </c>
      <c r="C96" s="101" t="s">
        <v>1471</v>
      </c>
      <c r="D96" s="16" t="str">
        <f t="shared" si="165"/>
        <v>'09.03.03</v>
      </c>
      <c r="E96" s="17" t="str">
        <f t="shared" si="166"/>
        <v>Прикладная информатика</v>
      </c>
      <c r="F96" s="9" t="s">
        <v>413</v>
      </c>
      <c r="G96" s="9" t="s">
        <v>42</v>
      </c>
      <c r="H96" s="10" t="s">
        <v>3233</v>
      </c>
      <c r="I96" s="10"/>
      <c r="J96" s="24" t="s">
        <v>3269</v>
      </c>
      <c r="K96" s="11">
        <v>6</v>
      </c>
      <c r="L96" s="11">
        <v>18</v>
      </c>
      <c r="M96" s="8" t="s">
        <v>94</v>
      </c>
      <c r="N96" s="11"/>
      <c r="O96" s="11">
        <v>2</v>
      </c>
      <c r="P96" s="11"/>
      <c r="Q96" s="8"/>
      <c r="R96" s="11"/>
      <c r="S96" s="11"/>
      <c r="T96" s="11"/>
      <c r="U96" s="11"/>
      <c r="V96" s="11"/>
      <c r="W96" s="83" t="str">
        <f t="shared" si="167"/>
        <v>НПИбд</v>
      </c>
      <c r="X96" s="110" t="s">
        <v>3241</v>
      </c>
      <c r="Y96" s="11">
        <v>1</v>
      </c>
      <c r="Z96" s="11">
        <v>1</v>
      </c>
      <c r="AA96" s="83">
        <f t="shared" si="168"/>
        <v>13</v>
      </c>
      <c r="AB96" s="11">
        <v>11</v>
      </c>
      <c r="AC96" s="11">
        <v>2</v>
      </c>
      <c r="AD96" s="81">
        <f t="shared" si="169"/>
        <v>12</v>
      </c>
      <c r="AE96" s="82">
        <f t="shared" si="170"/>
        <v>1</v>
      </c>
      <c r="AF96" s="82">
        <f t="shared" si="171"/>
        <v>1.0833333333333333</v>
      </c>
      <c r="AG96" s="102" t="s">
        <v>3250</v>
      </c>
      <c r="AH96" s="8" t="s">
        <v>203</v>
      </c>
      <c r="AI96" s="8" t="s">
        <v>213</v>
      </c>
      <c r="AJ96" s="35" t="s">
        <v>3372</v>
      </c>
      <c r="AK96" s="8"/>
      <c r="AL96" s="42">
        <f t="shared" si="172"/>
        <v>0</v>
      </c>
      <c r="AM96" s="42">
        <f t="shared" si="146"/>
        <v>0</v>
      </c>
      <c r="AN96" s="42">
        <f t="shared" si="147"/>
        <v>36</v>
      </c>
      <c r="AO96" s="42">
        <f t="shared" si="10"/>
        <v>0</v>
      </c>
      <c r="AP96" s="42">
        <f t="shared" si="148"/>
        <v>0</v>
      </c>
      <c r="AQ96" s="42">
        <f t="shared" si="149"/>
        <v>0</v>
      </c>
      <c r="AR96" s="42">
        <f t="shared" si="173"/>
        <v>0</v>
      </c>
      <c r="AS96" s="42">
        <f t="shared" si="150"/>
        <v>0</v>
      </c>
      <c r="AT96" s="42">
        <f t="shared" si="151"/>
        <v>0</v>
      </c>
      <c r="AU96" s="42">
        <f t="shared" si="152"/>
        <v>0</v>
      </c>
      <c r="AV96" s="42">
        <f>IF(M96="ПП",РПП*AA96*(U96/1.5),IF(M96="ВП",ВПр*AA96*(U96/1.5),IF(M96="РПА",РПА*AA96*(U96/1.5),IF(M96="КПА",КПА*AA96*(U96/1.5),0))))</f>
        <v>0</v>
      </c>
      <c r="AW96" s="42">
        <f t="shared" si="153"/>
        <v>0</v>
      </c>
      <c r="AX96" s="42">
        <f t="shared" si="174"/>
        <v>0</v>
      </c>
      <c r="AY96" s="42">
        <f t="shared" si="175"/>
        <v>0</v>
      </c>
      <c r="AZ96" s="42">
        <f t="shared" si="154"/>
        <v>0</v>
      </c>
      <c r="BA96" s="42">
        <f t="shared" si="176"/>
        <v>0</v>
      </c>
      <c r="BB96" s="42">
        <f t="shared" si="177"/>
        <v>0</v>
      </c>
      <c r="BC96" s="42">
        <f t="shared" si="178"/>
        <v>0</v>
      </c>
      <c r="BD96" s="42">
        <f t="shared" si="155"/>
        <v>0</v>
      </c>
      <c r="BE96" s="43">
        <f t="shared" si="156"/>
        <v>36</v>
      </c>
      <c r="BF96" s="44"/>
      <c r="BG96" s="45">
        <f t="shared" si="157"/>
        <v>0</v>
      </c>
      <c r="BH96" s="45">
        <f t="shared" si="158"/>
        <v>0</v>
      </c>
      <c r="BI96" s="45">
        <f t="shared" si="159"/>
        <v>0</v>
      </c>
      <c r="BJ96" s="46">
        <f t="shared" si="160"/>
        <v>36</v>
      </c>
      <c r="BK96" s="46">
        <f t="shared" si="161"/>
        <v>1</v>
      </c>
      <c r="BL96" s="46">
        <f t="shared" si="162"/>
        <v>0</v>
      </c>
    </row>
    <row r="97" spans="1:64" ht="30" customHeight="1" x14ac:dyDescent="0.25">
      <c r="A97" s="84" t="str">
        <f t="shared" si="163"/>
        <v>Д</v>
      </c>
      <c r="B97" s="84" t="str">
        <f t="shared" si="164"/>
        <v>Б</v>
      </c>
      <c r="C97" s="101" t="s">
        <v>1471</v>
      </c>
      <c r="D97" s="16" t="str">
        <f t="shared" si="165"/>
        <v>'09.03.03</v>
      </c>
      <c r="E97" s="17" t="str">
        <f t="shared" si="166"/>
        <v>Прикладная информатика</v>
      </c>
      <c r="F97" s="9" t="s">
        <v>413</v>
      </c>
      <c r="G97" s="9" t="s">
        <v>42</v>
      </c>
      <c r="H97" s="10" t="s">
        <v>3233</v>
      </c>
      <c r="I97" s="10"/>
      <c r="J97" s="24" t="s">
        <v>3269</v>
      </c>
      <c r="K97" s="11">
        <v>6</v>
      </c>
      <c r="L97" s="11">
        <v>18</v>
      </c>
      <c r="M97" s="8" t="s">
        <v>94</v>
      </c>
      <c r="N97" s="11"/>
      <c r="O97" s="11">
        <v>2</v>
      </c>
      <c r="P97" s="11"/>
      <c r="Q97" s="8"/>
      <c r="R97" s="11"/>
      <c r="S97" s="11"/>
      <c r="T97" s="11"/>
      <c r="U97" s="11"/>
      <c r="V97" s="11"/>
      <c r="W97" s="83" t="str">
        <f t="shared" si="167"/>
        <v>НПИбд</v>
      </c>
      <c r="X97" s="110" t="s">
        <v>3241</v>
      </c>
      <c r="Y97" s="11">
        <v>1</v>
      </c>
      <c r="Z97" s="11"/>
      <c r="AA97" s="83">
        <f t="shared" si="168"/>
        <v>12</v>
      </c>
      <c r="AB97" s="11">
        <v>10</v>
      </c>
      <c r="AC97" s="11">
        <v>2</v>
      </c>
      <c r="AD97" s="81">
        <f t="shared" si="169"/>
        <v>12</v>
      </c>
      <c r="AE97" s="82">
        <f t="shared" si="170"/>
        <v>1</v>
      </c>
      <c r="AF97" s="82">
        <f t="shared" si="171"/>
        <v>1</v>
      </c>
      <c r="AG97" s="102" t="s">
        <v>3250</v>
      </c>
      <c r="AH97" s="8" t="s">
        <v>203</v>
      </c>
      <c r="AI97" s="8" t="s">
        <v>213</v>
      </c>
      <c r="AJ97" s="35" t="s">
        <v>3372</v>
      </c>
      <c r="AK97" s="8"/>
      <c r="AL97" s="42">
        <f t="shared" si="172"/>
        <v>0</v>
      </c>
      <c r="AM97" s="42">
        <f t="shared" si="146"/>
        <v>0</v>
      </c>
      <c r="AN97" s="42">
        <f t="shared" si="147"/>
        <v>36</v>
      </c>
      <c r="AO97" s="42">
        <f t="shared" ref="AO97:AO146" si="233">(IF((AND(OR(K97=1,K97=2,K97=3,K97=4,K97=5,K97=6,K97=7,K97=8,K97=9,K97=10,K97=11,K97=12),OR(Q97="Зач",Q97="Экз"))),ТКиРА*AA97,0)+IF(SUM(N97:P97)&lt;&gt;0,IF(Q97="ТК",ТКиРА*AA97,0),0))*(IF(F97="ФТД",0,1))</f>
        <v>0</v>
      </c>
      <c r="AP97" s="42">
        <f t="shared" si="148"/>
        <v>0</v>
      </c>
      <c r="AQ97" s="42">
        <f t="shared" si="149"/>
        <v>0</v>
      </c>
      <c r="AR97" s="42">
        <f t="shared" si="173"/>
        <v>0</v>
      </c>
      <c r="AS97" s="42">
        <f t="shared" si="150"/>
        <v>0</v>
      </c>
      <c r="AT97" s="42">
        <f t="shared" si="151"/>
        <v>0</v>
      </c>
      <c r="AU97" s="42">
        <f t="shared" si="152"/>
        <v>0</v>
      </c>
      <c r="AV97" s="42">
        <f>IF(M97="ПП",РПП*AA97*(U97/1.5),IF(M97="ВП",ВПр*AA97*(U97/1.5),IF(M97="РПА",РПА*AA97*(U97/1.5),IF(M97="КПА",КПА*AA97*(U97/1.5),0))))</f>
        <v>0</v>
      </c>
      <c r="AW97" s="42">
        <f t="shared" si="153"/>
        <v>0</v>
      </c>
      <c r="AX97" s="42">
        <f t="shared" si="174"/>
        <v>0</v>
      </c>
      <c r="AY97" s="42">
        <f t="shared" si="175"/>
        <v>0</v>
      </c>
      <c r="AZ97" s="42">
        <f t="shared" si="154"/>
        <v>0</v>
      </c>
      <c r="BA97" s="42">
        <f t="shared" si="176"/>
        <v>0</v>
      </c>
      <c r="BB97" s="42">
        <f t="shared" si="177"/>
        <v>0</v>
      </c>
      <c r="BC97" s="42">
        <f t="shared" si="178"/>
        <v>0</v>
      </c>
      <c r="BD97" s="42">
        <f t="shared" si="155"/>
        <v>0</v>
      </c>
      <c r="BE97" s="43">
        <f t="shared" si="156"/>
        <v>36</v>
      </c>
      <c r="BF97" s="44"/>
      <c r="BG97" s="45">
        <f t="shared" si="157"/>
        <v>0</v>
      </c>
      <c r="BH97" s="45">
        <f t="shared" si="158"/>
        <v>0</v>
      </c>
      <c r="BI97" s="45">
        <f t="shared" si="159"/>
        <v>0</v>
      </c>
      <c r="BJ97" s="46">
        <f t="shared" si="160"/>
        <v>36</v>
      </c>
      <c r="BK97" s="46">
        <f t="shared" si="161"/>
        <v>1</v>
      </c>
      <c r="BL97" s="46">
        <f t="shared" si="162"/>
        <v>0</v>
      </c>
    </row>
    <row r="98" spans="1:64" ht="30" customHeight="1" x14ac:dyDescent="0.25">
      <c r="A98" s="84" t="str">
        <f t="shared" si="163"/>
        <v>Д</v>
      </c>
      <c r="B98" s="84" t="str">
        <f t="shared" si="164"/>
        <v>Б</v>
      </c>
      <c r="C98" s="101" t="s">
        <v>1471</v>
      </c>
      <c r="D98" s="16" t="str">
        <f t="shared" si="165"/>
        <v>'09.03.03</v>
      </c>
      <c r="E98" s="17" t="str">
        <f t="shared" si="166"/>
        <v>Прикладная информатика</v>
      </c>
      <c r="F98" s="9" t="s">
        <v>413</v>
      </c>
      <c r="G98" s="9" t="s">
        <v>42</v>
      </c>
      <c r="H98" s="10" t="s">
        <v>3233</v>
      </c>
      <c r="I98" s="10"/>
      <c r="J98" s="24" t="s">
        <v>3269</v>
      </c>
      <c r="K98" s="11">
        <v>6</v>
      </c>
      <c r="L98" s="11">
        <v>18</v>
      </c>
      <c r="M98" s="8" t="s">
        <v>94</v>
      </c>
      <c r="N98" s="11"/>
      <c r="O98" s="11">
        <v>2</v>
      </c>
      <c r="P98" s="11"/>
      <c r="Q98" s="8"/>
      <c r="R98" s="11"/>
      <c r="S98" s="11"/>
      <c r="T98" s="11"/>
      <c r="U98" s="11"/>
      <c r="V98" s="11"/>
      <c r="W98" s="83" t="str">
        <f t="shared" si="167"/>
        <v>НПИбд</v>
      </c>
      <c r="X98" s="110" t="s">
        <v>3242</v>
      </c>
      <c r="Y98" s="11">
        <v>1</v>
      </c>
      <c r="Z98" s="11">
        <v>1</v>
      </c>
      <c r="AA98" s="83">
        <f t="shared" si="168"/>
        <v>11</v>
      </c>
      <c r="AB98" s="11">
        <v>10</v>
      </c>
      <c r="AC98" s="11">
        <v>1</v>
      </c>
      <c r="AD98" s="81">
        <f t="shared" si="169"/>
        <v>12</v>
      </c>
      <c r="AE98" s="82">
        <f t="shared" si="170"/>
        <v>0.91666666666666663</v>
      </c>
      <c r="AF98" s="82">
        <f t="shared" si="171"/>
        <v>0.91666666666666663</v>
      </c>
      <c r="AG98" s="102" t="s">
        <v>3250</v>
      </c>
      <c r="AH98" s="8" t="s">
        <v>203</v>
      </c>
      <c r="AI98" s="8" t="s">
        <v>213</v>
      </c>
      <c r="AJ98" s="36" t="s">
        <v>3372</v>
      </c>
      <c r="AK98" s="8"/>
      <c r="AL98" s="42">
        <f t="shared" si="172"/>
        <v>0</v>
      </c>
      <c r="AM98" s="42">
        <f t="shared" si="146"/>
        <v>0</v>
      </c>
      <c r="AN98" s="42">
        <f t="shared" si="147"/>
        <v>33</v>
      </c>
      <c r="AO98" s="42">
        <f t="shared" si="233"/>
        <v>0</v>
      </c>
      <c r="AP98" s="42">
        <f t="shared" si="148"/>
        <v>0</v>
      </c>
      <c r="AQ98" s="42">
        <f t="shared" si="149"/>
        <v>0</v>
      </c>
      <c r="AR98" s="42">
        <f t="shared" si="173"/>
        <v>0</v>
      </c>
      <c r="AS98" s="42">
        <f t="shared" si="150"/>
        <v>0</v>
      </c>
      <c r="AT98" s="42">
        <f t="shared" si="151"/>
        <v>0</v>
      </c>
      <c r="AU98" s="42">
        <f t="shared" si="152"/>
        <v>0</v>
      </c>
      <c r="AV98" s="42">
        <f>IF(M98="ПП",РПП*AA98*(U98/1.5),IF(M98="ВП",ВПр*AA98*(U98/1.5),IF(M98="РПА",РПА*AA98*(U98/1.5),IF(M98="КПА",КПА*AA98*(U98/1.5),0))))</f>
        <v>0</v>
      </c>
      <c r="AW98" s="42">
        <f t="shared" si="153"/>
        <v>0</v>
      </c>
      <c r="AX98" s="42">
        <f t="shared" si="174"/>
        <v>0</v>
      </c>
      <c r="AY98" s="42">
        <f t="shared" si="175"/>
        <v>0</v>
      </c>
      <c r="AZ98" s="42">
        <f t="shared" si="154"/>
        <v>0</v>
      </c>
      <c r="BA98" s="42">
        <f t="shared" si="176"/>
        <v>0</v>
      </c>
      <c r="BB98" s="42">
        <f t="shared" si="177"/>
        <v>0</v>
      </c>
      <c r="BC98" s="42">
        <f t="shared" si="178"/>
        <v>0</v>
      </c>
      <c r="BD98" s="42">
        <f t="shared" si="155"/>
        <v>0</v>
      </c>
      <c r="BE98" s="43">
        <f t="shared" si="156"/>
        <v>33</v>
      </c>
      <c r="BF98" s="44"/>
      <c r="BG98" s="45">
        <f t="shared" si="157"/>
        <v>0</v>
      </c>
      <c r="BH98" s="45">
        <f t="shared" si="158"/>
        <v>0</v>
      </c>
      <c r="BI98" s="45">
        <f t="shared" si="159"/>
        <v>0</v>
      </c>
      <c r="BJ98" s="46">
        <f t="shared" si="160"/>
        <v>33</v>
      </c>
      <c r="BK98" s="46">
        <f t="shared" si="161"/>
        <v>1</v>
      </c>
      <c r="BL98" s="46">
        <f t="shared" si="162"/>
        <v>0</v>
      </c>
    </row>
    <row r="99" spans="1:64" ht="30" customHeight="1" x14ac:dyDescent="0.25">
      <c r="A99" s="84" t="str">
        <f t="shared" si="163"/>
        <v>Д</v>
      </c>
      <c r="B99" s="84" t="str">
        <f t="shared" si="164"/>
        <v>Б</v>
      </c>
      <c r="C99" s="101" t="s">
        <v>1471</v>
      </c>
      <c r="D99" s="16" t="str">
        <f t="shared" si="165"/>
        <v>'09.03.03</v>
      </c>
      <c r="E99" s="17" t="str">
        <f t="shared" si="166"/>
        <v>Прикладная информатика</v>
      </c>
      <c r="F99" s="9" t="s">
        <v>413</v>
      </c>
      <c r="G99" s="9" t="s">
        <v>42</v>
      </c>
      <c r="H99" s="10" t="s">
        <v>3233</v>
      </c>
      <c r="I99" s="10"/>
      <c r="J99" s="24" t="s">
        <v>3214</v>
      </c>
      <c r="K99" s="11" t="s">
        <v>3230</v>
      </c>
      <c r="L99" s="11">
        <v>9</v>
      </c>
      <c r="M99" s="8" t="s">
        <v>23</v>
      </c>
      <c r="N99" s="11">
        <v>2</v>
      </c>
      <c r="O99" s="11"/>
      <c r="P99" s="11"/>
      <c r="Q99" s="8"/>
      <c r="R99" s="11"/>
      <c r="S99" s="11"/>
      <c r="T99" s="11"/>
      <c r="U99" s="11"/>
      <c r="V99" s="11"/>
      <c r="W99" s="83" t="str">
        <f t="shared" si="167"/>
        <v>НПИбд</v>
      </c>
      <c r="X99" s="110" t="s">
        <v>3275</v>
      </c>
      <c r="Y99" s="11">
        <v>3</v>
      </c>
      <c r="Z99" s="11">
        <v>2</v>
      </c>
      <c r="AA99" s="83">
        <f t="shared" si="168"/>
        <v>44</v>
      </c>
      <c r="AB99" s="11">
        <v>37</v>
      </c>
      <c r="AC99" s="11">
        <v>7</v>
      </c>
      <c r="AD99" s="81">
        <f t="shared" si="169"/>
        <v>44</v>
      </c>
      <c r="AE99" s="82">
        <f t="shared" si="170"/>
        <v>1</v>
      </c>
      <c r="AF99" s="82">
        <f t="shared" si="171"/>
        <v>1</v>
      </c>
      <c r="AG99" s="102" t="s">
        <v>3250</v>
      </c>
      <c r="AH99" s="8" t="s">
        <v>204</v>
      </c>
      <c r="AI99" s="8" t="s">
        <v>212</v>
      </c>
      <c r="AJ99" s="35" t="s">
        <v>3265</v>
      </c>
      <c r="AK99" s="8"/>
      <c r="AL99" s="42">
        <f t="shared" si="172"/>
        <v>18</v>
      </c>
      <c r="AM99" s="42">
        <f t="shared" si="146"/>
        <v>0</v>
      </c>
      <c r="AN99" s="42">
        <f t="shared" si="147"/>
        <v>0</v>
      </c>
      <c r="AO99" s="42">
        <f t="shared" si="233"/>
        <v>0</v>
      </c>
      <c r="AP99" s="42">
        <f t="shared" si="148"/>
        <v>0</v>
      </c>
      <c r="AQ99" s="42">
        <f t="shared" si="149"/>
        <v>0</v>
      </c>
      <c r="AR99" s="42">
        <f t="shared" si="173"/>
        <v>1.8</v>
      </c>
      <c r="AS99" s="42">
        <f t="shared" si="150"/>
        <v>0</v>
      </c>
      <c r="AT99" s="42">
        <f t="shared" si="151"/>
        <v>0</v>
      </c>
      <c r="AU99" s="42">
        <f t="shared" si="152"/>
        <v>0</v>
      </c>
      <c r="AV99" s="42">
        <f>IF(M99="ПП",РПП*AA99*(U99/1.5),IF(M99="ВП",ВПр*AA99*(U99/1.5),IF(M99="РПА",РПА*AA99*(U99/1.5),IF(M99="КПА",КПА*AA99*(U99/1.5),0))))</f>
        <v>0</v>
      </c>
      <c r="AW99" s="42">
        <f t="shared" si="153"/>
        <v>0</v>
      </c>
      <c r="AX99" s="42">
        <f t="shared" si="174"/>
        <v>0</v>
      </c>
      <c r="AY99" s="42">
        <f t="shared" si="175"/>
        <v>0</v>
      </c>
      <c r="AZ99" s="42">
        <f t="shared" si="154"/>
        <v>0</v>
      </c>
      <c r="BA99" s="42">
        <f t="shared" si="176"/>
        <v>0</v>
      </c>
      <c r="BB99" s="42">
        <f t="shared" si="177"/>
        <v>0</v>
      </c>
      <c r="BC99" s="42">
        <f t="shared" si="178"/>
        <v>0</v>
      </c>
      <c r="BD99" s="42">
        <f t="shared" si="155"/>
        <v>0</v>
      </c>
      <c r="BE99" s="43">
        <f t="shared" si="156"/>
        <v>19.8</v>
      </c>
      <c r="BF99" s="44"/>
      <c r="BG99" s="45">
        <f t="shared" si="157"/>
        <v>18</v>
      </c>
      <c r="BH99" s="45">
        <f t="shared" si="158"/>
        <v>1</v>
      </c>
      <c r="BI99" s="45">
        <f t="shared" si="159"/>
        <v>1.8</v>
      </c>
      <c r="BJ99" s="46">
        <f t="shared" si="160"/>
        <v>0</v>
      </c>
      <c r="BK99" s="46">
        <f t="shared" si="161"/>
        <v>0</v>
      </c>
      <c r="BL99" s="46">
        <f t="shared" si="162"/>
        <v>0</v>
      </c>
    </row>
    <row r="100" spans="1:64" ht="30" customHeight="1" x14ac:dyDescent="0.25">
      <c r="A100" s="84" t="str">
        <f t="shared" si="163"/>
        <v>Д</v>
      </c>
      <c r="B100" s="84" t="str">
        <f t="shared" si="164"/>
        <v>Б</v>
      </c>
      <c r="C100" s="101" t="s">
        <v>1471</v>
      </c>
      <c r="D100" s="16" t="str">
        <f t="shared" si="165"/>
        <v>'09.03.03</v>
      </c>
      <c r="E100" s="17" t="str">
        <f t="shared" si="166"/>
        <v>Прикладная информатика</v>
      </c>
      <c r="F100" s="9" t="s">
        <v>413</v>
      </c>
      <c r="G100" s="9" t="s">
        <v>42</v>
      </c>
      <c r="H100" s="10" t="s">
        <v>3233</v>
      </c>
      <c r="I100" s="10"/>
      <c r="J100" s="24" t="s">
        <v>3214</v>
      </c>
      <c r="K100" s="11" t="s">
        <v>3230</v>
      </c>
      <c r="L100" s="11">
        <v>9</v>
      </c>
      <c r="M100" s="8" t="s">
        <v>94</v>
      </c>
      <c r="N100" s="11"/>
      <c r="O100" s="11">
        <v>4</v>
      </c>
      <c r="P100" s="11"/>
      <c r="Q100" s="8" t="s">
        <v>102</v>
      </c>
      <c r="R100" s="11"/>
      <c r="S100" s="11"/>
      <c r="T100" s="11"/>
      <c r="U100" s="11"/>
      <c r="V100" s="11"/>
      <c r="W100" s="83" t="str">
        <f t="shared" si="167"/>
        <v>НПИбд</v>
      </c>
      <c r="X100" s="110" t="s">
        <v>3244</v>
      </c>
      <c r="Y100" s="11">
        <v>1</v>
      </c>
      <c r="Z100" s="11">
        <v>1</v>
      </c>
      <c r="AA100" s="83">
        <f t="shared" si="168"/>
        <v>16</v>
      </c>
      <c r="AB100" s="11">
        <v>13</v>
      </c>
      <c r="AC100" s="11">
        <v>3</v>
      </c>
      <c r="AD100" s="81">
        <f t="shared" si="169"/>
        <v>12</v>
      </c>
      <c r="AE100" s="82">
        <f t="shared" si="170"/>
        <v>1</v>
      </c>
      <c r="AF100" s="82">
        <f t="shared" si="171"/>
        <v>1.3333333333333333</v>
      </c>
      <c r="AG100" s="102" t="s">
        <v>3250</v>
      </c>
      <c r="AH100" s="8" t="s">
        <v>204</v>
      </c>
      <c r="AI100" s="8" t="s">
        <v>212</v>
      </c>
      <c r="AJ100" s="36" t="s">
        <v>3265</v>
      </c>
      <c r="AK100" s="8"/>
      <c r="AL100" s="42">
        <f t="shared" si="172"/>
        <v>0</v>
      </c>
      <c r="AM100" s="42">
        <f t="shared" si="146"/>
        <v>0</v>
      </c>
      <c r="AN100" s="42">
        <f t="shared" si="147"/>
        <v>36</v>
      </c>
      <c r="AO100" s="42">
        <f t="shared" si="233"/>
        <v>0</v>
      </c>
      <c r="AP100" s="42">
        <f t="shared" si="148"/>
        <v>8</v>
      </c>
      <c r="AQ100" s="42">
        <f t="shared" si="149"/>
        <v>1</v>
      </c>
      <c r="AR100" s="42">
        <f t="shared" si="173"/>
        <v>0</v>
      </c>
      <c r="AS100" s="42">
        <f t="shared" si="150"/>
        <v>0</v>
      </c>
      <c r="AT100" s="42">
        <f t="shared" si="151"/>
        <v>0</v>
      </c>
      <c r="AU100" s="42">
        <f t="shared" si="152"/>
        <v>0</v>
      </c>
      <c r="AV100" s="42">
        <f>IF(M100="ПП",РПП*AA100*(U100/1.5),IF(M100="ВП",ВПр*AA100*(U100/1.5),IF(M100="РПА",РПА*AA100*(U100/1.5),IF(M100="КПА",КПА*AA100*(U100/1.5),0))))</f>
        <v>0</v>
      </c>
      <c r="AW100" s="42">
        <f t="shared" si="153"/>
        <v>0</v>
      </c>
      <c r="AX100" s="42">
        <f t="shared" si="174"/>
        <v>0</v>
      </c>
      <c r="AY100" s="42">
        <f t="shared" si="175"/>
        <v>0</v>
      </c>
      <c r="AZ100" s="42">
        <f t="shared" si="154"/>
        <v>0</v>
      </c>
      <c r="BA100" s="42">
        <f t="shared" si="176"/>
        <v>0</v>
      </c>
      <c r="BB100" s="42">
        <f t="shared" si="177"/>
        <v>0</v>
      </c>
      <c r="BC100" s="42">
        <f t="shared" si="178"/>
        <v>0</v>
      </c>
      <c r="BD100" s="42">
        <f t="shared" si="155"/>
        <v>0</v>
      </c>
      <c r="BE100" s="43">
        <f t="shared" si="156"/>
        <v>45</v>
      </c>
      <c r="BF100" s="44"/>
      <c r="BG100" s="45">
        <f t="shared" si="157"/>
        <v>36</v>
      </c>
      <c r="BH100" s="45">
        <f t="shared" si="158"/>
        <v>2</v>
      </c>
      <c r="BI100" s="45">
        <f t="shared" si="159"/>
        <v>9</v>
      </c>
      <c r="BJ100" s="46">
        <f t="shared" si="160"/>
        <v>0</v>
      </c>
      <c r="BK100" s="46">
        <f t="shared" si="161"/>
        <v>0</v>
      </c>
      <c r="BL100" s="46">
        <f t="shared" si="162"/>
        <v>0</v>
      </c>
    </row>
    <row r="101" spans="1:64" ht="30" customHeight="1" x14ac:dyDescent="0.25">
      <c r="A101" s="84" t="str">
        <f t="shared" si="163"/>
        <v>Д</v>
      </c>
      <c r="B101" s="84" t="str">
        <f t="shared" ref="B101" si="234">IF(C101&gt;0, VLOOKUP(C101,Код_ООП,11,FALSE),0)</f>
        <v>Б</v>
      </c>
      <c r="C101" s="101" t="s">
        <v>1471</v>
      </c>
      <c r="D101" s="16" t="str">
        <f t="shared" ref="D101" si="235">IF(C101&gt;0, VLOOKUP(C101,Код_ООП,2,FALSE),0)</f>
        <v>'09.03.03</v>
      </c>
      <c r="E101" s="17" t="str">
        <f t="shared" ref="E101" si="236">IF(C101&gt;0, VLOOKUP(C101,Код_ООП,13,FALSE),0)</f>
        <v>Прикладная информатика</v>
      </c>
      <c r="F101" s="9" t="s">
        <v>413</v>
      </c>
      <c r="G101" s="9" t="s">
        <v>42</v>
      </c>
      <c r="H101" s="10" t="s">
        <v>3233</v>
      </c>
      <c r="I101" s="10"/>
      <c r="J101" s="24" t="s">
        <v>3214</v>
      </c>
      <c r="K101" s="11" t="s">
        <v>3230</v>
      </c>
      <c r="L101" s="11">
        <v>9</v>
      </c>
      <c r="M101" s="8" t="s">
        <v>94</v>
      </c>
      <c r="N101" s="11"/>
      <c r="O101" s="11">
        <v>4</v>
      </c>
      <c r="P101" s="11"/>
      <c r="Q101" s="8" t="s">
        <v>102</v>
      </c>
      <c r="R101" s="11"/>
      <c r="S101" s="11"/>
      <c r="T101" s="11"/>
      <c r="U101" s="11"/>
      <c r="V101" s="11"/>
      <c r="W101" s="83" t="str">
        <f t="shared" si="167"/>
        <v>НПИбд</v>
      </c>
      <c r="X101" s="110" t="s">
        <v>3244</v>
      </c>
      <c r="Y101" s="11">
        <v>1</v>
      </c>
      <c r="Z101" s="11"/>
      <c r="AA101" s="83">
        <f t="shared" ref="AA101" si="237">AB101+AC101</f>
        <v>14</v>
      </c>
      <c r="AB101" s="11">
        <v>12</v>
      </c>
      <c r="AC101" s="11">
        <v>2</v>
      </c>
      <c r="AD101" s="81">
        <f t="shared" si="169"/>
        <v>12</v>
      </c>
      <c r="AE101" s="82">
        <f t="shared" ref="AE101" si="238">IF(AF101&gt;1,1,AF101)</f>
        <v>1</v>
      </c>
      <c r="AF101" s="82">
        <f t="shared" ref="AF101" si="239">AA101/AD101</f>
        <v>1.1666666666666667</v>
      </c>
      <c r="AG101" s="102" t="s">
        <v>3250</v>
      </c>
      <c r="AH101" s="8" t="s">
        <v>204</v>
      </c>
      <c r="AI101" s="8" t="s">
        <v>212</v>
      </c>
      <c r="AJ101" s="35" t="s">
        <v>3265</v>
      </c>
      <c r="AK101" s="8"/>
      <c r="AL101" s="42">
        <f t="shared" si="172"/>
        <v>0</v>
      </c>
      <c r="AM101" s="42">
        <f t="shared" ref="AM101" si="240">IF(OR(M101="пр",M101="ия",M101="сп"),P101*AE101*L101,0)</f>
        <v>0</v>
      </c>
      <c r="AN101" s="42">
        <f t="shared" ref="AN101" si="241">IF(OR(M101="лаб",M101="клн"),O101*AE101*L101,0)</f>
        <v>36</v>
      </c>
      <c r="AO101" s="42">
        <f t="shared" ref="AO101" si="242">(IF((AND(OR(K101=1,K101=2,K101=3,K101=4,K101=5,K101=6,K101=7,K101=8,K101=9,K101=10,K101=11,K101=12),OR(Q101="Зач",Q101="Экз"))),ТКиРА*AA101,0)+IF(SUM(N101:P101)&lt;&gt;0,IF(Q101="ТК",ТКиРА*AA101,0),0))*(IF(F101="ФТД",0,1))</f>
        <v>0</v>
      </c>
      <c r="AP101" s="42">
        <f t="shared" ref="AP101" si="243">IF(SUM(O101:P101)&lt;&gt;0,IF(Q101="Зач",ПАБРС*AA101,0),0)+IF(N101&lt;&gt;0,IF(Q101="Экз",ПАБРС*AA101,0),0)</f>
        <v>7</v>
      </c>
      <c r="AQ101" s="42">
        <f t="shared" ref="AQ101" si="244">(IF(AP101&lt;&gt;0,ОфВед*(IF(OR(M101="лек",M101="лаб"),Z101,AE101)),0))*(IF(F101="ФТД",0,1))</f>
        <v>0</v>
      </c>
      <c r="AR101" s="42">
        <f t="shared" si="173"/>
        <v>0</v>
      </c>
      <c r="AS101" s="42">
        <f t="shared" ref="AS101" si="245">IF(OR(M101="лаб",M101="пр"),IF(R101="К",AA101*ВПКР,IF(R101="М",AA101*ВПИБ,0)),0)</f>
        <v>0</v>
      </c>
      <c r="AT101" s="42">
        <f t="shared" ref="AT101" si="246">IF(OR(M101="лаб",M101="пр"),IF(S101="К",AA101*ВПКП,0),0)</f>
        <v>0</v>
      </c>
      <c r="AU101" s="42">
        <f t="shared" ref="AU101" si="247">IF(M101="УП",T101/1.5*AA101*РУП,IF(M101="УПМ",T101/1.5*AA101*РУПЛеч,0))</f>
        <v>0</v>
      </c>
      <c r="AV101" s="42">
        <f>IF(M101="ПП",РПП*AA101*(U101/1.5),IF(M101="ВП",ВПр*AA101*(U101/1.5),IF(M101="РПА",РПА*AA101*(U101/1.5),IF(M101="КПА",КПА*AA101*(U101/1.5),0))))</f>
        <v>0</v>
      </c>
      <c r="AW101" s="42">
        <f t="shared" ref="AW101" si="248">IF(M101="НР",(AB101*НИРМ+AC101*НИРМИн)*(V101/1.5),IF(M101="НИ",(AB101*НИРА+AC101*НИРАИ)*(V101/1.5),0))</f>
        <v>0</v>
      </c>
      <c r="AX101" s="42">
        <f t="shared" si="174"/>
        <v>0</v>
      </c>
      <c r="AY101" s="42">
        <f t="shared" si="175"/>
        <v>0</v>
      </c>
      <c r="AZ101" s="42">
        <f t="shared" ref="AZ101" si="249">IF(AND(Q101="КЭ",M101="ЧК"),AA101*КдЭк,0)</f>
        <v>0</v>
      </c>
      <c r="BA101" s="42">
        <f t="shared" si="176"/>
        <v>0</v>
      </c>
      <c r="BB101" s="42">
        <f t="shared" si="177"/>
        <v>0</v>
      </c>
      <c r="BC101" s="42">
        <f t="shared" si="178"/>
        <v>0</v>
      </c>
      <c r="BD101" s="42">
        <f t="shared" ref="BD101" si="250">IF(M101="ЧГ",AA101*ЧГ,IF(M101="ПГ",AA101*ПГ,IF(M101="ТЕСТ",ТГИЭ*AE101,IF(M101="СГ",AA101*СГ,0))))</f>
        <v>0</v>
      </c>
      <c r="BE101" s="43">
        <f t="shared" ref="BE101" si="251">SUM(AL101:BD101)</f>
        <v>43</v>
      </c>
      <c r="BF101" s="44"/>
      <c r="BG101" s="45">
        <f t="shared" ref="BG101" si="252">IF(OR(K101="1;1",K101="1;2",K101=1,K101="3;1",K101="3;2",K101=3,K101="5;1",K101="5;2",K101=5,K101="7;1",K101="7;2",K101=7,K101="9;1",K101="9;2",K101=9,K101=11),SUM(AL101:AN101),0)</f>
        <v>36</v>
      </c>
      <c r="BH101" s="45">
        <f t="shared" ref="BH101" si="253">IF(BG101&lt;&gt;0,SUM(N101:P101)/2,0)</f>
        <v>2</v>
      </c>
      <c r="BI101" s="45">
        <f t="shared" ref="BI101" si="254">IF(OR(K101="1;1",K101="1;2",K101=1,K101="3;1",K101="3;2",K101=3,K101="5;1",K101="5;2",K101=5,K101="7;1",K101="7;2",K101=7,K101="9;1",K101="9;2",K101=9,K101=11),SUM(AO101:BD101),0)</f>
        <v>7</v>
      </c>
      <c r="BJ101" s="46">
        <f t="shared" ref="BJ101" si="255">IF(OR(K101="2;3",K101="2;4",K101=2,K101="4;3",K101="4;4",K101=4,K101="6;3",K101="6;4",K101=6,K101="8;3",K101="8;4",K101=8,K101="10;3",K101="10;4",K101=10,K101=12),SUM(AL101:AN101),0)</f>
        <v>0</v>
      </c>
      <c r="BK101" s="46">
        <f t="shared" ref="BK101" si="256">IF(BJ101&lt;&gt;0,SUM(N101:P101)/2,0)</f>
        <v>0</v>
      </c>
      <c r="BL101" s="46">
        <f t="shared" ref="BL101" si="257">IF(OR(K101="2;3",K101="2;4",K101=2,K101="4;3",K101="4;4",K101=4,K101="6;3",K101="6;4",K101=6,K101="8;3",K101="8;4",K101=8,K101="10;3",K101="10;4",K101=10,K101=12),SUM(AO101:BD101),0)</f>
        <v>0</v>
      </c>
    </row>
    <row r="102" spans="1:64" ht="30" customHeight="1" x14ac:dyDescent="0.25">
      <c r="A102" s="84" t="str">
        <f t="shared" si="163"/>
        <v>Д</v>
      </c>
      <c r="B102" s="84" t="str">
        <f t="shared" si="164"/>
        <v>Б</v>
      </c>
      <c r="C102" s="101" t="s">
        <v>1471</v>
      </c>
      <c r="D102" s="16" t="str">
        <f t="shared" si="165"/>
        <v>'09.03.03</v>
      </c>
      <c r="E102" s="17" t="str">
        <f t="shared" si="166"/>
        <v>Прикладная информатика</v>
      </c>
      <c r="F102" s="9" t="s">
        <v>413</v>
      </c>
      <c r="G102" s="9" t="s">
        <v>42</v>
      </c>
      <c r="H102" s="10" t="s">
        <v>3233</v>
      </c>
      <c r="I102" s="10"/>
      <c r="J102" s="24" t="s">
        <v>3214</v>
      </c>
      <c r="K102" s="11" t="s">
        <v>3230</v>
      </c>
      <c r="L102" s="11">
        <v>9</v>
      </c>
      <c r="M102" s="8" t="s">
        <v>94</v>
      </c>
      <c r="N102" s="11"/>
      <c r="O102" s="11">
        <v>4</v>
      </c>
      <c r="P102" s="11"/>
      <c r="Q102" s="8" t="s">
        <v>102</v>
      </c>
      <c r="R102" s="11"/>
      <c r="S102" s="11"/>
      <c r="T102" s="11"/>
      <c r="U102" s="11"/>
      <c r="V102" s="11"/>
      <c r="W102" s="83" t="str">
        <f t="shared" si="167"/>
        <v>НПИбд</v>
      </c>
      <c r="X102" s="110" t="s">
        <v>3278</v>
      </c>
      <c r="Y102" s="11">
        <v>1</v>
      </c>
      <c r="Z102" s="11">
        <v>1</v>
      </c>
      <c r="AA102" s="83">
        <f t="shared" si="168"/>
        <v>14</v>
      </c>
      <c r="AB102" s="11">
        <v>12</v>
      </c>
      <c r="AC102" s="11">
        <v>2</v>
      </c>
      <c r="AD102" s="81">
        <f t="shared" si="169"/>
        <v>12</v>
      </c>
      <c r="AE102" s="82">
        <f t="shared" si="170"/>
        <v>1</v>
      </c>
      <c r="AF102" s="82">
        <f t="shared" si="171"/>
        <v>1.1666666666666667</v>
      </c>
      <c r="AG102" s="102" t="s">
        <v>3250</v>
      </c>
      <c r="AH102" s="8" t="s">
        <v>204</v>
      </c>
      <c r="AI102" s="8" t="s">
        <v>212</v>
      </c>
      <c r="AJ102" s="35" t="s">
        <v>3265</v>
      </c>
      <c r="AK102" s="8"/>
      <c r="AL102" s="42">
        <f t="shared" si="172"/>
        <v>0</v>
      </c>
      <c r="AM102" s="42">
        <f t="shared" si="146"/>
        <v>0</v>
      </c>
      <c r="AN102" s="42">
        <f t="shared" si="147"/>
        <v>36</v>
      </c>
      <c r="AO102" s="42">
        <f t="shared" si="233"/>
        <v>0</v>
      </c>
      <c r="AP102" s="42">
        <f t="shared" si="148"/>
        <v>7</v>
      </c>
      <c r="AQ102" s="42">
        <f t="shared" si="149"/>
        <v>1</v>
      </c>
      <c r="AR102" s="42">
        <f t="shared" si="173"/>
        <v>0</v>
      </c>
      <c r="AS102" s="42">
        <f t="shared" si="150"/>
        <v>0</v>
      </c>
      <c r="AT102" s="42">
        <f t="shared" si="151"/>
        <v>0</v>
      </c>
      <c r="AU102" s="42">
        <f t="shared" si="152"/>
        <v>0</v>
      </c>
      <c r="AV102" s="42">
        <f>IF(M102="ПП",РПП*AA102*(U102/1.5),IF(M102="ВП",ВПр*AA102*(U102/1.5),IF(M102="РПА",РПА*AA102*(U102/1.5),IF(M102="КПА",КПА*AA102*(U102/1.5),0))))</f>
        <v>0</v>
      </c>
      <c r="AW102" s="42">
        <f t="shared" si="153"/>
        <v>0</v>
      </c>
      <c r="AX102" s="42">
        <f t="shared" si="174"/>
        <v>0</v>
      </c>
      <c r="AY102" s="42">
        <f t="shared" si="175"/>
        <v>0</v>
      </c>
      <c r="AZ102" s="42">
        <f t="shared" si="154"/>
        <v>0</v>
      </c>
      <c r="BA102" s="42">
        <f t="shared" si="176"/>
        <v>0</v>
      </c>
      <c r="BB102" s="42">
        <f t="shared" si="177"/>
        <v>0</v>
      </c>
      <c r="BC102" s="42">
        <f t="shared" si="178"/>
        <v>0</v>
      </c>
      <c r="BD102" s="42">
        <f t="shared" si="155"/>
        <v>0</v>
      </c>
      <c r="BE102" s="43">
        <f t="shared" si="156"/>
        <v>44</v>
      </c>
      <c r="BF102" s="44"/>
      <c r="BG102" s="45">
        <f t="shared" si="157"/>
        <v>36</v>
      </c>
      <c r="BH102" s="45">
        <f t="shared" si="158"/>
        <v>2</v>
      </c>
      <c r="BI102" s="45">
        <f t="shared" si="159"/>
        <v>8</v>
      </c>
      <c r="BJ102" s="46">
        <f t="shared" si="160"/>
        <v>0</v>
      </c>
      <c r="BK102" s="46">
        <f t="shared" si="161"/>
        <v>0</v>
      </c>
      <c r="BL102" s="46">
        <f t="shared" si="162"/>
        <v>0</v>
      </c>
    </row>
    <row r="103" spans="1:64" ht="30" customHeight="1" x14ac:dyDescent="0.25">
      <c r="A103" s="84" t="str">
        <f t="shared" si="163"/>
        <v>Д</v>
      </c>
      <c r="B103" s="84" t="str">
        <f t="shared" si="164"/>
        <v>Б</v>
      </c>
      <c r="C103" s="101" t="s">
        <v>1471</v>
      </c>
      <c r="D103" s="16" t="str">
        <f t="shared" si="165"/>
        <v>'09.03.03</v>
      </c>
      <c r="E103" s="17" t="str">
        <f t="shared" si="166"/>
        <v>Прикладная информатика</v>
      </c>
      <c r="F103" s="9" t="s">
        <v>413</v>
      </c>
      <c r="G103" s="9" t="s">
        <v>42</v>
      </c>
      <c r="H103" s="10" t="s">
        <v>3233</v>
      </c>
      <c r="I103" s="10"/>
      <c r="J103" s="24" t="s">
        <v>3215</v>
      </c>
      <c r="K103" s="11" t="s">
        <v>3227</v>
      </c>
      <c r="L103" s="11">
        <v>9</v>
      </c>
      <c r="M103" s="8" t="s">
        <v>23</v>
      </c>
      <c r="N103" s="11">
        <v>2</v>
      </c>
      <c r="O103" s="11"/>
      <c r="P103" s="11"/>
      <c r="Q103" s="8" t="s">
        <v>103</v>
      </c>
      <c r="R103" s="11"/>
      <c r="S103" s="11"/>
      <c r="T103" s="11"/>
      <c r="U103" s="11"/>
      <c r="V103" s="11"/>
      <c r="W103" s="83" t="str">
        <f t="shared" si="167"/>
        <v>НПИбд</v>
      </c>
      <c r="X103" s="110" t="s">
        <v>3275</v>
      </c>
      <c r="Y103" s="11">
        <v>3</v>
      </c>
      <c r="Z103" s="11">
        <v>2</v>
      </c>
      <c r="AA103" s="83">
        <f t="shared" si="168"/>
        <v>44</v>
      </c>
      <c r="AB103" s="11">
        <v>37</v>
      </c>
      <c r="AC103" s="11">
        <v>7</v>
      </c>
      <c r="AD103" s="81">
        <f t="shared" si="169"/>
        <v>44</v>
      </c>
      <c r="AE103" s="82">
        <f t="shared" si="170"/>
        <v>1</v>
      </c>
      <c r="AF103" s="82">
        <f t="shared" si="171"/>
        <v>1</v>
      </c>
      <c r="AG103" s="102" t="s">
        <v>3250</v>
      </c>
      <c r="AH103" s="8" t="s">
        <v>204</v>
      </c>
      <c r="AI103" s="8" t="s">
        <v>212</v>
      </c>
      <c r="AJ103" s="37" t="s">
        <v>3256</v>
      </c>
      <c r="AK103" s="8"/>
      <c r="AL103" s="42">
        <f t="shared" si="172"/>
        <v>18</v>
      </c>
      <c r="AM103" s="42">
        <f t="shared" si="146"/>
        <v>0</v>
      </c>
      <c r="AN103" s="42">
        <f t="shared" si="147"/>
        <v>0</v>
      </c>
      <c r="AO103" s="42">
        <f t="shared" si="233"/>
        <v>0</v>
      </c>
      <c r="AP103" s="42">
        <f t="shared" si="148"/>
        <v>22</v>
      </c>
      <c r="AQ103" s="42">
        <f t="shared" si="149"/>
        <v>2</v>
      </c>
      <c r="AR103" s="42">
        <f t="shared" si="173"/>
        <v>1.8</v>
      </c>
      <c r="AS103" s="42">
        <f t="shared" si="150"/>
        <v>0</v>
      </c>
      <c r="AT103" s="42">
        <f t="shared" si="151"/>
        <v>0</v>
      </c>
      <c r="AU103" s="42">
        <f t="shared" si="152"/>
        <v>0</v>
      </c>
      <c r="AV103" s="42">
        <f>IF(M103="ПП",РПП*AA103*(U103/1.5),IF(M103="ВП",ВПр*AA103*(U103/1.5),IF(M103="РПА",РПА*AA103*(U103/1.5),IF(M103="КПА",КПА*AA103*(U103/1.5),0))))</f>
        <v>0</v>
      </c>
      <c r="AW103" s="42">
        <f t="shared" si="153"/>
        <v>0</v>
      </c>
      <c r="AX103" s="42">
        <f t="shared" si="174"/>
        <v>0</v>
      </c>
      <c r="AY103" s="42">
        <f t="shared" si="175"/>
        <v>0</v>
      </c>
      <c r="AZ103" s="42">
        <f t="shared" si="154"/>
        <v>0</v>
      </c>
      <c r="BA103" s="42">
        <f t="shared" si="176"/>
        <v>0</v>
      </c>
      <c r="BB103" s="42">
        <f t="shared" si="177"/>
        <v>0</v>
      </c>
      <c r="BC103" s="42">
        <f t="shared" si="178"/>
        <v>0</v>
      </c>
      <c r="BD103" s="42">
        <f t="shared" si="155"/>
        <v>0</v>
      </c>
      <c r="BE103" s="43">
        <f t="shared" si="156"/>
        <v>43.8</v>
      </c>
      <c r="BF103" s="44"/>
      <c r="BG103" s="45">
        <f t="shared" si="157"/>
        <v>18</v>
      </c>
      <c r="BH103" s="45">
        <f t="shared" si="158"/>
        <v>1</v>
      </c>
      <c r="BI103" s="45">
        <f t="shared" si="159"/>
        <v>25.8</v>
      </c>
      <c r="BJ103" s="46">
        <f t="shared" si="160"/>
        <v>0</v>
      </c>
      <c r="BK103" s="46">
        <f t="shared" si="161"/>
        <v>0</v>
      </c>
      <c r="BL103" s="46">
        <f t="shared" si="162"/>
        <v>0</v>
      </c>
    </row>
    <row r="104" spans="1:64" ht="30" customHeight="1" x14ac:dyDescent="0.25">
      <c r="A104" s="84" t="str">
        <f t="shared" si="163"/>
        <v>Д</v>
      </c>
      <c r="B104" s="84" t="str">
        <f t="shared" si="164"/>
        <v>Б</v>
      </c>
      <c r="C104" s="101" t="s">
        <v>1471</v>
      </c>
      <c r="D104" s="16" t="str">
        <f t="shared" si="165"/>
        <v>'09.03.03</v>
      </c>
      <c r="E104" s="17" t="str">
        <f t="shared" si="166"/>
        <v>Прикладная информатика</v>
      </c>
      <c r="F104" s="9" t="s">
        <v>413</v>
      </c>
      <c r="G104" s="9" t="s">
        <v>42</v>
      </c>
      <c r="H104" s="10" t="s">
        <v>3233</v>
      </c>
      <c r="I104" s="10"/>
      <c r="J104" s="24" t="s">
        <v>3215</v>
      </c>
      <c r="K104" s="12" t="s">
        <v>3227</v>
      </c>
      <c r="L104" s="11">
        <v>9</v>
      </c>
      <c r="M104" s="8" t="s">
        <v>94</v>
      </c>
      <c r="N104" s="12"/>
      <c r="O104" s="12">
        <v>4</v>
      </c>
      <c r="P104" s="12"/>
      <c r="Q104" s="8"/>
      <c r="R104" s="12"/>
      <c r="S104" s="12"/>
      <c r="T104" s="12"/>
      <c r="U104" s="12"/>
      <c r="V104" s="12"/>
      <c r="W104" s="83" t="str">
        <f t="shared" si="167"/>
        <v>НПИбд</v>
      </c>
      <c r="X104" s="110" t="s">
        <v>3244</v>
      </c>
      <c r="Y104" s="11">
        <v>1</v>
      </c>
      <c r="Z104" s="11">
        <v>1</v>
      </c>
      <c r="AA104" s="83">
        <f t="shared" si="168"/>
        <v>16</v>
      </c>
      <c r="AB104" s="11">
        <v>13</v>
      </c>
      <c r="AC104" s="11">
        <v>3</v>
      </c>
      <c r="AD104" s="81">
        <f t="shared" si="169"/>
        <v>12</v>
      </c>
      <c r="AE104" s="82">
        <f t="shared" si="170"/>
        <v>1</v>
      </c>
      <c r="AF104" s="82">
        <f t="shared" si="171"/>
        <v>1.3333333333333333</v>
      </c>
      <c r="AG104" s="102" t="s">
        <v>3250</v>
      </c>
      <c r="AH104" s="8" t="s">
        <v>204</v>
      </c>
      <c r="AI104" s="8" t="s">
        <v>212</v>
      </c>
      <c r="AJ104" s="35" t="s">
        <v>3256</v>
      </c>
      <c r="AK104" s="8"/>
      <c r="AL104" s="42">
        <f t="shared" si="172"/>
        <v>0</v>
      </c>
      <c r="AM104" s="42">
        <f t="shared" si="146"/>
        <v>0</v>
      </c>
      <c r="AN104" s="42">
        <f t="shared" si="147"/>
        <v>36</v>
      </c>
      <c r="AO104" s="42">
        <f t="shared" si="233"/>
        <v>0</v>
      </c>
      <c r="AP104" s="42">
        <f t="shared" si="148"/>
        <v>0</v>
      </c>
      <c r="AQ104" s="42">
        <f t="shared" si="149"/>
        <v>0</v>
      </c>
      <c r="AR104" s="42">
        <f t="shared" si="173"/>
        <v>0</v>
      </c>
      <c r="AS104" s="42">
        <f t="shared" si="150"/>
        <v>0</v>
      </c>
      <c r="AT104" s="42">
        <f t="shared" si="151"/>
        <v>0</v>
      </c>
      <c r="AU104" s="42">
        <f t="shared" si="152"/>
        <v>0</v>
      </c>
      <c r="AV104" s="42">
        <f>IF(M104="ПП",РПП*AA104*(U104/1.5),IF(M104="ВП",ВПр*AA104*(U104/1.5),IF(M104="РПА",РПА*AA104*(U104/1.5),IF(M104="КПА",КПА*AA104*(U104/1.5),0))))</f>
        <v>0</v>
      </c>
      <c r="AW104" s="42">
        <f t="shared" si="153"/>
        <v>0</v>
      </c>
      <c r="AX104" s="42">
        <f t="shared" si="174"/>
        <v>0</v>
      </c>
      <c r="AY104" s="42">
        <f t="shared" si="175"/>
        <v>0</v>
      </c>
      <c r="AZ104" s="42">
        <f t="shared" si="154"/>
        <v>0</v>
      </c>
      <c r="BA104" s="42">
        <f t="shared" si="176"/>
        <v>0</v>
      </c>
      <c r="BB104" s="42">
        <f t="shared" si="177"/>
        <v>0</v>
      </c>
      <c r="BC104" s="42">
        <f t="shared" si="178"/>
        <v>0</v>
      </c>
      <c r="BD104" s="42">
        <f t="shared" si="155"/>
        <v>0</v>
      </c>
      <c r="BE104" s="43">
        <f t="shared" si="156"/>
        <v>36</v>
      </c>
      <c r="BF104" s="44"/>
      <c r="BG104" s="45">
        <f t="shared" si="157"/>
        <v>36</v>
      </c>
      <c r="BH104" s="45">
        <f t="shared" si="158"/>
        <v>2</v>
      </c>
      <c r="BI104" s="45">
        <f t="shared" si="159"/>
        <v>0</v>
      </c>
      <c r="BJ104" s="46">
        <f t="shared" si="160"/>
        <v>0</v>
      </c>
      <c r="BK104" s="46">
        <f t="shared" si="161"/>
        <v>0</v>
      </c>
      <c r="BL104" s="46">
        <f t="shared" si="162"/>
        <v>0</v>
      </c>
    </row>
    <row r="105" spans="1:64" ht="30" customHeight="1" x14ac:dyDescent="0.25">
      <c r="A105" s="84" t="str">
        <f t="shared" si="163"/>
        <v>Д</v>
      </c>
      <c r="B105" s="84" t="str">
        <f t="shared" ref="B105" si="258">IF(C105&gt;0, VLOOKUP(C105,Код_ООП,11,FALSE),0)</f>
        <v>Б</v>
      </c>
      <c r="C105" s="101" t="s">
        <v>1471</v>
      </c>
      <c r="D105" s="16" t="str">
        <f t="shared" ref="D105" si="259">IF(C105&gt;0, VLOOKUP(C105,Код_ООП,2,FALSE),0)</f>
        <v>'09.03.03</v>
      </c>
      <c r="E105" s="17" t="str">
        <f t="shared" ref="E105" si="260">IF(C105&gt;0, VLOOKUP(C105,Код_ООП,13,FALSE),0)</f>
        <v>Прикладная информатика</v>
      </c>
      <c r="F105" s="9" t="s">
        <v>413</v>
      </c>
      <c r="G105" s="9" t="s">
        <v>42</v>
      </c>
      <c r="H105" s="10" t="s">
        <v>3233</v>
      </c>
      <c r="I105" s="10"/>
      <c r="J105" s="24" t="s">
        <v>3215</v>
      </c>
      <c r="K105" s="11" t="s">
        <v>3227</v>
      </c>
      <c r="L105" s="11">
        <v>9</v>
      </c>
      <c r="M105" s="8" t="s">
        <v>94</v>
      </c>
      <c r="N105" s="11"/>
      <c r="O105" s="11">
        <v>4</v>
      </c>
      <c r="P105" s="11"/>
      <c r="Q105" s="8"/>
      <c r="R105" s="11"/>
      <c r="S105" s="11"/>
      <c r="T105" s="23"/>
      <c r="U105" s="11"/>
      <c r="V105" s="11"/>
      <c r="W105" s="83" t="str">
        <f t="shared" si="167"/>
        <v>НПИбд</v>
      </c>
      <c r="X105" s="110" t="s">
        <v>3244</v>
      </c>
      <c r="Y105" s="11">
        <v>1</v>
      </c>
      <c r="Z105" s="11"/>
      <c r="AA105" s="83">
        <f t="shared" ref="AA105" si="261">AB105+AC105</f>
        <v>14</v>
      </c>
      <c r="AB105" s="11">
        <v>12</v>
      </c>
      <c r="AC105" s="11">
        <v>2</v>
      </c>
      <c r="AD105" s="81">
        <f t="shared" si="169"/>
        <v>12</v>
      </c>
      <c r="AE105" s="82">
        <f t="shared" ref="AE105" si="262">IF(AF105&gt;1,1,AF105)</f>
        <v>1</v>
      </c>
      <c r="AF105" s="82">
        <f t="shared" ref="AF105" si="263">AA105/AD105</f>
        <v>1.1666666666666667</v>
      </c>
      <c r="AG105" s="102" t="s">
        <v>3250</v>
      </c>
      <c r="AH105" s="8" t="s">
        <v>204</v>
      </c>
      <c r="AI105" s="8" t="s">
        <v>212</v>
      </c>
      <c r="AJ105" s="35" t="s">
        <v>3256</v>
      </c>
      <c r="AK105" s="8"/>
      <c r="AL105" s="42">
        <f t="shared" si="172"/>
        <v>0</v>
      </c>
      <c r="AM105" s="42">
        <f t="shared" ref="AM105" si="264">IF(OR(M105="пр",M105="ия",M105="сп"),P105*AE105*L105,0)</f>
        <v>0</v>
      </c>
      <c r="AN105" s="42">
        <f t="shared" ref="AN105" si="265">IF(OR(M105="лаб",M105="клн"),O105*AE105*L105,0)</f>
        <v>36</v>
      </c>
      <c r="AO105" s="42">
        <f t="shared" ref="AO105" si="266">(IF((AND(OR(K105=1,K105=2,K105=3,K105=4,K105=5,K105=6,K105=7,K105=8,K105=9,K105=10,K105=11,K105=12),OR(Q105="Зач",Q105="Экз"))),ТКиРА*AA105,0)+IF(SUM(N105:P105)&lt;&gt;0,IF(Q105="ТК",ТКиРА*AA105,0),0))*(IF(F105="ФТД",0,1))</f>
        <v>0</v>
      </c>
      <c r="AP105" s="42">
        <f t="shared" ref="AP105" si="267">IF(SUM(O105:P105)&lt;&gt;0,IF(Q105="Зач",ПАБРС*AA105,0),0)+IF(N105&lt;&gt;0,IF(Q105="Экз",ПАБРС*AA105,0),0)</f>
        <v>0</v>
      </c>
      <c r="AQ105" s="42">
        <f t="shared" ref="AQ105" si="268">(IF(AP105&lt;&gt;0,ОфВед*(IF(OR(M105="лек",M105="лаб"),Z105,AE105)),0))*(IF(F105="ФТД",0,1))</f>
        <v>0</v>
      </c>
      <c r="AR105" s="42">
        <f t="shared" si="173"/>
        <v>0</v>
      </c>
      <c r="AS105" s="42">
        <f t="shared" ref="AS105" si="269">IF(OR(M105="лаб",M105="пр"),IF(R105="К",AA105*ВПКР,IF(R105="М",AA105*ВПИБ,0)),0)</f>
        <v>0</v>
      </c>
      <c r="AT105" s="42">
        <f t="shared" ref="AT105" si="270">IF(OR(M105="лаб",M105="пр"),IF(S105="К",AA105*ВПКП,0),0)</f>
        <v>0</v>
      </c>
      <c r="AU105" s="42">
        <f t="shared" ref="AU105" si="271">IF(M105="УП",T105/1.5*AA105*РУП,IF(M105="УПМ",T105/1.5*AA105*РУПЛеч,0))</f>
        <v>0</v>
      </c>
      <c r="AV105" s="42">
        <f>IF(M105="ПП",РПП*AA105*(U105/1.5),IF(M105="ВП",ВПр*AA105*(U105/1.5),IF(M105="РПА",РПА*AA105*(U105/1.5),IF(M105="КПА",КПА*AA105*(U105/1.5),0))))</f>
        <v>0</v>
      </c>
      <c r="AW105" s="42">
        <f t="shared" ref="AW105" si="272">IF(M105="НР",(AB105*НИРМ+AC105*НИРМИн)*(V105/1.5),IF(M105="НИ",(AB105*НИРА+AC105*НИРАИ)*(V105/1.5),0))</f>
        <v>0</v>
      </c>
      <c r="AX105" s="42">
        <f t="shared" si="174"/>
        <v>0</v>
      </c>
      <c r="AY105" s="42">
        <f t="shared" si="175"/>
        <v>0</v>
      </c>
      <c r="AZ105" s="42">
        <f t="shared" ref="AZ105" si="273">IF(AND(Q105="КЭ",M105="ЧК"),AA105*КдЭк,0)</f>
        <v>0</v>
      </c>
      <c r="BA105" s="42">
        <f t="shared" si="176"/>
        <v>0</v>
      </c>
      <c r="BB105" s="42">
        <f t="shared" si="177"/>
        <v>0</v>
      </c>
      <c r="BC105" s="42">
        <f t="shared" si="178"/>
        <v>0</v>
      </c>
      <c r="BD105" s="42">
        <f t="shared" ref="BD105" si="274">IF(M105="ЧГ",AA105*ЧГ,IF(M105="ПГ",AA105*ПГ,IF(M105="ТЕСТ",ТГИЭ*AE105,IF(M105="СГ",AA105*СГ,0))))</f>
        <v>0</v>
      </c>
      <c r="BE105" s="43">
        <f t="shared" ref="BE105" si="275">SUM(AL105:BD105)</f>
        <v>36</v>
      </c>
      <c r="BF105" s="44"/>
      <c r="BG105" s="45">
        <f t="shared" ref="BG105" si="276">IF(OR(K105="1;1",K105="1;2",K105=1,K105="3;1",K105="3;2",K105=3,K105="5;1",K105="5;2",K105=5,K105="7;1",K105="7;2",K105=7,K105="9;1",K105="9;2",K105=9,K105=11),SUM(AL105:AN105),0)</f>
        <v>36</v>
      </c>
      <c r="BH105" s="45">
        <f t="shared" ref="BH105" si="277">IF(BG105&lt;&gt;0,SUM(N105:P105)/2,0)</f>
        <v>2</v>
      </c>
      <c r="BI105" s="45">
        <f t="shared" ref="BI105" si="278">IF(OR(K105="1;1",K105="1;2",K105=1,K105="3;1",K105="3;2",K105=3,K105="5;1",K105="5;2",K105=5,K105="7;1",K105="7;2",K105=7,K105="9;1",K105="9;2",K105=9,K105=11),SUM(AO105:BD105),0)</f>
        <v>0</v>
      </c>
      <c r="BJ105" s="46">
        <f t="shared" ref="BJ105" si="279">IF(OR(K105="2;3",K105="2;4",K105=2,K105="4;3",K105="4;4",K105=4,K105="6;3",K105="6;4",K105=6,K105="8;3",K105="8;4",K105=8,K105="10;3",K105="10;4",K105=10,K105=12),SUM(AL105:AN105),0)</f>
        <v>0</v>
      </c>
      <c r="BK105" s="46">
        <f t="shared" ref="BK105" si="280">IF(BJ105&lt;&gt;0,SUM(N105:P105)/2,0)</f>
        <v>0</v>
      </c>
      <c r="BL105" s="46">
        <f t="shared" ref="BL105" si="281">IF(OR(K105="2;3",K105="2;4",K105=2,K105="4;3",K105="4;4",K105=4,K105="6;3",K105="6;4",K105=6,K105="8;3",K105="8;4",K105=8,K105="10;3",K105="10;4",K105=10,K105=12),SUM(AO105:BD105),0)</f>
        <v>0</v>
      </c>
    </row>
    <row r="106" spans="1:64" ht="30" customHeight="1" x14ac:dyDescent="0.25">
      <c r="A106" s="84" t="str">
        <f t="shared" si="163"/>
        <v>Д</v>
      </c>
      <c r="B106" s="84" t="str">
        <f t="shared" si="164"/>
        <v>Б</v>
      </c>
      <c r="C106" s="101" t="s">
        <v>1471</v>
      </c>
      <c r="D106" s="16" t="str">
        <f t="shared" si="165"/>
        <v>'09.03.03</v>
      </c>
      <c r="E106" s="17" t="str">
        <f t="shared" si="166"/>
        <v>Прикладная информатика</v>
      </c>
      <c r="F106" s="9" t="s">
        <v>413</v>
      </c>
      <c r="G106" s="9" t="s">
        <v>42</v>
      </c>
      <c r="H106" s="10" t="s">
        <v>3233</v>
      </c>
      <c r="I106" s="10"/>
      <c r="J106" s="24" t="s">
        <v>3215</v>
      </c>
      <c r="K106" s="11" t="s">
        <v>3227</v>
      </c>
      <c r="L106" s="11">
        <v>9</v>
      </c>
      <c r="M106" s="8" t="s">
        <v>94</v>
      </c>
      <c r="N106" s="11"/>
      <c r="O106" s="11">
        <v>4</v>
      </c>
      <c r="P106" s="11"/>
      <c r="Q106" s="8"/>
      <c r="R106" s="11"/>
      <c r="S106" s="11"/>
      <c r="T106" s="23"/>
      <c r="U106" s="11"/>
      <c r="V106" s="11"/>
      <c r="W106" s="83" t="str">
        <f t="shared" si="167"/>
        <v>НПИбд</v>
      </c>
      <c r="X106" s="110" t="s">
        <v>3278</v>
      </c>
      <c r="Y106" s="11">
        <v>1</v>
      </c>
      <c r="Z106" s="11">
        <v>1</v>
      </c>
      <c r="AA106" s="83">
        <f t="shared" si="168"/>
        <v>14</v>
      </c>
      <c r="AB106" s="11">
        <v>12</v>
      </c>
      <c r="AC106" s="11">
        <v>2</v>
      </c>
      <c r="AD106" s="81">
        <f t="shared" si="169"/>
        <v>12</v>
      </c>
      <c r="AE106" s="82">
        <f t="shared" si="170"/>
        <v>1</v>
      </c>
      <c r="AF106" s="82">
        <f t="shared" si="171"/>
        <v>1.1666666666666667</v>
      </c>
      <c r="AG106" s="102" t="s">
        <v>3250</v>
      </c>
      <c r="AH106" s="8" t="s">
        <v>204</v>
      </c>
      <c r="AI106" s="8" t="s">
        <v>212</v>
      </c>
      <c r="AJ106" s="35" t="s">
        <v>3256</v>
      </c>
      <c r="AK106" s="8"/>
      <c r="AL106" s="42">
        <f t="shared" si="172"/>
        <v>0</v>
      </c>
      <c r="AM106" s="42">
        <f t="shared" si="146"/>
        <v>0</v>
      </c>
      <c r="AN106" s="42">
        <f t="shared" si="147"/>
        <v>36</v>
      </c>
      <c r="AO106" s="42">
        <f t="shared" si="233"/>
        <v>0</v>
      </c>
      <c r="AP106" s="42">
        <f t="shared" si="148"/>
        <v>0</v>
      </c>
      <c r="AQ106" s="42">
        <f t="shared" si="149"/>
        <v>0</v>
      </c>
      <c r="AR106" s="42">
        <f t="shared" si="173"/>
        <v>0</v>
      </c>
      <c r="AS106" s="42">
        <f t="shared" si="150"/>
        <v>0</v>
      </c>
      <c r="AT106" s="42">
        <f t="shared" si="151"/>
        <v>0</v>
      </c>
      <c r="AU106" s="42">
        <f t="shared" si="152"/>
        <v>0</v>
      </c>
      <c r="AV106" s="42">
        <f>IF(M106="ПП",РПП*AA106*(U106/1.5),IF(M106="ВП",ВПр*AA106*(U106/1.5),IF(M106="РПА",РПА*AA106*(U106/1.5),IF(M106="КПА",КПА*AA106*(U106/1.5),0))))</f>
        <v>0</v>
      </c>
      <c r="AW106" s="42">
        <f t="shared" si="153"/>
        <v>0</v>
      </c>
      <c r="AX106" s="42">
        <f t="shared" si="174"/>
        <v>0</v>
      </c>
      <c r="AY106" s="42">
        <f t="shared" si="175"/>
        <v>0</v>
      </c>
      <c r="AZ106" s="42">
        <f t="shared" si="154"/>
        <v>0</v>
      </c>
      <c r="BA106" s="42">
        <f t="shared" si="176"/>
        <v>0</v>
      </c>
      <c r="BB106" s="42">
        <f t="shared" si="177"/>
        <v>0</v>
      </c>
      <c r="BC106" s="42">
        <f t="shared" si="178"/>
        <v>0</v>
      </c>
      <c r="BD106" s="42">
        <f t="shared" si="155"/>
        <v>0</v>
      </c>
      <c r="BE106" s="43">
        <f t="shared" si="156"/>
        <v>36</v>
      </c>
      <c r="BF106" s="44"/>
      <c r="BG106" s="45">
        <f t="shared" si="157"/>
        <v>36</v>
      </c>
      <c r="BH106" s="45">
        <f t="shared" si="158"/>
        <v>2</v>
      </c>
      <c r="BI106" s="45">
        <f t="shared" si="159"/>
        <v>0</v>
      </c>
      <c r="BJ106" s="46">
        <f t="shared" si="160"/>
        <v>0</v>
      </c>
      <c r="BK106" s="46">
        <f t="shared" si="161"/>
        <v>0</v>
      </c>
      <c r="BL106" s="46">
        <f t="shared" si="162"/>
        <v>0</v>
      </c>
    </row>
    <row r="107" spans="1:64" ht="30" customHeight="1" x14ac:dyDescent="0.25">
      <c r="A107" s="84" t="str">
        <f t="shared" si="163"/>
        <v>Д</v>
      </c>
      <c r="B107" s="84" t="str">
        <f t="shared" ref="B107:B109" si="282">IF(C107&gt;0, VLOOKUP(C107,Код_ООП,11,FALSE),0)</f>
        <v>Б</v>
      </c>
      <c r="C107" s="101" t="s">
        <v>1471</v>
      </c>
      <c r="D107" s="16" t="str">
        <f t="shared" ref="D107:D109" si="283">IF(C107&gt;0, VLOOKUP(C107,Код_ООП,2,FALSE),0)</f>
        <v>'09.03.03</v>
      </c>
      <c r="E107" s="17" t="str">
        <f t="shared" ref="E107:E109" si="284">IF(C107&gt;0, VLOOKUP(C107,Код_ООП,13,FALSE),0)</f>
        <v>Прикладная информатика</v>
      </c>
      <c r="F107" s="9" t="s">
        <v>413</v>
      </c>
      <c r="G107" s="9" t="s">
        <v>503</v>
      </c>
      <c r="H107" s="10"/>
      <c r="I107" s="10"/>
      <c r="J107" s="24" t="s">
        <v>3216</v>
      </c>
      <c r="K107" s="11">
        <v>2</v>
      </c>
      <c r="L107" s="11">
        <v>18</v>
      </c>
      <c r="M107" s="8" t="s">
        <v>94</v>
      </c>
      <c r="N107" s="11"/>
      <c r="O107" s="11">
        <v>2</v>
      </c>
      <c r="P107" s="11"/>
      <c r="Q107" s="8" t="s">
        <v>102</v>
      </c>
      <c r="R107" s="11"/>
      <c r="S107" s="11"/>
      <c r="T107" s="23"/>
      <c r="U107" s="11"/>
      <c r="V107" s="11"/>
      <c r="W107" s="83" t="str">
        <f t="shared" si="167"/>
        <v>НПИбд</v>
      </c>
      <c r="X107" s="110" t="s">
        <v>3246</v>
      </c>
      <c r="Y107" s="11">
        <v>1</v>
      </c>
      <c r="Z107" s="11">
        <v>1</v>
      </c>
      <c r="AA107" s="83">
        <f t="shared" ref="AA107:AA109" si="285">AB107+AC107</f>
        <v>14</v>
      </c>
      <c r="AB107" s="11">
        <v>11</v>
      </c>
      <c r="AC107" s="11">
        <v>3</v>
      </c>
      <c r="AD107" s="81">
        <f t="shared" si="169"/>
        <v>12</v>
      </c>
      <c r="AE107" s="82">
        <f t="shared" ref="AE107:AE109" si="286">IF(AF107&gt;1,1,AF107)</f>
        <v>1</v>
      </c>
      <c r="AF107" s="82">
        <f t="shared" ref="AF107:AF109" si="287">AA107/AD107</f>
        <v>1.1666666666666667</v>
      </c>
      <c r="AG107" s="102" t="s">
        <v>3250</v>
      </c>
      <c r="AH107" s="8" t="s">
        <v>204</v>
      </c>
      <c r="AI107" s="8" t="s">
        <v>213</v>
      </c>
      <c r="AJ107" s="35" t="s">
        <v>3259</v>
      </c>
      <c r="AK107" s="8"/>
      <c r="AL107" s="42">
        <f t="shared" si="172"/>
        <v>0</v>
      </c>
      <c r="AM107" s="42">
        <f t="shared" ref="AM107:AM109" si="288">IF(OR(M107="пр",M107="ия",M107="сп"),P107*AE107*L107,0)</f>
        <v>0</v>
      </c>
      <c r="AN107" s="42">
        <f t="shared" ref="AN107:AN109" si="289">IF(OR(M107="лаб",M107="клн"),O107*AE107*L107,0)</f>
        <v>36</v>
      </c>
      <c r="AO107" s="42">
        <f t="shared" ref="AO107:AO109" si="290">(IF((AND(OR(K107=1,K107=2,K107=3,K107=4,K107=5,K107=6,K107=7,K107=8,K107=9,K107=10,K107=11,K107=12),OR(Q107="Зач",Q107="Экз"))),ТКиРА*AA107,0)+IF(SUM(N107:P107)&lt;&gt;0,IF(Q107="ТК",ТКиРА*AA107,0),0))*(IF(F107="ФТД",0,1))</f>
        <v>4.62</v>
      </c>
      <c r="AP107" s="42">
        <f t="shared" ref="AP107:AP109" si="291">IF(SUM(O107:P107)&lt;&gt;0,IF(Q107="Зач",ПАБРС*AA107,0),0)+IF(N107&lt;&gt;0,IF(Q107="Экз",ПАБРС*AA107,0),0)</f>
        <v>7</v>
      </c>
      <c r="AQ107" s="42">
        <f t="shared" ref="AQ107:AQ109" si="292">(IF(AP107&lt;&gt;0,ОфВед*(IF(OR(M107="лек",M107="лаб"),Z107,AE107)),0))*(IF(F107="ФТД",0,1))</f>
        <v>1</v>
      </c>
      <c r="AR107" s="42">
        <f t="shared" si="173"/>
        <v>0</v>
      </c>
      <c r="AS107" s="42">
        <f t="shared" ref="AS107:AS109" si="293">IF(OR(M107="лаб",M107="пр"),IF(R107="К",AA107*ВПКР,IF(R107="М",AA107*ВПИБ,0)),0)</f>
        <v>0</v>
      </c>
      <c r="AT107" s="42">
        <f t="shared" ref="AT107:AT109" si="294">IF(OR(M107="лаб",M107="пр"),IF(S107="К",AA107*ВПКП,0),0)</f>
        <v>0</v>
      </c>
      <c r="AU107" s="42">
        <f t="shared" ref="AU107:AU109" si="295">IF(M107="УП",T107/1.5*AA107*РУП,IF(M107="УПМ",T107/1.5*AA107*РУПЛеч,0))</f>
        <v>0</v>
      </c>
      <c r="AV107" s="42">
        <f>IF(M107="ПП",РПП*AA107*(U107/1.5),IF(M107="ВП",ВПр*AA107*(U107/1.5),IF(M107="РПА",РПА*AA107*(U107/1.5),IF(M107="КПА",КПА*AA107*(U107/1.5),0))))</f>
        <v>0</v>
      </c>
      <c r="AW107" s="42">
        <f t="shared" ref="AW107:AW109" si="296">IF(M107="НР",(AB107*НИРМ+AC107*НИРМИн)*(V107/1.5),IF(M107="НИ",(AB107*НИРА+AC107*НИРАИ)*(V107/1.5),0))</f>
        <v>0</v>
      </c>
      <c r="AX107" s="42">
        <f t="shared" si="174"/>
        <v>0</v>
      </c>
      <c r="AY107" s="42">
        <f t="shared" si="175"/>
        <v>0</v>
      </c>
      <c r="AZ107" s="42">
        <f t="shared" ref="AZ107:AZ109" si="297">IF(AND(Q107="КЭ",M107="ЧК"),AA107*КдЭк,0)</f>
        <v>0</v>
      </c>
      <c r="BA107" s="42">
        <f t="shared" si="176"/>
        <v>0</v>
      </c>
      <c r="BB107" s="42">
        <f t="shared" si="177"/>
        <v>0</v>
      </c>
      <c r="BC107" s="42">
        <f t="shared" si="178"/>
        <v>0</v>
      </c>
      <c r="BD107" s="42">
        <f t="shared" ref="BD107:BD109" si="298">IF(M107="ЧГ",AA107*ЧГ,IF(M107="ПГ",AA107*ПГ,IF(M107="ТЕСТ",ТГИЭ*AE107,IF(M107="СГ",AA107*СГ,0))))</f>
        <v>0</v>
      </c>
      <c r="BE107" s="43">
        <f t="shared" ref="BE107:BE109" si="299">SUM(AL107:BD107)</f>
        <v>48.62</v>
      </c>
      <c r="BF107" s="44"/>
      <c r="BG107" s="45">
        <f t="shared" ref="BG107:BG109" si="300">IF(OR(K107="1;1",K107="1;2",K107=1,K107="3;1",K107="3;2",K107=3,K107="5;1",K107="5;2",K107=5,K107="7;1",K107="7;2",K107=7,K107="9;1",K107="9;2",K107=9,K107=11),SUM(AL107:AN107),0)</f>
        <v>0</v>
      </c>
      <c r="BH107" s="45">
        <f t="shared" ref="BH107:BH109" si="301">IF(BG107&lt;&gt;0,SUM(N107:P107)/2,0)</f>
        <v>0</v>
      </c>
      <c r="BI107" s="45">
        <f t="shared" ref="BI107:BI109" si="302">IF(OR(K107="1;1",K107="1;2",K107=1,K107="3;1",K107="3;2",K107=3,K107="5;1",K107="5;2",K107=5,K107="7;1",K107="7;2",K107=7,K107="9;1",K107="9;2",K107=9,K107=11),SUM(AO107:BD107),0)</f>
        <v>0</v>
      </c>
      <c r="BJ107" s="46">
        <f t="shared" ref="BJ107:BJ109" si="303">IF(OR(K107="2;3",K107="2;4",K107=2,K107="4;3",K107="4;4",K107=4,K107="6;3",K107="6;4",K107=6,K107="8;3",K107="8;4",K107=8,K107="10;3",K107="10;4",K107=10,K107=12),SUM(AL107:AN107),0)</f>
        <v>36</v>
      </c>
      <c r="BK107" s="46">
        <f t="shared" ref="BK107:BK109" si="304">IF(BJ107&lt;&gt;0,SUM(N107:P107)/2,0)</f>
        <v>1</v>
      </c>
      <c r="BL107" s="46">
        <f t="shared" ref="BL107:BL109" si="305">IF(OR(K107="2;3",K107="2;4",K107=2,K107="4;3",K107="4;4",K107=4,K107="6;3",K107="6;4",K107=6,K107="8;3",K107="8;4",K107=8,K107="10;3",K107="10;4",K107=10,K107=12),SUM(AO107:BD107),0)</f>
        <v>12.620000000000001</v>
      </c>
    </row>
    <row r="108" spans="1:64" ht="30" customHeight="1" x14ac:dyDescent="0.25">
      <c r="A108" s="84" t="str">
        <f t="shared" si="163"/>
        <v>Д</v>
      </c>
      <c r="B108" s="84" t="str">
        <f t="shared" si="282"/>
        <v>Б</v>
      </c>
      <c r="C108" s="101" t="s">
        <v>1471</v>
      </c>
      <c r="D108" s="16" t="str">
        <f t="shared" si="283"/>
        <v>'09.03.03</v>
      </c>
      <c r="E108" s="17" t="str">
        <f t="shared" si="284"/>
        <v>Прикладная информатика</v>
      </c>
      <c r="F108" s="9" t="s">
        <v>413</v>
      </c>
      <c r="G108" s="9" t="s">
        <v>503</v>
      </c>
      <c r="H108" s="10"/>
      <c r="I108" s="10"/>
      <c r="J108" s="24" t="s">
        <v>3216</v>
      </c>
      <c r="K108" s="11">
        <v>2</v>
      </c>
      <c r="L108" s="11">
        <v>18</v>
      </c>
      <c r="M108" s="8" t="s">
        <v>94</v>
      </c>
      <c r="N108" s="11"/>
      <c r="O108" s="11">
        <v>2</v>
      </c>
      <c r="P108" s="11"/>
      <c r="Q108" s="8" t="s">
        <v>102</v>
      </c>
      <c r="R108" s="11"/>
      <c r="S108" s="11"/>
      <c r="T108" s="11"/>
      <c r="U108" s="11"/>
      <c r="V108" s="11"/>
      <c r="W108" s="83" t="str">
        <f t="shared" si="167"/>
        <v>НПИбд</v>
      </c>
      <c r="X108" s="110" t="s">
        <v>3246</v>
      </c>
      <c r="Y108" s="11">
        <v>1</v>
      </c>
      <c r="Z108" s="11">
        <v>1</v>
      </c>
      <c r="AA108" s="83">
        <f t="shared" si="285"/>
        <v>13</v>
      </c>
      <c r="AB108" s="11">
        <v>11</v>
      </c>
      <c r="AC108" s="11">
        <v>2</v>
      </c>
      <c r="AD108" s="81">
        <f t="shared" si="169"/>
        <v>12</v>
      </c>
      <c r="AE108" s="82">
        <f t="shared" si="286"/>
        <v>1</v>
      </c>
      <c r="AF108" s="82">
        <f t="shared" si="287"/>
        <v>1.0833333333333333</v>
      </c>
      <c r="AG108" s="102" t="s">
        <v>3250</v>
      </c>
      <c r="AH108" s="8" t="s">
        <v>204</v>
      </c>
      <c r="AI108" s="8" t="s">
        <v>213</v>
      </c>
      <c r="AJ108" s="35" t="s">
        <v>3259</v>
      </c>
      <c r="AK108" s="8"/>
      <c r="AL108" s="42">
        <f t="shared" si="172"/>
        <v>0</v>
      </c>
      <c r="AM108" s="42">
        <f t="shared" si="288"/>
        <v>0</v>
      </c>
      <c r="AN108" s="42">
        <f t="shared" si="289"/>
        <v>36</v>
      </c>
      <c r="AO108" s="42">
        <f t="shared" si="290"/>
        <v>4.29</v>
      </c>
      <c r="AP108" s="42">
        <f t="shared" si="291"/>
        <v>6.5</v>
      </c>
      <c r="AQ108" s="42">
        <f t="shared" si="292"/>
        <v>1</v>
      </c>
      <c r="AR108" s="42">
        <f t="shared" si="173"/>
        <v>0</v>
      </c>
      <c r="AS108" s="42">
        <f t="shared" si="293"/>
        <v>0</v>
      </c>
      <c r="AT108" s="42">
        <f t="shared" si="294"/>
        <v>0</v>
      </c>
      <c r="AU108" s="42">
        <f t="shared" si="295"/>
        <v>0</v>
      </c>
      <c r="AV108" s="42">
        <f>IF(M108="ПП",РПП*AA108*(U108/1.5),IF(M108="ВП",ВПр*AA108*(U108/1.5),IF(M108="РПА",РПА*AA108*(U108/1.5),IF(M108="КПА",КПА*AA108*(U108/1.5),0))))</f>
        <v>0</v>
      </c>
      <c r="AW108" s="42">
        <f t="shared" si="296"/>
        <v>0</v>
      </c>
      <c r="AX108" s="42">
        <f t="shared" si="174"/>
        <v>0</v>
      </c>
      <c r="AY108" s="42">
        <f t="shared" si="175"/>
        <v>0</v>
      </c>
      <c r="AZ108" s="42">
        <f t="shared" si="297"/>
        <v>0</v>
      </c>
      <c r="BA108" s="42">
        <f t="shared" si="176"/>
        <v>0</v>
      </c>
      <c r="BB108" s="42">
        <f t="shared" si="177"/>
        <v>0</v>
      </c>
      <c r="BC108" s="42">
        <f t="shared" si="178"/>
        <v>0</v>
      </c>
      <c r="BD108" s="42">
        <f t="shared" si="298"/>
        <v>0</v>
      </c>
      <c r="BE108" s="43">
        <f t="shared" si="299"/>
        <v>47.79</v>
      </c>
      <c r="BF108" s="44"/>
      <c r="BG108" s="45">
        <f t="shared" si="300"/>
        <v>0</v>
      </c>
      <c r="BH108" s="45">
        <f t="shared" si="301"/>
        <v>0</v>
      </c>
      <c r="BI108" s="45">
        <f t="shared" si="302"/>
        <v>0</v>
      </c>
      <c r="BJ108" s="46">
        <f t="shared" si="303"/>
        <v>36</v>
      </c>
      <c r="BK108" s="46">
        <f t="shared" si="304"/>
        <v>1</v>
      </c>
      <c r="BL108" s="46">
        <f t="shared" si="305"/>
        <v>11.79</v>
      </c>
    </row>
    <row r="109" spans="1:64" ht="30" customHeight="1" x14ac:dyDescent="0.25">
      <c r="A109" s="84" t="str">
        <f t="shared" si="163"/>
        <v>Д</v>
      </c>
      <c r="B109" s="84" t="str">
        <f t="shared" si="282"/>
        <v>Б</v>
      </c>
      <c r="C109" s="101" t="s">
        <v>1471</v>
      </c>
      <c r="D109" s="16" t="str">
        <f t="shared" si="283"/>
        <v>'09.03.03</v>
      </c>
      <c r="E109" s="17" t="str">
        <f t="shared" si="284"/>
        <v>Прикладная информатика</v>
      </c>
      <c r="F109" s="9" t="s">
        <v>413</v>
      </c>
      <c r="G109" s="9" t="s">
        <v>503</v>
      </c>
      <c r="H109" s="10"/>
      <c r="I109" s="10"/>
      <c r="J109" s="24" t="s">
        <v>3216</v>
      </c>
      <c r="K109" s="11">
        <v>2</v>
      </c>
      <c r="L109" s="11">
        <v>18</v>
      </c>
      <c r="M109" s="8" t="s">
        <v>94</v>
      </c>
      <c r="N109" s="11"/>
      <c r="O109" s="11">
        <v>2</v>
      </c>
      <c r="P109" s="11"/>
      <c r="Q109" s="8" t="s">
        <v>102</v>
      </c>
      <c r="R109" s="11"/>
      <c r="S109" s="11"/>
      <c r="T109" s="11"/>
      <c r="U109" s="11"/>
      <c r="V109" s="11"/>
      <c r="W109" s="83" t="str">
        <f t="shared" si="167"/>
        <v>НПИбд</v>
      </c>
      <c r="X109" s="110" t="s">
        <v>3247</v>
      </c>
      <c r="Y109" s="11">
        <v>1</v>
      </c>
      <c r="Z109" s="11">
        <v>1</v>
      </c>
      <c r="AA109" s="83">
        <f t="shared" si="285"/>
        <v>14</v>
      </c>
      <c r="AB109" s="11">
        <v>11</v>
      </c>
      <c r="AC109" s="11">
        <v>3</v>
      </c>
      <c r="AD109" s="81">
        <f t="shared" si="169"/>
        <v>12</v>
      </c>
      <c r="AE109" s="82">
        <f t="shared" si="286"/>
        <v>1</v>
      </c>
      <c r="AF109" s="82">
        <f t="shared" si="287"/>
        <v>1.1666666666666667</v>
      </c>
      <c r="AG109" s="102" t="s">
        <v>3250</v>
      </c>
      <c r="AH109" s="8" t="s">
        <v>204</v>
      </c>
      <c r="AI109" s="8" t="s">
        <v>213</v>
      </c>
      <c r="AJ109" s="35" t="s">
        <v>3259</v>
      </c>
      <c r="AK109" s="8"/>
      <c r="AL109" s="42">
        <f t="shared" si="172"/>
        <v>0</v>
      </c>
      <c r="AM109" s="42">
        <f t="shared" si="288"/>
        <v>0</v>
      </c>
      <c r="AN109" s="42">
        <f t="shared" si="289"/>
        <v>36</v>
      </c>
      <c r="AO109" s="42">
        <f t="shared" si="290"/>
        <v>4.62</v>
      </c>
      <c r="AP109" s="42">
        <f t="shared" si="291"/>
        <v>7</v>
      </c>
      <c r="AQ109" s="42">
        <f t="shared" si="292"/>
        <v>1</v>
      </c>
      <c r="AR109" s="42">
        <f t="shared" si="173"/>
        <v>0</v>
      </c>
      <c r="AS109" s="42">
        <f t="shared" si="293"/>
        <v>0</v>
      </c>
      <c r="AT109" s="42">
        <f t="shared" si="294"/>
        <v>0</v>
      </c>
      <c r="AU109" s="42">
        <f t="shared" si="295"/>
        <v>0</v>
      </c>
      <c r="AV109" s="42">
        <f>IF(M109="ПП",РПП*AA109*(U109/1.5),IF(M109="ВП",ВПр*AA109*(U109/1.5),IF(M109="РПА",РПА*AA109*(U109/1.5),IF(M109="КПА",КПА*AA109*(U109/1.5),0))))</f>
        <v>0</v>
      </c>
      <c r="AW109" s="42">
        <f t="shared" si="296"/>
        <v>0</v>
      </c>
      <c r="AX109" s="42">
        <f t="shared" si="174"/>
        <v>0</v>
      </c>
      <c r="AY109" s="42">
        <f t="shared" si="175"/>
        <v>0</v>
      </c>
      <c r="AZ109" s="42">
        <f t="shared" si="297"/>
        <v>0</v>
      </c>
      <c r="BA109" s="42">
        <f t="shared" si="176"/>
        <v>0</v>
      </c>
      <c r="BB109" s="42">
        <f t="shared" si="177"/>
        <v>0</v>
      </c>
      <c r="BC109" s="42">
        <f t="shared" si="178"/>
        <v>0</v>
      </c>
      <c r="BD109" s="42">
        <f t="shared" si="298"/>
        <v>0</v>
      </c>
      <c r="BE109" s="43">
        <f t="shared" si="299"/>
        <v>48.62</v>
      </c>
      <c r="BF109" s="44"/>
      <c r="BG109" s="45">
        <f t="shared" si="300"/>
        <v>0</v>
      </c>
      <c r="BH109" s="45">
        <f t="shared" si="301"/>
        <v>0</v>
      </c>
      <c r="BI109" s="45">
        <f t="shared" si="302"/>
        <v>0</v>
      </c>
      <c r="BJ109" s="46">
        <f t="shared" si="303"/>
        <v>36</v>
      </c>
      <c r="BK109" s="46">
        <f t="shared" si="304"/>
        <v>1</v>
      </c>
      <c r="BL109" s="46">
        <f t="shared" si="305"/>
        <v>12.620000000000001</v>
      </c>
    </row>
    <row r="110" spans="1:64" ht="30" customHeight="1" x14ac:dyDescent="0.25">
      <c r="A110" s="84" t="str">
        <f t="shared" si="163"/>
        <v>Д</v>
      </c>
      <c r="B110" s="84" t="str">
        <f t="shared" si="164"/>
        <v>Б</v>
      </c>
      <c r="C110" s="101" t="s">
        <v>1471</v>
      </c>
      <c r="D110" s="16" t="str">
        <f t="shared" si="165"/>
        <v>'09.03.03</v>
      </c>
      <c r="E110" s="17" t="str">
        <f t="shared" si="166"/>
        <v>Прикладная информатика</v>
      </c>
      <c r="F110" s="9" t="s">
        <v>413</v>
      </c>
      <c r="G110" s="9" t="s">
        <v>503</v>
      </c>
      <c r="H110" s="10"/>
      <c r="I110" s="10"/>
      <c r="J110" s="24" t="s">
        <v>3216</v>
      </c>
      <c r="K110" s="11">
        <v>2</v>
      </c>
      <c r="L110" s="11">
        <v>18</v>
      </c>
      <c r="M110" s="8" t="s">
        <v>94</v>
      </c>
      <c r="N110" s="11"/>
      <c r="O110" s="11">
        <v>2</v>
      </c>
      <c r="P110" s="11"/>
      <c r="Q110" s="8" t="s">
        <v>102</v>
      </c>
      <c r="R110" s="11"/>
      <c r="S110" s="11"/>
      <c r="T110" s="23"/>
      <c r="U110" s="11"/>
      <c r="V110" s="11"/>
      <c r="W110" s="83" t="str">
        <f t="shared" si="167"/>
        <v>НПИбд</v>
      </c>
      <c r="X110" s="110" t="s">
        <v>3247</v>
      </c>
      <c r="Y110" s="11">
        <v>1</v>
      </c>
      <c r="Z110" s="11">
        <v>1</v>
      </c>
      <c r="AA110" s="83">
        <f t="shared" si="168"/>
        <v>13</v>
      </c>
      <c r="AB110" s="11">
        <v>10</v>
      </c>
      <c r="AC110" s="11">
        <v>3</v>
      </c>
      <c r="AD110" s="81">
        <f t="shared" si="169"/>
        <v>12</v>
      </c>
      <c r="AE110" s="82">
        <f t="shared" si="170"/>
        <v>1</v>
      </c>
      <c r="AF110" s="82">
        <f t="shared" si="171"/>
        <v>1.0833333333333333</v>
      </c>
      <c r="AG110" s="102" t="s">
        <v>3250</v>
      </c>
      <c r="AH110" s="8" t="s">
        <v>204</v>
      </c>
      <c r="AI110" s="8" t="s">
        <v>213</v>
      </c>
      <c r="AJ110" s="35" t="s">
        <v>3259</v>
      </c>
      <c r="AK110" s="8"/>
      <c r="AL110" s="42">
        <f t="shared" si="172"/>
        <v>0</v>
      </c>
      <c r="AM110" s="42">
        <f t="shared" si="146"/>
        <v>0</v>
      </c>
      <c r="AN110" s="42">
        <f t="shared" si="147"/>
        <v>36</v>
      </c>
      <c r="AO110" s="42">
        <f t="shared" si="233"/>
        <v>4.29</v>
      </c>
      <c r="AP110" s="42">
        <f t="shared" si="148"/>
        <v>6.5</v>
      </c>
      <c r="AQ110" s="42">
        <f t="shared" si="149"/>
        <v>1</v>
      </c>
      <c r="AR110" s="42">
        <f t="shared" si="173"/>
        <v>0</v>
      </c>
      <c r="AS110" s="42">
        <f t="shared" si="150"/>
        <v>0</v>
      </c>
      <c r="AT110" s="42">
        <f t="shared" si="151"/>
        <v>0</v>
      </c>
      <c r="AU110" s="42">
        <f t="shared" si="152"/>
        <v>0</v>
      </c>
      <c r="AV110" s="42">
        <f>IF(M110="ПП",РПП*AA110*(U110/1.5),IF(M110="ВП",ВПр*AA110*(U110/1.5),IF(M110="РПА",РПА*AA110*(U110/1.5),IF(M110="КПА",КПА*AA110*(U110/1.5),0))))</f>
        <v>0</v>
      </c>
      <c r="AW110" s="42">
        <f t="shared" si="153"/>
        <v>0</v>
      </c>
      <c r="AX110" s="42">
        <f t="shared" si="174"/>
        <v>0</v>
      </c>
      <c r="AY110" s="42">
        <f t="shared" si="175"/>
        <v>0</v>
      </c>
      <c r="AZ110" s="42">
        <f t="shared" si="154"/>
        <v>0</v>
      </c>
      <c r="BA110" s="42">
        <f t="shared" si="176"/>
        <v>0</v>
      </c>
      <c r="BB110" s="42">
        <f t="shared" si="177"/>
        <v>0</v>
      </c>
      <c r="BC110" s="42">
        <f t="shared" si="178"/>
        <v>0</v>
      </c>
      <c r="BD110" s="42">
        <f t="shared" si="155"/>
        <v>0</v>
      </c>
      <c r="BE110" s="43">
        <f t="shared" si="156"/>
        <v>47.79</v>
      </c>
      <c r="BF110" s="44"/>
      <c r="BG110" s="45">
        <f t="shared" si="157"/>
        <v>0</v>
      </c>
      <c r="BH110" s="45">
        <f t="shared" si="158"/>
        <v>0</v>
      </c>
      <c r="BI110" s="45">
        <f t="shared" si="159"/>
        <v>0</v>
      </c>
      <c r="BJ110" s="46">
        <f t="shared" si="160"/>
        <v>36</v>
      </c>
      <c r="BK110" s="46">
        <f t="shared" si="161"/>
        <v>1</v>
      </c>
      <c r="BL110" s="46">
        <f t="shared" si="162"/>
        <v>11.79</v>
      </c>
    </row>
    <row r="111" spans="1:64" ht="30" customHeight="1" x14ac:dyDescent="0.25">
      <c r="A111" s="84" t="str">
        <f t="shared" si="163"/>
        <v>Д</v>
      </c>
      <c r="B111" s="84" t="str">
        <f t="shared" si="164"/>
        <v>Б</v>
      </c>
      <c r="C111" s="101" t="s">
        <v>1471</v>
      </c>
      <c r="D111" s="16" t="str">
        <f t="shared" si="165"/>
        <v>'09.03.03</v>
      </c>
      <c r="E111" s="17" t="str">
        <f t="shared" si="166"/>
        <v>Прикладная информатика</v>
      </c>
      <c r="F111" s="9" t="s">
        <v>413</v>
      </c>
      <c r="G111" s="9" t="s">
        <v>503</v>
      </c>
      <c r="H111" s="10"/>
      <c r="I111" s="10"/>
      <c r="J111" s="24" t="s">
        <v>3216</v>
      </c>
      <c r="K111" s="11">
        <v>2</v>
      </c>
      <c r="L111" s="11">
        <v>18</v>
      </c>
      <c r="M111" s="8" t="s">
        <v>94</v>
      </c>
      <c r="N111" s="11"/>
      <c r="O111" s="11">
        <v>2</v>
      </c>
      <c r="P111" s="11"/>
      <c r="Q111" s="8" t="s">
        <v>102</v>
      </c>
      <c r="R111" s="11"/>
      <c r="S111" s="11"/>
      <c r="T111" s="11"/>
      <c r="U111" s="11"/>
      <c r="V111" s="11"/>
      <c r="W111" s="83" t="str">
        <f t="shared" si="167"/>
        <v>НПИбд</v>
      </c>
      <c r="X111" s="110" t="s">
        <v>3248</v>
      </c>
      <c r="Y111" s="11">
        <v>1</v>
      </c>
      <c r="Z111" s="11">
        <v>1</v>
      </c>
      <c r="AA111" s="83">
        <f t="shared" si="168"/>
        <v>13</v>
      </c>
      <c r="AB111" s="11">
        <v>10</v>
      </c>
      <c r="AC111" s="11">
        <v>3</v>
      </c>
      <c r="AD111" s="81">
        <f t="shared" si="169"/>
        <v>12</v>
      </c>
      <c r="AE111" s="82">
        <f t="shared" si="170"/>
        <v>1</v>
      </c>
      <c r="AF111" s="82">
        <f t="shared" si="171"/>
        <v>1.0833333333333333</v>
      </c>
      <c r="AG111" s="102" t="s">
        <v>3250</v>
      </c>
      <c r="AH111" s="8" t="s">
        <v>204</v>
      </c>
      <c r="AI111" s="8" t="s">
        <v>213</v>
      </c>
      <c r="AJ111" s="35" t="s">
        <v>3259</v>
      </c>
      <c r="AK111" s="8"/>
      <c r="AL111" s="42">
        <f t="shared" si="172"/>
        <v>0</v>
      </c>
      <c r="AM111" s="42">
        <f t="shared" si="146"/>
        <v>0</v>
      </c>
      <c r="AN111" s="42">
        <f t="shared" si="147"/>
        <v>36</v>
      </c>
      <c r="AO111" s="42">
        <f t="shared" si="233"/>
        <v>4.29</v>
      </c>
      <c r="AP111" s="42">
        <f t="shared" si="148"/>
        <v>6.5</v>
      </c>
      <c r="AQ111" s="42">
        <f t="shared" si="149"/>
        <v>1</v>
      </c>
      <c r="AR111" s="42">
        <f t="shared" si="173"/>
        <v>0</v>
      </c>
      <c r="AS111" s="42">
        <f t="shared" si="150"/>
        <v>0</v>
      </c>
      <c r="AT111" s="42">
        <f t="shared" si="151"/>
        <v>0</v>
      </c>
      <c r="AU111" s="42">
        <f t="shared" si="152"/>
        <v>0</v>
      </c>
      <c r="AV111" s="42">
        <f>IF(M111="ПП",РПП*AA111*(U111/1.5),IF(M111="ВП",ВПр*AA111*(U111/1.5),IF(M111="РПА",РПА*AA111*(U111/1.5),IF(M111="КПА",КПА*AA111*(U111/1.5),0))))</f>
        <v>0</v>
      </c>
      <c r="AW111" s="42">
        <f t="shared" si="153"/>
        <v>0</v>
      </c>
      <c r="AX111" s="42">
        <f t="shared" si="174"/>
        <v>0</v>
      </c>
      <c r="AY111" s="42">
        <f t="shared" si="175"/>
        <v>0</v>
      </c>
      <c r="AZ111" s="42">
        <f t="shared" si="154"/>
        <v>0</v>
      </c>
      <c r="BA111" s="42">
        <f t="shared" si="176"/>
        <v>0</v>
      </c>
      <c r="BB111" s="42">
        <f t="shared" si="177"/>
        <v>0</v>
      </c>
      <c r="BC111" s="42">
        <f t="shared" si="178"/>
        <v>0</v>
      </c>
      <c r="BD111" s="42">
        <f t="shared" si="155"/>
        <v>0</v>
      </c>
      <c r="BE111" s="43">
        <f t="shared" si="156"/>
        <v>47.79</v>
      </c>
      <c r="BF111" s="44"/>
      <c r="BG111" s="45">
        <f t="shared" si="157"/>
        <v>0</v>
      </c>
      <c r="BH111" s="45">
        <f t="shared" si="158"/>
        <v>0</v>
      </c>
      <c r="BI111" s="45">
        <f t="shared" si="159"/>
        <v>0</v>
      </c>
      <c r="BJ111" s="46">
        <f t="shared" si="160"/>
        <v>36</v>
      </c>
      <c r="BK111" s="46">
        <f t="shared" si="161"/>
        <v>1</v>
      </c>
      <c r="BL111" s="46">
        <f t="shared" si="162"/>
        <v>11.79</v>
      </c>
    </row>
    <row r="112" spans="1:64" ht="30" customHeight="1" x14ac:dyDescent="0.25">
      <c r="A112" s="84" t="str">
        <f t="shared" si="163"/>
        <v>Д</v>
      </c>
      <c r="B112" s="84" t="str">
        <f t="shared" si="164"/>
        <v>Б</v>
      </c>
      <c r="C112" s="101" t="s">
        <v>1471</v>
      </c>
      <c r="D112" s="16" t="str">
        <f t="shared" si="165"/>
        <v>'09.03.03</v>
      </c>
      <c r="E112" s="17" t="str">
        <f t="shared" si="166"/>
        <v>Прикладная информатика</v>
      </c>
      <c r="F112" s="9" t="s">
        <v>413</v>
      </c>
      <c r="G112" s="9" t="s">
        <v>503</v>
      </c>
      <c r="H112" s="10"/>
      <c r="I112" s="10"/>
      <c r="J112" s="24" t="s">
        <v>3216</v>
      </c>
      <c r="K112" s="11">
        <v>2</v>
      </c>
      <c r="L112" s="11">
        <v>18</v>
      </c>
      <c r="M112" s="8" t="s">
        <v>94</v>
      </c>
      <c r="N112" s="11"/>
      <c r="O112" s="11">
        <v>2</v>
      </c>
      <c r="P112" s="11"/>
      <c r="Q112" s="8" t="s">
        <v>102</v>
      </c>
      <c r="R112" s="11"/>
      <c r="S112" s="11"/>
      <c r="T112" s="11"/>
      <c r="U112" s="11"/>
      <c r="V112" s="11"/>
      <c r="W112" s="83" t="str">
        <f t="shared" si="167"/>
        <v>НПИбд</v>
      </c>
      <c r="X112" s="110" t="s">
        <v>3248</v>
      </c>
      <c r="Y112" s="11"/>
      <c r="Z112" s="11"/>
      <c r="AA112" s="83">
        <f t="shared" si="168"/>
        <v>0</v>
      </c>
      <c r="AB112" s="11"/>
      <c r="AC112" s="11"/>
      <c r="AD112" s="81">
        <f t="shared" si="169"/>
        <v>12</v>
      </c>
      <c r="AE112" s="82">
        <f t="shared" si="170"/>
        <v>0</v>
      </c>
      <c r="AF112" s="82">
        <f t="shared" si="171"/>
        <v>0</v>
      </c>
      <c r="AG112" s="102" t="s">
        <v>3250</v>
      </c>
      <c r="AH112" s="8" t="s">
        <v>204</v>
      </c>
      <c r="AI112" s="8" t="s">
        <v>213</v>
      </c>
      <c r="AJ112" s="35" t="s">
        <v>3259</v>
      </c>
      <c r="AK112" s="8"/>
      <c r="AL112" s="42">
        <f t="shared" si="172"/>
        <v>0</v>
      </c>
      <c r="AM112" s="42">
        <f t="shared" si="146"/>
        <v>0</v>
      </c>
      <c r="AN112" s="42">
        <f t="shared" si="147"/>
        <v>0</v>
      </c>
      <c r="AO112" s="42">
        <f t="shared" si="233"/>
        <v>0</v>
      </c>
      <c r="AP112" s="42">
        <f t="shared" si="148"/>
        <v>0</v>
      </c>
      <c r="AQ112" s="42">
        <f t="shared" si="149"/>
        <v>0</v>
      </c>
      <c r="AR112" s="42">
        <f t="shared" si="173"/>
        <v>0</v>
      </c>
      <c r="AS112" s="42">
        <f t="shared" si="150"/>
        <v>0</v>
      </c>
      <c r="AT112" s="42">
        <f t="shared" si="151"/>
        <v>0</v>
      </c>
      <c r="AU112" s="42">
        <f t="shared" si="152"/>
        <v>0</v>
      </c>
      <c r="AV112" s="42">
        <f>IF(M112="ПП",РПП*AA112*(U112/1.5),IF(M112="ВП",ВПр*AA112*(U112/1.5),IF(M112="РПА",РПА*AA112*(U112/1.5),IF(M112="КПА",КПА*AA112*(U112/1.5),0))))</f>
        <v>0</v>
      </c>
      <c r="AW112" s="42">
        <f t="shared" si="153"/>
        <v>0</v>
      </c>
      <c r="AX112" s="42">
        <f t="shared" si="174"/>
        <v>0</v>
      </c>
      <c r="AY112" s="42">
        <f t="shared" si="175"/>
        <v>0</v>
      </c>
      <c r="AZ112" s="42">
        <f t="shared" si="154"/>
        <v>0</v>
      </c>
      <c r="BA112" s="42">
        <f t="shared" si="176"/>
        <v>0</v>
      </c>
      <c r="BB112" s="42">
        <f t="shared" si="177"/>
        <v>0</v>
      </c>
      <c r="BC112" s="42">
        <f t="shared" si="178"/>
        <v>0</v>
      </c>
      <c r="BD112" s="42">
        <f t="shared" si="155"/>
        <v>0</v>
      </c>
      <c r="BE112" s="43">
        <f t="shared" si="156"/>
        <v>0</v>
      </c>
      <c r="BF112" s="44"/>
      <c r="BG112" s="45">
        <f t="shared" si="157"/>
        <v>0</v>
      </c>
      <c r="BH112" s="45">
        <f t="shared" si="158"/>
        <v>0</v>
      </c>
      <c r="BI112" s="45">
        <f t="shared" si="159"/>
        <v>0</v>
      </c>
      <c r="BJ112" s="46">
        <f t="shared" si="160"/>
        <v>0</v>
      </c>
      <c r="BK112" s="46">
        <f t="shared" si="161"/>
        <v>0</v>
      </c>
      <c r="BL112" s="46">
        <f t="shared" si="162"/>
        <v>0</v>
      </c>
    </row>
    <row r="113" spans="1:64" ht="30" customHeight="1" x14ac:dyDescent="0.25">
      <c r="A113" s="84" t="str">
        <f t="shared" si="163"/>
        <v>Д</v>
      </c>
      <c r="B113" s="84" t="str">
        <f t="shared" si="164"/>
        <v>Б</v>
      </c>
      <c r="C113" s="101" t="s">
        <v>1471</v>
      </c>
      <c r="D113" s="16" t="str">
        <f t="shared" si="165"/>
        <v>'09.03.03</v>
      </c>
      <c r="E113" s="17" t="str">
        <f t="shared" si="166"/>
        <v>Прикладная информатика</v>
      </c>
      <c r="F113" s="9" t="s">
        <v>413</v>
      </c>
      <c r="G113" s="9" t="s">
        <v>503</v>
      </c>
      <c r="H113" s="10" t="s">
        <v>3277</v>
      </c>
      <c r="I113" s="10" t="s">
        <v>3276</v>
      </c>
      <c r="J113" s="24" t="s">
        <v>3217</v>
      </c>
      <c r="K113" s="11">
        <v>5</v>
      </c>
      <c r="L113" s="11">
        <v>18</v>
      </c>
      <c r="M113" s="8" t="s">
        <v>23</v>
      </c>
      <c r="N113" s="11">
        <v>1</v>
      </c>
      <c r="O113" s="11"/>
      <c r="P113" s="11"/>
      <c r="Q113" s="8"/>
      <c r="R113" s="11"/>
      <c r="S113" s="11"/>
      <c r="T113" s="11"/>
      <c r="U113" s="11"/>
      <c r="V113" s="11"/>
      <c r="W113" s="83" t="str">
        <f t="shared" si="167"/>
        <v>НПИбд</v>
      </c>
      <c r="X113" s="110" t="s">
        <v>3355</v>
      </c>
      <c r="Y113" s="11">
        <v>1</v>
      </c>
      <c r="Z113" s="11">
        <v>2</v>
      </c>
      <c r="AA113" s="83">
        <f t="shared" si="168"/>
        <v>16</v>
      </c>
      <c r="AB113" s="11">
        <v>13</v>
      </c>
      <c r="AC113" s="11">
        <v>3</v>
      </c>
      <c r="AD113" s="81">
        <f t="shared" si="169"/>
        <v>16</v>
      </c>
      <c r="AE113" s="82">
        <f t="shared" si="170"/>
        <v>1</v>
      </c>
      <c r="AF113" s="82">
        <f t="shared" si="171"/>
        <v>1</v>
      </c>
      <c r="AG113" s="102" t="s">
        <v>3250</v>
      </c>
      <c r="AH113" s="8" t="s">
        <v>201</v>
      </c>
      <c r="AI113" s="8" t="s">
        <v>213</v>
      </c>
      <c r="AJ113" s="36" t="s">
        <v>3260</v>
      </c>
      <c r="AK113" s="8"/>
      <c r="AL113" s="42">
        <f t="shared" si="172"/>
        <v>18</v>
      </c>
      <c r="AM113" s="42">
        <f t="shared" si="146"/>
        <v>0</v>
      </c>
      <c r="AN113" s="42">
        <f t="shared" si="147"/>
        <v>0</v>
      </c>
      <c r="AO113" s="42">
        <f t="shared" si="233"/>
        <v>0</v>
      </c>
      <c r="AP113" s="42">
        <f t="shared" si="148"/>
        <v>0</v>
      </c>
      <c r="AQ113" s="42">
        <f t="shared" si="149"/>
        <v>0</v>
      </c>
      <c r="AR113" s="42">
        <f t="shared" si="173"/>
        <v>1.8</v>
      </c>
      <c r="AS113" s="42">
        <f t="shared" si="150"/>
        <v>0</v>
      </c>
      <c r="AT113" s="42">
        <f t="shared" si="151"/>
        <v>0</v>
      </c>
      <c r="AU113" s="42">
        <f t="shared" si="152"/>
        <v>0</v>
      </c>
      <c r="AV113" s="42">
        <f>IF(M113="ПП",РПП*AA113*(U113/1.5),IF(M113="ВП",ВПр*AA113*(U113/1.5),IF(M113="РПА",РПА*AA113*(U113/1.5),IF(M113="КПА",КПА*AA113*(U113/1.5),0))))</f>
        <v>0</v>
      </c>
      <c r="AW113" s="42">
        <f t="shared" si="153"/>
        <v>0</v>
      </c>
      <c r="AX113" s="42">
        <f t="shared" si="174"/>
        <v>0</v>
      </c>
      <c r="AY113" s="42">
        <f t="shared" si="175"/>
        <v>0</v>
      </c>
      <c r="AZ113" s="42">
        <f t="shared" si="154"/>
        <v>0</v>
      </c>
      <c r="BA113" s="42">
        <f t="shared" si="176"/>
        <v>0</v>
      </c>
      <c r="BB113" s="42">
        <f t="shared" si="177"/>
        <v>0</v>
      </c>
      <c r="BC113" s="42">
        <f t="shared" si="178"/>
        <v>0</v>
      </c>
      <c r="BD113" s="42">
        <f t="shared" si="155"/>
        <v>0</v>
      </c>
      <c r="BE113" s="43">
        <f t="shared" si="156"/>
        <v>19.8</v>
      </c>
      <c r="BF113" s="44"/>
      <c r="BG113" s="45">
        <f t="shared" si="157"/>
        <v>18</v>
      </c>
      <c r="BH113" s="45">
        <f t="shared" si="158"/>
        <v>0.5</v>
      </c>
      <c r="BI113" s="45">
        <f t="shared" si="159"/>
        <v>1.8</v>
      </c>
      <c r="BJ113" s="46">
        <f t="shared" si="160"/>
        <v>0</v>
      </c>
      <c r="BK113" s="46">
        <f t="shared" si="161"/>
        <v>0</v>
      </c>
      <c r="BL113" s="46">
        <f t="shared" si="162"/>
        <v>0</v>
      </c>
    </row>
    <row r="114" spans="1:64" ht="30" customHeight="1" x14ac:dyDescent="0.25">
      <c r="A114" s="84" t="str">
        <f t="shared" si="163"/>
        <v>Д</v>
      </c>
      <c r="B114" s="84" t="str">
        <f t="shared" si="164"/>
        <v>Б</v>
      </c>
      <c r="C114" s="101" t="s">
        <v>1471</v>
      </c>
      <c r="D114" s="16" t="str">
        <f t="shared" si="165"/>
        <v>'09.03.03</v>
      </c>
      <c r="E114" s="17" t="str">
        <f t="shared" si="166"/>
        <v>Прикладная информатика</v>
      </c>
      <c r="F114" s="9" t="s">
        <v>413</v>
      </c>
      <c r="G114" s="9" t="s">
        <v>503</v>
      </c>
      <c r="H114" s="10" t="s">
        <v>3277</v>
      </c>
      <c r="I114" s="10" t="s">
        <v>3276</v>
      </c>
      <c r="J114" s="24" t="s">
        <v>3217</v>
      </c>
      <c r="K114" s="11">
        <v>5</v>
      </c>
      <c r="L114" s="11">
        <v>18</v>
      </c>
      <c r="M114" s="8" t="s">
        <v>94</v>
      </c>
      <c r="N114" s="11"/>
      <c r="O114" s="11">
        <v>1</v>
      </c>
      <c r="P114" s="11"/>
      <c r="Q114" s="8" t="s">
        <v>102</v>
      </c>
      <c r="R114" s="11"/>
      <c r="S114" s="11"/>
      <c r="T114" s="11"/>
      <c r="U114" s="11"/>
      <c r="V114" s="11"/>
      <c r="W114" s="83" t="str">
        <f t="shared" si="167"/>
        <v>НПИбд</v>
      </c>
      <c r="X114" s="110" t="s">
        <v>3355</v>
      </c>
      <c r="Y114" s="11">
        <v>1</v>
      </c>
      <c r="Z114" s="11">
        <v>1</v>
      </c>
      <c r="AA114" s="83">
        <f t="shared" si="168"/>
        <v>16</v>
      </c>
      <c r="AB114" s="11">
        <v>13</v>
      </c>
      <c r="AC114" s="11">
        <v>3</v>
      </c>
      <c r="AD114" s="81">
        <f t="shared" si="169"/>
        <v>12</v>
      </c>
      <c r="AE114" s="82">
        <f t="shared" si="170"/>
        <v>1</v>
      </c>
      <c r="AF114" s="82">
        <f t="shared" si="171"/>
        <v>1.3333333333333333</v>
      </c>
      <c r="AG114" s="102" t="s">
        <v>3250</v>
      </c>
      <c r="AH114" s="8" t="s">
        <v>201</v>
      </c>
      <c r="AI114" s="8" t="s">
        <v>213</v>
      </c>
      <c r="AJ114" s="35" t="s">
        <v>3260</v>
      </c>
      <c r="AK114" s="8"/>
      <c r="AL114" s="42">
        <f t="shared" si="172"/>
        <v>0</v>
      </c>
      <c r="AM114" s="42">
        <f t="shared" si="146"/>
        <v>0</v>
      </c>
      <c r="AN114" s="42">
        <f t="shared" si="147"/>
        <v>18</v>
      </c>
      <c r="AO114" s="42">
        <f t="shared" si="233"/>
        <v>5.28</v>
      </c>
      <c r="AP114" s="42">
        <f t="shared" si="148"/>
        <v>8</v>
      </c>
      <c r="AQ114" s="42">
        <f t="shared" si="149"/>
        <v>1</v>
      </c>
      <c r="AR114" s="42">
        <f t="shared" si="173"/>
        <v>0</v>
      </c>
      <c r="AS114" s="42">
        <f t="shared" si="150"/>
        <v>0</v>
      </c>
      <c r="AT114" s="42">
        <f t="shared" si="151"/>
        <v>0</v>
      </c>
      <c r="AU114" s="42">
        <f t="shared" si="152"/>
        <v>0</v>
      </c>
      <c r="AV114" s="42">
        <f>IF(M114="ПП",РПП*AA114*(U114/1.5),IF(M114="ВП",ВПр*AA114*(U114/1.5),IF(M114="РПА",РПА*AA114*(U114/1.5),IF(M114="КПА",КПА*AA114*(U114/1.5),0))))</f>
        <v>0</v>
      </c>
      <c r="AW114" s="42">
        <f t="shared" si="153"/>
        <v>0</v>
      </c>
      <c r="AX114" s="42">
        <f t="shared" si="174"/>
        <v>0</v>
      </c>
      <c r="AY114" s="42">
        <f t="shared" si="175"/>
        <v>0</v>
      </c>
      <c r="AZ114" s="42">
        <f t="shared" si="154"/>
        <v>0</v>
      </c>
      <c r="BA114" s="42">
        <f t="shared" si="176"/>
        <v>0</v>
      </c>
      <c r="BB114" s="42">
        <f t="shared" si="177"/>
        <v>0</v>
      </c>
      <c r="BC114" s="42">
        <f t="shared" si="178"/>
        <v>0</v>
      </c>
      <c r="BD114" s="42">
        <f t="shared" si="155"/>
        <v>0</v>
      </c>
      <c r="BE114" s="43">
        <f t="shared" si="156"/>
        <v>32.28</v>
      </c>
      <c r="BF114" s="44"/>
      <c r="BG114" s="45">
        <f t="shared" si="157"/>
        <v>18</v>
      </c>
      <c r="BH114" s="45">
        <f t="shared" si="158"/>
        <v>0.5</v>
      </c>
      <c r="BI114" s="45">
        <f t="shared" si="159"/>
        <v>14.280000000000001</v>
      </c>
      <c r="BJ114" s="46">
        <f t="shared" si="160"/>
        <v>0</v>
      </c>
      <c r="BK114" s="46">
        <f t="shared" si="161"/>
        <v>0</v>
      </c>
      <c r="BL114" s="46">
        <f t="shared" si="162"/>
        <v>0</v>
      </c>
    </row>
    <row r="115" spans="1:64" ht="30" customHeight="1" x14ac:dyDescent="0.25">
      <c r="A115" s="84" t="str">
        <f t="shared" si="163"/>
        <v>Д</v>
      </c>
      <c r="B115" s="84" t="str">
        <f t="shared" si="164"/>
        <v>Б</v>
      </c>
      <c r="C115" s="101" t="s">
        <v>1471</v>
      </c>
      <c r="D115" s="16" t="str">
        <f t="shared" si="165"/>
        <v>'09.03.03</v>
      </c>
      <c r="E115" s="17" t="str">
        <f t="shared" si="166"/>
        <v>Прикладная информатика</v>
      </c>
      <c r="F115" s="9" t="s">
        <v>413</v>
      </c>
      <c r="G115" s="9" t="s">
        <v>503</v>
      </c>
      <c r="H115" s="10" t="s">
        <v>3277</v>
      </c>
      <c r="I115" s="10" t="s">
        <v>3276</v>
      </c>
      <c r="J115" s="24" t="s">
        <v>3218</v>
      </c>
      <c r="K115" s="11">
        <v>5</v>
      </c>
      <c r="L115" s="11">
        <v>18</v>
      </c>
      <c r="M115" s="8" t="s">
        <v>23</v>
      </c>
      <c r="N115" s="11">
        <v>1</v>
      </c>
      <c r="O115" s="11"/>
      <c r="P115" s="11"/>
      <c r="Q115" s="8"/>
      <c r="R115" s="11"/>
      <c r="S115" s="11"/>
      <c r="T115" s="11"/>
      <c r="U115" s="11"/>
      <c r="V115" s="11"/>
      <c r="W115" s="83" t="str">
        <f t="shared" si="167"/>
        <v>НПИбд</v>
      </c>
      <c r="X115" s="110" t="s">
        <v>3355</v>
      </c>
      <c r="Y115" s="11">
        <v>1</v>
      </c>
      <c r="Z115" s="11">
        <v>1</v>
      </c>
      <c r="AA115" s="83">
        <f t="shared" si="168"/>
        <v>16</v>
      </c>
      <c r="AB115" s="11">
        <v>13</v>
      </c>
      <c r="AC115" s="11">
        <v>3</v>
      </c>
      <c r="AD115" s="81">
        <f t="shared" si="169"/>
        <v>16</v>
      </c>
      <c r="AE115" s="82">
        <f t="shared" si="170"/>
        <v>1</v>
      </c>
      <c r="AF115" s="82">
        <f t="shared" si="171"/>
        <v>1</v>
      </c>
      <c r="AG115" s="102" t="s">
        <v>3250</v>
      </c>
      <c r="AH115" s="8" t="s">
        <v>204</v>
      </c>
      <c r="AI115" s="8" t="s">
        <v>213</v>
      </c>
      <c r="AJ115" s="37" t="s">
        <v>3266</v>
      </c>
      <c r="AK115" s="8"/>
      <c r="AL115" s="42">
        <f t="shared" si="172"/>
        <v>18</v>
      </c>
      <c r="AM115" s="42">
        <f t="shared" si="146"/>
        <v>0</v>
      </c>
      <c r="AN115" s="42">
        <f t="shared" si="147"/>
        <v>0</v>
      </c>
      <c r="AO115" s="42">
        <f t="shared" si="233"/>
        <v>0</v>
      </c>
      <c r="AP115" s="42">
        <f t="shared" si="148"/>
        <v>0</v>
      </c>
      <c r="AQ115" s="42">
        <f t="shared" si="149"/>
        <v>0</v>
      </c>
      <c r="AR115" s="42">
        <f t="shared" si="173"/>
        <v>0.9</v>
      </c>
      <c r="AS115" s="42">
        <f t="shared" si="150"/>
        <v>0</v>
      </c>
      <c r="AT115" s="42">
        <f t="shared" si="151"/>
        <v>0</v>
      </c>
      <c r="AU115" s="42">
        <f t="shared" si="152"/>
        <v>0</v>
      </c>
      <c r="AV115" s="42">
        <f>IF(M115="ПП",РПП*AA115*(U115/1.5),IF(M115="ВП",ВПр*AA115*(U115/1.5),IF(M115="РПА",РПА*AA115*(U115/1.5),IF(M115="КПА",КПА*AA115*(U115/1.5),0))))</f>
        <v>0</v>
      </c>
      <c r="AW115" s="42">
        <f t="shared" si="153"/>
        <v>0</v>
      </c>
      <c r="AX115" s="42">
        <f t="shared" si="174"/>
        <v>0</v>
      </c>
      <c r="AY115" s="42">
        <f t="shared" si="175"/>
        <v>0</v>
      </c>
      <c r="AZ115" s="42">
        <f t="shared" si="154"/>
        <v>0</v>
      </c>
      <c r="BA115" s="42">
        <f t="shared" si="176"/>
        <v>0</v>
      </c>
      <c r="BB115" s="42">
        <f t="shared" si="177"/>
        <v>0</v>
      </c>
      <c r="BC115" s="42">
        <f t="shared" si="178"/>
        <v>0</v>
      </c>
      <c r="BD115" s="42">
        <f t="shared" si="155"/>
        <v>0</v>
      </c>
      <c r="BE115" s="43">
        <f t="shared" si="156"/>
        <v>18.899999999999999</v>
      </c>
      <c r="BF115" s="44"/>
      <c r="BG115" s="45">
        <f t="shared" si="157"/>
        <v>18</v>
      </c>
      <c r="BH115" s="45">
        <f t="shared" si="158"/>
        <v>0.5</v>
      </c>
      <c r="BI115" s="45">
        <f t="shared" si="159"/>
        <v>0.9</v>
      </c>
      <c r="BJ115" s="46">
        <f t="shared" si="160"/>
        <v>0</v>
      </c>
      <c r="BK115" s="46">
        <f t="shared" si="161"/>
        <v>0</v>
      </c>
      <c r="BL115" s="46">
        <f t="shared" si="162"/>
        <v>0</v>
      </c>
    </row>
    <row r="116" spans="1:64" ht="30" customHeight="1" x14ac:dyDescent="0.25">
      <c r="A116" s="84" t="str">
        <f t="shared" si="163"/>
        <v>Д</v>
      </c>
      <c r="B116" s="84" t="str">
        <f t="shared" si="164"/>
        <v>Б</v>
      </c>
      <c r="C116" s="101" t="s">
        <v>1471</v>
      </c>
      <c r="D116" s="16" t="str">
        <f t="shared" si="165"/>
        <v>'09.03.03</v>
      </c>
      <c r="E116" s="17" t="str">
        <f t="shared" si="166"/>
        <v>Прикладная информатика</v>
      </c>
      <c r="F116" s="9" t="s">
        <v>413</v>
      </c>
      <c r="G116" s="9" t="s">
        <v>503</v>
      </c>
      <c r="H116" s="10" t="s">
        <v>3277</v>
      </c>
      <c r="I116" s="10" t="s">
        <v>3276</v>
      </c>
      <c r="J116" s="24" t="s">
        <v>3218</v>
      </c>
      <c r="K116" s="12">
        <v>5</v>
      </c>
      <c r="L116" s="11">
        <v>18</v>
      </c>
      <c r="M116" s="8" t="s">
        <v>24</v>
      </c>
      <c r="N116" s="12"/>
      <c r="O116" s="12"/>
      <c r="P116" s="12">
        <v>2</v>
      </c>
      <c r="Q116" s="8" t="s">
        <v>102</v>
      </c>
      <c r="R116" s="12"/>
      <c r="S116" s="12"/>
      <c r="T116" s="12"/>
      <c r="U116" s="12"/>
      <c r="V116" s="12"/>
      <c r="W116" s="83" t="str">
        <f t="shared" si="167"/>
        <v>НПИбд</v>
      </c>
      <c r="X116" s="110" t="s">
        <v>3355</v>
      </c>
      <c r="Y116" s="11">
        <v>1</v>
      </c>
      <c r="Z116" s="11">
        <v>1</v>
      </c>
      <c r="AA116" s="83">
        <f t="shared" si="168"/>
        <v>16</v>
      </c>
      <c r="AB116" s="11">
        <v>13</v>
      </c>
      <c r="AC116" s="11">
        <v>3</v>
      </c>
      <c r="AD116" s="81">
        <f t="shared" si="169"/>
        <v>24</v>
      </c>
      <c r="AE116" s="82">
        <f t="shared" si="170"/>
        <v>0.66666666666666663</v>
      </c>
      <c r="AF116" s="82">
        <f t="shared" si="171"/>
        <v>0.66666666666666663</v>
      </c>
      <c r="AG116" s="102" t="s">
        <v>3250</v>
      </c>
      <c r="AH116" s="8" t="s">
        <v>204</v>
      </c>
      <c r="AI116" s="8" t="s">
        <v>213</v>
      </c>
      <c r="AJ116" s="35" t="s">
        <v>3266</v>
      </c>
      <c r="AK116" s="8"/>
      <c r="AL116" s="42">
        <f t="shared" si="172"/>
        <v>0</v>
      </c>
      <c r="AM116" s="42">
        <f t="shared" si="146"/>
        <v>24</v>
      </c>
      <c r="AN116" s="42">
        <f t="shared" si="147"/>
        <v>0</v>
      </c>
      <c r="AO116" s="42">
        <f t="shared" si="233"/>
        <v>5.28</v>
      </c>
      <c r="AP116" s="42">
        <f t="shared" si="148"/>
        <v>8</v>
      </c>
      <c r="AQ116" s="42">
        <f t="shared" si="149"/>
        <v>0.66666666666666663</v>
      </c>
      <c r="AR116" s="42">
        <f t="shared" si="173"/>
        <v>0</v>
      </c>
      <c r="AS116" s="42">
        <f t="shared" si="150"/>
        <v>0</v>
      </c>
      <c r="AT116" s="42">
        <f t="shared" si="151"/>
        <v>0</v>
      </c>
      <c r="AU116" s="42">
        <f t="shared" si="152"/>
        <v>0</v>
      </c>
      <c r="AV116" s="42">
        <f>IF(M116="ПП",РПП*AA116*(U116/1.5),IF(M116="ВП",ВПр*AA116*(U116/1.5),IF(M116="РПА",РПА*AA116*(U116/1.5),IF(M116="КПА",КПА*AA116*(U116/1.5),0))))</f>
        <v>0</v>
      </c>
      <c r="AW116" s="42">
        <f t="shared" si="153"/>
        <v>0</v>
      </c>
      <c r="AX116" s="42">
        <f t="shared" si="174"/>
        <v>0</v>
      </c>
      <c r="AY116" s="42">
        <f t="shared" si="175"/>
        <v>0</v>
      </c>
      <c r="AZ116" s="42">
        <f t="shared" si="154"/>
        <v>0</v>
      </c>
      <c r="BA116" s="42">
        <f t="shared" si="176"/>
        <v>0</v>
      </c>
      <c r="BB116" s="42">
        <f t="shared" si="177"/>
        <v>0</v>
      </c>
      <c r="BC116" s="42">
        <f t="shared" si="178"/>
        <v>0</v>
      </c>
      <c r="BD116" s="42">
        <f t="shared" si="155"/>
        <v>0</v>
      </c>
      <c r="BE116" s="43">
        <f t="shared" si="156"/>
        <v>37.946666666666665</v>
      </c>
      <c r="BF116" s="44"/>
      <c r="BG116" s="45">
        <f t="shared" si="157"/>
        <v>24</v>
      </c>
      <c r="BH116" s="45">
        <f t="shared" si="158"/>
        <v>1</v>
      </c>
      <c r="BI116" s="45">
        <f t="shared" si="159"/>
        <v>13.946666666666667</v>
      </c>
      <c r="BJ116" s="46">
        <f t="shared" si="160"/>
        <v>0</v>
      </c>
      <c r="BK116" s="46">
        <f t="shared" si="161"/>
        <v>0</v>
      </c>
      <c r="BL116" s="46">
        <f t="shared" si="162"/>
        <v>0</v>
      </c>
    </row>
    <row r="117" spans="1:64" ht="30" customHeight="1" x14ac:dyDescent="0.25">
      <c r="A117" s="84" t="str">
        <f t="shared" si="163"/>
        <v>Д</v>
      </c>
      <c r="B117" s="84" t="str">
        <f t="shared" ref="B117:B125" si="306">IF(C117&gt;0, VLOOKUP(C117,Код_ООП,11,FALSE),0)</f>
        <v>Б</v>
      </c>
      <c r="C117" s="101" t="s">
        <v>1471</v>
      </c>
      <c r="D117" s="16" t="str">
        <f t="shared" ref="D117:D125" si="307">IF(C117&gt;0, VLOOKUP(C117,Код_ООП,2,FALSE),0)</f>
        <v>'09.03.03</v>
      </c>
      <c r="E117" s="17" t="str">
        <f t="shared" ref="E117:E125" si="308">IF(C117&gt;0, VLOOKUP(C117,Код_ООП,13,FALSE),0)</f>
        <v>Прикладная информатика</v>
      </c>
      <c r="F117" s="9" t="s">
        <v>413</v>
      </c>
      <c r="G117" s="9" t="s">
        <v>503</v>
      </c>
      <c r="H117" s="10" t="s">
        <v>3277</v>
      </c>
      <c r="I117" s="10" t="s">
        <v>3276</v>
      </c>
      <c r="J117" s="24" t="s">
        <v>3219</v>
      </c>
      <c r="K117" s="11">
        <v>6</v>
      </c>
      <c r="L117" s="11">
        <v>18</v>
      </c>
      <c r="M117" s="8" t="s">
        <v>23</v>
      </c>
      <c r="N117" s="11">
        <v>2</v>
      </c>
      <c r="O117" s="11"/>
      <c r="P117" s="11"/>
      <c r="Q117" s="8"/>
      <c r="R117" s="11"/>
      <c r="S117" s="11"/>
      <c r="T117" s="11"/>
      <c r="U117" s="11"/>
      <c r="V117" s="11"/>
      <c r="W117" s="83" t="str">
        <f t="shared" si="167"/>
        <v>НПИбд</v>
      </c>
      <c r="X117" s="110" t="s">
        <v>3355</v>
      </c>
      <c r="Y117" s="11">
        <v>1</v>
      </c>
      <c r="Z117" s="11">
        <v>1</v>
      </c>
      <c r="AA117" s="83">
        <f t="shared" ref="AA117:AA125" si="309">AB117+AC117</f>
        <v>16</v>
      </c>
      <c r="AB117" s="11">
        <v>13</v>
      </c>
      <c r="AC117" s="11">
        <v>3</v>
      </c>
      <c r="AD117" s="81">
        <f t="shared" si="169"/>
        <v>16</v>
      </c>
      <c r="AE117" s="82">
        <f t="shared" ref="AE117:AE125" si="310">IF(AF117&gt;1,1,AF117)</f>
        <v>1</v>
      </c>
      <c r="AF117" s="82">
        <f t="shared" ref="AF117:AF125" si="311">AA117/AD117</f>
        <v>1</v>
      </c>
      <c r="AG117" s="102" t="s">
        <v>3250</v>
      </c>
      <c r="AH117" s="8" t="s">
        <v>204</v>
      </c>
      <c r="AI117" s="8" t="s">
        <v>212</v>
      </c>
      <c r="AJ117" s="35" t="s">
        <v>3265</v>
      </c>
      <c r="AK117" s="8"/>
      <c r="AL117" s="42">
        <f t="shared" si="172"/>
        <v>36</v>
      </c>
      <c r="AM117" s="42">
        <f t="shared" si="146"/>
        <v>0</v>
      </c>
      <c r="AN117" s="42">
        <f t="shared" si="147"/>
        <v>0</v>
      </c>
      <c r="AO117" s="42">
        <f t="shared" si="233"/>
        <v>0</v>
      </c>
      <c r="AP117" s="42">
        <f t="shared" si="148"/>
        <v>0</v>
      </c>
      <c r="AQ117" s="42">
        <f t="shared" si="149"/>
        <v>0</v>
      </c>
      <c r="AR117" s="42">
        <f t="shared" si="173"/>
        <v>1.8</v>
      </c>
      <c r="AS117" s="42">
        <f t="shared" si="150"/>
        <v>0</v>
      </c>
      <c r="AT117" s="42">
        <f t="shared" si="151"/>
        <v>0</v>
      </c>
      <c r="AU117" s="42">
        <f t="shared" si="152"/>
        <v>0</v>
      </c>
      <c r="AV117" s="42">
        <f>IF(M117="ПП",РПП*AA117*(U117/1.5),IF(M117="ВП",ВПр*AA117*(U117/1.5),IF(M117="РПА",РПА*AA117*(U117/1.5),IF(M117="КПА",КПА*AA117*(U117/1.5),0))))</f>
        <v>0</v>
      </c>
      <c r="AW117" s="42">
        <f t="shared" si="153"/>
        <v>0</v>
      </c>
      <c r="AX117" s="42">
        <f t="shared" si="174"/>
        <v>0</v>
      </c>
      <c r="AY117" s="42">
        <f t="shared" si="175"/>
        <v>0</v>
      </c>
      <c r="AZ117" s="42">
        <f t="shared" si="154"/>
        <v>0</v>
      </c>
      <c r="BA117" s="42">
        <f t="shared" si="176"/>
        <v>0</v>
      </c>
      <c r="BB117" s="42">
        <f t="shared" si="177"/>
        <v>0</v>
      </c>
      <c r="BC117" s="42">
        <f t="shared" si="178"/>
        <v>0</v>
      </c>
      <c r="BD117" s="42">
        <f t="shared" si="155"/>
        <v>0</v>
      </c>
      <c r="BE117" s="43">
        <f t="shared" si="156"/>
        <v>37.799999999999997</v>
      </c>
      <c r="BF117" s="44"/>
      <c r="BG117" s="45">
        <f t="shared" si="157"/>
        <v>0</v>
      </c>
      <c r="BH117" s="45">
        <f t="shared" si="158"/>
        <v>0</v>
      </c>
      <c r="BI117" s="45">
        <f t="shared" si="159"/>
        <v>0</v>
      </c>
      <c r="BJ117" s="46">
        <f t="shared" si="160"/>
        <v>36</v>
      </c>
      <c r="BK117" s="46">
        <f t="shared" si="161"/>
        <v>1</v>
      </c>
      <c r="BL117" s="46">
        <f t="shared" si="162"/>
        <v>1.8</v>
      </c>
    </row>
    <row r="118" spans="1:64" ht="30" customHeight="1" x14ac:dyDescent="0.25">
      <c r="A118" s="84" t="str">
        <f t="shared" si="163"/>
        <v>Д</v>
      </c>
      <c r="B118" s="84" t="str">
        <f t="shared" ref="B118" si="312">IF(C118&gt;0, VLOOKUP(C118,Код_ООП,11,FALSE),0)</f>
        <v>Б</v>
      </c>
      <c r="C118" s="101" t="s">
        <v>1471</v>
      </c>
      <c r="D118" s="16" t="str">
        <f t="shared" ref="D118" si="313">IF(C118&gt;0, VLOOKUP(C118,Код_ООП,2,FALSE),0)</f>
        <v>'09.03.03</v>
      </c>
      <c r="E118" s="17" t="str">
        <f t="shared" ref="E118" si="314">IF(C118&gt;0, VLOOKUP(C118,Код_ООП,13,FALSE),0)</f>
        <v>Прикладная информатика</v>
      </c>
      <c r="F118" s="9" t="s">
        <v>413</v>
      </c>
      <c r="G118" s="9" t="s">
        <v>503</v>
      </c>
      <c r="H118" s="10" t="s">
        <v>3277</v>
      </c>
      <c r="I118" s="10" t="s">
        <v>3276</v>
      </c>
      <c r="J118" s="24" t="s">
        <v>3219</v>
      </c>
      <c r="K118" s="11">
        <v>6</v>
      </c>
      <c r="L118" s="11">
        <v>18</v>
      </c>
      <c r="M118" s="8" t="s">
        <v>94</v>
      </c>
      <c r="N118" s="11"/>
      <c r="O118" s="11">
        <v>4</v>
      </c>
      <c r="P118" s="11"/>
      <c r="Q118" s="8" t="s">
        <v>102</v>
      </c>
      <c r="R118" s="11"/>
      <c r="S118" s="11"/>
      <c r="T118" s="11"/>
      <c r="U118" s="11"/>
      <c r="V118" s="11"/>
      <c r="W118" s="83" t="str">
        <f t="shared" si="167"/>
        <v>НПИбд</v>
      </c>
      <c r="X118" s="110" t="s">
        <v>3355</v>
      </c>
      <c r="Y118" s="11">
        <v>1</v>
      </c>
      <c r="Z118" s="11">
        <v>1</v>
      </c>
      <c r="AA118" s="83">
        <f t="shared" ref="AA118" si="315">AB118+AC118</f>
        <v>16</v>
      </c>
      <c r="AB118" s="11">
        <v>13</v>
      </c>
      <c r="AC118" s="11">
        <v>3</v>
      </c>
      <c r="AD118" s="81">
        <f t="shared" si="169"/>
        <v>12</v>
      </c>
      <c r="AE118" s="82">
        <f t="shared" ref="AE118" si="316">IF(AF118&gt;1,1,AF118)</f>
        <v>1</v>
      </c>
      <c r="AF118" s="82">
        <f t="shared" ref="AF118" si="317">AA118/AD118</f>
        <v>1.3333333333333333</v>
      </c>
      <c r="AG118" s="102" t="s">
        <v>3250</v>
      </c>
      <c r="AH118" s="8" t="s">
        <v>204</v>
      </c>
      <c r="AI118" s="8" t="s">
        <v>212</v>
      </c>
      <c r="AJ118" s="35" t="s">
        <v>3265</v>
      </c>
      <c r="AK118" s="8"/>
      <c r="AL118" s="42">
        <f t="shared" si="172"/>
        <v>0</v>
      </c>
      <c r="AM118" s="42">
        <f t="shared" si="146"/>
        <v>0</v>
      </c>
      <c r="AN118" s="42">
        <f t="shared" si="147"/>
        <v>72</v>
      </c>
      <c r="AO118" s="42">
        <f t="shared" si="233"/>
        <v>5.28</v>
      </c>
      <c r="AP118" s="42">
        <f t="shared" si="148"/>
        <v>8</v>
      </c>
      <c r="AQ118" s="42">
        <f t="shared" si="149"/>
        <v>1</v>
      </c>
      <c r="AR118" s="42">
        <f t="shared" si="173"/>
        <v>0</v>
      </c>
      <c r="AS118" s="42">
        <f t="shared" si="150"/>
        <v>0</v>
      </c>
      <c r="AT118" s="42">
        <f t="shared" si="151"/>
        <v>0</v>
      </c>
      <c r="AU118" s="42">
        <f t="shared" si="152"/>
        <v>0</v>
      </c>
      <c r="AV118" s="42">
        <f>IF(M118="ПП",РПП*AA118*(U118/1.5),IF(M118="ВП",ВПр*AA118*(U118/1.5),IF(M118="РПА",РПА*AA118*(U118/1.5),IF(M118="КПА",КПА*AA118*(U118/1.5),0))))</f>
        <v>0</v>
      </c>
      <c r="AW118" s="42">
        <f t="shared" si="153"/>
        <v>0</v>
      </c>
      <c r="AX118" s="42">
        <f t="shared" si="174"/>
        <v>0</v>
      </c>
      <c r="AY118" s="42">
        <f t="shared" si="175"/>
        <v>0</v>
      </c>
      <c r="AZ118" s="42">
        <f t="shared" si="154"/>
        <v>0</v>
      </c>
      <c r="BA118" s="42">
        <f t="shared" si="176"/>
        <v>0</v>
      </c>
      <c r="BB118" s="42">
        <f t="shared" si="177"/>
        <v>0</v>
      </c>
      <c r="BC118" s="42">
        <f t="shared" si="178"/>
        <v>0</v>
      </c>
      <c r="BD118" s="42">
        <f t="shared" si="155"/>
        <v>0</v>
      </c>
      <c r="BE118" s="43">
        <f t="shared" si="156"/>
        <v>86.28</v>
      </c>
      <c r="BF118" s="44"/>
      <c r="BG118" s="45">
        <f t="shared" si="157"/>
        <v>0</v>
      </c>
      <c r="BH118" s="45">
        <f t="shared" si="158"/>
        <v>0</v>
      </c>
      <c r="BI118" s="45">
        <f t="shared" si="159"/>
        <v>0</v>
      </c>
      <c r="BJ118" s="46">
        <f t="shared" si="160"/>
        <v>72</v>
      </c>
      <c r="BK118" s="46">
        <f t="shared" si="161"/>
        <v>2</v>
      </c>
      <c r="BL118" s="46">
        <f t="shared" si="162"/>
        <v>14.280000000000001</v>
      </c>
    </row>
    <row r="119" spans="1:64" ht="30" customHeight="1" x14ac:dyDescent="0.25">
      <c r="A119" s="84" t="str">
        <f t="shared" si="163"/>
        <v>Д</v>
      </c>
      <c r="B119" s="84" t="str">
        <f t="shared" si="306"/>
        <v>Б</v>
      </c>
      <c r="C119" s="101" t="s">
        <v>1471</v>
      </c>
      <c r="D119" s="16" t="str">
        <f t="shared" si="307"/>
        <v>'09.03.03</v>
      </c>
      <c r="E119" s="17" t="str">
        <f t="shared" si="308"/>
        <v>Прикладная информатика</v>
      </c>
      <c r="F119" s="9" t="s">
        <v>413</v>
      </c>
      <c r="G119" s="9" t="s">
        <v>503</v>
      </c>
      <c r="H119" s="112" t="s">
        <v>3233</v>
      </c>
      <c r="I119" s="112" t="s">
        <v>3231</v>
      </c>
      <c r="J119" s="24" t="s">
        <v>3220</v>
      </c>
      <c r="K119" s="109" t="s">
        <v>3230</v>
      </c>
      <c r="L119" s="109">
        <v>9</v>
      </c>
      <c r="M119" s="113" t="s">
        <v>23</v>
      </c>
      <c r="N119" s="109">
        <v>2</v>
      </c>
      <c r="O119" s="109"/>
      <c r="P119" s="109"/>
      <c r="Q119" s="113" t="s">
        <v>103</v>
      </c>
      <c r="R119" s="11"/>
      <c r="S119" s="11"/>
      <c r="T119" s="11"/>
      <c r="U119" s="11"/>
      <c r="V119" s="11"/>
      <c r="W119" s="83" t="str">
        <f t="shared" si="167"/>
        <v>НПИбд</v>
      </c>
      <c r="X119" s="114" t="s">
        <v>3243</v>
      </c>
      <c r="Y119" s="109">
        <v>3</v>
      </c>
      <c r="Z119" s="109">
        <v>2</v>
      </c>
      <c r="AA119" s="83">
        <f t="shared" si="309"/>
        <v>30</v>
      </c>
      <c r="AB119" s="11">
        <v>25</v>
      </c>
      <c r="AC119" s="11">
        <v>5</v>
      </c>
      <c r="AD119" s="81">
        <f t="shared" si="169"/>
        <v>30</v>
      </c>
      <c r="AE119" s="82">
        <f t="shared" si="310"/>
        <v>1</v>
      </c>
      <c r="AF119" s="82">
        <f t="shared" si="311"/>
        <v>1</v>
      </c>
      <c r="AG119" s="102" t="s">
        <v>3250</v>
      </c>
      <c r="AH119" s="8" t="s">
        <v>204</v>
      </c>
      <c r="AI119" s="8" t="s">
        <v>212</v>
      </c>
      <c r="AJ119" s="35" t="s">
        <v>3255</v>
      </c>
      <c r="AK119" s="8"/>
      <c r="AL119" s="42">
        <f t="shared" si="172"/>
        <v>18</v>
      </c>
      <c r="AM119" s="42">
        <f t="shared" si="146"/>
        <v>0</v>
      </c>
      <c r="AN119" s="42">
        <f t="shared" si="147"/>
        <v>0</v>
      </c>
      <c r="AO119" s="42">
        <f t="shared" si="233"/>
        <v>0</v>
      </c>
      <c r="AP119" s="42">
        <f t="shared" si="148"/>
        <v>15</v>
      </c>
      <c r="AQ119" s="42">
        <f t="shared" si="149"/>
        <v>2</v>
      </c>
      <c r="AR119" s="42">
        <f t="shared" si="173"/>
        <v>1.8</v>
      </c>
      <c r="AS119" s="42">
        <f t="shared" si="150"/>
        <v>0</v>
      </c>
      <c r="AT119" s="42">
        <f t="shared" si="151"/>
        <v>0</v>
      </c>
      <c r="AU119" s="42">
        <f t="shared" si="152"/>
        <v>0</v>
      </c>
      <c r="AV119" s="42">
        <f>IF(M119="ПП",РПП*AA119*(U119/1.5),IF(M119="ВП",ВПр*AA119*(U119/1.5),IF(M119="РПА",РПА*AA119*(U119/1.5),IF(M119="КПА",КПА*AA119*(U119/1.5),0))))</f>
        <v>0</v>
      </c>
      <c r="AW119" s="42">
        <f t="shared" si="153"/>
        <v>0</v>
      </c>
      <c r="AX119" s="42">
        <f t="shared" si="174"/>
        <v>0</v>
      </c>
      <c r="AY119" s="42">
        <f t="shared" si="175"/>
        <v>0</v>
      </c>
      <c r="AZ119" s="42">
        <f t="shared" si="154"/>
        <v>0</v>
      </c>
      <c r="BA119" s="42">
        <f t="shared" si="176"/>
        <v>0</v>
      </c>
      <c r="BB119" s="42">
        <f t="shared" si="177"/>
        <v>0</v>
      </c>
      <c r="BC119" s="42">
        <f t="shared" si="178"/>
        <v>0</v>
      </c>
      <c r="BD119" s="42">
        <f t="shared" si="155"/>
        <v>0</v>
      </c>
      <c r="BE119" s="43">
        <f t="shared" si="156"/>
        <v>36.799999999999997</v>
      </c>
      <c r="BF119" s="44"/>
      <c r="BG119" s="45">
        <f t="shared" si="157"/>
        <v>18</v>
      </c>
      <c r="BH119" s="45">
        <f t="shared" si="158"/>
        <v>1</v>
      </c>
      <c r="BI119" s="45">
        <f t="shared" si="159"/>
        <v>18.8</v>
      </c>
      <c r="BJ119" s="46">
        <f t="shared" si="160"/>
        <v>0</v>
      </c>
      <c r="BK119" s="46">
        <f t="shared" si="161"/>
        <v>0</v>
      </c>
      <c r="BL119" s="46">
        <f t="shared" si="162"/>
        <v>0</v>
      </c>
    </row>
    <row r="120" spans="1:64" ht="30" customHeight="1" x14ac:dyDescent="0.25">
      <c r="A120" s="84" t="str">
        <f t="shared" si="163"/>
        <v>Д</v>
      </c>
      <c r="B120" s="84" t="str">
        <f t="shared" si="306"/>
        <v>Б</v>
      </c>
      <c r="C120" s="101" t="s">
        <v>1471</v>
      </c>
      <c r="D120" s="16" t="str">
        <f t="shared" si="307"/>
        <v>'09.03.03</v>
      </c>
      <c r="E120" s="17" t="str">
        <f t="shared" si="308"/>
        <v>Прикладная информатика</v>
      </c>
      <c r="F120" s="9" t="s">
        <v>413</v>
      </c>
      <c r="G120" s="9" t="s">
        <v>503</v>
      </c>
      <c r="H120" s="112" t="s">
        <v>3233</v>
      </c>
      <c r="I120" s="112" t="s">
        <v>3231</v>
      </c>
      <c r="J120" s="24" t="s">
        <v>3220</v>
      </c>
      <c r="K120" s="109" t="s">
        <v>3230</v>
      </c>
      <c r="L120" s="109">
        <v>9</v>
      </c>
      <c r="M120" s="113" t="s">
        <v>94</v>
      </c>
      <c r="N120" s="109"/>
      <c r="O120" s="109">
        <v>4</v>
      </c>
      <c r="P120" s="109"/>
      <c r="Q120" s="113"/>
      <c r="R120" s="11"/>
      <c r="S120" s="11"/>
      <c r="T120" s="11"/>
      <c r="U120" s="11"/>
      <c r="V120" s="11"/>
      <c r="W120" s="83" t="str">
        <f t="shared" si="167"/>
        <v>НПИбд</v>
      </c>
      <c r="X120" s="114" t="s">
        <v>3244</v>
      </c>
      <c r="Y120" s="109">
        <v>1</v>
      </c>
      <c r="Z120" s="109">
        <v>1</v>
      </c>
      <c r="AA120" s="83">
        <f t="shared" si="309"/>
        <v>15</v>
      </c>
      <c r="AB120" s="11">
        <v>12</v>
      </c>
      <c r="AC120" s="11">
        <v>3</v>
      </c>
      <c r="AD120" s="81">
        <f t="shared" si="169"/>
        <v>12</v>
      </c>
      <c r="AE120" s="82">
        <f t="shared" si="310"/>
        <v>1</v>
      </c>
      <c r="AF120" s="82">
        <f t="shared" si="311"/>
        <v>1.25</v>
      </c>
      <c r="AG120" s="102" t="s">
        <v>3250</v>
      </c>
      <c r="AH120" s="8" t="s">
        <v>204</v>
      </c>
      <c r="AI120" s="8" t="s">
        <v>212</v>
      </c>
      <c r="AJ120" s="35" t="s">
        <v>3255</v>
      </c>
      <c r="AK120" s="8"/>
      <c r="AL120" s="42">
        <f t="shared" si="172"/>
        <v>0</v>
      </c>
      <c r="AM120" s="42">
        <f t="shared" ref="AM120" si="318">IF(OR(M120="пр",M120="ия",M120="сп"),P120*AE120*L120,0)</f>
        <v>0</v>
      </c>
      <c r="AN120" s="42">
        <f t="shared" ref="AN120" si="319">IF(OR(M120="лаб",M120="клн"),O120*AE120*L120,0)</f>
        <v>36</v>
      </c>
      <c r="AO120" s="42">
        <f t="shared" ref="AO120" si="320">(IF((AND(OR(K120=1,K120=2,K120=3,K120=4,K120=5,K120=6,K120=7,K120=8,K120=9,K120=10,K120=11,K120=12),OR(Q120="Зач",Q120="Экз"))),ТКиРА*AA120,0)+IF(SUM(N120:P120)&lt;&gt;0,IF(Q120="ТК",ТКиРА*AA120,0),0))*(IF(F120="ФТД",0,1))</f>
        <v>0</v>
      </c>
      <c r="AP120" s="42">
        <f t="shared" ref="AP120" si="321">IF(SUM(O120:P120)&lt;&gt;0,IF(Q120="Зач",ПАБРС*AA120,0),0)+IF(N120&lt;&gt;0,IF(Q120="Экз",ПАБРС*AA120,0),0)</f>
        <v>0</v>
      </c>
      <c r="AQ120" s="42">
        <f t="shared" ref="AQ120" si="322">(IF(AP120&lt;&gt;0,ОфВед*(IF(OR(M120="лек",M120="лаб"),Z120,AE120)),0))*(IF(F120="ФТД",0,1))</f>
        <v>0</v>
      </c>
      <c r="AR120" s="42">
        <f t="shared" si="173"/>
        <v>0</v>
      </c>
      <c r="AS120" s="42">
        <f t="shared" ref="AS120" si="323">IF(OR(M120="лаб",M120="пр"),IF(R120="К",AA120*ВПКР,IF(R120="М",AA120*ВПИБ,0)),0)</f>
        <v>0</v>
      </c>
      <c r="AT120" s="42">
        <f t="shared" ref="AT120" si="324">IF(OR(M120="лаб",M120="пр"),IF(S120="К",AA120*ВПКП,0),0)</f>
        <v>0</v>
      </c>
      <c r="AU120" s="42">
        <f t="shared" ref="AU120" si="325">IF(M120="УП",T120/1.5*AA120*РУП,IF(M120="УПМ",T120/1.5*AA120*РУПЛеч,0))</f>
        <v>0</v>
      </c>
      <c r="AV120" s="42">
        <f>IF(M120="ПП",РПП*AA120*(U120/1.5),IF(M120="ВП",ВПр*AA120*(U120/1.5),IF(M120="РПА",РПА*AA120*(U120/1.5),IF(M120="КПА",КПА*AA120*(U120/1.5),0))))</f>
        <v>0</v>
      </c>
      <c r="AW120" s="42">
        <f t="shared" ref="AW120" si="326">IF(M120="НР",(AB120*НИРМ+AC120*НИРМИн)*(V120/1.5),IF(M120="НИ",(AB120*НИРА+AC120*НИРАИ)*(V120/1.5),0))</f>
        <v>0</v>
      </c>
      <c r="AX120" s="42">
        <f t="shared" si="174"/>
        <v>0</v>
      </c>
      <c r="AY120" s="42">
        <f t="shared" si="175"/>
        <v>0</v>
      </c>
      <c r="AZ120" s="42">
        <f t="shared" ref="AZ120" si="327">IF(AND(Q120="КЭ",M120="ЧК"),AA120*КдЭк,0)</f>
        <v>0</v>
      </c>
      <c r="BA120" s="42">
        <f t="shared" si="176"/>
        <v>0</v>
      </c>
      <c r="BB120" s="42">
        <f t="shared" si="177"/>
        <v>0</v>
      </c>
      <c r="BC120" s="42">
        <f t="shared" si="178"/>
        <v>0</v>
      </c>
      <c r="BD120" s="42">
        <f t="shared" ref="BD120" si="328">IF(M120="ЧГ",AA120*ЧГ,IF(M120="ПГ",AA120*ПГ,IF(M120="ТЕСТ",ТГИЭ*AE120,IF(M120="СГ",AA120*СГ,0))))</f>
        <v>0</v>
      </c>
      <c r="BE120" s="43">
        <f t="shared" ref="BE120" si="329">SUM(AL120:BD120)</f>
        <v>36</v>
      </c>
      <c r="BF120" s="44"/>
      <c r="BG120" s="45">
        <f t="shared" ref="BG120" si="330">IF(OR(K120="1;1",K120="1;2",K120=1,K120="3;1",K120="3;2",K120=3,K120="5;1",K120="5;2",K120=5,K120="7;1",K120="7;2",K120=7,K120="9;1",K120="9;2",K120=9,K120=11),SUM(AL120:AN120),0)</f>
        <v>36</v>
      </c>
      <c r="BH120" s="45">
        <f t="shared" ref="BH120" si="331">IF(BG120&lt;&gt;0,SUM(N120:P120)/2,0)</f>
        <v>2</v>
      </c>
      <c r="BI120" s="45">
        <f t="shared" ref="BI120" si="332">IF(OR(K120="1;1",K120="1;2",K120=1,K120="3;1",K120="3;2",K120=3,K120="5;1",K120="5;2",K120=5,K120="7;1",K120="7;2",K120=7,K120="9;1",K120="9;2",K120=9,K120=11),SUM(AO120:BD120),0)</f>
        <v>0</v>
      </c>
      <c r="BJ120" s="46">
        <f t="shared" ref="BJ120" si="333">IF(OR(K120="2;3",K120="2;4",K120=2,K120="4;3",K120="4;4",K120=4,K120="6;3",K120="6;4",K120=6,K120="8;3",K120="8;4",K120=8,K120="10;3",K120="10;4",K120=10,K120=12),SUM(AL120:AN120),0)</f>
        <v>0</v>
      </c>
      <c r="BK120" s="46">
        <f t="shared" ref="BK120" si="334">IF(BJ120&lt;&gt;0,SUM(N120:P120)/2,0)</f>
        <v>0</v>
      </c>
      <c r="BL120" s="46">
        <f t="shared" ref="BL120" si="335">IF(OR(K120="2;3",K120="2;4",K120=2,K120="4;3",K120="4;4",K120=4,K120="6;3",K120="6;4",K120=6,K120="8;3",K120="8;4",K120=8,K120="10;3",K120="10;4",K120=10,K120=12),SUM(AO120:BD120),0)</f>
        <v>0</v>
      </c>
    </row>
    <row r="121" spans="1:64" ht="30" customHeight="1" x14ac:dyDescent="0.25">
      <c r="A121" s="84" t="str">
        <f t="shared" si="163"/>
        <v>Д</v>
      </c>
      <c r="B121" s="84" t="str">
        <f t="shared" ref="B121:B122" si="336">IF(C121&gt;0, VLOOKUP(C121,Код_ООП,11,FALSE),0)</f>
        <v>Б</v>
      </c>
      <c r="C121" s="101" t="s">
        <v>1471</v>
      </c>
      <c r="D121" s="16" t="str">
        <f t="shared" ref="D121:D122" si="337">IF(C121&gt;0, VLOOKUP(C121,Код_ООП,2,FALSE),0)</f>
        <v>'09.03.03</v>
      </c>
      <c r="E121" s="17" t="str">
        <f t="shared" ref="E121:E122" si="338">IF(C121&gt;0, VLOOKUP(C121,Код_ООП,13,FALSE),0)</f>
        <v>Прикладная информатика</v>
      </c>
      <c r="F121" s="9" t="s">
        <v>413</v>
      </c>
      <c r="G121" s="9" t="s">
        <v>503</v>
      </c>
      <c r="H121" s="112" t="s">
        <v>3233</v>
      </c>
      <c r="I121" s="112" t="s">
        <v>3231</v>
      </c>
      <c r="J121" s="24" t="s">
        <v>3220</v>
      </c>
      <c r="K121" s="109" t="s">
        <v>3230</v>
      </c>
      <c r="L121" s="109">
        <v>9</v>
      </c>
      <c r="M121" s="113" t="s">
        <v>94</v>
      </c>
      <c r="N121" s="109"/>
      <c r="O121" s="109">
        <v>4</v>
      </c>
      <c r="P121" s="109"/>
      <c r="Q121" s="113"/>
      <c r="R121" s="11"/>
      <c r="S121" s="11"/>
      <c r="T121" s="11"/>
      <c r="U121" s="11"/>
      <c r="V121" s="11"/>
      <c r="W121" s="83" t="str">
        <f t="shared" si="167"/>
        <v>НПИбд</v>
      </c>
      <c r="X121" s="114" t="s">
        <v>3244</v>
      </c>
      <c r="Y121" s="109">
        <v>1</v>
      </c>
      <c r="Z121" s="109">
        <v>1</v>
      </c>
      <c r="AA121" s="83">
        <f t="shared" ref="AA121:AA122" si="339">AB121+AC121</f>
        <v>15</v>
      </c>
      <c r="AB121" s="11">
        <v>13</v>
      </c>
      <c r="AC121" s="11">
        <v>2</v>
      </c>
      <c r="AD121" s="81">
        <f t="shared" si="169"/>
        <v>12</v>
      </c>
      <c r="AE121" s="82">
        <f t="shared" ref="AE121:AE122" si="340">IF(AF121&gt;1,1,AF121)</f>
        <v>1</v>
      </c>
      <c r="AF121" s="82">
        <f t="shared" ref="AF121:AF122" si="341">AA121/AD121</f>
        <v>1.25</v>
      </c>
      <c r="AG121" s="102" t="s">
        <v>3250</v>
      </c>
      <c r="AH121" s="8" t="s">
        <v>204</v>
      </c>
      <c r="AI121" s="8" t="s">
        <v>212</v>
      </c>
      <c r="AJ121" s="35" t="s">
        <v>3255</v>
      </c>
      <c r="AK121" s="8"/>
      <c r="AL121" s="42">
        <f t="shared" si="172"/>
        <v>0</v>
      </c>
      <c r="AM121" s="42">
        <f t="shared" si="146"/>
        <v>0</v>
      </c>
      <c r="AN121" s="42">
        <f t="shared" si="147"/>
        <v>36</v>
      </c>
      <c r="AO121" s="42">
        <f t="shared" si="233"/>
        <v>0</v>
      </c>
      <c r="AP121" s="42">
        <f t="shared" si="148"/>
        <v>0</v>
      </c>
      <c r="AQ121" s="42">
        <f t="shared" si="149"/>
        <v>0</v>
      </c>
      <c r="AR121" s="42">
        <f t="shared" si="173"/>
        <v>0</v>
      </c>
      <c r="AS121" s="42">
        <f t="shared" si="150"/>
        <v>0</v>
      </c>
      <c r="AT121" s="42">
        <f t="shared" si="151"/>
        <v>0</v>
      </c>
      <c r="AU121" s="42">
        <f t="shared" si="152"/>
        <v>0</v>
      </c>
      <c r="AV121" s="42">
        <f>IF(M121="ПП",РПП*AA121*(U121/1.5),IF(M121="ВП",ВПр*AA121*(U121/1.5),IF(M121="РПА",РПА*AA121*(U121/1.5),IF(M121="КПА",КПА*AA121*(U121/1.5),0))))</f>
        <v>0</v>
      </c>
      <c r="AW121" s="42">
        <f t="shared" si="153"/>
        <v>0</v>
      </c>
      <c r="AX121" s="42">
        <f t="shared" si="174"/>
        <v>0</v>
      </c>
      <c r="AY121" s="42">
        <f t="shared" si="175"/>
        <v>0</v>
      </c>
      <c r="AZ121" s="42">
        <f t="shared" si="154"/>
        <v>0</v>
      </c>
      <c r="BA121" s="42">
        <f t="shared" si="176"/>
        <v>0</v>
      </c>
      <c r="BB121" s="42">
        <f t="shared" si="177"/>
        <v>0</v>
      </c>
      <c r="BC121" s="42">
        <f t="shared" si="178"/>
        <v>0</v>
      </c>
      <c r="BD121" s="42">
        <f t="shared" si="155"/>
        <v>0</v>
      </c>
      <c r="BE121" s="43">
        <f t="shared" si="156"/>
        <v>36</v>
      </c>
      <c r="BF121" s="44"/>
      <c r="BG121" s="45">
        <f t="shared" si="157"/>
        <v>36</v>
      </c>
      <c r="BH121" s="45">
        <f t="shared" si="158"/>
        <v>2</v>
      </c>
      <c r="BI121" s="45">
        <f t="shared" si="159"/>
        <v>0</v>
      </c>
      <c r="BJ121" s="46">
        <f t="shared" si="160"/>
        <v>0</v>
      </c>
      <c r="BK121" s="46">
        <f t="shared" si="161"/>
        <v>0</v>
      </c>
      <c r="BL121" s="46">
        <f t="shared" si="162"/>
        <v>0</v>
      </c>
    </row>
    <row r="122" spans="1:64" ht="30" customHeight="1" x14ac:dyDescent="0.25">
      <c r="A122" s="84" t="str">
        <f t="shared" si="163"/>
        <v>Д</v>
      </c>
      <c r="B122" s="84" t="str">
        <f t="shared" si="336"/>
        <v>Б</v>
      </c>
      <c r="C122" s="101" t="s">
        <v>1471</v>
      </c>
      <c r="D122" s="16" t="str">
        <f t="shared" si="337"/>
        <v>'09.03.03</v>
      </c>
      <c r="E122" s="17" t="str">
        <f t="shared" si="338"/>
        <v>Прикладная информатика</v>
      </c>
      <c r="F122" s="9" t="s">
        <v>413</v>
      </c>
      <c r="G122" s="9" t="s">
        <v>503</v>
      </c>
      <c r="H122" s="112" t="s">
        <v>3233</v>
      </c>
      <c r="I122" s="112" t="s">
        <v>3231</v>
      </c>
      <c r="J122" s="24" t="s">
        <v>3221</v>
      </c>
      <c r="K122" s="109" t="s">
        <v>3227</v>
      </c>
      <c r="L122" s="109">
        <v>9</v>
      </c>
      <c r="M122" s="113" t="s">
        <v>94</v>
      </c>
      <c r="N122" s="109"/>
      <c r="O122" s="109">
        <v>4</v>
      </c>
      <c r="P122" s="109"/>
      <c r="Q122" s="113" t="s">
        <v>102</v>
      </c>
      <c r="R122" s="11"/>
      <c r="S122" s="11"/>
      <c r="T122" s="11"/>
      <c r="U122" s="11"/>
      <c r="V122" s="11"/>
      <c r="W122" s="83" t="str">
        <f t="shared" si="167"/>
        <v>НПИбд</v>
      </c>
      <c r="X122" s="114" t="s">
        <v>3244</v>
      </c>
      <c r="Y122" s="109">
        <v>1</v>
      </c>
      <c r="Z122" s="109">
        <v>1</v>
      </c>
      <c r="AA122" s="83">
        <f t="shared" si="339"/>
        <v>15</v>
      </c>
      <c r="AB122" s="11">
        <v>12</v>
      </c>
      <c r="AC122" s="11">
        <v>3</v>
      </c>
      <c r="AD122" s="81">
        <f t="shared" si="169"/>
        <v>12</v>
      </c>
      <c r="AE122" s="82">
        <f t="shared" si="340"/>
        <v>1</v>
      </c>
      <c r="AF122" s="82">
        <f t="shared" si="341"/>
        <v>1.25</v>
      </c>
      <c r="AG122" s="102" t="s">
        <v>3250</v>
      </c>
      <c r="AH122" s="8" t="s">
        <v>204</v>
      </c>
      <c r="AI122" s="8" t="s">
        <v>213</v>
      </c>
      <c r="AJ122" s="35" t="s">
        <v>3266</v>
      </c>
      <c r="AK122" s="8"/>
      <c r="AL122" s="42">
        <f t="shared" si="172"/>
        <v>0</v>
      </c>
      <c r="AM122" s="42">
        <f t="shared" ref="AM122" si="342">IF(OR(M122="пр",M122="ия",M122="сп"),P122*AE122*L122,0)</f>
        <v>0</v>
      </c>
      <c r="AN122" s="42">
        <f t="shared" ref="AN122" si="343">IF(OR(M122="лаб",M122="клн"),O122*AE122*L122,0)</f>
        <v>36</v>
      </c>
      <c r="AO122" s="42">
        <f t="shared" ref="AO122" si="344">(IF((AND(OR(K122=1,K122=2,K122=3,K122=4,K122=5,K122=6,K122=7,K122=8,K122=9,K122=10,K122=11,K122=12),OR(Q122="Зач",Q122="Экз"))),ТКиРА*AA122,0)+IF(SUM(N122:P122)&lt;&gt;0,IF(Q122="ТК",ТКиРА*AA122,0),0))*(IF(F122="ФТД",0,1))</f>
        <v>0</v>
      </c>
      <c r="AP122" s="42">
        <f t="shared" ref="AP122" si="345">IF(SUM(O122:P122)&lt;&gt;0,IF(Q122="Зач",ПАБРС*AA122,0),0)+IF(N122&lt;&gt;0,IF(Q122="Экз",ПАБРС*AA122,0),0)</f>
        <v>7.5</v>
      </c>
      <c r="AQ122" s="42">
        <f t="shared" ref="AQ122" si="346">(IF(AP122&lt;&gt;0,ОфВед*(IF(OR(M122="лек",M122="лаб"),Z122,AE122)),0))*(IF(F122="ФТД",0,1))</f>
        <v>1</v>
      </c>
      <c r="AR122" s="42">
        <f t="shared" si="173"/>
        <v>0</v>
      </c>
      <c r="AS122" s="42">
        <f t="shared" ref="AS122" si="347">IF(OR(M122="лаб",M122="пр"),IF(R122="К",AA122*ВПКР,IF(R122="М",AA122*ВПИБ,0)),0)</f>
        <v>0</v>
      </c>
      <c r="AT122" s="42">
        <f t="shared" ref="AT122" si="348">IF(OR(M122="лаб",M122="пр"),IF(S122="К",AA122*ВПКП,0),0)</f>
        <v>0</v>
      </c>
      <c r="AU122" s="42">
        <f t="shared" ref="AU122" si="349">IF(M122="УП",T122/1.5*AA122*РУП,IF(M122="УПМ",T122/1.5*AA122*РУПЛеч,0))</f>
        <v>0</v>
      </c>
      <c r="AV122" s="42">
        <f>IF(M122="ПП",РПП*AA122*(U122/1.5),IF(M122="ВП",ВПр*AA122*(U122/1.5),IF(M122="РПА",РПА*AA122*(U122/1.5),IF(M122="КПА",КПА*AA122*(U122/1.5),0))))</f>
        <v>0</v>
      </c>
      <c r="AW122" s="42">
        <f t="shared" ref="AW122" si="350">IF(M122="НР",(AB122*НИРМ+AC122*НИРМИн)*(V122/1.5),IF(M122="НИ",(AB122*НИРА+AC122*НИРАИ)*(V122/1.5),0))</f>
        <v>0</v>
      </c>
      <c r="AX122" s="42">
        <f t="shared" si="174"/>
        <v>0</v>
      </c>
      <c r="AY122" s="42">
        <f t="shared" si="175"/>
        <v>0</v>
      </c>
      <c r="AZ122" s="42">
        <f t="shared" ref="AZ122" si="351">IF(AND(Q122="КЭ",M122="ЧК"),AA122*КдЭк,0)</f>
        <v>0</v>
      </c>
      <c r="BA122" s="42">
        <f t="shared" si="176"/>
        <v>0</v>
      </c>
      <c r="BB122" s="42">
        <f t="shared" si="177"/>
        <v>0</v>
      </c>
      <c r="BC122" s="42">
        <f t="shared" si="178"/>
        <v>0</v>
      </c>
      <c r="BD122" s="42">
        <f t="shared" ref="BD122" si="352">IF(M122="ЧГ",AA122*ЧГ,IF(M122="ПГ",AA122*ПГ,IF(M122="ТЕСТ",ТГИЭ*AE122,IF(M122="СГ",AA122*СГ,0))))</f>
        <v>0</v>
      </c>
      <c r="BE122" s="43">
        <f t="shared" ref="BE122" si="353">SUM(AL122:BD122)</f>
        <v>44.5</v>
      </c>
      <c r="BF122" s="44"/>
      <c r="BG122" s="45">
        <f t="shared" ref="BG122" si="354">IF(OR(K122="1;1",K122="1;2",K122=1,K122="3;1",K122="3;2",K122=3,K122="5;1",K122="5;2",K122=5,K122="7;1",K122="7;2",K122=7,K122="9;1",K122="9;2",K122=9,K122=11),SUM(AL122:AN122),0)</f>
        <v>36</v>
      </c>
      <c r="BH122" s="45">
        <f t="shared" ref="BH122" si="355">IF(BG122&lt;&gt;0,SUM(N122:P122)/2,0)</f>
        <v>2</v>
      </c>
      <c r="BI122" s="45">
        <f t="shared" ref="BI122" si="356">IF(OR(K122="1;1",K122="1;2",K122=1,K122="3;1",K122="3;2",K122=3,K122="5;1",K122="5;2",K122=5,K122="7;1",K122="7;2",K122=7,K122="9;1",K122="9;2",K122=9,K122=11),SUM(AO122:BD122),0)</f>
        <v>8.5</v>
      </c>
      <c r="BJ122" s="46">
        <f t="shared" ref="BJ122" si="357">IF(OR(K122="2;3",K122="2;4",K122=2,K122="4;3",K122="4;4",K122=4,K122="6;3",K122="6;4",K122=6,K122="8;3",K122="8;4",K122=8,K122="10;3",K122="10;4",K122=10,K122=12),SUM(AL122:AN122),0)</f>
        <v>0</v>
      </c>
      <c r="BK122" s="46">
        <f t="shared" ref="BK122" si="358">IF(BJ122&lt;&gt;0,SUM(N122:P122)/2,0)</f>
        <v>0</v>
      </c>
      <c r="BL122" s="46">
        <f t="shared" ref="BL122" si="359">IF(OR(K122="2;3",K122="2;4",K122=2,K122="4;3",K122="4;4",K122=4,K122="6;3",K122="6;4",K122=6,K122="8;3",K122="8;4",K122=8,K122="10;3",K122="10;4",K122=10,K122=12),SUM(AO122:BD122),0)</f>
        <v>0</v>
      </c>
    </row>
    <row r="123" spans="1:64" ht="30" customHeight="1" x14ac:dyDescent="0.25">
      <c r="A123" s="84" t="str">
        <f t="shared" si="163"/>
        <v>Д</v>
      </c>
      <c r="B123" s="84" t="str">
        <f t="shared" si="306"/>
        <v>Б</v>
      </c>
      <c r="C123" s="101" t="s">
        <v>1471</v>
      </c>
      <c r="D123" s="16" t="str">
        <f t="shared" si="307"/>
        <v>'09.03.03</v>
      </c>
      <c r="E123" s="17" t="str">
        <f t="shared" si="308"/>
        <v>Прикладная информатика</v>
      </c>
      <c r="F123" s="9" t="s">
        <v>413</v>
      </c>
      <c r="G123" s="9" t="s">
        <v>503</v>
      </c>
      <c r="H123" s="112" t="s">
        <v>3233</v>
      </c>
      <c r="I123" s="112" t="s">
        <v>3231</v>
      </c>
      <c r="J123" s="24" t="s">
        <v>3221</v>
      </c>
      <c r="K123" s="109" t="s">
        <v>3227</v>
      </c>
      <c r="L123" s="109">
        <v>9</v>
      </c>
      <c r="M123" s="113" t="s">
        <v>94</v>
      </c>
      <c r="N123" s="109"/>
      <c r="O123" s="109">
        <v>4</v>
      </c>
      <c r="P123" s="109"/>
      <c r="Q123" s="113" t="s">
        <v>102</v>
      </c>
      <c r="R123" s="11"/>
      <c r="S123" s="11"/>
      <c r="T123" s="11"/>
      <c r="U123" s="11"/>
      <c r="V123" s="11"/>
      <c r="W123" s="83" t="str">
        <f t="shared" si="167"/>
        <v>НПИбд</v>
      </c>
      <c r="X123" s="114" t="s">
        <v>3245</v>
      </c>
      <c r="Y123" s="109">
        <v>1</v>
      </c>
      <c r="Z123" s="109">
        <v>1</v>
      </c>
      <c r="AA123" s="83">
        <f t="shared" si="309"/>
        <v>15</v>
      </c>
      <c r="AB123" s="11">
        <v>13</v>
      </c>
      <c r="AC123" s="11">
        <v>2</v>
      </c>
      <c r="AD123" s="81">
        <f t="shared" si="169"/>
        <v>12</v>
      </c>
      <c r="AE123" s="82">
        <f t="shared" si="310"/>
        <v>1</v>
      </c>
      <c r="AF123" s="82">
        <f t="shared" si="311"/>
        <v>1.25</v>
      </c>
      <c r="AG123" s="102" t="s">
        <v>3250</v>
      </c>
      <c r="AH123" s="8" t="s">
        <v>204</v>
      </c>
      <c r="AI123" s="8" t="s">
        <v>213</v>
      </c>
      <c r="AJ123" s="35" t="s">
        <v>3266</v>
      </c>
      <c r="AK123" s="8"/>
      <c r="AL123" s="42">
        <f t="shared" si="172"/>
        <v>0</v>
      </c>
      <c r="AM123" s="42">
        <f t="shared" si="146"/>
        <v>0</v>
      </c>
      <c r="AN123" s="42">
        <f t="shared" si="147"/>
        <v>36</v>
      </c>
      <c r="AO123" s="42">
        <f t="shared" si="233"/>
        <v>0</v>
      </c>
      <c r="AP123" s="42">
        <f t="shared" si="148"/>
        <v>7.5</v>
      </c>
      <c r="AQ123" s="42">
        <f t="shared" si="149"/>
        <v>1</v>
      </c>
      <c r="AR123" s="42">
        <f t="shared" si="173"/>
        <v>0</v>
      </c>
      <c r="AS123" s="42">
        <f t="shared" si="150"/>
        <v>0</v>
      </c>
      <c r="AT123" s="42">
        <f t="shared" si="151"/>
        <v>0</v>
      </c>
      <c r="AU123" s="42">
        <f t="shared" si="152"/>
        <v>0</v>
      </c>
      <c r="AV123" s="42">
        <f>IF(M123="ПП",РПП*AA123*(U123/1.5),IF(M123="ВП",ВПр*AA123*(U123/1.5),IF(M123="РПА",РПА*AA123*(U123/1.5),IF(M123="КПА",КПА*AA123*(U123/1.5),0))))</f>
        <v>0</v>
      </c>
      <c r="AW123" s="42">
        <f t="shared" si="153"/>
        <v>0</v>
      </c>
      <c r="AX123" s="42">
        <f t="shared" si="174"/>
        <v>0</v>
      </c>
      <c r="AY123" s="42">
        <f t="shared" si="175"/>
        <v>0</v>
      </c>
      <c r="AZ123" s="42">
        <f t="shared" si="154"/>
        <v>0</v>
      </c>
      <c r="BA123" s="42">
        <f t="shared" si="176"/>
        <v>0</v>
      </c>
      <c r="BB123" s="42">
        <f t="shared" si="177"/>
        <v>0</v>
      </c>
      <c r="BC123" s="42">
        <f t="shared" si="178"/>
        <v>0</v>
      </c>
      <c r="BD123" s="42">
        <f t="shared" si="155"/>
        <v>0</v>
      </c>
      <c r="BE123" s="43">
        <f t="shared" si="156"/>
        <v>44.5</v>
      </c>
      <c r="BF123" s="44"/>
      <c r="BG123" s="45">
        <f t="shared" si="157"/>
        <v>36</v>
      </c>
      <c r="BH123" s="45">
        <f t="shared" si="158"/>
        <v>2</v>
      </c>
      <c r="BI123" s="45">
        <f t="shared" si="159"/>
        <v>8.5</v>
      </c>
      <c r="BJ123" s="46">
        <f t="shared" si="160"/>
        <v>0</v>
      </c>
      <c r="BK123" s="46">
        <f t="shared" si="161"/>
        <v>0</v>
      </c>
      <c r="BL123" s="46">
        <f t="shared" si="162"/>
        <v>0</v>
      </c>
    </row>
    <row r="124" spans="1:64" ht="30" customHeight="1" x14ac:dyDescent="0.25">
      <c r="A124" s="84" t="str">
        <f t="shared" si="163"/>
        <v>Д</v>
      </c>
      <c r="B124" s="84" t="str">
        <f t="shared" si="306"/>
        <v>Б</v>
      </c>
      <c r="C124" s="101" t="s">
        <v>1471</v>
      </c>
      <c r="D124" s="16" t="str">
        <f t="shared" si="307"/>
        <v>'09.03.03</v>
      </c>
      <c r="E124" s="17" t="str">
        <f t="shared" si="308"/>
        <v>Прикладная информатика</v>
      </c>
      <c r="F124" s="9" t="s">
        <v>413</v>
      </c>
      <c r="G124" s="9" t="s">
        <v>503</v>
      </c>
      <c r="H124" s="10" t="s">
        <v>3277</v>
      </c>
      <c r="I124" s="10" t="s">
        <v>3276</v>
      </c>
      <c r="J124" s="24" t="s">
        <v>3219</v>
      </c>
      <c r="K124" s="11">
        <v>6</v>
      </c>
      <c r="L124" s="11">
        <v>18</v>
      </c>
      <c r="M124" s="8" t="s">
        <v>94</v>
      </c>
      <c r="N124" s="11"/>
      <c r="O124" s="11">
        <v>4</v>
      </c>
      <c r="P124" s="11"/>
      <c r="Q124" s="8" t="s">
        <v>102</v>
      </c>
      <c r="R124" s="11"/>
      <c r="S124" s="11"/>
      <c r="T124" s="11"/>
      <c r="U124" s="11"/>
      <c r="V124" s="11"/>
      <c r="W124" s="83" t="str">
        <f t="shared" si="167"/>
        <v>НПИбд</v>
      </c>
      <c r="X124" s="110" t="s">
        <v>3355</v>
      </c>
      <c r="Y124" s="11">
        <v>1</v>
      </c>
      <c r="Z124" s="11">
        <v>1</v>
      </c>
      <c r="AA124" s="83">
        <f t="shared" si="309"/>
        <v>9</v>
      </c>
      <c r="AB124" s="11">
        <v>8</v>
      </c>
      <c r="AC124" s="11">
        <v>1</v>
      </c>
      <c r="AD124" s="81">
        <f t="shared" si="169"/>
        <v>12</v>
      </c>
      <c r="AE124" s="82">
        <f t="shared" si="310"/>
        <v>0.75</v>
      </c>
      <c r="AF124" s="82">
        <f t="shared" si="311"/>
        <v>0.75</v>
      </c>
      <c r="AG124" s="102" t="s">
        <v>3250</v>
      </c>
      <c r="AH124" s="8" t="s">
        <v>204</v>
      </c>
      <c r="AI124" s="8" t="s">
        <v>212</v>
      </c>
      <c r="AJ124" s="35" t="s">
        <v>3265</v>
      </c>
      <c r="AK124" s="8"/>
      <c r="AL124" s="42">
        <f t="shared" si="172"/>
        <v>0</v>
      </c>
      <c r="AM124" s="42">
        <f t="shared" si="146"/>
        <v>0</v>
      </c>
      <c r="AN124" s="42">
        <f t="shared" si="147"/>
        <v>54</v>
      </c>
      <c r="AO124" s="42">
        <f t="shared" si="233"/>
        <v>2.97</v>
      </c>
      <c r="AP124" s="42">
        <f t="shared" si="148"/>
        <v>4.5</v>
      </c>
      <c r="AQ124" s="42">
        <f t="shared" si="149"/>
        <v>1</v>
      </c>
      <c r="AR124" s="42">
        <f t="shared" si="173"/>
        <v>0</v>
      </c>
      <c r="AS124" s="42">
        <f t="shared" si="150"/>
        <v>0</v>
      </c>
      <c r="AT124" s="42">
        <f t="shared" si="151"/>
        <v>0</v>
      </c>
      <c r="AU124" s="42">
        <f t="shared" si="152"/>
        <v>0</v>
      </c>
      <c r="AV124" s="42">
        <f>IF(M124="ПП",РПП*AA124*(U124/1.5),IF(M124="ВП",ВПр*AA124*(U124/1.5),IF(M124="РПА",РПА*AA124*(U124/1.5),IF(M124="КПА",КПА*AA124*(U124/1.5),0))))</f>
        <v>0</v>
      </c>
      <c r="AW124" s="42">
        <f t="shared" si="153"/>
        <v>0</v>
      </c>
      <c r="AX124" s="42">
        <f t="shared" si="174"/>
        <v>0</v>
      </c>
      <c r="AY124" s="42">
        <f t="shared" si="175"/>
        <v>0</v>
      </c>
      <c r="AZ124" s="42">
        <f t="shared" si="154"/>
        <v>0</v>
      </c>
      <c r="BA124" s="42">
        <f t="shared" si="176"/>
        <v>0</v>
      </c>
      <c r="BB124" s="42">
        <f t="shared" si="177"/>
        <v>0</v>
      </c>
      <c r="BC124" s="42">
        <f t="shared" si="178"/>
        <v>0</v>
      </c>
      <c r="BD124" s="42">
        <f t="shared" si="155"/>
        <v>0</v>
      </c>
      <c r="BE124" s="43">
        <f t="shared" si="156"/>
        <v>62.47</v>
      </c>
      <c r="BF124" s="44"/>
      <c r="BG124" s="45">
        <f t="shared" si="157"/>
        <v>0</v>
      </c>
      <c r="BH124" s="45">
        <f t="shared" si="158"/>
        <v>0</v>
      </c>
      <c r="BI124" s="45">
        <f t="shared" si="159"/>
        <v>0</v>
      </c>
      <c r="BJ124" s="46">
        <f t="shared" si="160"/>
        <v>54</v>
      </c>
      <c r="BK124" s="46">
        <f t="shared" si="161"/>
        <v>2</v>
      </c>
      <c r="BL124" s="46">
        <f t="shared" si="162"/>
        <v>8.4700000000000006</v>
      </c>
    </row>
    <row r="125" spans="1:64" ht="30" customHeight="1" x14ac:dyDescent="0.25">
      <c r="A125" s="84" t="str">
        <f t="shared" si="163"/>
        <v>Д</v>
      </c>
      <c r="B125" s="84" t="str">
        <f t="shared" si="306"/>
        <v>Б</v>
      </c>
      <c r="C125" s="101" t="s">
        <v>1471</v>
      </c>
      <c r="D125" s="16" t="str">
        <f t="shared" si="307"/>
        <v>'09.03.03</v>
      </c>
      <c r="E125" s="17" t="str">
        <f t="shared" si="308"/>
        <v>Прикладная информатика</v>
      </c>
      <c r="F125" s="9" t="s">
        <v>413</v>
      </c>
      <c r="G125" s="9" t="s">
        <v>503</v>
      </c>
      <c r="H125" s="10" t="s">
        <v>3277</v>
      </c>
      <c r="I125" s="10" t="s">
        <v>3276</v>
      </c>
      <c r="J125" s="111" t="s">
        <v>3270</v>
      </c>
      <c r="K125" s="11">
        <v>5</v>
      </c>
      <c r="L125" s="11">
        <v>18</v>
      </c>
      <c r="M125" s="8" t="s">
        <v>23</v>
      </c>
      <c r="N125" s="11">
        <v>1</v>
      </c>
      <c r="O125" s="11"/>
      <c r="P125" s="11"/>
      <c r="Q125" s="8"/>
      <c r="R125" s="11"/>
      <c r="S125" s="11"/>
      <c r="T125" s="11"/>
      <c r="U125" s="11"/>
      <c r="V125" s="11"/>
      <c r="W125" s="83" t="str">
        <f t="shared" si="167"/>
        <v>НПИбд</v>
      </c>
      <c r="X125" s="110" t="s">
        <v>3355</v>
      </c>
      <c r="Y125" s="11">
        <v>1</v>
      </c>
      <c r="Z125" s="11">
        <v>1</v>
      </c>
      <c r="AA125" s="83">
        <f t="shared" si="309"/>
        <v>0</v>
      </c>
      <c r="AB125" s="11"/>
      <c r="AC125" s="11"/>
      <c r="AD125" s="81">
        <f t="shared" si="169"/>
        <v>0</v>
      </c>
      <c r="AE125" s="82" t="e">
        <f t="shared" si="310"/>
        <v>#DIV/0!</v>
      </c>
      <c r="AF125" s="82" t="e">
        <f t="shared" si="311"/>
        <v>#DIV/0!</v>
      </c>
      <c r="AG125" s="102" t="s">
        <v>3250</v>
      </c>
      <c r="AH125" s="8" t="s">
        <v>204</v>
      </c>
      <c r="AI125" s="8" t="s">
        <v>212</v>
      </c>
      <c r="AJ125" s="36" t="s">
        <v>3251</v>
      </c>
      <c r="AK125" s="8" t="s">
        <v>949</v>
      </c>
      <c r="AL125" s="42">
        <f t="shared" si="172"/>
        <v>18</v>
      </c>
      <c r="AM125" s="42">
        <f t="shared" si="146"/>
        <v>0</v>
      </c>
      <c r="AN125" s="42">
        <f t="shared" si="147"/>
        <v>0</v>
      </c>
      <c r="AO125" s="42">
        <f t="shared" si="233"/>
        <v>0</v>
      </c>
      <c r="AP125" s="42">
        <f t="shared" si="148"/>
        <v>0</v>
      </c>
      <c r="AQ125" s="42">
        <f t="shared" si="149"/>
        <v>0</v>
      </c>
      <c r="AR125" s="42">
        <f t="shared" si="173"/>
        <v>0.9</v>
      </c>
      <c r="AS125" s="42">
        <f t="shared" si="150"/>
        <v>0</v>
      </c>
      <c r="AT125" s="42">
        <f t="shared" si="151"/>
        <v>0</v>
      </c>
      <c r="AU125" s="42">
        <f t="shared" si="152"/>
        <v>0</v>
      </c>
      <c r="AV125" s="42">
        <f>IF(M125="ПП",РПП*AA125*(U125/1.5),IF(M125="ВП",ВПр*AA125*(U125/1.5),IF(M125="РПА",РПА*AA125*(U125/1.5),IF(M125="КПА",КПА*AA125*(U125/1.5),0))))</f>
        <v>0</v>
      </c>
      <c r="AW125" s="42">
        <f t="shared" si="153"/>
        <v>0</v>
      </c>
      <c r="AX125" s="42">
        <f t="shared" si="174"/>
        <v>0</v>
      </c>
      <c r="AY125" s="42">
        <f t="shared" si="175"/>
        <v>0</v>
      </c>
      <c r="AZ125" s="42">
        <f t="shared" si="154"/>
        <v>0</v>
      </c>
      <c r="BA125" s="42">
        <f t="shared" si="176"/>
        <v>0</v>
      </c>
      <c r="BB125" s="42">
        <f t="shared" si="177"/>
        <v>0</v>
      </c>
      <c r="BC125" s="42">
        <f t="shared" si="178"/>
        <v>0</v>
      </c>
      <c r="BD125" s="42">
        <f t="shared" si="155"/>
        <v>0</v>
      </c>
      <c r="BE125" s="43">
        <f t="shared" si="156"/>
        <v>18.899999999999999</v>
      </c>
      <c r="BF125" s="44"/>
      <c r="BG125" s="45">
        <f t="shared" si="157"/>
        <v>18</v>
      </c>
      <c r="BH125" s="45">
        <f t="shared" si="158"/>
        <v>0.5</v>
      </c>
      <c r="BI125" s="45">
        <f t="shared" si="159"/>
        <v>0.9</v>
      </c>
      <c r="BJ125" s="46">
        <f t="shared" si="160"/>
        <v>0</v>
      </c>
      <c r="BK125" s="46">
        <f t="shared" si="161"/>
        <v>0</v>
      </c>
      <c r="BL125" s="46">
        <f t="shared" si="162"/>
        <v>0</v>
      </c>
    </row>
    <row r="126" spans="1:64" ht="30" customHeight="1" x14ac:dyDescent="0.25">
      <c r="A126" s="84" t="str">
        <f t="shared" si="163"/>
        <v>Д</v>
      </c>
      <c r="B126" s="84" t="str">
        <f t="shared" si="164"/>
        <v>Б</v>
      </c>
      <c r="C126" s="101" t="s">
        <v>1471</v>
      </c>
      <c r="D126" s="16" t="str">
        <f t="shared" si="165"/>
        <v>'09.03.03</v>
      </c>
      <c r="E126" s="17" t="str">
        <f t="shared" si="166"/>
        <v>Прикладная информатика</v>
      </c>
      <c r="F126" s="9" t="s">
        <v>413</v>
      </c>
      <c r="G126" s="9" t="s">
        <v>503</v>
      </c>
      <c r="H126" s="10" t="s">
        <v>3277</v>
      </c>
      <c r="I126" s="10" t="s">
        <v>3276</v>
      </c>
      <c r="J126" s="111" t="s">
        <v>3270</v>
      </c>
      <c r="K126" s="11">
        <v>5</v>
      </c>
      <c r="L126" s="11">
        <v>18</v>
      </c>
      <c r="M126" s="8" t="s">
        <v>94</v>
      </c>
      <c r="N126" s="11"/>
      <c r="O126" s="11"/>
      <c r="P126" s="11">
        <v>2</v>
      </c>
      <c r="Q126" s="8" t="s">
        <v>102</v>
      </c>
      <c r="R126" s="11"/>
      <c r="S126" s="11"/>
      <c r="T126" s="11"/>
      <c r="U126" s="11"/>
      <c r="V126" s="11"/>
      <c r="W126" s="83" t="str">
        <f t="shared" si="167"/>
        <v>НПИбд</v>
      </c>
      <c r="X126" s="110" t="s">
        <v>3355</v>
      </c>
      <c r="Y126" s="11">
        <v>1</v>
      </c>
      <c r="Z126" s="11">
        <v>1</v>
      </c>
      <c r="AA126" s="83">
        <f t="shared" si="168"/>
        <v>0</v>
      </c>
      <c r="AB126" s="11"/>
      <c r="AC126" s="12"/>
      <c r="AD126" s="81">
        <f t="shared" si="169"/>
        <v>12</v>
      </c>
      <c r="AE126" s="82">
        <f t="shared" si="170"/>
        <v>0</v>
      </c>
      <c r="AF126" s="82">
        <f t="shared" si="171"/>
        <v>0</v>
      </c>
      <c r="AG126" s="102" t="s">
        <v>3250</v>
      </c>
      <c r="AH126" s="8" t="s">
        <v>204</v>
      </c>
      <c r="AI126" s="8" t="s">
        <v>212</v>
      </c>
      <c r="AJ126" s="35" t="s">
        <v>3251</v>
      </c>
      <c r="AK126" s="8" t="s">
        <v>949</v>
      </c>
      <c r="AL126" s="42">
        <f t="shared" si="172"/>
        <v>0</v>
      </c>
      <c r="AM126" s="42">
        <f t="shared" si="146"/>
        <v>0</v>
      </c>
      <c r="AN126" s="42">
        <f t="shared" si="147"/>
        <v>0</v>
      </c>
      <c r="AO126" s="42">
        <f t="shared" si="233"/>
        <v>0</v>
      </c>
      <c r="AP126" s="42">
        <f t="shared" si="148"/>
        <v>0</v>
      </c>
      <c r="AQ126" s="42">
        <f t="shared" si="149"/>
        <v>0</v>
      </c>
      <c r="AR126" s="42">
        <f t="shared" si="173"/>
        <v>0</v>
      </c>
      <c r="AS126" s="42">
        <f t="shared" si="150"/>
        <v>0</v>
      </c>
      <c r="AT126" s="42">
        <f t="shared" si="151"/>
        <v>0</v>
      </c>
      <c r="AU126" s="42">
        <f t="shared" si="152"/>
        <v>0</v>
      </c>
      <c r="AV126" s="42">
        <f>IF(M126="ПП",РПП*AA126*(U126/1.5),IF(M126="ВП",ВПр*AA126*(U126/1.5),IF(M126="РПА",РПА*AA126*(U126/1.5),IF(M126="КПА",КПА*AA126*(U126/1.5),0))))</f>
        <v>0</v>
      </c>
      <c r="AW126" s="42">
        <f t="shared" si="153"/>
        <v>0</v>
      </c>
      <c r="AX126" s="42">
        <f t="shared" si="174"/>
        <v>0</v>
      </c>
      <c r="AY126" s="42">
        <f t="shared" si="175"/>
        <v>0</v>
      </c>
      <c r="AZ126" s="42">
        <f t="shared" si="154"/>
        <v>0</v>
      </c>
      <c r="BA126" s="42">
        <f t="shared" si="176"/>
        <v>0</v>
      </c>
      <c r="BB126" s="42">
        <f t="shared" si="177"/>
        <v>0</v>
      </c>
      <c r="BC126" s="42">
        <f t="shared" si="178"/>
        <v>0</v>
      </c>
      <c r="BD126" s="42">
        <f t="shared" si="155"/>
        <v>0</v>
      </c>
      <c r="BE126" s="43">
        <f t="shared" si="156"/>
        <v>0</v>
      </c>
      <c r="BF126" s="44"/>
      <c r="BG126" s="45">
        <f t="shared" si="157"/>
        <v>0</v>
      </c>
      <c r="BH126" s="45">
        <f t="shared" si="158"/>
        <v>0</v>
      </c>
      <c r="BI126" s="45">
        <f t="shared" si="159"/>
        <v>0</v>
      </c>
      <c r="BJ126" s="46">
        <f t="shared" si="160"/>
        <v>0</v>
      </c>
      <c r="BK126" s="46">
        <f t="shared" si="161"/>
        <v>0</v>
      </c>
      <c r="BL126" s="46">
        <f t="shared" si="162"/>
        <v>0</v>
      </c>
    </row>
    <row r="127" spans="1:64" ht="30" customHeight="1" x14ac:dyDescent="0.25">
      <c r="A127" s="84" t="str">
        <f t="shared" si="163"/>
        <v>Д</v>
      </c>
      <c r="B127" s="84" t="str">
        <f t="shared" si="164"/>
        <v>Б</v>
      </c>
      <c r="C127" s="101" t="s">
        <v>1471</v>
      </c>
      <c r="D127" s="16" t="str">
        <f t="shared" si="165"/>
        <v>'09.03.03</v>
      </c>
      <c r="E127" s="17" t="str">
        <f t="shared" si="166"/>
        <v>Прикладная информатика</v>
      </c>
      <c r="F127" s="9" t="s">
        <v>413</v>
      </c>
      <c r="G127" s="9" t="s">
        <v>503</v>
      </c>
      <c r="H127" s="10" t="s">
        <v>3277</v>
      </c>
      <c r="I127" s="10" t="s">
        <v>3276</v>
      </c>
      <c r="J127" s="111" t="s">
        <v>3271</v>
      </c>
      <c r="K127" s="11">
        <v>6</v>
      </c>
      <c r="L127" s="11">
        <v>18</v>
      </c>
      <c r="M127" s="8" t="s">
        <v>23</v>
      </c>
      <c r="N127" s="11">
        <v>2</v>
      </c>
      <c r="O127" s="11"/>
      <c r="P127" s="11"/>
      <c r="Q127" s="8"/>
      <c r="R127" s="11"/>
      <c r="S127" s="11"/>
      <c r="T127" s="11"/>
      <c r="U127" s="11"/>
      <c r="V127" s="11"/>
      <c r="W127" s="83" t="str">
        <f t="shared" si="167"/>
        <v>НПИбд</v>
      </c>
      <c r="X127" s="110" t="s">
        <v>3355</v>
      </c>
      <c r="Y127" s="11">
        <v>1</v>
      </c>
      <c r="Z127" s="11">
        <v>1</v>
      </c>
      <c r="AA127" s="83">
        <f t="shared" si="168"/>
        <v>0</v>
      </c>
      <c r="AB127" s="11"/>
      <c r="AC127" s="11"/>
      <c r="AD127" s="81">
        <f t="shared" si="169"/>
        <v>0</v>
      </c>
      <c r="AE127" s="82" t="e">
        <f t="shared" si="170"/>
        <v>#DIV/0!</v>
      </c>
      <c r="AF127" s="82" t="e">
        <f t="shared" si="171"/>
        <v>#DIV/0!</v>
      </c>
      <c r="AG127" s="102" t="s">
        <v>3250</v>
      </c>
      <c r="AH127" s="8" t="s">
        <v>204</v>
      </c>
      <c r="AI127" s="8" t="s">
        <v>213</v>
      </c>
      <c r="AJ127" s="36" t="s">
        <v>3266</v>
      </c>
      <c r="AK127" s="8" t="s">
        <v>949</v>
      </c>
      <c r="AL127" s="42">
        <f t="shared" si="172"/>
        <v>36</v>
      </c>
      <c r="AM127" s="42">
        <f t="shared" si="146"/>
        <v>0</v>
      </c>
      <c r="AN127" s="42">
        <f t="shared" si="147"/>
        <v>0</v>
      </c>
      <c r="AO127" s="42">
        <f t="shared" si="233"/>
        <v>0</v>
      </c>
      <c r="AP127" s="42">
        <f t="shared" si="148"/>
        <v>0</v>
      </c>
      <c r="AQ127" s="42">
        <f t="shared" si="149"/>
        <v>0</v>
      </c>
      <c r="AR127" s="42">
        <f t="shared" si="173"/>
        <v>1.8</v>
      </c>
      <c r="AS127" s="42">
        <f t="shared" si="150"/>
        <v>0</v>
      </c>
      <c r="AT127" s="42">
        <f t="shared" si="151"/>
        <v>0</v>
      </c>
      <c r="AU127" s="42">
        <f t="shared" si="152"/>
        <v>0</v>
      </c>
      <c r="AV127" s="42">
        <f>IF(M127="ПП",РПП*AA127*(U127/1.5),IF(M127="ВП",ВПр*AA127*(U127/1.5),IF(M127="РПА",РПА*AA127*(U127/1.5),IF(M127="КПА",КПА*AA127*(U127/1.5),0))))</f>
        <v>0</v>
      </c>
      <c r="AW127" s="42">
        <f t="shared" si="153"/>
        <v>0</v>
      </c>
      <c r="AX127" s="42">
        <f t="shared" si="174"/>
        <v>0</v>
      </c>
      <c r="AY127" s="42">
        <f t="shared" si="175"/>
        <v>0</v>
      </c>
      <c r="AZ127" s="42">
        <f t="shared" si="154"/>
        <v>0</v>
      </c>
      <c r="BA127" s="42">
        <f t="shared" si="176"/>
        <v>0</v>
      </c>
      <c r="BB127" s="42">
        <f t="shared" si="177"/>
        <v>0</v>
      </c>
      <c r="BC127" s="42">
        <f t="shared" si="178"/>
        <v>0</v>
      </c>
      <c r="BD127" s="42">
        <f t="shared" si="155"/>
        <v>0</v>
      </c>
      <c r="BE127" s="43">
        <f t="shared" si="156"/>
        <v>37.799999999999997</v>
      </c>
      <c r="BF127" s="44"/>
      <c r="BG127" s="45">
        <f t="shared" si="157"/>
        <v>0</v>
      </c>
      <c r="BH127" s="45">
        <f t="shared" si="158"/>
        <v>0</v>
      </c>
      <c r="BI127" s="45">
        <f t="shared" si="159"/>
        <v>0</v>
      </c>
      <c r="BJ127" s="46">
        <f t="shared" si="160"/>
        <v>36</v>
      </c>
      <c r="BK127" s="46">
        <f t="shared" si="161"/>
        <v>1</v>
      </c>
      <c r="BL127" s="46">
        <f t="shared" si="162"/>
        <v>1.8</v>
      </c>
    </row>
    <row r="128" spans="1:64" ht="30" customHeight="1" x14ac:dyDescent="0.25">
      <c r="A128" s="84" t="str">
        <f t="shared" si="163"/>
        <v>Д</v>
      </c>
      <c r="B128" s="84" t="str">
        <f t="shared" si="164"/>
        <v>Б</v>
      </c>
      <c r="C128" s="101" t="s">
        <v>1471</v>
      </c>
      <c r="D128" s="16" t="str">
        <f t="shared" si="165"/>
        <v>'09.03.03</v>
      </c>
      <c r="E128" s="17" t="str">
        <f t="shared" si="166"/>
        <v>Прикладная информатика</v>
      </c>
      <c r="F128" s="9" t="s">
        <v>413</v>
      </c>
      <c r="G128" s="9" t="s">
        <v>503</v>
      </c>
      <c r="H128" s="10" t="s">
        <v>3277</v>
      </c>
      <c r="I128" s="10" t="s">
        <v>3276</v>
      </c>
      <c r="J128" s="111" t="s">
        <v>3271</v>
      </c>
      <c r="K128" s="11">
        <v>6</v>
      </c>
      <c r="L128" s="11">
        <v>18</v>
      </c>
      <c r="M128" s="8" t="s">
        <v>94</v>
      </c>
      <c r="N128" s="11"/>
      <c r="O128" s="11"/>
      <c r="P128" s="11">
        <v>4</v>
      </c>
      <c r="Q128" s="8" t="s">
        <v>102</v>
      </c>
      <c r="R128" s="11"/>
      <c r="S128" s="11"/>
      <c r="T128" s="23"/>
      <c r="U128" s="11"/>
      <c r="V128" s="11"/>
      <c r="W128" s="83" t="str">
        <f t="shared" si="167"/>
        <v>НПИбд</v>
      </c>
      <c r="X128" s="110" t="s">
        <v>3355</v>
      </c>
      <c r="Y128" s="11">
        <v>1</v>
      </c>
      <c r="Z128" s="11">
        <v>1</v>
      </c>
      <c r="AA128" s="83">
        <f t="shared" si="168"/>
        <v>0</v>
      </c>
      <c r="AB128" s="11"/>
      <c r="AC128" s="11"/>
      <c r="AD128" s="81">
        <f t="shared" si="169"/>
        <v>12</v>
      </c>
      <c r="AE128" s="82">
        <f t="shared" si="170"/>
        <v>0</v>
      </c>
      <c r="AF128" s="82">
        <f t="shared" si="171"/>
        <v>0</v>
      </c>
      <c r="AG128" s="102" t="s">
        <v>3250</v>
      </c>
      <c r="AH128" s="8" t="s">
        <v>204</v>
      </c>
      <c r="AI128" s="8" t="s">
        <v>213</v>
      </c>
      <c r="AJ128" s="35" t="s">
        <v>3266</v>
      </c>
      <c r="AK128" s="8" t="s">
        <v>949</v>
      </c>
      <c r="AL128" s="42">
        <f t="shared" si="172"/>
        <v>0</v>
      </c>
      <c r="AM128" s="42">
        <f t="shared" si="146"/>
        <v>0</v>
      </c>
      <c r="AN128" s="42">
        <f t="shared" si="147"/>
        <v>0</v>
      </c>
      <c r="AO128" s="42">
        <f t="shared" si="233"/>
        <v>0</v>
      </c>
      <c r="AP128" s="42">
        <f t="shared" si="148"/>
        <v>0</v>
      </c>
      <c r="AQ128" s="42">
        <f t="shared" si="149"/>
        <v>0</v>
      </c>
      <c r="AR128" s="42">
        <f t="shared" si="173"/>
        <v>0</v>
      </c>
      <c r="AS128" s="42">
        <f t="shared" si="150"/>
        <v>0</v>
      </c>
      <c r="AT128" s="42">
        <f t="shared" si="151"/>
        <v>0</v>
      </c>
      <c r="AU128" s="42">
        <f t="shared" si="152"/>
        <v>0</v>
      </c>
      <c r="AV128" s="42">
        <f>IF(M128="ПП",РПП*AA128*(U128/1.5),IF(M128="ВП",ВПр*AA128*(U128/1.5),IF(M128="РПА",РПА*AA128*(U128/1.5),IF(M128="КПА",КПА*AA128*(U128/1.5),0))))</f>
        <v>0</v>
      </c>
      <c r="AW128" s="42">
        <f t="shared" si="153"/>
        <v>0</v>
      </c>
      <c r="AX128" s="42">
        <f t="shared" si="174"/>
        <v>0</v>
      </c>
      <c r="AY128" s="42">
        <f t="shared" si="175"/>
        <v>0</v>
      </c>
      <c r="AZ128" s="42">
        <f t="shared" si="154"/>
        <v>0</v>
      </c>
      <c r="BA128" s="42">
        <f t="shared" si="176"/>
        <v>0</v>
      </c>
      <c r="BB128" s="42">
        <f t="shared" si="177"/>
        <v>0</v>
      </c>
      <c r="BC128" s="42">
        <f t="shared" si="178"/>
        <v>0</v>
      </c>
      <c r="BD128" s="42">
        <f t="shared" si="155"/>
        <v>0</v>
      </c>
      <c r="BE128" s="43">
        <f t="shared" si="156"/>
        <v>0</v>
      </c>
      <c r="BF128" s="44"/>
      <c r="BG128" s="45">
        <f t="shared" si="157"/>
        <v>0</v>
      </c>
      <c r="BH128" s="45">
        <f t="shared" si="158"/>
        <v>0</v>
      </c>
      <c r="BI128" s="45">
        <f t="shared" si="159"/>
        <v>0</v>
      </c>
      <c r="BJ128" s="46">
        <f t="shared" si="160"/>
        <v>0</v>
      </c>
      <c r="BK128" s="46">
        <f t="shared" si="161"/>
        <v>0</v>
      </c>
      <c r="BL128" s="46">
        <f t="shared" si="162"/>
        <v>0</v>
      </c>
    </row>
    <row r="129" spans="1:64" ht="30" customHeight="1" x14ac:dyDescent="0.25">
      <c r="A129" s="84" t="str">
        <f t="shared" si="163"/>
        <v>Д</v>
      </c>
      <c r="B129" s="84" t="str">
        <f t="shared" si="164"/>
        <v>Б</v>
      </c>
      <c r="C129" s="101" t="s">
        <v>1471</v>
      </c>
      <c r="D129" s="16" t="str">
        <f t="shared" si="165"/>
        <v>'09.03.03</v>
      </c>
      <c r="E129" s="17" t="str">
        <f t="shared" si="166"/>
        <v>Прикладная информатика</v>
      </c>
      <c r="F129" s="9" t="s">
        <v>413</v>
      </c>
      <c r="G129" s="9" t="s">
        <v>503</v>
      </c>
      <c r="H129" s="10" t="s">
        <v>3277</v>
      </c>
      <c r="I129" s="10" t="s">
        <v>3276</v>
      </c>
      <c r="J129" s="111" t="s">
        <v>3271</v>
      </c>
      <c r="K129" s="11">
        <v>6</v>
      </c>
      <c r="L129" s="11">
        <v>18</v>
      </c>
      <c r="M129" s="8" t="s">
        <v>94</v>
      </c>
      <c r="N129" s="11"/>
      <c r="O129" s="11"/>
      <c r="P129" s="11">
        <v>4</v>
      </c>
      <c r="Q129" s="8" t="s">
        <v>102</v>
      </c>
      <c r="R129" s="11"/>
      <c r="S129" s="11"/>
      <c r="T129" s="23"/>
      <c r="U129" s="11"/>
      <c r="V129" s="11"/>
      <c r="W129" s="83" t="str">
        <f t="shared" si="167"/>
        <v>НПИбд</v>
      </c>
      <c r="X129" s="110"/>
      <c r="Y129" s="11"/>
      <c r="Z129" s="11"/>
      <c r="AA129" s="83">
        <f t="shared" si="168"/>
        <v>0</v>
      </c>
      <c r="AB129" s="11"/>
      <c r="AC129" s="11"/>
      <c r="AD129" s="81">
        <f t="shared" si="169"/>
        <v>12</v>
      </c>
      <c r="AE129" s="82">
        <f t="shared" si="170"/>
        <v>0</v>
      </c>
      <c r="AF129" s="82">
        <f t="shared" si="171"/>
        <v>0</v>
      </c>
      <c r="AG129" s="102" t="s">
        <v>3250</v>
      </c>
      <c r="AH129" s="8" t="s">
        <v>204</v>
      </c>
      <c r="AI129" s="8" t="s">
        <v>213</v>
      </c>
      <c r="AJ129" s="35" t="s">
        <v>3266</v>
      </c>
      <c r="AK129" s="8" t="s">
        <v>949</v>
      </c>
      <c r="AL129" s="42">
        <f t="shared" si="172"/>
        <v>0</v>
      </c>
      <c r="AM129" s="42">
        <f t="shared" ref="AM129:AM173" si="360">IF(OR(M129="пр",M129="ия",M129="сп"),P129*AE129*L129,0)</f>
        <v>0</v>
      </c>
      <c r="AN129" s="42">
        <f t="shared" ref="AN129:AN173" si="361">IF(OR(M129="лаб",M129="клн"),O129*AE129*L129,0)</f>
        <v>0</v>
      </c>
      <c r="AO129" s="42">
        <f t="shared" si="233"/>
        <v>0</v>
      </c>
      <c r="AP129" s="42">
        <f t="shared" ref="AP129:AP173" si="362">IF(SUM(O129:P129)&lt;&gt;0,IF(Q129="Зач",ПАБРС*AA129,0),0)+IF(N129&lt;&gt;0,IF(Q129="Экз",ПАБРС*AA129,0),0)</f>
        <v>0</v>
      </c>
      <c r="AQ129" s="42">
        <f t="shared" ref="AQ129:AQ173" si="363">(IF(AP129&lt;&gt;0,ОфВед*(IF(OR(M129="лек",M129="лаб"),Z129,AE129)),0))*(IF(F129="ФТД",0,1))</f>
        <v>0</v>
      </c>
      <c r="AR129" s="42">
        <f t="shared" si="173"/>
        <v>0</v>
      </c>
      <c r="AS129" s="42">
        <f t="shared" ref="AS129:AS173" si="364">IF(OR(M129="лаб",M129="пр"),IF(R129="К",AA129*ВПКР,IF(R129="М",AA129*ВПИБ,0)),0)</f>
        <v>0</v>
      </c>
      <c r="AT129" s="42">
        <f t="shared" ref="AT129:AT173" si="365">IF(OR(M129="лаб",M129="пр"),IF(S129="К",AA129*ВПКП,0),0)</f>
        <v>0</v>
      </c>
      <c r="AU129" s="42">
        <f t="shared" ref="AU129:AU173" si="366">IF(M129="УП",T129/1.5*AA129*РУП,IF(M129="УПМ",T129/1.5*AA129*РУПЛеч,0))</f>
        <v>0</v>
      </c>
      <c r="AV129" s="42">
        <f>IF(M129="ПП",РПП*AA129*(U129/1.5),IF(M129="ВП",ВПр*AA129*(U129/1.5),IF(M129="РПА",РПА*AA129*(U129/1.5),IF(M129="КПА",КПА*AA129*(U129/1.5),0))))</f>
        <v>0</v>
      </c>
      <c r="AW129" s="42">
        <f t="shared" ref="AW129:AW173" si="367">IF(M129="НР",(AB129*НИРМ+AC129*НИРМИн)*(V129/1.5),IF(M129="НИ",(AB129*НИРА+AC129*НИРАИ)*(V129/1.5),0))</f>
        <v>0</v>
      </c>
      <c r="AX129" s="42">
        <f t="shared" si="174"/>
        <v>0</v>
      </c>
      <c r="AY129" s="42">
        <f t="shared" si="175"/>
        <v>0</v>
      </c>
      <c r="AZ129" s="42">
        <f t="shared" ref="AZ129:AZ173" si="368">IF(AND(Q129="КЭ",M129="ЧК"),AA129*КдЭк,0)</f>
        <v>0</v>
      </c>
      <c r="BA129" s="42">
        <f t="shared" si="176"/>
        <v>0</v>
      </c>
      <c r="BB129" s="42">
        <f t="shared" si="177"/>
        <v>0</v>
      </c>
      <c r="BC129" s="42">
        <f t="shared" si="178"/>
        <v>0</v>
      </c>
      <c r="BD129" s="42">
        <f t="shared" ref="BD129:BD173" si="369">IF(M129="ЧГ",AA129*ЧГ,IF(M129="ПГ",AA129*ПГ,IF(M129="ТЕСТ",ТГИЭ*AE129,IF(M129="СГ",AA129*СГ,0))))</f>
        <v>0</v>
      </c>
      <c r="BE129" s="43">
        <f t="shared" ref="BE129:BE173" si="370">SUM(AL129:BD129)</f>
        <v>0</v>
      </c>
      <c r="BF129" s="44"/>
      <c r="BG129" s="45">
        <f t="shared" ref="BG129:BG173" si="371">IF(OR(K129="1;1",K129="1;2",K129=1,K129="3;1",K129="3;2",K129=3,K129="5;1",K129="5;2",K129=5,K129="7;1",K129="7;2",K129=7,K129="9;1",K129="9;2",K129=9,K129=11),SUM(AL129:AN129),0)</f>
        <v>0</v>
      </c>
      <c r="BH129" s="45">
        <f t="shared" ref="BH129:BH173" si="372">IF(BG129&lt;&gt;0,SUM(N129:P129)/2,0)</f>
        <v>0</v>
      </c>
      <c r="BI129" s="45">
        <f t="shared" ref="BI129:BI173" si="373">IF(OR(K129="1;1",K129="1;2",K129=1,K129="3;1",K129="3;2",K129=3,K129="5;1",K129="5;2",K129=5,K129="7;1",K129="7;2",K129=7,K129="9;1",K129="9;2",K129=9,K129=11),SUM(AO129:BD129),0)</f>
        <v>0</v>
      </c>
      <c r="BJ129" s="46">
        <f t="shared" ref="BJ129:BJ138" si="374">IF(OR(K129="2;3",K129="2;4",K129=2,K129="4;3",K129="4;4",K129=4,K129="6;3",K129="6;4",K129=6,K129="8;3",K129="8;4",K129=8,K129="10;3",K129="10;4",K129=10,K129=12),SUM(AL129:AN129),0)</f>
        <v>0</v>
      </c>
      <c r="BK129" s="46">
        <f t="shared" ref="BK129:BK138" si="375">IF(BJ129&lt;&gt;0,SUM(N129:P129)/2,0)</f>
        <v>0</v>
      </c>
      <c r="BL129" s="46">
        <f t="shared" ref="BL129:BL138" si="376">IF(OR(K129="2;3",K129="2;4",K129=2,K129="4;3",K129="4;4",K129=4,K129="6;3",K129="6;4",K129=6,K129="8;3",K129="8;4",K129=8,K129="10;3",K129="10;4",K129=10,K129=12),SUM(AO129:BD129),0)</f>
        <v>0</v>
      </c>
    </row>
    <row r="130" spans="1:64" ht="30" customHeight="1" x14ac:dyDescent="0.25">
      <c r="A130" s="84" t="str">
        <f t="shared" si="163"/>
        <v>Д</v>
      </c>
      <c r="B130" s="84" t="str">
        <f t="shared" si="164"/>
        <v>Б</v>
      </c>
      <c r="C130" s="101" t="s">
        <v>1471</v>
      </c>
      <c r="D130" s="16" t="str">
        <f t="shared" si="165"/>
        <v>'09.03.03</v>
      </c>
      <c r="E130" s="17" t="str">
        <f t="shared" si="166"/>
        <v>Прикладная информатика</v>
      </c>
      <c r="F130" s="9" t="s">
        <v>414</v>
      </c>
      <c r="G130" s="9" t="s">
        <v>42</v>
      </c>
      <c r="H130" s="10" t="s">
        <v>3233</v>
      </c>
      <c r="I130" s="10" t="s">
        <v>3232</v>
      </c>
      <c r="J130" s="24" t="s">
        <v>3222</v>
      </c>
      <c r="K130" s="11" t="s">
        <v>3227</v>
      </c>
      <c r="L130" s="11">
        <v>9</v>
      </c>
      <c r="M130" s="8" t="s">
        <v>23</v>
      </c>
      <c r="N130" s="11">
        <v>2</v>
      </c>
      <c r="O130" s="11"/>
      <c r="P130" s="11"/>
      <c r="Q130" s="8" t="s">
        <v>103</v>
      </c>
      <c r="R130" s="11"/>
      <c r="S130" s="11"/>
      <c r="T130" s="11">
        <v>3</v>
      </c>
      <c r="U130" s="11"/>
      <c r="V130" s="11"/>
      <c r="W130" s="83" t="str">
        <f t="shared" si="167"/>
        <v>НПИбд</v>
      </c>
      <c r="X130" s="110" t="s">
        <v>3244</v>
      </c>
      <c r="Y130" s="11">
        <v>1</v>
      </c>
      <c r="Z130" s="11">
        <v>1</v>
      </c>
      <c r="AA130" s="83">
        <f t="shared" si="168"/>
        <v>30</v>
      </c>
      <c r="AB130" s="11">
        <v>27</v>
      </c>
      <c r="AC130" s="11">
        <v>3</v>
      </c>
      <c r="AD130" s="81">
        <f t="shared" si="169"/>
        <v>30</v>
      </c>
      <c r="AE130" s="82">
        <f t="shared" si="170"/>
        <v>1</v>
      </c>
      <c r="AF130" s="82">
        <f t="shared" si="171"/>
        <v>1</v>
      </c>
      <c r="AG130" s="102" t="s">
        <v>3250</v>
      </c>
      <c r="AH130" s="8" t="s">
        <v>204</v>
      </c>
      <c r="AI130" s="8" t="s">
        <v>212</v>
      </c>
      <c r="AJ130" s="35" t="s">
        <v>3261</v>
      </c>
      <c r="AK130" s="8"/>
      <c r="AL130" s="42">
        <f t="shared" si="172"/>
        <v>18</v>
      </c>
      <c r="AM130" s="42">
        <f t="shared" si="360"/>
        <v>0</v>
      </c>
      <c r="AN130" s="42">
        <f t="shared" si="361"/>
        <v>0</v>
      </c>
      <c r="AO130" s="42">
        <f t="shared" si="233"/>
        <v>0</v>
      </c>
      <c r="AP130" s="42">
        <f t="shared" si="362"/>
        <v>15</v>
      </c>
      <c r="AQ130" s="42">
        <f t="shared" si="363"/>
        <v>1</v>
      </c>
      <c r="AR130" s="42">
        <f t="shared" si="173"/>
        <v>0.9</v>
      </c>
      <c r="AS130" s="42">
        <f t="shared" si="364"/>
        <v>0</v>
      </c>
      <c r="AT130" s="42">
        <f t="shared" si="365"/>
        <v>0</v>
      </c>
      <c r="AU130" s="42">
        <f t="shared" si="366"/>
        <v>0</v>
      </c>
      <c r="AV130" s="42">
        <f>IF(M130="ПП",РПП*AA130*(U130/1.5),IF(M130="ВП",ВПр*AA130*(U130/1.5),IF(M130="РПА",РПА*AA130*(U130/1.5),IF(M130="КПА",КПА*AA130*(U130/1.5),0))))</f>
        <v>0</v>
      </c>
      <c r="AW130" s="42">
        <f t="shared" si="367"/>
        <v>0</v>
      </c>
      <c r="AX130" s="42">
        <f t="shared" si="174"/>
        <v>0</v>
      </c>
      <c r="AY130" s="42">
        <f t="shared" si="175"/>
        <v>0</v>
      </c>
      <c r="AZ130" s="42">
        <f t="shared" si="368"/>
        <v>0</v>
      </c>
      <c r="BA130" s="42">
        <f t="shared" si="176"/>
        <v>0</v>
      </c>
      <c r="BB130" s="42">
        <f t="shared" si="177"/>
        <v>0</v>
      </c>
      <c r="BC130" s="42">
        <f t="shared" si="178"/>
        <v>0</v>
      </c>
      <c r="BD130" s="42">
        <f t="shared" si="369"/>
        <v>0</v>
      </c>
      <c r="BE130" s="43">
        <f t="shared" si="370"/>
        <v>34.9</v>
      </c>
      <c r="BF130" s="44"/>
      <c r="BG130" s="45">
        <f t="shared" si="371"/>
        <v>18</v>
      </c>
      <c r="BH130" s="45">
        <f t="shared" si="372"/>
        <v>1</v>
      </c>
      <c r="BI130" s="45">
        <f t="shared" si="373"/>
        <v>16.899999999999999</v>
      </c>
      <c r="BJ130" s="46">
        <f t="shared" si="374"/>
        <v>0</v>
      </c>
      <c r="BK130" s="46">
        <f t="shared" si="375"/>
        <v>0</v>
      </c>
      <c r="BL130" s="46">
        <f t="shared" si="376"/>
        <v>0</v>
      </c>
    </row>
    <row r="131" spans="1:64" ht="30" customHeight="1" x14ac:dyDescent="0.25">
      <c r="A131" s="84" t="str">
        <f t="shared" si="163"/>
        <v>Д</v>
      </c>
      <c r="B131" s="84" t="str">
        <f t="shared" si="164"/>
        <v>Б</v>
      </c>
      <c r="C131" s="101" t="s">
        <v>1471</v>
      </c>
      <c r="D131" s="16" t="str">
        <f t="shared" si="165"/>
        <v>'09.03.03</v>
      </c>
      <c r="E131" s="17" t="str">
        <f t="shared" si="166"/>
        <v>Прикладная информатика</v>
      </c>
      <c r="F131" s="9" t="s">
        <v>414</v>
      </c>
      <c r="G131" s="9" t="s">
        <v>42</v>
      </c>
      <c r="H131" s="10" t="s">
        <v>3233</v>
      </c>
      <c r="I131" s="10" t="s">
        <v>3232</v>
      </c>
      <c r="J131" s="24" t="s">
        <v>3222</v>
      </c>
      <c r="K131" s="11" t="s">
        <v>3227</v>
      </c>
      <c r="L131" s="11">
        <v>9</v>
      </c>
      <c r="M131" s="8" t="s">
        <v>94</v>
      </c>
      <c r="N131" s="11"/>
      <c r="O131" s="11">
        <v>4</v>
      </c>
      <c r="P131" s="11"/>
      <c r="Q131" s="8"/>
      <c r="R131" s="11"/>
      <c r="S131" s="11"/>
      <c r="T131" s="11"/>
      <c r="U131" s="11"/>
      <c r="V131" s="11">
        <v>15</v>
      </c>
      <c r="W131" s="83" t="str">
        <f t="shared" si="167"/>
        <v>НПИбд</v>
      </c>
      <c r="X131" s="110" t="s">
        <v>3244</v>
      </c>
      <c r="Y131" s="11">
        <v>1</v>
      </c>
      <c r="Z131" s="11">
        <v>1</v>
      </c>
      <c r="AA131" s="83">
        <f t="shared" si="168"/>
        <v>30</v>
      </c>
      <c r="AB131" s="11">
        <v>27</v>
      </c>
      <c r="AC131" s="11">
        <v>3</v>
      </c>
      <c r="AD131" s="81">
        <f t="shared" si="169"/>
        <v>12</v>
      </c>
      <c r="AE131" s="82">
        <f t="shared" si="170"/>
        <v>1</v>
      </c>
      <c r="AF131" s="82">
        <f t="shared" si="171"/>
        <v>2.5</v>
      </c>
      <c r="AG131" s="102" t="s">
        <v>3250</v>
      </c>
      <c r="AH131" s="8" t="s">
        <v>204</v>
      </c>
      <c r="AI131" s="8" t="s">
        <v>212</v>
      </c>
      <c r="AJ131" s="35" t="s">
        <v>3261</v>
      </c>
      <c r="AK131" s="8"/>
      <c r="AL131" s="42">
        <f t="shared" si="172"/>
        <v>0</v>
      </c>
      <c r="AM131" s="42">
        <f t="shared" si="360"/>
        <v>0</v>
      </c>
      <c r="AN131" s="42">
        <f t="shared" si="361"/>
        <v>36</v>
      </c>
      <c r="AO131" s="42">
        <f t="shared" si="233"/>
        <v>0</v>
      </c>
      <c r="AP131" s="42">
        <f t="shared" si="362"/>
        <v>0</v>
      </c>
      <c r="AQ131" s="42">
        <f t="shared" si="363"/>
        <v>0</v>
      </c>
      <c r="AR131" s="42">
        <f t="shared" si="173"/>
        <v>0</v>
      </c>
      <c r="AS131" s="42">
        <f t="shared" si="364"/>
        <v>0</v>
      </c>
      <c r="AT131" s="42">
        <f t="shared" si="365"/>
        <v>0</v>
      </c>
      <c r="AU131" s="42">
        <f t="shared" si="366"/>
        <v>0</v>
      </c>
      <c r="AV131" s="42">
        <f>IF(M131="ПП",РПП*AA131*(U131/1.5),IF(M131="ВП",ВПр*AA131*(U131/1.5),IF(M131="РПА",РПА*AA131*(U131/1.5),IF(M131="КПА",КПА*AA131*(U131/1.5),0))))</f>
        <v>0</v>
      </c>
      <c r="AW131" s="42">
        <f t="shared" si="367"/>
        <v>0</v>
      </c>
      <c r="AX131" s="42">
        <f t="shared" si="174"/>
        <v>0</v>
      </c>
      <c r="AY131" s="42">
        <f t="shared" si="175"/>
        <v>0</v>
      </c>
      <c r="AZ131" s="42">
        <f t="shared" si="368"/>
        <v>0</v>
      </c>
      <c r="BA131" s="42">
        <f t="shared" si="176"/>
        <v>0</v>
      </c>
      <c r="BB131" s="42">
        <f t="shared" si="177"/>
        <v>0</v>
      </c>
      <c r="BC131" s="42">
        <f t="shared" si="178"/>
        <v>0</v>
      </c>
      <c r="BD131" s="42">
        <f t="shared" si="369"/>
        <v>0</v>
      </c>
      <c r="BE131" s="43">
        <f t="shared" si="370"/>
        <v>36</v>
      </c>
      <c r="BF131" s="44"/>
      <c r="BG131" s="45">
        <f t="shared" si="371"/>
        <v>36</v>
      </c>
      <c r="BH131" s="45">
        <f t="shared" si="372"/>
        <v>2</v>
      </c>
      <c r="BI131" s="45">
        <f t="shared" si="373"/>
        <v>0</v>
      </c>
      <c r="BJ131" s="46">
        <f t="shared" si="374"/>
        <v>0</v>
      </c>
      <c r="BK131" s="46">
        <f t="shared" si="375"/>
        <v>0</v>
      </c>
      <c r="BL131" s="46">
        <f t="shared" si="376"/>
        <v>0</v>
      </c>
    </row>
    <row r="132" spans="1:64" ht="30" customHeight="1" x14ac:dyDescent="0.25">
      <c r="A132" s="84" t="str">
        <f t="shared" si="163"/>
        <v>Д</v>
      </c>
      <c r="B132" s="84" t="str">
        <f t="shared" si="164"/>
        <v>Б</v>
      </c>
      <c r="C132" s="101" t="s">
        <v>1471</v>
      </c>
      <c r="D132" s="16" t="str">
        <f t="shared" si="165"/>
        <v>'09.03.03</v>
      </c>
      <c r="E132" s="17" t="str">
        <f t="shared" si="166"/>
        <v>Прикладная информатика</v>
      </c>
      <c r="F132" s="9" t="s">
        <v>414</v>
      </c>
      <c r="G132" s="9" t="s">
        <v>42</v>
      </c>
      <c r="H132" s="10" t="s">
        <v>3233</v>
      </c>
      <c r="I132" s="10" t="s">
        <v>3231</v>
      </c>
      <c r="J132" s="24" t="s">
        <v>3223</v>
      </c>
      <c r="K132" s="11">
        <v>6</v>
      </c>
      <c r="L132" s="11"/>
      <c r="M132" s="8" t="s">
        <v>95</v>
      </c>
      <c r="N132" s="11"/>
      <c r="O132" s="11"/>
      <c r="P132" s="11"/>
      <c r="Q132" s="8"/>
      <c r="R132" s="11"/>
      <c r="S132" s="11"/>
      <c r="T132" s="11"/>
      <c r="U132" s="11">
        <v>3</v>
      </c>
      <c r="V132" s="11"/>
      <c r="W132" s="83" t="str">
        <f t="shared" si="167"/>
        <v>НПИбд</v>
      </c>
      <c r="X132" s="110" t="s">
        <v>3355</v>
      </c>
      <c r="Y132" s="11">
        <v>1</v>
      </c>
      <c r="Z132" s="11">
        <v>1</v>
      </c>
      <c r="AA132" s="83">
        <f t="shared" si="168"/>
        <v>25</v>
      </c>
      <c r="AB132" s="11">
        <v>20</v>
      </c>
      <c r="AC132" s="11">
        <v>5</v>
      </c>
      <c r="AD132" s="81">
        <f t="shared" si="169"/>
        <v>1</v>
      </c>
      <c r="AE132" s="82">
        <f t="shared" si="170"/>
        <v>1</v>
      </c>
      <c r="AF132" s="82">
        <f t="shared" si="171"/>
        <v>25</v>
      </c>
      <c r="AG132" s="102" t="s">
        <v>3250</v>
      </c>
      <c r="AH132" s="8" t="s">
        <v>203</v>
      </c>
      <c r="AI132" s="8" t="s">
        <v>214</v>
      </c>
      <c r="AJ132" s="36" t="s">
        <v>3285</v>
      </c>
      <c r="AK132" s="8"/>
      <c r="AL132" s="42">
        <f t="shared" si="172"/>
        <v>0</v>
      </c>
      <c r="AM132" s="42">
        <f t="shared" si="360"/>
        <v>0</v>
      </c>
      <c r="AN132" s="42">
        <f t="shared" si="361"/>
        <v>0</v>
      </c>
      <c r="AO132" s="42">
        <f t="shared" si="233"/>
        <v>0</v>
      </c>
      <c r="AP132" s="42">
        <f t="shared" si="362"/>
        <v>0</v>
      </c>
      <c r="AQ132" s="42">
        <f t="shared" si="363"/>
        <v>0</v>
      </c>
      <c r="AR132" s="42">
        <f t="shared" si="173"/>
        <v>0</v>
      </c>
      <c r="AS132" s="42">
        <f t="shared" si="364"/>
        <v>0</v>
      </c>
      <c r="AT132" s="42">
        <f t="shared" si="365"/>
        <v>0</v>
      </c>
      <c r="AU132" s="42">
        <f t="shared" si="366"/>
        <v>0</v>
      </c>
      <c r="AV132" s="42">
        <f>IF(M132="ПП",РПП*AA132*(U132/1.5),IF(M132="ВП",ВПр*AA132*(U132/1.5),IF(M132="РПА",РПА*AA132*(U132/1.5),IF(M132="КПА",КПА*AA132*(U132/1.5),0))))</f>
        <v>0</v>
      </c>
      <c r="AW132" s="42">
        <f t="shared" si="367"/>
        <v>0</v>
      </c>
      <c r="AX132" s="42">
        <f t="shared" si="174"/>
        <v>0</v>
      </c>
      <c r="AY132" s="42">
        <f t="shared" si="175"/>
        <v>0</v>
      </c>
      <c r="AZ132" s="42">
        <f t="shared" si="368"/>
        <v>0</v>
      </c>
      <c r="BA132" s="42">
        <f t="shared" si="176"/>
        <v>0</v>
      </c>
      <c r="BB132" s="42">
        <f t="shared" si="177"/>
        <v>0</v>
      </c>
      <c r="BC132" s="42">
        <f t="shared" si="178"/>
        <v>0</v>
      </c>
      <c r="BD132" s="42">
        <f t="shared" si="369"/>
        <v>0</v>
      </c>
      <c r="BE132" s="43">
        <f t="shared" si="370"/>
        <v>0</v>
      </c>
      <c r="BF132" s="44"/>
      <c r="BG132" s="45">
        <f t="shared" si="371"/>
        <v>0</v>
      </c>
      <c r="BH132" s="45">
        <f t="shared" si="372"/>
        <v>0</v>
      </c>
      <c r="BI132" s="45">
        <f t="shared" si="373"/>
        <v>0</v>
      </c>
      <c r="BJ132" s="46">
        <f t="shared" si="374"/>
        <v>0</v>
      </c>
      <c r="BK132" s="46">
        <f t="shared" si="375"/>
        <v>0</v>
      </c>
      <c r="BL132" s="46">
        <f t="shared" si="376"/>
        <v>0</v>
      </c>
    </row>
    <row r="133" spans="1:64" ht="30" customHeight="1" x14ac:dyDescent="0.25">
      <c r="A133" s="84" t="str">
        <f t="shared" si="163"/>
        <v>Д</v>
      </c>
      <c r="B133" s="84" t="str">
        <f t="shared" si="164"/>
        <v>Б</v>
      </c>
      <c r="C133" s="101" t="s">
        <v>1471</v>
      </c>
      <c r="D133" s="16" t="str">
        <f t="shared" si="165"/>
        <v>'09.03.03</v>
      </c>
      <c r="E133" s="17" t="str">
        <f t="shared" si="166"/>
        <v>Прикладная информатика</v>
      </c>
      <c r="F133" s="9" t="s">
        <v>498</v>
      </c>
      <c r="G133" s="9" t="s">
        <v>42</v>
      </c>
      <c r="H133" s="10" t="s">
        <v>3233</v>
      </c>
      <c r="I133" s="10"/>
      <c r="J133" s="24" t="s">
        <v>3201</v>
      </c>
      <c r="K133" s="11" t="s">
        <v>3228</v>
      </c>
      <c r="L133" s="11"/>
      <c r="M133" s="8" t="s">
        <v>188</v>
      </c>
      <c r="N133" s="11"/>
      <c r="O133" s="11"/>
      <c r="P133" s="11"/>
      <c r="Q133" s="8"/>
      <c r="R133" s="11"/>
      <c r="S133" s="11"/>
      <c r="T133" s="11"/>
      <c r="U133" s="11"/>
      <c r="V133" s="11">
        <v>15</v>
      </c>
      <c r="W133" s="83" t="str">
        <f t="shared" si="167"/>
        <v>НПИбд</v>
      </c>
      <c r="X133" s="110" t="s">
        <v>3244</v>
      </c>
      <c r="Y133" s="11">
        <v>1</v>
      </c>
      <c r="Z133" s="11">
        <v>1</v>
      </c>
      <c r="AA133" s="83">
        <f t="shared" si="168"/>
        <v>25</v>
      </c>
      <c r="AB133" s="11">
        <v>20</v>
      </c>
      <c r="AC133" s="11">
        <v>5</v>
      </c>
      <c r="AD133" s="81">
        <f t="shared" si="169"/>
        <v>1</v>
      </c>
      <c r="AE133" s="82">
        <f t="shared" si="170"/>
        <v>1</v>
      </c>
      <c r="AF133" s="82">
        <f t="shared" si="171"/>
        <v>25</v>
      </c>
      <c r="AG133" s="102" t="s">
        <v>3250</v>
      </c>
      <c r="AH133" s="8" t="s">
        <v>204</v>
      </c>
      <c r="AI133" s="8" t="s">
        <v>212</v>
      </c>
      <c r="AJ133" s="35" t="s">
        <v>3255</v>
      </c>
      <c r="AK133" s="8"/>
      <c r="AL133" s="42">
        <f t="shared" si="172"/>
        <v>0</v>
      </c>
      <c r="AM133" s="42">
        <f t="shared" si="360"/>
        <v>0</v>
      </c>
      <c r="AN133" s="42">
        <f t="shared" si="361"/>
        <v>0</v>
      </c>
      <c r="AO133" s="42">
        <f t="shared" si="233"/>
        <v>0</v>
      </c>
      <c r="AP133" s="42">
        <f t="shared" si="362"/>
        <v>0</v>
      </c>
      <c r="AQ133" s="42">
        <f t="shared" si="363"/>
        <v>0</v>
      </c>
      <c r="AR133" s="42">
        <f t="shared" si="173"/>
        <v>0</v>
      </c>
      <c r="AS133" s="42">
        <f t="shared" si="364"/>
        <v>0</v>
      </c>
      <c r="AT133" s="42">
        <f t="shared" si="365"/>
        <v>0</v>
      </c>
      <c r="AU133" s="42">
        <f t="shared" si="366"/>
        <v>0</v>
      </c>
      <c r="AV133" s="42">
        <f>IF(M133="ПП",РПП*AA133*(U133/1.5),IF(M133="ВП",ВПр*AA133*(U133/1.5),IF(M133="РПА",РПА*AA133*(U133/1.5),IF(M133="КПА",КПА*AA133*(U133/1.5),0))))</f>
        <v>0</v>
      </c>
      <c r="AW133" s="42">
        <f t="shared" si="367"/>
        <v>275</v>
      </c>
      <c r="AX133" s="42">
        <f t="shared" si="174"/>
        <v>0</v>
      </c>
      <c r="AY133" s="42">
        <f t="shared" si="175"/>
        <v>0</v>
      </c>
      <c r="AZ133" s="42">
        <f t="shared" si="368"/>
        <v>0</v>
      </c>
      <c r="BA133" s="42">
        <f t="shared" si="176"/>
        <v>0</v>
      </c>
      <c r="BB133" s="42">
        <f t="shared" si="177"/>
        <v>0</v>
      </c>
      <c r="BC133" s="42">
        <f t="shared" si="178"/>
        <v>0</v>
      </c>
      <c r="BD133" s="42">
        <f t="shared" si="369"/>
        <v>0</v>
      </c>
      <c r="BE133" s="43">
        <f t="shared" si="370"/>
        <v>275</v>
      </c>
      <c r="BF133" s="44"/>
      <c r="BG133" s="45">
        <f t="shared" si="371"/>
        <v>0</v>
      </c>
      <c r="BH133" s="45">
        <f t="shared" si="372"/>
        <v>0</v>
      </c>
      <c r="BI133" s="45">
        <f t="shared" si="373"/>
        <v>0</v>
      </c>
      <c r="BJ133" s="46">
        <f t="shared" si="374"/>
        <v>0</v>
      </c>
      <c r="BK133" s="46">
        <f t="shared" si="375"/>
        <v>0</v>
      </c>
      <c r="BL133" s="46">
        <f t="shared" si="376"/>
        <v>275</v>
      </c>
    </row>
    <row r="134" spans="1:64" ht="30" customHeight="1" x14ac:dyDescent="0.25">
      <c r="A134" s="84" t="str">
        <f t="shared" ref="A134:A197" si="377">IF(C134&gt;0, VLOOKUP(C134,Код_ООП,12,FALSE),0)</f>
        <v>Д</v>
      </c>
      <c r="B134" s="84" t="str">
        <f t="shared" si="164"/>
        <v>Б</v>
      </c>
      <c r="C134" s="101" t="s">
        <v>1471</v>
      </c>
      <c r="D134" s="16" t="str">
        <f t="shared" si="165"/>
        <v>'09.03.03</v>
      </c>
      <c r="E134" s="17" t="str">
        <f t="shared" si="166"/>
        <v>Прикладная информатика</v>
      </c>
      <c r="F134" s="9" t="s">
        <v>498</v>
      </c>
      <c r="G134" s="9" t="s">
        <v>42</v>
      </c>
      <c r="H134" s="10" t="s">
        <v>3233</v>
      </c>
      <c r="I134" s="10"/>
      <c r="J134" s="24" t="s">
        <v>3202</v>
      </c>
      <c r="K134" s="11" t="s">
        <v>3229</v>
      </c>
      <c r="L134" s="11"/>
      <c r="M134" s="8" t="s">
        <v>187</v>
      </c>
      <c r="N134" s="11"/>
      <c r="O134" s="11"/>
      <c r="P134" s="11"/>
      <c r="Q134" s="8"/>
      <c r="R134" s="11"/>
      <c r="S134" s="11"/>
      <c r="T134" s="11"/>
      <c r="U134" s="11">
        <v>3</v>
      </c>
      <c r="V134" s="11"/>
      <c r="W134" s="83" t="str">
        <f t="shared" ref="W134:W197" si="378">MID(C134,1,5)</f>
        <v>НПИбд</v>
      </c>
      <c r="X134" s="110" t="s">
        <v>3244</v>
      </c>
      <c r="Y134" s="11">
        <v>1</v>
      </c>
      <c r="Z134" s="11">
        <v>1</v>
      </c>
      <c r="AA134" s="83">
        <f t="shared" si="168"/>
        <v>25</v>
      </c>
      <c r="AB134" s="11">
        <v>20</v>
      </c>
      <c r="AC134" s="11">
        <v>5</v>
      </c>
      <c r="AD134" s="81">
        <f t="shared" ref="AD134:AD197" si="379">IF(M134="сп",6,IF(M134="клн",8,IF(OR(M134="лаб",M134="ия"),12,IF(OR(M134="пр",M134="ТЕСТ"),IF(OR(B134="Б",B134="С"),24,12),IF(M134="лек",AA134,1)))))</f>
        <v>1</v>
      </c>
      <c r="AE134" s="82">
        <f t="shared" si="170"/>
        <v>1</v>
      </c>
      <c r="AF134" s="82">
        <f t="shared" si="171"/>
        <v>25</v>
      </c>
      <c r="AG134" s="102" t="s">
        <v>3250</v>
      </c>
      <c r="AH134" s="8" t="s">
        <v>447</v>
      </c>
      <c r="AI134" s="8"/>
      <c r="AJ134" s="37" t="s">
        <v>412</v>
      </c>
      <c r="AK134" s="8"/>
      <c r="AL134" s="42">
        <f t="shared" ref="AL134:AL197" si="380">IF(OR(M134="лек",M134="ТУИС"),(IF(NOT(B134="ЦМ"),N134*L134,0)),0)</f>
        <v>0</v>
      </c>
      <c r="AM134" s="42">
        <f t="shared" si="360"/>
        <v>0</v>
      </c>
      <c r="AN134" s="42">
        <f t="shared" si="361"/>
        <v>0</v>
      </c>
      <c r="AO134" s="42">
        <f t="shared" si="233"/>
        <v>0</v>
      </c>
      <c r="AP134" s="42">
        <f t="shared" si="362"/>
        <v>0</v>
      </c>
      <c r="AQ134" s="42">
        <f t="shared" si="363"/>
        <v>0</v>
      </c>
      <c r="AR134" s="42">
        <f t="shared" ref="AR134:AR197" si="381">(IF(A134="Д",ТКЛД,IF(A134="В",ТКЛВ,IF(A134="З",ТКЛЗ,0))))*(IF(F134="ФТД",0,AL134))*Z134</f>
        <v>0</v>
      </c>
      <c r="AS134" s="42">
        <f t="shared" si="364"/>
        <v>0</v>
      </c>
      <c r="AT134" s="42">
        <f t="shared" si="365"/>
        <v>0</v>
      </c>
      <c r="AU134" s="42">
        <f t="shared" si="366"/>
        <v>0</v>
      </c>
      <c r="AV134" s="42">
        <f>IF(M134="ПП",РПП*AA134*(U134/1.5),IF(M134="ВП",ВПр*AA134*(U134/1.5),IF(M134="РПА",РПА*AA134*(U134/1.5),IF(M134="КПА",КПА*AA134*(U134/1.5),0))))</f>
        <v>75</v>
      </c>
      <c r="AW134" s="42">
        <f t="shared" si="367"/>
        <v>0</v>
      </c>
      <c r="AX134" s="42">
        <f t="shared" ref="AX134:AX197" si="382">IF(AND(M134="ЦП",B134="ЦМ"),AA134*ЦП,0)</f>
        <v>0</v>
      </c>
      <c r="AY134" s="42">
        <f t="shared" ref="AY134:AY197" si="383">IF(B134="А",IF(M134="РР",AA134*РефАсп,IF(M134="РРФ",AA134*РефФил,0)),0)</f>
        <v>0</v>
      </c>
      <c r="AZ134" s="42">
        <f t="shared" si="368"/>
        <v>0</v>
      </c>
      <c r="BA134" s="42">
        <f t="shared" ref="BA134:BA197" si="384">IF(AND(M134="НКД",B134="Д"),AA134*НКД,0)+IF(AND(M134="РПЛ",B134="А"),AA134*РукПЛ,0)+IF(AND(M134="РСтж",B134="А"),AB134*РукСт+AC134*РукИСт,0)+IF(M134="ФГТ",AB134*РукРФа+AC134*РукИна,0)</f>
        <v>0</v>
      </c>
      <c r="BB134" s="42">
        <f t="shared" ref="BB134:BB197" si="385">IF(M134="РК",IF(OR(B134="С",B134="М",B134="ЦМ"),(AB134*РСМ+AC134*РСМИ),0),0)+IF(M134="РК",IF(B134="Б",(AB134*РБ+AC134*РБИ),0),0)+IF(M134="РК",IF(B134="А",(AB134*РНКР+AC134*РНКРИн),0),0)+IF(AND(Q134="ПАкр"),AA134*0.3)</f>
        <v>0</v>
      </c>
      <c r="BC134" s="42">
        <f t="shared" ref="BC134:BC197" si="386">IF(M134="РДП",IF(B134="А",AA134*РРА,IF(OR(B134="С",B134="М",B134="ЦМ"),AA134*РРСМ,IF(B134="Б",AA134*РРБ,0))),IF(M134="РДИ",AA134*РДП,0))</f>
        <v>0</v>
      </c>
      <c r="BD134" s="42">
        <f t="shared" si="369"/>
        <v>0</v>
      </c>
      <c r="BE134" s="43">
        <f t="shared" si="370"/>
        <v>75</v>
      </c>
      <c r="BF134" s="44"/>
      <c r="BG134" s="45">
        <f t="shared" si="371"/>
        <v>0</v>
      </c>
      <c r="BH134" s="45">
        <f t="shared" si="372"/>
        <v>0</v>
      </c>
      <c r="BI134" s="45">
        <f t="shared" si="373"/>
        <v>0</v>
      </c>
      <c r="BJ134" s="46">
        <f t="shared" si="374"/>
        <v>0</v>
      </c>
      <c r="BK134" s="46">
        <f t="shared" si="375"/>
        <v>0</v>
      </c>
      <c r="BL134" s="46">
        <f t="shared" si="376"/>
        <v>75</v>
      </c>
    </row>
    <row r="135" spans="1:64" ht="30" customHeight="1" x14ac:dyDescent="0.25">
      <c r="A135" s="84" t="str">
        <f t="shared" si="377"/>
        <v>Д</v>
      </c>
      <c r="B135" s="84" t="str">
        <f t="shared" si="164"/>
        <v>Б</v>
      </c>
      <c r="C135" s="101" t="s">
        <v>1471</v>
      </c>
      <c r="D135" s="16" t="str">
        <f t="shared" si="165"/>
        <v>'09.03.03</v>
      </c>
      <c r="E135" s="17" t="str">
        <f t="shared" si="166"/>
        <v>Прикладная информатика</v>
      </c>
      <c r="F135" s="9" t="s">
        <v>498</v>
      </c>
      <c r="G135" s="9" t="s">
        <v>42</v>
      </c>
      <c r="H135" s="10" t="s">
        <v>3233</v>
      </c>
      <c r="I135" s="10"/>
      <c r="J135" s="24" t="s">
        <v>3224</v>
      </c>
      <c r="K135" s="11" t="s">
        <v>3229</v>
      </c>
      <c r="L135" s="11"/>
      <c r="M135" s="8" t="s">
        <v>98</v>
      </c>
      <c r="N135" s="11"/>
      <c r="O135" s="11"/>
      <c r="P135" s="11"/>
      <c r="Q135" s="8" t="s">
        <v>97</v>
      </c>
      <c r="R135" s="12"/>
      <c r="S135" s="12"/>
      <c r="T135" s="12"/>
      <c r="U135" s="12"/>
      <c r="V135" s="12"/>
      <c r="W135" s="83" t="str">
        <f t="shared" si="378"/>
        <v>НПИбд</v>
      </c>
      <c r="X135" s="110" t="s">
        <v>3244</v>
      </c>
      <c r="Y135" s="11"/>
      <c r="Z135" s="11">
        <v>1</v>
      </c>
      <c r="AA135" s="83">
        <f t="shared" si="168"/>
        <v>25</v>
      </c>
      <c r="AB135" s="11">
        <v>20</v>
      </c>
      <c r="AC135" s="11">
        <v>5</v>
      </c>
      <c r="AD135" s="81">
        <f t="shared" si="379"/>
        <v>24</v>
      </c>
      <c r="AE135" s="82">
        <f t="shared" si="170"/>
        <v>1</v>
      </c>
      <c r="AF135" s="82">
        <f t="shared" si="171"/>
        <v>1.0416666666666667</v>
      </c>
      <c r="AG135" s="102" t="s">
        <v>3250</v>
      </c>
      <c r="AH135" s="8" t="s">
        <v>204</v>
      </c>
      <c r="AI135" s="8" t="s">
        <v>212</v>
      </c>
      <c r="AJ135" s="35" t="s">
        <v>3255</v>
      </c>
      <c r="AK135" s="8"/>
      <c r="AL135" s="42">
        <f t="shared" si="380"/>
        <v>0</v>
      </c>
      <c r="AM135" s="42">
        <f t="shared" si="360"/>
        <v>0</v>
      </c>
      <c r="AN135" s="42">
        <f t="shared" si="361"/>
        <v>0</v>
      </c>
      <c r="AO135" s="42">
        <f t="shared" si="233"/>
        <v>0</v>
      </c>
      <c r="AP135" s="42">
        <f t="shared" si="362"/>
        <v>0</v>
      </c>
      <c r="AQ135" s="42">
        <f t="shared" si="363"/>
        <v>0</v>
      </c>
      <c r="AR135" s="42">
        <f t="shared" si="381"/>
        <v>0</v>
      </c>
      <c r="AS135" s="42">
        <f t="shared" si="364"/>
        <v>0</v>
      </c>
      <c r="AT135" s="42">
        <f t="shared" si="365"/>
        <v>0</v>
      </c>
      <c r="AU135" s="42">
        <f t="shared" si="366"/>
        <v>0</v>
      </c>
      <c r="AV135" s="42">
        <f>IF(M135="ПП",РПП*AA135*(U135/1.5),IF(M135="ВП",ВПр*AA135*(U135/1.5),IF(M135="РПА",РПА*AA135*(U135/1.5),IF(M135="КПА",КПА*AA135*(U135/1.5),0))))</f>
        <v>0</v>
      </c>
      <c r="AW135" s="42">
        <f t="shared" si="367"/>
        <v>0</v>
      </c>
      <c r="AX135" s="42">
        <f t="shared" si="382"/>
        <v>0</v>
      </c>
      <c r="AY135" s="42">
        <f t="shared" si="383"/>
        <v>0</v>
      </c>
      <c r="AZ135" s="42">
        <f t="shared" si="368"/>
        <v>0</v>
      </c>
      <c r="BA135" s="42">
        <f t="shared" si="384"/>
        <v>0</v>
      </c>
      <c r="BB135" s="42">
        <f t="shared" si="385"/>
        <v>0</v>
      </c>
      <c r="BC135" s="42">
        <f t="shared" si="386"/>
        <v>0</v>
      </c>
      <c r="BD135" s="42">
        <f t="shared" si="369"/>
        <v>2</v>
      </c>
      <c r="BE135" s="43">
        <f t="shared" si="370"/>
        <v>2</v>
      </c>
      <c r="BF135" s="44"/>
      <c r="BG135" s="45">
        <f t="shared" si="371"/>
        <v>0</v>
      </c>
      <c r="BH135" s="45">
        <f t="shared" si="372"/>
        <v>0</v>
      </c>
      <c r="BI135" s="45">
        <f t="shared" si="373"/>
        <v>0</v>
      </c>
      <c r="BJ135" s="46">
        <f t="shared" si="374"/>
        <v>0</v>
      </c>
      <c r="BK135" s="46">
        <f t="shared" si="375"/>
        <v>0</v>
      </c>
      <c r="BL135" s="46">
        <f t="shared" si="376"/>
        <v>2</v>
      </c>
    </row>
    <row r="136" spans="1:64" ht="30" customHeight="1" x14ac:dyDescent="0.25">
      <c r="A136" s="84" t="str">
        <f t="shared" si="377"/>
        <v>Д</v>
      </c>
      <c r="B136" s="84" t="str">
        <f t="shared" si="164"/>
        <v>Б</v>
      </c>
      <c r="C136" s="101" t="s">
        <v>1471</v>
      </c>
      <c r="D136" s="16" t="str">
        <f t="shared" si="165"/>
        <v>'09.03.03</v>
      </c>
      <c r="E136" s="17" t="str">
        <f t="shared" si="166"/>
        <v>Прикладная информатика</v>
      </c>
      <c r="F136" s="9" t="s">
        <v>498</v>
      </c>
      <c r="G136" s="9" t="s">
        <v>42</v>
      </c>
      <c r="H136" s="10" t="s">
        <v>3233</v>
      </c>
      <c r="I136" s="10"/>
      <c r="J136" s="24" t="s">
        <v>3224</v>
      </c>
      <c r="K136" s="11" t="s">
        <v>3229</v>
      </c>
      <c r="L136" s="11"/>
      <c r="M136" s="8" t="s">
        <v>12</v>
      </c>
      <c r="N136" s="11"/>
      <c r="O136" s="11"/>
      <c r="P136" s="11"/>
      <c r="Q136" s="8" t="s">
        <v>97</v>
      </c>
      <c r="R136" s="11"/>
      <c r="S136" s="11"/>
      <c r="T136" s="23"/>
      <c r="U136" s="11"/>
      <c r="V136" s="11"/>
      <c r="W136" s="83" t="str">
        <f t="shared" si="378"/>
        <v>НПИбд</v>
      </c>
      <c r="X136" s="110" t="s">
        <v>3244</v>
      </c>
      <c r="Y136" s="11"/>
      <c r="Z136" s="11">
        <v>1</v>
      </c>
      <c r="AA136" s="83">
        <f t="shared" si="168"/>
        <v>25</v>
      </c>
      <c r="AB136" s="11">
        <v>20</v>
      </c>
      <c r="AC136" s="11">
        <v>5</v>
      </c>
      <c r="AD136" s="81">
        <f t="shared" si="379"/>
        <v>1</v>
      </c>
      <c r="AE136" s="82">
        <f t="shared" si="170"/>
        <v>1</v>
      </c>
      <c r="AF136" s="82">
        <f t="shared" si="171"/>
        <v>25</v>
      </c>
      <c r="AG136" s="102" t="s">
        <v>3250</v>
      </c>
      <c r="AH136" s="8" t="s">
        <v>447</v>
      </c>
      <c r="AI136" s="8"/>
      <c r="AJ136" s="35" t="s">
        <v>412</v>
      </c>
      <c r="AK136" s="8"/>
      <c r="AL136" s="42">
        <f t="shared" si="380"/>
        <v>0</v>
      </c>
      <c r="AM136" s="42">
        <f t="shared" si="360"/>
        <v>0</v>
      </c>
      <c r="AN136" s="42">
        <f t="shared" si="361"/>
        <v>0</v>
      </c>
      <c r="AO136" s="42">
        <f t="shared" si="233"/>
        <v>0</v>
      </c>
      <c r="AP136" s="42">
        <f t="shared" si="362"/>
        <v>0</v>
      </c>
      <c r="AQ136" s="42">
        <f t="shared" si="363"/>
        <v>0</v>
      </c>
      <c r="AR136" s="42">
        <f t="shared" si="381"/>
        <v>0</v>
      </c>
      <c r="AS136" s="42">
        <f t="shared" si="364"/>
        <v>0</v>
      </c>
      <c r="AT136" s="42">
        <f t="shared" si="365"/>
        <v>0</v>
      </c>
      <c r="AU136" s="42">
        <f t="shared" si="366"/>
        <v>0</v>
      </c>
      <c r="AV136" s="42">
        <f>IF(M136="ПП",РПП*AA136*(U136/1.5),IF(M136="ВП",ВПр*AA136*(U136/1.5),IF(M136="РПА",РПА*AA136*(U136/1.5),IF(M136="КПА",КПА*AA136*(U136/1.5),0))))</f>
        <v>0</v>
      </c>
      <c r="AW136" s="42">
        <f t="shared" si="367"/>
        <v>0</v>
      </c>
      <c r="AX136" s="42">
        <f t="shared" si="382"/>
        <v>0</v>
      </c>
      <c r="AY136" s="42">
        <f t="shared" si="383"/>
        <v>0</v>
      </c>
      <c r="AZ136" s="42">
        <f t="shared" si="368"/>
        <v>0</v>
      </c>
      <c r="BA136" s="42">
        <f t="shared" si="384"/>
        <v>0</v>
      </c>
      <c r="BB136" s="42">
        <f t="shared" si="385"/>
        <v>0</v>
      </c>
      <c r="BC136" s="42">
        <f t="shared" si="386"/>
        <v>0</v>
      </c>
      <c r="BD136" s="42">
        <f t="shared" si="369"/>
        <v>12.5</v>
      </c>
      <c r="BE136" s="43">
        <f t="shared" si="370"/>
        <v>12.5</v>
      </c>
      <c r="BF136" s="44"/>
      <c r="BG136" s="45">
        <f t="shared" si="371"/>
        <v>0</v>
      </c>
      <c r="BH136" s="45">
        <f t="shared" si="372"/>
        <v>0</v>
      </c>
      <c r="BI136" s="45">
        <f t="shared" si="373"/>
        <v>0</v>
      </c>
      <c r="BJ136" s="46">
        <f t="shared" si="374"/>
        <v>0</v>
      </c>
      <c r="BK136" s="46">
        <f t="shared" si="375"/>
        <v>0</v>
      </c>
      <c r="BL136" s="46">
        <f t="shared" si="376"/>
        <v>12.5</v>
      </c>
    </row>
    <row r="137" spans="1:64" ht="30" customHeight="1" x14ac:dyDescent="0.25">
      <c r="A137" s="84" t="str">
        <f t="shared" si="377"/>
        <v>Д</v>
      </c>
      <c r="B137" s="84" t="str">
        <f t="shared" ref="B137:B183" si="387">IF(C137&gt;0, VLOOKUP(C137,Код_ООП,11,FALSE),0)</f>
        <v>Б</v>
      </c>
      <c r="C137" s="101" t="s">
        <v>1471</v>
      </c>
      <c r="D137" s="16" t="str">
        <f t="shared" ref="D137:D183" si="388">IF(C137&gt;0, VLOOKUP(C137,Код_ООП,2,FALSE),0)</f>
        <v>'09.03.03</v>
      </c>
      <c r="E137" s="17" t="str">
        <f t="shared" ref="E137:E183" si="389">IF(C137&gt;0, VLOOKUP(C137,Код_ООП,13,FALSE),0)</f>
        <v>Прикладная информатика</v>
      </c>
      <c r="F137" s="9" t="s">
        <v>498</v>
      </c>
      <c r="G137" s="9" t="s">
        <v>42</v>
      </c>
      <c r="H137" s="10" t="s">
        <v>3233</v>
      </c>
      <c r="I137" s="10"/>
      <c r="J137" s="24" t="s">
        <v>3225</v>
      </c>
      <c r="K137" s="13">
        <v>8</v>
      </c>
      <c r="L137" s="11"/>
      <c r="M137" s="8" t="s">
        <v>96</v>
      </c>
      <c r="N137" s="13"/>
      <c r="O137" s="13"/>
      <c r="P137" s="13"/>
      <c r="Q137" s="8"/>
      <c r="R137" s="11"/>
      <c r="S137" s="11"/>
      <c r="T137" s="23"/>
      <c r="U137" s="11"/>
      <c r="V137" s="11"/>
      <c r="W137" s="83" t="str">
        <f t="shared" si="378"/>
        <v>НПИбд</v>
      </c>
      <c r="X137" s="110" t="s">
        <v>3244</v>
      </c>
      <c r="Y137" s="11"/>
      <c r="Z137" s="11">
        <v>1</v>
      </c>
      <c r="AA137" s="83">
        <f t="shared" ref="AA137:AA183" si="390">AB137+AC137</f>
        <v>25</v>
      </c>
      <c r="AB137" s="11">
        <v>20</v>
      </c>
      <c r="AC137" s="11">
        <v>5</v>
      </c>
      <c r="AD137" s="81">
        <f t="shared" si="379"/>
        <v>1</v>
      </c>
      <c r="AE137" s="82">
        <f t="shared" ref="AE137:AE183" si="391">IF(AF137&gt;1,1,AF137)</f>
        <v>1</v>
      </c>
      <c r="AF137" s="82">
        <f t="shared" ref="AF137:AF183" si="392">AA137/AD137</f>
        <v>25</v>
      </c>
      <c r="AG137" s="102" t="s">
        <v>3250</v>
      </c>
      <c r="AH137" s="8" t="s">
        <v>205</v>
      </c>
      <c r="AI137" s="8" t="s">
        <v>212</v>
      </c>
      <c r="AJ137" s="35" t="s">
        <v>3295</v>
      </c>
      <c r="AK137" s="8"/>
      <c r="AL137" s="42">
        <f t="shared" si="380"/>
        <v>0</v>
      </c>
      <c r="AM137" s="42">
        <f t="shared" si="360"/>
        <v>0</v>
      </c>
      <c r="AN137" s="42">
        <f t="shared" si="361"/>
        <v>0</v>
      </c>
      <c r="AO137" s="42">
        <f t="shared" si="233"/>
        <v>0</v>
      </c>
      <c r="AP137" s="42">
        <f t="shared" si="362"/>
        <v>0</v>
      </c>
      <c r="AQ137" s="42">
        <f t="shared" si="363"/>
        <v>0</v>
      </c>
      <c r="AR137" s="42">
        <f t="shared" si="381"/>
        <v>0</v>
      </c>
      <c r="AS137" s="42">
        <f t="shared" si="364"/>
        <v>0</v>
      </c>
      <c r="AT137" s="42">
        <f t="shared" si="365"/>
        <v>0</v>
      </c>
      <c r="AU137" s="42">
        <f t="shared" si="366"/>
        <v>0</v>
      </c>
      <c r="AV137" s="42">
        <f>IF(M137="ПП",РПП*AA137*(U137/1.5),IF(M137="ВП",ВПр*AA137*(U137/1.5),IF(M137="РПА",РПА*AA137*(U137/1.5),IF(M137="КПА",КПА*AA137*(U137/1.5),0))))</f>
        <v>0</v>
      </c>
      <c r="AW137" s="42">
        <f t="shared" si="367"/>
        <v>0</v>
      </c>
      <c r="AX137" s="42">
        <f t="shared" si="382"/>
        <v>0</v>
      </c>
      <c r="AY137" s="42">
        <f t="shared" si="383"/>
        <v>0</v>
      </c>
      <c r="AZ137" s="42">
        <f t="shared" si="368"/>
        <v>0</v>
      </c>
      <c r="BA137" s="42">
        <f t="shared" si="384"/>
        <v>0</v>
      </c>
      <c r="BB137" s="42">
        <f t="shared" si="385"/>
        <v>550</v>
      </c>
      <c r="BC137" s="42">
        <f t="shared" si="386"/>
        <v>0</v>
      </c>
      <c r="BD137" s="42">
        <f t="shared" si="369"/>
        <v>0</v>
      </c>
      <c r="BE137" s="43">
        <f t="shared" si="370"/>
        <v>550</v>
      </c>
      <c r="BF137" s="44"/>
      <c r="BG137" s="45">
        <f t="shared" si="371"/>
        <v>0</v>
      </c>
      <c r="BH137" s="45">
        <f t="shared" si="372"/>
        <v>0</v>
      </c>
      <c r="BI137" s="45">
        <f t="shared" si="373"/>
        <v>0</v>
      </c>
      <c r="BJ137" s="46">
        <f t="shared" si="374"/>
        <v>0</v>
      </c>
      <c r="BK137" s="46">
        <f t="shared" si="375"/>
        <v>0</v>
      </c>
      <c r="BL137" s="46">
        <f t="shared" si="376"/>
        <v>550</v>
      </c>
    </row>
    <row r="138" spans="1:64" ht="30" customHeight="1" x14ac:dyDescent="0.25">
      <c r="A138" s="84" t="str">
        <f t="shared" si="377"/>
        <v>Д</v>
      </c>
      <c r="B138" s="84" t="str">
        <f t="shared" si="387"/>
        <v>Б</v>
      </c>
      <c r="C138" s="101" t="s">
        <v>1471</v>
      </c>
      <c r="D138" s="16" t="str">
        <f t="shared" si="388"/>
        <v>'09.03.03</v>
      </c>
      <c r="E138" s="17" t="str">
        <f t="shared" si="389"/>
        <v>Прикладная информатика</v>
      </c>
      <c r="F138" s="9" t="s">
        <v>498</v>
      </c>
      <c r="G138" s="9" t="s">
        <v>42</v>
      </c>
      <c r="H138" s="10" t="s">
        <v>3233</v>
      </c>
      <c r="I138" s="10"/>
      <c r="J138" s="24" t="s">
        <v>73</v>
      </c>
      <c r="K138" s="11">
        <v>8</v>
      </c>
      <c r="L138" s="11"/>
      <c r="M138" s="8" t="s">
        <v>27</v>
      </c>
      <c r="N138" s="11"/>
      <c r="O138" s="11"/>
      <c r="P138" s="11"/>
      <c r="Q138" s="8"/>
      <c r="R138" s="11"/>
      <c r="S138" s="11"/>
      <c r="T138" s="23"/>
      <c r="U138" s="11"/>
      <c r="V138" s="11"/>
      <c r="W138" s="83" t="str">
        <f t="shared" si="378"/>
        <v>НПИбд</v>
      </c>
      <c r="X138" s="110" t="s">
        <v>3244</v>
      </c>
      <c r="Y138" s="11"/>
      <c r="Z138" s="11">
        <v>1</v>
      </c>
      <c r="AA138" s="83">
        <f t="shared" si="390"/>
        <v>25</v>
      </c>
      <c r="AB138" s="11">
        <v>20</v>
      </c>
      <c r="AC138" s="11">
        <v>5</v>
      </c>
      <c r="AD138" s="81">
        <f t="shared" si="379"/>
        <v>1</v>
      </c>
      <c r="AE138" s="82">
        <f t="shared" si="391"/>
        <v>1</v>
      </c>
      <c r="AF138" s="82">
        <f t="shared" si="392"/>
        <v>25</v>
      </c>
      <c r="AG138" s="102" t="s">
        <v>3250</v>
      </c>
      <c r="AH138" s="8" t="s">
        <v>447</v>
      </c>
      <c r="AI138" s="8"/>
      <c r="AJ138" s="35" t="s">
        <v>412</v>
      </c>
      <c r="AK138" s="8"/>
      <c r="AL138" s="42">
        <f t="shared" si="380"/>
        <v>0</v>
      </c>
      <c r="AM138" s="42">
        <f t="shared" si="360"/>
        <v>0</v>
      </c>
      <c r="AN138" s="42">
        <f t="shared" si="361"/>
        <v>0</v>
      </c>
      <c r="AO138" s="42">
        <f t="shared" si="233"/>
        <v>0</v>
      </c>
      <c r="AP138" s="42">
        <f t="shared" si="362"/>
        <v>0</v>
      </c>
      <c r="AQ138" s="42">
        <f t="shared" si="363"/>
        <v>0</v>
      </c>
      <c r="AR138" s="42">
        <f t="shared" si="381"/>
        <v>0</v>
      </c>
      <c r="AS138" s="42">
        <f t="shared" si="364"/>
        <v>0</v>
      </c>
      <c r="AT138" s="42">
        <f t="shared" si="365"/>
        <v>0</v>
      </c>
      <c r="AU138" s="42">
        <f t="shared" si="366"/>
        <v>0</v>
      </c>
      <c r="AV138" s="42">
        <f>IF(M138="ПП",РПП*AA138*(U138/1.5),IF(M138="ВП",ВПр*AA138*(U138/1.5),IF(M138="РПА",РПА*AA138*(U138/1.5),IF(M138="КПА",КПА*AA138*(U138/1.5),0))))</f>
        <v>0</v>
      </c>
      <c r="AW138" s="42">
        <f t="shared" si="367"/>
        <v>0</v>
      </c>
      <c r="AX138" s="42">
        <f t="shared" si="382"/>
        <v>0</v>
      </c>
      <c r="AY138" s="42">
        <f t="shared" si="383"/>
        <v>0</v>
      </c>
      <c r="AZ138" s="42">
        <f t="shared" si="368"/>
        <v>0</v>
      </c>
      <c r="BA138" s="42">
        <f t="shared" si="384"/>
        <v>0</v>
      </c>
      <c r="BB138" s="42">
        <f t="shared" si="385"/>
        <v>0</v>
      </c>
      <c r="BC138" s="42">
        <f t="shared" si="386"/>
        <v>50</v>
      </c>
      <c r="BD138" s="42">
        <f t="shared" si="369"/>
        <v>0</v>
      </c>
      <c r="BE138" s="43">
        <f t="shared" si="370"/>
        <v>50</v>
      </c>
      <c r="BF138" s="44"/>
      <c r="BG138" s="45">
        <f t="shared" si="371"/>
        <v>0</v>
      </c>
      <c r="BH138" s="45">
        <f t="shared" si="372"/>
        <v>0</v>
      </c>
      <c r="BI138" s="45">
        <f t="shared" si="373"/>
        <v>0</v>
      </c>
      <c r="BJ138" s="46">
        <f t="shared" si="374"/>
        <v>0</v>
      </c>
      <c r="BK138" s="46">
        <f t="shared" si="375"/>
        <v>0</v>
      </c>
      <c r="BL138" s="46">
        <f t="shared" si="376"/>
        <v>50</v>
      </c>
    </row>
    <row r="139" spans="1:64" ht="30" customHeight="1" x14ac:dyDescent="0.25">
      <c r="A139" s="84" t="str">
        <f t="shared" si="377"/>
        <v>Д</v>
      </c>
      <c r="B139" s="84" t="str">
        <f t="shared" ref="B139:B142" si="393">IF(C139&gt;0, VLOOKUP(C139,Код_ООП,11,FALSE),0)</f>
        <v>Б</v>
      </c>
      <c r="C139" s="101" t="s">
        <v>1462</v>
      </c>
      <c r="D139" s="16" t="str">
        <f t="shared" ref="D139:D142" si="394">IF(C139&gt;0, VLOOKUP(C139,Код_ООП,2,FALSE),0)</f>
        <v>'01.03.02</v>
      </c>
      <c r="E139" s="17" t="str">
        <f t="shared" ref="E139:E142" si="395">IF(C139&gt;0, VLOOKUP(C139,Код_ООП,13,FALSE),0)</f>
        <v>Прикладная математика и информатика</v>
      </c>
      <c r="F139" s="9" t="s">
        <v>413</v>
      </c>
      <c r="G139" s="9" t="s">
        <v>42</v>
      </c>
      <c r="H139" s="10"/>
      <c r="I139" s="10"/>
      <c r="J139" s="24" t="s">
        <v>3279</v>
      </c>
      <c r="K139" s="11">
        <v>5</v>
      </c>
      <c r="L139" s="11">
        <v>17</v>
      </c>
      <c r="M139" s="8" t="s">
        <v>23</v>
      </c>
      <c r="N139" s="11">
        <v>1</v>
      </c>
      <c r="O139" s="11"/>
      <c r="P139" s="11"/>
      <c r="Q139" s="8" t="s">
        <v>102</v>
      </c>
      <c r="R139" s="11"/>
      <c r="S139" s="11"/>
      <c r="T139" s="23"/>
      <c r="U139" s="11"/>
      <c r="V139" s="11"/>
      <c r="W139" s="83" t="str">
        <f t="shared" si="378"/>
        <v>НПМбд</v>
      </c>
      <c r="X139" s="110" t="s">
        <v>3241</v>
      </c>
      <c r="Y139" s="11">
        <v>3</v>
      </c>
      <c r="Z139" s="11">
        <v>1</v>
      </c>
      <c r="AA139" s="83">
        <f t="shared" ref="AA139:AA142" si="396">AB139+AC139</f>
        <v>33</v>
      </c>
      <c r="AB139" s="11">
        <v>29</v>
      </c>
      <c r="AC139" s="11">
        <v>4</v>
      </c>
      <c r="AD139" s="81">
        <f t="shared" si="379"/>
        <v>33</v>
      </c>
      <c r="AE139" s="82">
        <f t="shared" ref="AE139:AE142" si="397">IF(AF139&gt;1,1,AF139)</f>
        <v>1</v>
      </c>
      <c r="AF139" s="82">
        <f t="shared" ref="AF139:AF142" si="398">AA139/AD139</f>
        <v>1</v>
      </c>
      <c r="AG139" s="102" t="s">
        <v>3250</v>
      </c>
      <c r="AH139" s="8" t="s">
        <v>204</v>
      </c>
      <c r="AI139" s="8" t="s">
        <v>212</v>
      </c>
      <c r="AJ139" s="35" t="s">
        <v>3252</v>
      </c>
      <c r="AK139" s="8"/>
      <c r="AL139" s="42">
        <f t="shared" si="380"/>
        <v>17</v>
      </c>
      <c r="AM139" s="42">
        <f t="shared" ref="AM139:AM142" si="399">IF(OR(M139="пр",M139="ия",M139="сп"),P139*AE139*L139,0)</f>
        <v>0</v>
      </c>
      <c r="AN139" s="42">
        <f t="shared" ref="AN139:AN142" si="400">IF(OR(M139="лаб",M139="клн"),O139*AE139*L139,0)</f>
        <v>0</v>
      </c>
      <c r="AO139" s="42">
        <f t="shared" ref="AO139:AO142" si="401">(IF((AND(OR(K139=1,K139=2,K139=3,K139=4,K139=5,K139=6,K139=7,K139=8,K139=9,K139=10,K139=11,K139=12),OR(Q139="Зач",Q139="Экз"))),ТКиРА*AA139,0)+IF(SUM(N139:P139)&lt;&gt;0,IF(Q139="ТК",ТКиРА*AA139,0),0))*(IF(F139="ФТД",0,1))</f>
        <v>10.89</v>
      </c>
      <c r="AP139" s="42">
        <f t="shared" ref="AP139:AP142" si="402">IF(SUM(O139:P139)&lt;&gt;0,IF(Q139="Зач",ПАБРС*AA139,0),0)+IF(N139&lt;&gt;0,IF(Q139="Экз",ПАБРС*AA139,0),0)</f>
        <v>0</v>
      </c>
      <c r="AQ139" s="42">
        <f t="shared" ref="AQ139:AQ142" si="403">(IF(AP139&lt;&gt;0,ОфВед*(IF(OR(M139="лек",M139="лаб"),Z139,AE139)),0))*(IF(F139="ФТД",0,1))</f>
        <v>0</v>
      </c>
      <c r="AR139" s="42">
        <f t="shared" si="381"/>
        <v>0.85000000000000009</v>
      </c>
      <c r="AS139" s="42">
        <f t="shared" ref="AS139:AS142" si="404">IF(OR(M139="лаб",M139="пр"),IF(R139="К",AA139*ВПКР,IF(R139="М",AA139*ВПИБ,0)),0)</f>
        <v>0</v>
      </c>
      <c r="AT139" s="42">
        <f t="shared" ref="AT139:AT142" si="405">IF(OR(M139="лаб",M139="пр"),IF(S139="К",AA139*ВПКП,0),0)</f>
        <v>0</v>
      </c>
      <c r="AU139" s="42">
        <f t="shared" ref="AU139:AU142" si="406">IF(M139="УП",T139/1.5*AA139*РУП,IF(M139="УПМ",T139/1.5*AA139*РУПЛеч,0))</f>
        <v>0</v>
      </c>
      <c r="AV139" s="42">
        <f>IF(M139="ПП",РПП*AA139*(U139/1.5),IF(M139="ВП",ВПр*AA139*(U139/1.5),IF(M139="РПА",РПА*AA139*(U139/1.5),IF(M139="КПА",КПА*AA139*(U139/1.5),0))))</f>
        <v>0</v>
      </c>
      <c r="AW139" s="42">
        <f t="shared" ref="AW139:AW142" si="407">IF(M139="НР",(AB139*НИРМ+AC139*НИРМИн)*(V139/1.5),IF(M139="НИ",(AB139*НИРА+AC139*НИРАИ)*(V139/1.5),0))</f>
        <v>0</v>
      </c>
      <c r="AX139" s="42">
        <f t="shared" si="382"/>
        <v>0</v>
      </c>
      <c r="AY139" s="42">
        <f t="shared" si="383"/>
        <v>0</v>
      </c>
      <c r="AZ139" s="42">
        <f t="shared" ref="AZ139:AZ142" si="408">IF(AND(Q139="КЭ",M139="ЧК"),AA139*КдЭк,0)</f>
        <v>0</v>
      </c>
      <c r="BA139" s="42">
        <f t="shared" si="384"/>
        <v>0</v>
      </c>
      <c r="BB139" s="42">
        <f t="shared" si="385"/>
        <v>0</v>
      </c>
      <c r="BC139" s="42">
        <f t="shared" si="386"/>
        <v>0</v>
      </c>
      <c r="BD139" s="42">
        <f t="shared" ref="BD139:BD142" si="409">IF(M139="ЧГ",AA139*ЧГ,IF(M139="ПГ",AA139*ПГ,IF(M139="ТЕСТ",ТГИЭ*AE139,IF(M139="СГ",AA139*СГ,0))))</f>
        <v>0</v>
      </c>
      <c r="BE139" s="43">
        <f t="shared" ref="BE139:BE142" si="410">SUM(AL139:BD139)</f>
        <v>28.740000000000002</v>
      </c>
      <c r="BF139" s="44"/>
      <c r="BG139" s="45">
        <f t="shared" ref="BG139:BG142" si="411">IF(OR(K139="1;1",K139="1;2",K139=1,K139="3;1",K139="3;2",K139=3,K139="5;1",K139="5;2",K139=5,K139="7;1",K139="7;2",K139=7,K139="9;1",K139="9;2",K139=9,K139=11),SUM(AL139:AN139),0)</f>
        <v>17</v>
      </c>
      <c r="BH139" s="45">
        <f t="shared" ref="BH139:BH142" si="412">IF(BG139&lt;&gt;0,SUM(N139:P139)/2,0)</f>
        <v>0.5</v>
      </c>
      <c r="BI139" s="45">
        <f t="shared" ref="BI139:BI142" si="413">IF(OR(K139="1;1",K139="1;2",K139=1,K139="3;1",K139="3;2",K139=3,K139="5;1",K139="5;2",K139=5,K139="7;1",K139="7;2",K139=7,K139="9;1",K139="9;2",K139=9,K139=11),SUM(AO139:BD139),0)</f>
        <v>11.74</v>
      </c>
      <c r="BJ139" s="46">
        <f t="shared" ref="BJ139" si="414">IF(OR(K139="2;3",K139="2;4",K139=2,K139="4;3",K139="4;4",K139=4,K139="6;3",K139="6;4",K139=6,K139="8;3",K139="8;4",K139=8,K139="10;3",K139="10;4",K139=10,K139=12),SUM(AL139:AN139),0)</f>
        <v>0</v>
      </c>
      <c r="BK139" s="46">
        <f t="shared" ref="BK139" si="415">IF(BJ139&lt;&gt;0,SUM(N139:P139)/2,0)</f>
        <v>0</v>
      </c>
      <c r="BL139" s="46">
        <f t="shared" ref="BL139" si="416">IF(OR(K139="2;3",K139="2;4",K139=2,K139="4;3",K139="4;4",K139=4,K139="6;3",K139="6;4",K139=6,K139="8;3",K139="8;4",K139=8,K139="10;3",K139="10;4",K139=10,K139=12),SUM(AO139:BD139),0)</f>
        <v>0</v>
      </c>
    </row>
    <row r="140" spans="1:64" ht="30" customHeight="1" x14ac:dyDescent="0.25">
      <c r="A140" s="84" t="str">
        <f t="shared" si="377"/>
        <v>Д</v>
      </c>
      <c r="B140" s="84" t="str">
        <f t="shared" ref="B140:B141" si="417">IF(C140&gt;0, VLOOKUP(C140,Код_ООП,11,FALSE),0)</f>
        <v>Б</v>
      </c>
      <c r="C140" s="101" t="s">
        <v>1462</v>
      </c>
      <c r="D140" s="16" t="str">
        <f t="shared" ref="D140:D141" si="418">IF(C140&gt;0, VLOOKUP(C140,Код_ООП,2,FALSE),0)</f>
        <v>'01.03.02</v>
      </c>
      <c r="E140" s="17" t="str">
        <f t="shared" ref="E140:E141" si="419">IF(C140&gt;0, VLOOKUP(C140,Код_ООП,13,FALSE),0)</f>
        <v>Прикладная математика и информатика</v>
      </c>
      <c r="F140" s="9" t="s">
        <v>413</v>
      </c>
      <c r="G140" s="9" t="s">
        <v>42</v>
      </c>
      <c r="H140" s="10"/>
      <c r="I140" s="10"/>
      <c r="J140" s="24" t="s">
        <v>3279</v>
      </c>
      <c r="K140" s="11">
        <v>5</v>
      </c>
      <c r="L140" s="11">
        <v>17</v>
      </c>
      <c r="M140" s="8" t="s">
        <v>24</v>
      </c>
      <c r="N140" s="11">
        <v>1</v>
      </c>
      <c r="O140" s="11"/>
      <c r="P140" s="11"/>
      <c r="Q140" s="8"/>
      <c r="R140" s="11"/>
      <c r="S140" s="11"/>
      <c r="T140" s="23"/>
      <c r="U140" s="11"/>
      <c r="V140" s="11"/>
      <c r="W140" s="83" t="str">
        <f t="shared" si="378"/>
        <v>НПМбд</v>
      </c>
      <c r="X140" s="110" t="s">
        <v>3241</v>
      </c>
      <c r="Y140" s="11">
        <v>3</v>
      </c>
      <c r="Z140" s="11">
        <v>1</v>
      </c>
      <c r="AA140" s="83">
        <f t="shared" ref="AA140:AA141" si="420">AB140+AC140</f>
        <v>11</v>
      </c>
      <c r="AB140" s="11">
        <v>10</v>
      </c>
      <c r="AC140" s="11">
        <v>1</v>
      </c>
      <c r="AD140" s="81">
        <f t="shared" si="379"/>
        <v>24</v>
      </c>
      <c r="AE140" s="82">
        <f t="shared" ref="AE140:AE141" si="421">IF(AF140&gt;1,1,AF140)</f>
        <v>0.45833333333333331</v>
      </c>
      <c r="AF140" s="82">
        <f t="shared" ref="AF140:AF141" si="422">AA140/AD140</f>
        <v>0.45833333333333331</v>
      </c>
      <c r="AG140" s="102" t="s">
        <v>3250</v>
      </c>
      <c r="AH140" s="8" t="s">
        <v>204</v>
      </c>
      <c r="AI140" s="8" t="s">
        <v>212</v>
      </c>
      <c r="AJ140" s="35" t="s">
        <v>3252</v>
      </c>
      <c r="AK140" s="8"/>
      <c r="AL140" s="42">
        <f t="shared" si="380"/>
        <v>0</v>
      </c>
      <c r="AM140" s="42">
        <f t="shared" ref="AM140:AM141" si="423">IF(OR(M140="пр",M140="ия",M140="сп"),P140*AE140*L140,0)</f>
        <v>0</v>
      </c>
      <c r="AN140" s="42">
        <f t="shared" ref="AN140:AN141" si="424">IF(OR(M140="лаб",M140="клн"),O140*AE140*L140,0)</f>
        <v>0</v>
      </c>
      <c r="AO140" s="42">
        <f t="shared" ref="AO140:AO141" si="425">(IF((AND(OR(K140=1,K140=2,K140=3,K140=4,K140=5,K140=6,K140=7,K140=8,K140=9,K140=10,K140=11,K140=12),OR(Q140="Зач",Q140="Экз"))),ТКиРА*AA140,0)+IF(SUM(N140:P140)&lt;&gt;0,IF(Q140="ТК",ТКиРА*AA140,0),0))*(IF(F140="ФТД",0,1))</f>
        <v>0</v>
      </c>
      <c r="AP140" s="42">
        <f t="shared" ref="AP140:AP141" si="426">IF(SUM(O140:P140)&lt;&gt;0,IF(Q140="Зач",ПАБРС*AA140,0),0)+IF(N140&lt;&gt;0,IF(Q140="Экз",ПАБРС*AA140,0),0)</f>
        <v>0</v>
      </c>
      <c r="AQ140" s="42">
        <f t="shared" ref="AQ140:AQ141" si="427">(IF(AP140&lt;&gt;0,ОфВед*(IF(OR(M140="лек",M140="лаб"),Z140,AE140)),0))*(IF(F140="ФТД",0,1))</f>
        <v>0</v>
      </c>
      <c r="AR140" s="42">
        <f t="shared" si="381"/>
        <v>0</v>
      </c>
      <c r="AS140" s="42">
        <f t="shared" ref="AS140:AS141" si="428">IF(OR(M140="лаб",M140="пр"),IF(R140="К",AA140*ВПКР,IF(R140="М",AA140*ВПИБ,0)),0)</f>
        <v>0</v>
      </c>
      <c r="AT140" s="42">
        <f t="shared" ref="AT140:AT141" si="429">IF(OR(M140="лаб",M140="пр"),IF(S140="К",AA140*ВПКП,0),0)</f>
        <v>0</v>
      </c>
      <c r="AU140" s="42">
        <f t="shared" ref="AU140:AU141" si="430">IF(M140="УП",T140/1.5*AA140*РУП,IF(M140="УПМ",T140/1.5*AA140*РУПЛеч,0))</f>
        <v>0</v>
      </c>
      <c r="AV140" s="42">
        <f>IF(M140="ПП",РПП*AA140*(U140/1.5),IF(M140="ВП",ВПр*AA140*(U140/1.5),IF(M140="РПА",РПА*AA140*(U140/1.5),IF(M140="КПА",КПА*AA140*(U140/1.5),0))))</f>
        <v>0</v>
      </c>
      <c r="AW140" s="42">
        <f t="shared" ref="AW140:AW141" si="431">IF(M140="НР",(AB140*НИРМ+AC140*НИРМИн)*(V140/1.5),IF(M140="НИ",(AB140*НИРА+AC140*НИРАИ)*(V140/1.5),0))</f>
        <v>0</v>
      </c>
      <c r="AX140" s="42">
        <f t="shared" si="382"/>
        <v>0</v>
      </c>
      <c r="AY140" s="42">
        <f t="shared" si="383"/>
        <v>0</v>
      </c>
      <c r="AZ140" s="42">
        <f t="shared" ref="AZ140:AZ141" si="432">IF(AND(Q140="КЭ",M140="ЧК"),AA140*КдЭк,0)</f>
        <v>0</v>
      </c>
      <c r="BA140" s="42">
        <f t="shared" si="384"/>
        <v>0</v>
      </c>
      <c r="BB140" s="42">
        <f t="shared" si="385"/>
        <v>0</v>
      </c>
      <c r="BC140" s="42">
        <f t="shared" si="386"/>
        <v>0</v>
      </c>
      <c r="BD140" s="42">
        <f t="shared" ref="BD140:BD141" si="433">IF(M140="ЧГ",AA140*ЧГ,IF(M140="ПГ",AA140*ПГ,IF(M140="ТЕСТ",ТГИЭ*AE140,IF(M140="СГ",AA140*СГ,0))))</f>
        <v>0</v>
      </c>
      <c r="BE140" s="43">
        <f t="shared" ref="BE140:BE141" si="434">SUM(AL140:BD140)</f>
        <v>0</v>
      </c>
      <c r="BF140" s="44"/>
      <c r="BG140" s="45">
        <f t="shared" ref="BG140:BG141" si="435">IF(OR(K140="1;1",K140="1;2",K140=1,K140="3;1",K140="3;2",K140=3,K140="5;1",K140="5;2",K140=5,K140="7;1",K140="7;2",K140=7,K140="9;1",K140="9;2",K140=9,K140=11),SUM(AL140:AN140),0)</f>
        <v>0</v>
      </c>
      <c r="BH140" s="45">
        <f t="shared" ref="BH140:BH141" si="436">IF(BG140&lt;&gt;0,SUM(N140:P140)/2,0)</f>
        <v>0</v>
      </c>
      <c r="BI140" s="45">
        <f t="shared" ref="BI140:BI141" si="437">IF(OR(K140="1;1",K140="1;2",K140=1,K140="3;1",K140="3;2",K140=3,K140="5;1",K140="5;2",K140=5,K140="7;1",K140="7;2",K140=7,K140="9;1",K140="9;2",K140=9,K140=11),SUM(AO140:BD140),0)</f>
        <v>0</v>
      </c>
      <c r="BJ140" s="46">
        <f t="shared" ref="BJ140:BJ196" si="438">IF(OR(K140="2;3",K140="2;4",K140=2,K140="4;3",K140="4;4",K140=4,K140="6;3",K140="6;4",K140=6,K140="8;3",K140="8;4",K140=8,K140="10;3",K140="10;4",K140=10,K140=12),SUM(AL140:AN140),0)</f>
        <v>0</v>
      </c>
      <c r="BK140" s="46">
        <f t="shared" ref="BK140:BK196" si="439">IF(BJ140&lt;&gt;0,SUM(N140:P140)/2,0)</f>
        <v>0</v>
      </c>
      <c r="BL140" s="46">
        <f t="shared" ref="BL140:BL196" si="440">IF(OR(K140="2;3",K140="2;4",K140=2,K140="4;3",K140="4;4",K140=4,K140="6;3",K140="6;4",K140=6,K140="8;3",K140="8;4",K140=8,K140="10;3",K140="10;4",K140=10,K140=12),SUM(AO140:BD140),0)</f>
        <v>0</v>
      </c>
    </row>
    <row r="141" spans="1:64" ht="30" customHeight="1" x14ac:dyDescent="0.25">
      <c r="A141" s="84" t="str">
        <f t="shared" si="377"/>
        <v>Д</v>
      </c>
      <c r="B141" s="84" t="str">
        <f t="shared" si="417"/>
        <v>Б</v>
      </c>
      <c r="C141" s="101" t="s">
        <v>1462</v>
      </c>
      <c r="D141" s="16" t="str">
        <f t="shared" si="418"/>
        <v>'01.03.02</v>
      </c>
      <c r="E141" s="17" t="str">
        <f t="shared" si="419"/>
        <v>Прикладная математика и информатика</v>
      </c>
      <c r="F141" s="9" t="s">
        <v>413</v>
      </c>
      <c r="G141" s="9" t="s">
        <v>42</v>
      </c>
      <c r="H141" s="10"/>
      <c r="I141" s="10"/>
      <c r="J141" s="24" t="s">
        <v>3279</v>
      </c>
      <c r="K141" s="11">
        <v>5</v>
      </c>
      <c r="L141" s="11">
        <v>17</v>
      </c>
      <c r="M141" s="8" t="s">
        <v>24</v>
      </c>
      <c r="N141" s="11">
        <v>1</v>
      </c>
      <c r="O141" s="11"/>
      <c r="P141" s="11"/>
      <c r="Q141" s="8"/>
      <c r="R141" s="11"/>
      <c r="S141" s="11"/>
      <c r="T141" s="23"/>
      <c r="U141" s="11"/>
      <c r="V141" s="11"/>
      <c r="W141" s="83" t="str">
        <f t="shared" si="378"/>
        <v>НПМбд</v>
      </c>
      <c r="X141" s="110" t="s">
        <v>3241</v>
      </c>
      <c r="Y141" s="11">
        <v>3</v>
      </c>
      <c r="Z141" s="11">
        <v>1</v>
      </c>
      <c r="AA141" s="83">
        <f t="shared" si="420"/>
        <v>11</v>
      </c>
      <c r="AB141" s="11">
        <v>10</v>
      </c>
      <c r="AC141" s="11">
        <v>1</v>
      </c>
      <c r="AD141" s="81">
        <f t="shared" si="379"/>
        <v>24</v>
      </c>
      <c r="AE141" s="82">
        <f t="shared" si="421"/>
        <v>0.45833333333333331</v>
      </c>
      <c r="AF141" s="82">
        <f t="shared" si="422"/>
        <v>0.45833333333333331</v>
      </c>
      <c r="AG141" s="102" t="s">
        <v>3250</v>
      </c>
      <c r="AH141" s="8" t="s">
        <v>204</v>
      </c>
      <c r="AI141" s="8" t="s">
        <v>212</v>
      </c>
      <c r="AJ141" s="35" t="s">
        <v>3252</v>
      </c>
      <c r="AK141" s="8"/>
      <c r="AL141" s="42">
        <f t="shared" si="380"/>
        <v>0</v>
      </c>
      <c r="AM141" s="42">
        <f t="shared" si="423"/>
        <v>0</v>
      </c>
      <c r="AN141" s="42">
        <f t="shared" si="424"/>
        <v>0</v>
      </c>
      <c r="AO141" s="42">
        <f t="shared" si="425"/>
        <v>0</v>
      </c>
      <c r="AP141" s="42">
        <f t="shared" si="426"/>
        <v>0</v>
      </c>
      <c r="AQ141" s="42">
        <f t="shared" si="427"/>
        <v>0</v>
      </c>
      <c r="AR141" s="42">
        <f t="shared" si="381"/>
        <v>0</v>
      </c>
      <c r="AS141" s="42">
        <f t="shared" si="428"/>
        <v>0</v>
      </c>
      <c r="AT141" s="42">
        <f t="shared" si="429"/>
        <v>0</v>
      </c>
      <c r="AU141" s="42">
        <f t="shared" si="430"/>
        <v>0</v>
      </c>
      <c r="AV141" s="42">
        <f>IF(M141="ПП",РПП*AA141*(U141/1.5),IF(M141="ВП",ВПр*AA141*(U141/1.5),IF(M141="РПА",РПА*AA141*(U141/1.5),IF(M141="КПА",КПА*AA141*(U141/1.5),0))))</f>
        <v>0</v>
      </c>
      <c r="AW141" s="42">
        <f t="shared" si="431"/>
        <v>0</v>
      </c>
      <c r="AX141" s="42">
        <f t="shared" si="382"/>
        <v>0</v>
      </c>
      <c r="AY141" s="42">
        <f t="shared" si="383"/>
        <v>0</v>
      </c>
      <c r="AZ141" s="42">
        <f t="shared" si="432"/>
        <v>0</v>
      </c>
      <c r="BA141" s="42">
        <f t="shared" si="384"/>
        <v>0</v>
      </c>
      <c r="BB141" s="42">
        <f t="shared" si="385"/>
        <v>0</v>
      </c>
      <c r="BC141" s="42">
        <f t="shared" si="386"/>
        <v>0</v>
      </c>
      <c r="BD141" s="42">
        <f t="shared" si="433"/>
        <v>0</v>
      </c>
      <c r="BE141" s="43">
        <f t="shared" si="434"/>
        <v>0</v>
      </c>
      <c r="BF141" s="44"/>
      <c r="BG141" s="45">
        <f t="shared" si="435"/>
        <v>0</v>
      </c>
      <c r="BH141" s="45">
        <f t="shared" si="436"/>
        <v>0</v>
      </c>
      <c r="BI141" s="45">
        <f t="shared" si="437"/>
        <v>0</v>
      </c>
      <c r="BJ141" s="46">
        <f t="shared" si="438"/>
        <v>0</v>
      </c>
      <c r="BK141" s="46">
        <f t="shared" si="439"/>
        <v>0</v>
      </c>
      <c r="BL141" s="46">
        <f t="shared" si="440"/>
        <v>0</v>
      </c>
    </row>
    <row r="142" spans="1:64" ht="30" customHeight="1" x14ac:dyDescent="0.25">
      <c r="A142" s="84" t="str">
        <f t="shared" si="377"/>
        <v>Д</v>
      </c>
      <c r="B142" s="84" t="str">
        <f t="shared" si="393"/>
        <v>Б</v>
      </c>
      <c r="C142" s="101" t="s">
        <v>1462</v>
      </c>
      <c r="D142" s="16" t="str">
        <f t="shared" si="394"/>
        <v>'01.03.02</v>
      </c>
      <c r="E142" s="17" t="str">
        <f t="shared" si="395"/>
        <v>Прикладная математика и информатика</v>
      </c>
      <c r="F142" s="9" t="s">
        <v>413</v>
      </c>
      <c r="G142" s="9" t="s">
        <v>42</v>
      </c>
      <c r="H142" s="10"/>
      <c r="I142" s="10"/>
      <c r="J142" s="24" t="s">
        <v>3279</v>
      </c>
      <c r="K142" s="11">
        <v>5</v>
      </c>
      <c r="L142" s="11">
        <v>17</v>
      </c>
      <c r="M142" s="8" t="s">
        <v>24</v>
      </c>
      <c r="N142" s="11">
        <v>1</v>
      </c>
      <c r="O142" s="11"/>
      <c r="P142" s="11"/>
      <c r="Q142" s="8"/>
      <c r="R142" s="11"/>
      <c r="S142" s="11"/>
      <c r="T142" s="23"/>
      <c r="U142" s="11"/>
      <c r="V142" s="11"/>
      <c r="W142" s="83" t="str">
        <f t="shared" si="378"/>
        <v>НПМбд</v>
      </c>
      <c r="X142" s="110" t="s">
        <v>3241</v>
      </c>
      <c r="Y142" s="11">
        <v>3</v>
      </c>
      <c r="Z142" s="11">
        <v>1</v>
      </c>
      <c r="AA142" s="83">
        <f t="shared" si="396"/>
        <v>11</v>
      </c>
      <c r="AB142" s="11">
        <v>9</v>
      </c>
      <c r="AC142" s="11">
        <v>2</v>
      </c>
      <c r="AD142" s="81">
        <f t="shared" si="379"/>
        <v>24</v>
      </c>
      <c r="AE142" s="82">
        <f t="shared" si="397"/>
        <v>0.45833333333333331</v>
      </c>
      <c r="AF142" s="82">
        <f t="shared" si="398"/>
        <v>0.45833333333333331</v>
      </c>
      <c r="AG142" s="102" t="s">
        <v>3250</v>
      </c>
      <c r="AH142" s="8" t="s">
        <v>204</v>
      </c>
      <c r="AI142" s="8" t="s">
        <v>212</v>
      </c>
      <c r="AJ142" s="35" t="s">
        <v>3252</v>
      </c>
      <c r="AK142" s="8"/>
      <c r="AL142" s="42">
        <f t="shared" si="380"/>
        <v>0</v>
      </c>
      <c r="AM142" s="42">
        <f t="shared" si="399"/>
        <v>0</v>
      </c>
      <c r="AN142" s="42">
        <f t="shared" si="400"/>
        <v>0</v>
      </c>
      <c r="AO142" s="42">
        <f t="shared" si="401"/>
        <v>0</v>
      </c>
      <c r="AP142" s="42">
        <f t="shared" si="402"/>
        <v>0</v>
      </c>
      <c r="AQ142" s="42">
        <f t="shared" si="403"/>
        <v>0</v>
      </c>
      <c r="AR142" s="42">
        <f t="shared" si="381"/>
        <v>0</v>
      </c>
      <c r="AS142" s="42">
        <f t="shared" si="404"/>
        <v>0</v>
      </c>
      <c r="AT142" s="42">
        <f t="shared" si="405"/>
        <v>0</v>
      </c>
      <c r="AU142" s="42">
        <f t="shared" si="406"/>
        <v>0</v>
      </c>
      <c r="AV142" s="42">
        <f>IF(M142="ПП",РПП*AA142*(U142/1.5),IF(M142="ВП",ВПр*AA142*(U142/1.5),IF(M142="РПА",РПА*AA142*(U142/1.5),IF(M142="КПА",КПА*AA142*(U142/1.5),0))))</f>
        <v>0</v>
      </c>
      <c r="AW142" s="42">
        <f t="shared" si="407"/>
        <v>0</v>
      </c>
      <c r="AX142" s="42">
        <f t="shared" si="382"/>
        <v>0</v>
      </c>
      <c r="AY142" s="42">
        <f t="shared" si="383"/>
        <v>0</v>
      </c>
      <c r="AZ142" s="42">
        <f t="shared" si="408"/>
        <v>0</v>
      </c>
      <c r="BA142" s="42">
        <f t="shared" si="384"/>
        <v>0</v>
      </c>
      <c r="BB142" s="42">
        <f t="shared" si="385"/>
        <v>0</v>
      </c>
      <c r="BC142" s="42">
        <f t="shared" si="386"/>
        <v>0</v>
      </c>
      <c r="BD142" s="42">
        <f t="shared" si="409"/>
        <v>0</v>
      </c>
      <c r="BE142" s="43">
        <f t="shared" si="410"/>
        <v>0</v>
      </c>
      <c r="BF142" s="44"/>
      <c r="BG142" s="45">
        <f t="shared" si="411"/>
        <v>0</v>
      </c>
      <c r="BH142" s="45">
        <f t="shared" si="412"/>
        <v>0</v>
      </c>
      <c r="BI142" s="45">
        <f t="shared" si="413"/>
        <v>0</v>
      </c>
      <c r="BJ142" s="46">
        <f t="shared" si="438"/>
        <v>0</v>
      </c>
      <c r="BK142" s="46">
        <f t="shared" si="439"/>
        <v>0</v>
      </c>
      <c r="BL142" s="46">
        <f t="shared" si="440"/>
        <v>0</v>
      </c>
    </row>
    <row r="143" spans="1:64" ht="30" customHeight="1" x14ac:dyDescent="0.25">
      <c r="A143" s="84" t="str">
        <f t="shared" si="377"/>
        <v>Д</v>
      </c>
      <c r="B143" s="84" t="str">
        <f t="shared" si="387"/>
        <v>Б</v>
      </c>
      <c r="C143" s="101" t="s">
        <v>1462</v>
      </c>
      <c r="D143" s="16" t="str">
        <f t="shared" si="388"/>
        <v>'01.03.02</v>
      </c>
      <c r="E143" s="17" t="str">
        <f t="shared" si="389"/>
        <v>Прикладная математика и информатика</v>
      </c>
      <c r="F143" s="9" t="s">
        <v>413</v>
      </c>
      <c r="G143" s="9" t="s">
        <v>42</v>
      </c>
      <c r="H143" s="10"/>
      <c r="I143" s="10"/>
      <c r="J143" s="24" t="s">
        <v>3279</v>
      </c>
      <c r="K143" s="11">
        <v>6</v>
      </c>
      <c r="L143" s="11">
        <v>18</v>
      </c>
      <c r="M143" s="8" t="s">
        <v>23</v>
      </c>
      <c r="N143" s="11">
        <v>1</v>
      </c>
      <c r="O143" s="11"/>
      <c r="P143" s="11"/>
      <c r="Q143" s="8" t="s">
        <v>102</v>
      </c>
      <c r="R143" s="11"/>
      <c r="S143" s="11"/>
      <c r="T143" s="23"/>
      <c r="U143" s="11"/>
      <c r="V143" s="11"/>
      <c r="W143" s="83" t="str">
        <f t="shared" si="378"/>
        <v>НПМбд</v>
      </c>
      <c r="X143" s="110" t="s">
        <v>3241</v>
      </c>
      <c r="Y143" s="11">
        <v>3</v>
      </c>
      <c r="Z143" s="11">
        <v>1</v>
      </c>
      <c r="AA143" s="83">
        <f t="shared" si="390"/>
        <v>33</v>
      </c>
      <c r="AB143" s="11">
        <v>29</v>
      </c>
      <c r="AC143" s="11">
        <v>4</v>
      </c>
      <c r="AD143" s="81">
        <f t="shared" si="379"/>
        <v>33</v>
      </c>
      <c r="AE143" s="82">
        <f t="shared" si="391"/>
        <v>1</v>
      </c>
      <c r="AF143" s="82">
        <f t="shared" si="392"/>
        <v>1</v>
      </c>
      <c r="AG143" s="102" t="s">
        <v>3250</v>
      </c>
      <c r="AH143" s="8" t="s">
        <v>204</v>
      </c>
      <c r="AI143" s="8" t="s">
        <v>212</v>
      </c>
      <c r="AJ143" s="35" t="s">
        <v>3252</v>
      </c>
      <c r="AK143" s="8"/>
      <c r="AL143" s="42">
        <f t="shared" si="380"/>
        <v>18</v>
      </c>
      <c r="AM143" s="42">
        <f t="shared" si="360"/>
        <v>0</v>
      </c>
      <c r="AN143" s="42">
        <f t="shared" si="361"/>
        <v>0</v>
      </c>
      <c r="AO143" s="42">
        <f t="shared" si="233"/>
        <v>10.89</v>
      </c>
      <c r="AP143" s="42">
        <f t="shared" si="362"/>
        <v>0</v>
      </c>
      <c r="AQ143" s="42">
        <f t="shared" si="363"/>
        <v>0</v>
      </c>
      <c r="AR143" s="42">
        <f t="shared" si="381"/>
        <v>0.9</v>
      </c>
      <c r="AS143" s="42">
        <f t="shared" si="364"/>
        <v>0</v>
      </c>
      <c r="AT143" s="42">
        <f t="shared" si="365"/>
        <v>0</v>
      </c>
      <c r="AU143" s="42">
        <f t="shared" si="366"/>
        <v>0</v>
      </c>
      <c r="AV143" s="42">
        <f>IF(M143="ПП",РПП*AA143*(U143/1.5),IF(M143="ВП",ВПр*AA143*(U143/1.5),IF(M143="РПА",РПА*AA143*(U143/1.5),IF(M143="КПА",КПА*AA143*(U143/1.5),0))))</f>
        <v>0</v>
      </c>
      <c r="AW143" s="42">
        <f t="shared" si="367"/>
        <v>0</v>
      </c>
      <c r="AX143" s="42">
        <f t="shared" si="382"/>
        <v>0</v>
      </c>
      <c r="AY143" s="42">
        <f t="shared" si="383"/>
        <v>0</v>
      </c>
      <c r="AZ143" s="42">
        <f t="shared" si="368"/>
        <v>0</v>
      </c>
      <c r="BA143" s="42">
        <f t="shared" si="384"/>
        <v>0</v>
      </c>
      <c r="BB143" s="42">
        <f t="shared" si="385"/>
        <v>0</v>
      </c>
      <c r="BC143" s="42">
        <f t="shared" si="386"/>
        <v>0</v>
      </c>
      <c r="BD143" s="42">
        <f t="shared" si="369"/>
        <v>0</v>
      </c>
      <c r="BE143" s="43">
        <f t="shared" si="370"/>
        <v>29.79</v>
      </c>
      <c r="BF143" s="44"/>
      <c r="BG143" s="45">
        <f t="shared" si="371"/>
        <v>0</v>
      </c>
      <c r="BH143" s="45">
        <f t="shared" si="372"/>
        <v>0</v>
      </c>
      <c r="BI143" s="45">
        <f t="shared" si="373"/>
        <v>0</v>
      </c>
      <c r="BJ143" s="46">
        <f t="shared" si="438"/>
        <v>18</v>
      </c>
      <c r="BK143" s="46">
        <f t="shared" si="439"/>
        <v>0.5</v>
      </c>
      <c r="BL143" s="46">
        <f t="shared" si="440"/>
        <v>11.790000000000001</v>
      </c>
    </row>
    <row r="144" spans="1:64" ht="30" customHeight="1" x14ac:dyDescent="0.25">
      <c r="A144" s="84" t="str">
        <f t="shared" si="377"/>
        <v>Д</v>
      </c>
      <c r="B144" s="84" t="str">
        <f t="shared" ref="B144:B145" si="441">IF(C144&gt;0, VLOOKUP(C144,Код_ООП,11,FALSE),0)</f>
        <v>Б</v>
      </c>
      <c r="C144" s="101" t="s">
        <v>1462</v>
      </c>
      <c r="D144" s="16" t="str">
        <f t="shared" ref="D144:D145" si="442">IF(C144&gt;0, VLOOKUP(C144,Код_ООП,2,FALSE),0)</f>
        <v>'01.03.02</v>
      </c>
      <c r="E144" s="17" t="str">
        <f t="shared" ref="E144:E145" si="443">IF(C144&gt;0, VLOOKUP(C144,Код_ООП,13,FALSE),0)</f>
        <v>Прикладная математика и информатика</v>
      </c>
      <c r="F144" s="9" t="s">
        <v>413</v>
      </c>
      <c r="G144" s="9" t="s">
        <v>42</v>
      </c>
      <c r="H144" s="10"/>
      <c r="I144" s="10"/>
      <c r="J144" s="24" t="s">
        <v>3279</v>
      </c>
      <c r="K144" s="11">
        <v>6</v>
      </c>
      <c r="L144" s="11">
        <v>18</v>
      </c>
      <c r="M144" s="8" t="s">
        <v>24</v>
      </c>
      <c r="N144" s="11">
        <v>1</v>
      </c>
      <c r="O144" s="11"/>
      <c r="P144" s="11"/>
      <c r="Q144" s="8"/>
      <c r="R144" s="11"/>
      <c r="S144" s="11"/>
      <c r="T144" s="23"/>
      <c r="U144" s="11"/>
      <c r="V144" s="11"/>
      <c r="W144" s="83" t="str">
        <f t="shared" si="378"/>
        <v>НПМбд</v>
      </c>
      <c r="X144" s="110" t="s">
        <v>3241</v>
      </c>
      <c r="Y144" s="11">
        <v>3</v>
      </c>
      <c r="Z144" s="11">
        <v>1</v>
      </c>
      <c r="AA144" s="83">
        <f t="shared" ref="AA144:AA145" si="444">AB144+AC144</f>
        <v>11</v>
      </c>
      <c r="AB144" s="11">
        <v>10</v>
      </c>
      <c r="AC144" s="11">
        <v>1</v>
      </c>
      <c r="AD144" s="81">
        <f t="shared" si="379"/>
        <v>24</v>
      </c>
      <c r="AE144" s="82">
        <f t="shared" ref="AE144:AE145" si="445">IF(AF144&gt;1,1,AF144)</f>
        <v>0.45833333333333331</v>
      </c>
      <c r="AF144" s="82">
        <f t="shared" ref="AF144:AF145" si="446">AA144/AD144</f>
        <v>0.45833333333333331</v>
      </c>
      <c r="AG144" s="102" t="s">
        <v>3250</v>
      </c>
      <c r="AH144" s="8" t="s">
        <v>204</v>
      </c>
      <c r="AI144" s="8" t="s">
        <v>212</v>
      </c>
      <c r="AJ144" s="35" t="s">
        <v>3252</v>
      </c>
      <c r="AK144" s="8"/>
      <c r="AL144" s="42">
        <f t="shared" si="380"/>
        <v>0</v>
      </c>
      <c r="AM144" s="42">
        <f t="shared" ref="AM144:AM145" si="447">IF(OR(M144="пр",M144="ия",M144="сп"),P144*AE144*L144,0)</f>
        <v>0</v>
      </c>
      <c r="AN144" s="42">
        <f t="shared" ref="AN144:AN145" si="448">IF(OR(M144="лаб",M144="клн"),O144*AE144*L144,0)</f>
        <v>0</v>
      </c>
      <c r="AO144" s="42">
        <f t="shared" ref="AO144:AO145" si="449">(IF((AND(OR(K144=1,K144=2,K144=3,K144=4,K144=5,K144=6,K144=7,K144=8,K144=9,K144=10,K144=11,K144=12),OR(Q144="Зач",Q144="Экз"))),ТКиРА*AA144,0)+IF(SUM(N144:P144)&lt;&gt;0,IF(Q144="ТК",ТКиРА*AA144,0),0))*(IF(F144="ФТД",0,1))</f>
        <v>0</v>
      </c>
      <c r="AP144" s="42">
        <f t="shared" ref="AP144:AP145" si="450">IF(SUM(O144:P144)&lt;&gt;0,IF(Q144="Зач",ПАБРС*AA144,0),0)+IF(N144&lt;&gt;0,IF(Q144="Экз",ПАБРС*AA144,0),0)</f>
        <v>0</v>
      </c>
      <c r="AQ144" s="42">
        <f t="shared" ref="AQ144:AQ145" si="451">(IF(AP144&lt;&gt;0,ОфВед*(IF(OR(M144="лек",M144="лаб"),Z144,AE144)),0))*(IF(F144="ФТД",0,1))</f>
        <v>0</v>
      </c>
      <c r="AR144" s="42">
        <f t="shared" si="381"/>
        <v>0</v>
      </c>
      <c r="AS144" s="42">
        <f t="shared" ref="AS144:AS145" si="452">IF(OR(M144="лаб",M144="пр"),IF(R144="К",AA144*ВПКР,IF(R144="М",AA144*ВПИБ,0)),0)</f>
        <v>0</v>
      </c>
      <c r="AT144" s="42">
        <f t="shared" ref="AT144:AT145" si="453">IF(OR(M144="лаб",M144="пр"),IF(S144="К",AA144*ВПКП,0),0)</f>
        <v>0</v>
      </c>
      <c r="AU144" s="42">
        <f t="shared" ref="AU144:AU145" si="454">IF(M144="УП",T144/1.5*AA144*РУП,IF(M144="УПМ",T144/1.5*AA144*РУПЛеч,0))</f>
        <v>0</v>
      </c>
      <c r="AV144" s="42">
        <f>IF(M144="ПП",РПП*AA144*(U144/1.5),IF(M144="ВП",ВПр*AA144*(U144/1.5),IF(M144="РПА",РПА*AA144*(U144/1.5),IF(M144="КПА",КПА*AA144*(U144/1.5),0))))</f>
        <v>0</v>
      </c>
      <c r="AW144" s="42">
        <f t="shared" ref="AW144:AW145" si="455">IF(M144="НР",(AB144*НИРМ+AC144*НИРМИн)*(V144/1.5),IF(M144="НИ",(AB144*НИРА+AC144*НИРАИ)*(V144/1.5),0))</f>
        <v>0</v>
      </c>
      <c r="AX144" s="42">
        <f t="shared" si="382"/>
        <v>0</v>
      </c>
      <c r="AY144" s="42">
        <f t="shared" si="383"/>
        <v>0</v>
      </c>
      <c r="AZ144" s="42">
        <f t="shared" ref="AZ144:AZ145" si="456">IF(AND(Q144="КЭ",M144="ЧК"),AA144*КдЭк,0)</f>
        <v>0</v>
      </c>
      <c r="BA144" s="42">
        <f t="shared" si="384"/>
        <v>0</v>
      </c>
      <c r="BB144" s="42">
        <f t="shared" si="385"/>
        <v>0</v>
      </c>
      <c r="BC144" s="42">
        <f t="shared" si="386"/>
        <v>0</v>
      </c>
      <c r="BD144" s="42">
        <f t="shared" ref="BD144:BD145" si="457">IF(M144="ЧГ",AA144*ЧГ,IF(M144="ПГ",AA144*ПГ,IF(M144="ТЕСТ",ТГИЭ*AE144,IF(M144="СГ",AA144*СГ,0))))</f>
        <v>0</v>
      </c>
      <c r="BE144" s="43">
        <f t="shared" ref="BE144:BE145" si="458">SUM(AL144:BD144)</f>
        <v>0</v>
      </c>
      <c r="BF144" s="44"/>
      <c r="BG144" s="45">
        <f t="shared" ref="BG144:BG145" si="459">IF(OR(K144="1;1",K144="1;2",K144=1,K144="3;1",K144="3;2",K144=3,K144="5;1",K144="5;2",K144=5,K144="7;1",K144="7;2",K144=7,K144="9;1",K144="9;2",K144=9,K144=11),SUM(AL144:AN144),0)</f>
        <v>0</v>
      </c>
      <c r="BH144" s="45">
        <f t="shared" ref="BH144:BH145" si="460">IF(BG144&lt;&gt;0,SUM(N144:P144)/2,0)</f>
        <v>0</v>
      </c>
      <c r="BI144" s="45">
        <f t="shared" ref="BI144:BI145" si="461">IF(OR(K144="1;1",K144="1;2",K144=1,K144="3;1",K144="3;2",K144=3,K144="5;1",K144="5;2",K144=5,K144="7;1",K144="7;2",K144=7,K144="9;1",K144="9;2",K144=9,K144=11),SUM(AO144:BD144),0)</f>
        <v>0</v>
      </c>
      <c r="BJ144" s="46">
        <f t="shared" si="438"/>
        <v>0</v>
      </c>
      <c r="BK144" s="46">
        <f t="shared" si="439"/>
        <v>0</v>
      </c>
      <c r="BL144" s="46">
        <f t="shared" si="440"/>
        <v>0</v>
      </c>
    </row>
    <row r="145" spans="1:64" ht="30" customHeight="1" x14ac:dyDescent="0.25">
      <c r="A145" s="84" t="str">
        <f t="shared" si="377"/>
        <v>Д</v>
      </c>
      <c r="B145" s="84" t="str">
        <f t="shared" si="441"/>
        <v>Б</v>
      </c>
      <c r="C145" s="101" t="s">
        <v>1462</v>
      </c>
      <c r="D145" s="16" t="str">
        <f t="shared" si="442"/>
        <v>'01.03.02</v>
      </c>
      <c r="E145" s="17" t="str">
        <f t="shared" si="443"/>
        <v>Прикладная математика и информатика</v>
      </c>
      <c r="F145" s="9" t="s">
        <v>413</v>
      </c>
      <c r="G145" s="9" t="s">
        <v>42</v>
      </c>
      <c r="H145" s="10"/>
      <c r="I145" s="10"/>
      <c r="J145" s="24" t="s">
        <v>3279</v>
      </c>
      <c r="K145" s="11">
        <v>6</v>
      </c>
      <c r="L145" s="11">
        <v>18</v>
      </c>
      <c r="M145" s="8" t="s">
        <v>24</v>
      </c>
      <c r="N145" s="11">
        <v>1</v>
      </c>
      <c r="O145" s="11"/>
      <c r="P145" s="11"/>
      <c r="Q145" s="8"/>
      <c r="R145" s="11"/>
      <c r="S145" s="11"/>
      <c r="T145" s="23"/>
      <c r="U145" s="11"/>
      <c r="V145" s="11"/>
      <c r="W145" s="83" t="str">
        <f t="shared" si="378"/>
        <v>НПМбд</v>
      </c>
      <c r="X145" s="110" t="s">
        <v>3241</v>
      </c>
      <c r="Y145" s="11">
        <v>3</v>
      </c>
      <c r="Z145" s="11">
        <v>1</v>
      </c>
      <c r="AA145" s="83">
        <f t="shared" si="444"/>
        <v>11</v>
      </c>
      <c r="AB145" s="11">
        <v>10</v>
      </c>
      <c r="AC145" s="11">
        <v>1</v>
      </c>
      <c r="AD145" s="81">
        <f t="shared" si="379"/>
        <v>24</v>
      </c>
      <c r="AE145" s="82">
        <f t="shared" si="445"/>
        <v>0.45833333333333331</v>
      </c>
      <c r="AF145" s="82">
        <f t="shared" si="446"/>
        <v>0.45833333333333331</v>
      </c>
      <c r="AG145" s="102" t="s">
        <v>3250</v>
      </c>
      <c r="AH145" s="8" t="s">
        <v>204</v>
      </c>
      <c r="AI145" s="8" t="s">
        <v>212</v>
      </c>
      <c r="AJ145" s="35" t="s">
        <v>3252</v>
      </c>
      <c r="AK145" s="8"/>
      <c r="AL145" s="42">
        <f t="shared" si="380"/>
        <v>0</v>
      </c>
      <c r="AM145" s="42">
        <f t="shared" si="447"/>
        <v>0</v>
      </c>
      <c r="AN145" s="42">
        <f t="shared" si="448"/>
        <v>0</v>
      </c>
      <c r="AO145" s="42">
        <f t="shared" si="449"/>
        <v>0</v>
      </c>
      <c r="AP145" s="42">
        <f t="shared" si="450"/>
        <v>0</v>
      </c>
      <c r="AQ145" s="42">
        <f t="shared" si="451"/>
        <v>0</v>
      </c>
      <c r="AR145" s="42">
        <f t="shared" si="381"/>
        <v>0</v>
      </c>
      <c r="AS145" s="42">
        <f t="shared" si="452"/>
        <v>0</v>
      </c>
      <c r="AT145" s="42">
        <f t="shared" si="453"/>
        <v>0</v>
      </c>
      <c r="AU145" s="42">
        <f t="shared" si="454"/>
        <v>0</v>
      </c>
      <c r="AV145" s="42">
        <f>IF(M145="ПП",РПП*AA145*(U145/1.5),IF(M145="ВП",ВПр*AA145*(U145/1.5),IF(M145="РПА",РПА*AA145*(U145/1.5),IF(M145="КПА",КПА*AA145*(U145/1.5),0))))</f>
        <v>0</v>
      </c>
      <c r="AW145" s="42">
        <f t="shared" si="455"/>
        <v>0</v>
      </c>
      <c r="AX145" s="42">
        <f t="shared" si="382"/>
        <v>0</v>
      </c>
      <c r="AY145" s="42">
        <f t="shared" si="383"/>
        <v>0</v>
      </c>
      <c r="AZ145" s="42">
        <f t="shared" si="456"/>
        <v>0</v>
      </c>
      <c r="BA145" s="42">
        <f t="shared" si="384"/>
        <v>0</v>
      </c>
      <c r="BB145" s="42">
        <f t="shared" si="385"/>
        <v>0</v>
      </c>
      <c r="BC145" s="42">
        <f t="shared" si="386"/>
        <v>0</v>
      </c>
      <c r="BD145" s="42">
        <f t="shared" si="457"/>
        <v>0</v>
      </c>
      <c r="BE145" s="43">
        <f t="shared" si="458"/>
        <v>0</v>
      </c>
      <c r="BF145" s="44"/>
      <c r="BG145" s="45">
        <f t="shared" si="459"/>
        <v>0</v>
      </c>
      <c r="BH145" s="45">
        <f t="shared" si="460"/>
        <v>0</v>
      </c>
      <c r="BI145" s="45">
        <f t="shared" si="461"/>
        <v>0</v>
      </c>
      <c r="BJ145" s="46">
        <f t="shared" si="438"/>
        <v>0</v>
      </c>
      <c r="BK145" s="46">
        <f t="shared" si="439"/>
        <v>0</v>
      </c>
      <c r="BL145" s="46">
        <f t="shared" si="440"/>
        <v>0</v>
      </c>
    </row>
    <row r="146" spans="1:64" ht="30" customHeight="1" x14ac:dyDescent="0.25">
      <c r="A146" s="84" t="str">
        <f t="shared" si="377"/>
        <v>Д</v>
      </c>
      <c r="B146" s="84" t="str">
        <f t="shared" si="387"/>
        <v>Б</v>
      </c>
      <c r="C146" s="101" t="s">
        <v>1462</v>
      </c>
      <c r="D146" s="16" t="str">
        <f t="shared" si="388"/>
        <v>'01.03.02</v>
      </c>
      <c r="E146" s="17" t="str">
        <f t="shared" si="389"/>
        <v>Прикладная математика и информатика</v>
      </c>
      <c r="F146" s="9" t="s">
        <v>413</v>
      </c>
      <c r="G146" s="9" t="s">
        <v>42</v>
      </c>
      <c r="H146" s="10"/>
      <c r="I146" s="10"/>
      <c r="J146" s="24" t="s">
        <v>3279</v>
      </c>
      <c r="K146" s="11">
        <v>6</v>
      </c>
      <c r="L146" s="11">
        <v>18</v>
      </c>
      <c r="M146" s="8" t="s">
        <v>24</v>
      </c>
      <c r="N146" s="11">
        <v>1</v>
      </c>
      <c r="O146" s="11"/>
      <c r="P146" s="11"/>
      <c r="Q146" s="8"/>
      <c r="R146" s="11"/>
      <c r="S146" s="11"/>
      <c r="T146" s="23"/>
      <c r="U146" s="11"/>
      <c r="V146" s="11"/>
      <c r="W146" s="83" t="str">
        <f t="shared" si="378"/>
        <v>НПМбд</v>
      </c>
      <c r="X146" s="110" t="s">
        <v>3241</v>
      </c>
      <c r="Y146" s="11">
        <v>3</v>
      </c>
      <c r="Z146" s="11">
        <v>1</v>
      </c>
      <c r="AA146" s="83">
        <f t="shared" si="390"/>
        <v>11</v>
      </c>
      <c r="AB146" s="11">
        <v>9</v>
      </c>
      <c r="AC146" s="11">
        <v>2</v>
      </c>
      <c r="AD146" s="81">
        <f t="shared" si="379"/>
        <v>24</v>
      </c>
      <c r="AE146" s="82">
        <f t="shared" si="391"/>
        <v>0.45833333333333331</v>
      </c>
      <c r="AF146" s="82">
        <f t="shared" si="392"/>
        <v>0.45833333333333331</v>
      </c>
      <c r="AG146" s="102" t="s">
        <v>3250</v>
      </c>
      <c r="AH146" s="8" t="s">
        <v>204</v>
      </c>
      <c r="AI146" s="8" t="s">
        <v>212</v>
      </c>
      <c r="AJ146" s="35" t="s">
        <v>3252</v>
      </c>
      <c r="AK146" s="8"/>
      <c r="AL146" s="42">
        <f t="shared" si="380"/>
        <v>0</v>
      </c>
      <c r="AM146" s="42">
        <f t="shared" si="360"/>
        <v>0</v>
      </c>
      <c r="AN146" s="42">
        <f t="shared" si="361"/>
        <v>0</v>
      </c>
      <c r="AO146" s="42">
        <f t="shared" si="233"/>
        <v>0</v>
      </c>
      <c r="AP146" s="42">
        <f t="shared" si="362"/>
        <v>0</v>
      </c>
      <c r="AQ146" s="42">
        <f t="shared" si="363"/>
        <v>0</v>
      </c>
      <c r="AR146" s="42">
        <f t="shared" si="381"/>
        <v>0</v>
      </c>
      <c r="AS146" s="42">
        <f t="shared" si="364"/>
        <v>0</v>
      </c>
      <c r="AT146" s="42">
        <f t="shared" si="365"/>
        <v>0</v>
      </c>
      <c r="AU146" s="42">
        <f t="shared" si="366"/>
        <v>0</v>
      </c>
      <c r="AV146" s="42">
        <f>IF(M146="ПП",РПП*AA146*(U146/1.5),IF(M146="ВП",ВПр*AA146*(U146/1.5),IF(M146="РПА",РПА*AA146*(U146/1.5),IF(M146="КПА",КПА*AA146*(U146/1.5),0))))</f>
        <v>0</v>
      </c>
      <c r="AW146" s="42">
        <f t="shared" si="367"/>
        <v>0</v>
      </c>
      <c r="AX146" s="42">
        <f t="shared" si="382"/>
        <v>0</v>
      </c>
      <c r="AY146" s="42">
        <f t="shared" si="383"/>
        <v>0</v>
      </c>
      <c r="AZ146" s="42">
        <f t="shared" si="368"/>
        <v>0</v>
      </c>
      <c r="BA146" s="42">
        <f t="shared" si="384"/>
        <v>0</v>
      </c>
      <c r="BB146" s="42">
        <f t="shared" si="385"/>
        <v>0</v>
      </c>
      <c r="BC146" s="42">
        <f t="shared" si="386"/>
        <v>0</v>
      </c>
      <c r="BD146" s="42">
        <f t="shared" si="369"/>
        <v>0</v>
      </c>
      <c r="BE146" s="43">
        <f t="shared" si="370"/>
        <v>0</v>
      </c>
      <c r="BF146" s="44"/>
      <c r="BG146" s="45">
        <f t="shared" si="371"/>
        <v>0</v>
      </c>
      <c r="BH146" s="45">
        <f t="shared" si="372"/>
        <v>0</v>
      </c>
      <c r="BI146" s="45">
        <f t="shared" si="373"/>
        <v>0</v>
      </c>
      <c r="BJ146" s="46">
        <f t="shared" si="438"/>
        <v>0</v>
      </c>
      <c r="BK146" s="46">
        <f t="shared" si="439"/>
        <v>0</v>
      </c>
      <c r="BL146" s="46">
        <f t="shared" si="440"/>
        <v>0</v>
      </c>
    </row>
    <row r="147" spans="1:64" ht="30" customHeight="1" x14ac:dyDescent="0.25">
      <c r="A147" s="84" t="str">
        <f t="shared" si="377"/>
        <v>Д</v>
      </c>
      <c r="B147" s="84" t="str">
        <f t="shared" si="387"/>
        <v>Б</v>
      </c>
      <c r="C147" s="101" t="s">
        <v>1786</v>
      </c>
      <c r="D147" s="16" t="str">
        <f t="shared" si="388"/>
        <v>'02.03.00</v>
      </c>
      <c r="E147" s="17" t="str">
        <f t="shared" si="389"/>
        <v>Компьютерные и информационные науки (УГСН)</v>
      </c>
      <c r="F147" s="116" t="s">
        <v>413</v>
      </c>
      <c r="G147" s="116" t="s">
        <v>42</v>
      </c>
      <c r="H147" s="112"/>
      <c r="I147" s="10"/>
      <c r="J147" s="115" t="s">
        <v>3282</v>
      </c>
      <c r="K147" s="11">
        <v>1</v>
      </c>
      <c r="L147" s="11">
        <v>18</v>
      </c>
      <c r="M147" s="8" t="s">
        <v>23</v>
      </c>
      <c r="N147" s="118">
        <v>2</v>
      </c>
      <c r="O147" s="118"/>
      <c r="P147" s="118"/>
      <c r="Q147" s="113"/>
      <c r="R147" s="11"/>
      <c r="S147" s="11"/>
      <c r="T147" s="23"/>
      <c r="U147" s="11"/>
      <c r="V147" s="11"/>
      <c r="W147" s="83" t="str">
        <f t="shared" si="378"/>
        <v>НКАбд</v>
      </c>
      <c r="X147" s="114" t="s">
        <v>3350</v>
      </c>
      <c r="Y147" s="109">
        <v>12</v>
      </c>
      <c r="Z147" s="109">
        <v>6</v>
      </c>
      <c r="AA147" s="83">
        <f t="shared" si="390"/>
        <v>158</v>
      </c>
      <c r="AB147" s="11">
        <v>91</v>
      </c>
      <c r="AC147" s="11">
        <v>67</v>
      </c>
      <c r="AD147" s="81">
        <f t="shared" si="379"/>
        <v>158</v>
      </c>
      <c r="AE147" s="82">
        <f t="shared" si="391"/>
        <v>1</v>
      </c>
      <c r="AF147" s="82">
        <f t="shared" si="392"/>
        <v>1</v>
      </c>
      <c r="AG147" s="102" t="s">
        <v>3250</v>
      </c>
      <c r="AH147" s="113" t="s">
        <v>204</v>
      </c>
      <c r="AI147" s="113" t="s">
        <v>212</v>
      </c>
      <c r="AJ147" s="119" t="s">
        <v>3252</v>
      </c>
      <c r="AK147" s="8"/>
      <c r="AL147" s="42">
        <f t="shared" si="380"/>
        <v>36</v>
      </c>
      <c r="AM147" s="42">
        <f t="shared" si="360"/>
        <v>0</v>
      </c>
      <c r="AN147" s="42">
        <f t="shared" si="361"/>
        <v>0</v>
      </c>
      <c r="AO147" s="42">
        <f t="shared" ref="AO147:AO195" si="462">(IF((AND(OR(K147=1,K147=2,K147=3,K147=4,K147=5,K147=6,K147=7,K147=8,K147=9,K147=10,K147=11,K147=12),OR(Q147="Зач",Q147="Экз"))),ТКиРА*AA147,0)+IF(SUM(N147:P147)&lt;&gt;0,IF(Q147="ТК",ТКиРА*AA147,0),0))*(IF(F147="ФТД",0,1))</f>
        <v>0</v>
      </c>
      <c r="AP147" s="42">
        <f t="shared" si="362"/>
        <v>0</v>
      </c>
      <c r="AQ147" s="42">
        <f t="shared" si="363"/>
        <v>0</v>
      </c>
      <c r="AR147" s="42">
        <f t="shared" si="381"/>
        <v>10.8</v>
      </c>
      <c r="AS147" s="42">
        <f t="shared" si="364"/>
        <v>0</v>
      </c>
      <c r="AT147" s="42">
        <f t="shared" si="365"/>
        <v>0</v>
      </c>
      <c r="AU147" s="42">
        <f t="shared" si="366"/>
        <v>0</v>
      </c>
      <c r="AV147" s="42">
        <f>IF(M147="ПП",РПП*AA147*(U147/1.5),IF(M147="ВП",ВПр*AA147*(U147/1.5),IF(M147="РПА",РПА*AA147*(U147/1.5),IF(M147="КПА",КПА*AA147*(U147/1.5),0))))</f>
        <v>0</v>
      </c>
      <c r="AW147" s="42">
        <f t="shared" si="367"/>
        <v>0</v>
      </c>
      <c r="AX147" s="42">
        <f t="shared" si="382"/>
        <v>0</v>
      </c>
      <c r="AY147" s="42">
        <f t="shared" si="383"/>
        <v>0</v>
      </c>
      <c r="AZ147" s="42">
        <f t="shared" si="368"/>
        <v>0</v>
      </c>
      <c r="BA147" s="42">
        <f t="shared" si="384"/>
        <v>0</v>
      </c>
      <c r="BB147" s="42">
        <f t="shared" si="385"/>
        <v>0</v>
      </c>
      <c r="BC147" s="42">
        <f t="shared" si="386"/>
        <v>0</v>
      </c>
      <c r="BD147" s="42">
        <f t="shared" si="369"/>
        <v>0</v>
      </c>
      <c r="BE147" s="43">
        <f t="shared" si="370"/>
        <v>46.8</v>
      </c>
      <c r="BF147" s="44"/>
      <c r="BG147" s="45">
        <f t="shared" si="371"/>
        <v>36</v>
      </c>
      <c r="BH147" s="45">
        <f t="shared" si="372"/>
        <v>1</v>
      </c>
      <c r="BI147" s="45">
        <f t="shared" si="373"/>
        <v>10.8</v>
      </c>
      <c r="BJ147" s="46">
        <f t="shared" si="438"/>
        <v>0</v>
      </c>
      <c r="BK147" s="46">
        <f t="shared" si="439"/>
        <v>0</v>
      </c>
      <c r="BL147" s="46">
        <f t="shared" si="440"/>
        <v>0</v>
      </c>
    </row>
    <row r="148" spans="1:64" ht="30" customHeight="1" x14ac:dyDescent="0.25">
      <c r="A148" s="84" t="str">
        <f t="shared" si="377"/>
        <v>Д</v>
      </c>
      <c r="B148" s="84" t="str">
        <f t="shared" ref="B148" si="463">IF(C148&gt;0, VLOOKUP(C148,Код_ООП,11,FALSE),0)</f>
        <v>Б</v>
      </c>
      <c r="C148" s="101" t="s">
        <v>1786</v>
      </c>
      <c r="D148" s="16" t="str">
        <f t="shared" ref="D148" si="464">IF(C148&gt;0, VLOOKUP(C148,Код_ООП,2,FALSE),0)</f>
        <v>'02.03.00</v>
      </c>
      <c r="E148" s="17" t="str">
        <f t="shared" ref="E148" si="465">IF(C148&gt;0, VLOOKUP(C148,Код_ООП,13,FALSE),0)</f>
        <v>Компьютерные и информационные науки (УГСН)</v>
      </c>
      <c r="F148" s="116" t="s">
        <v>413</v>
      </c>
      <c r="G148" s="116" t="s">
        <v>42</v>
      </c>
      <c r="H148" s="112"/>
      <c r="I148" s="10"/>
      <c r="J148" s="115" t="s">
        <v>3282</v>
      </c>
      <c r="K148" s="12">
        <v>1</v>
      </c>
      <c r="L148" s="11">
        <v>18</v>
      </c>
      <c r="M148" s="8" t="s">
        <v>24</v>
      </c>
      <c r="N148" s="109"/>
      <c r="O148" s="109"/>
      <c r="P148" s="109">
        <v>2</v>
      </c>
      <c r="Q148" s="113" t="s">
        <v>102</v>
      </c>
      <c r="R148" s="11"/>
      <c r="S148" s="11"/>
      <c r="T148" s="23"/>
      <c r="U148" s="11"/>
      <c r="V148" s="11"/>
      <c r="W148" s="83" t="str">
        <f t="shared" si="378"/>
        <v>НКАбд</v>
      </c>
      <c r="X148" s="114" t="s">
        <v>3246</v>
      </c>
      <c r="Y148" s="109">
        <v>2</v>
      </c>
      <c r="Z148" s="109">
        <v>1</v>
      </c>
      <c r="AA148" s="83">
        <f t="shared" ref="AA148" si="466">AB148+AC148</f>
        <v>28</v>
      </c>
      <c r="AB148" s="11">
        <v>16</v>
      </c>
      <c r="AC148" s="11">
        <v>12</v>
      </c>
      <c r="AD148" s="81">
        <f t="shared" si="379"/>
        <v>24</v>
      </c>
      <c r="AE148" s="82">
        <f t="shared" ref="AE148" si="467">IF(AF148&gt;1,1,AF148)</f>
        <v>1</v>
      </c>
      <c r="AF148" s="82">
        <f t="shared" ref="AF148" si="468">AA148/AD148</f>
        <v>1.1666666666666667</v>
      </c>
      <c r="AG148" s="102" t="s">
        <v>3250</v>
      </c>
      <c r="AH148" s="113" t="s">
        <v>203</v>
      </c>
      <c r="AI148" s="113" t="s">
        <v>214</v>
      </c>
      <c r="AJ148" s="120" t="s">
        <v>3285</v>
      </c>
      <c r="AK148" s="8"/>
      <c r="AL148" s="42">
        <f t="shared" si="380"/>
        <v>0</v>
      </c>
      <c r="AM148" s="42">
        <f t="shared" ref="AM148" si="469">IF(OR(M148="пр",M148="ия",M148="сп"),P148*AE148*L148,0)</f>
        <v>36</v>
      </c>
      <c r="AN148" s="42">
        <f t="shared" ref="AN148" si="470">IF(OR(M148="лаб",M148="клн"),O148*AE148*L148,0)</f>
        <v>0</v>
      </c>
      <c r="AO148" s="42">
        <f t="shared" ref="AO148" si="471">(IF((AND(OR(K148=1,K148=2,K148=3,K148=4,K148=5,K148=6,K148=7,K148=8,K148=9,K148=10,K148=11,K148=12),OR(Q148="Зач",Q148="Экз"))),ТКиРА*AA148,0)+IF(SUM(N148:P148)&lt;&gt;0,IF(Q148="ТК",ТКиРА*AA148,0),0))*(IF(F148="ФТД",0,1))</f>
        <v>9.24</v>
      </c>
      <c r="AP148" s="42">
        <f t="shared" ref="AP148" si="472">IF(SUM(O148:P148)&lt;&gt;0,IF(Q148="Зач",ПАБРС*AA148,0),0)+IF(N148&lt;&gt;0,IF(Q148="Экз",ПАБРС*AA148,0),0)</f>
        <v>14</v>
      </c>
      <c r="AQ148" s="42">
        <f t="shared" ref="AQ148" si="473">(IF(AP148&lt;&gt;0,ОфВед*(IF(OR(M148="лек",M148="лаб"),Z148,AE148)),0))*(IF(F148="ФТД",0,1))</f>
        <v>1</v>
      </c>
      <c r="AR148" s="42">
        <f t="shared" si="381"/>
        <v>0</v>
      </c>
      <c r="AS148" s="42">
        <f t="shared" ref="AS148" si="474">IF(OR(M148="лаб",M148="пр"),IF(R148="К",AA148*ВПКР,IF(R148="М",AA148*ВПИБ,0)),0)</f>
        <v>0</v>
      </c>
      <c r="AT148" s="42">
        <f t="shared" ref="AT148" si="475">IF(OR(M148="лаб",M148="пр"),IF(S148="К",AA148*ВПКП,0),0)</f>
        <v>0</v>
      </c>
      <c r="AU148" s="42">
        <f t="shared" ref="AU148" si="476">IF(M148="УП",T148/1.5*AA148*РУП,IF(M148="УПМ",T148/1.5*AA148*РУПЛеч,0))</f>
        <v>0</v>
      </c>
      <c r="AV148" s="42">
        <f>IF(M148="ПП",РПП*AA148*(U148/1.5),IF(M148="ВП",ВПр*AA148*(U148/1.5),IF(M148="РПА",РПА*AA148*(U148/1.5),IF(M148="КПА",КПА*AA148*(U148/1.5),0))))</f>
        <v>0</v>
      </c>
      <c r="AW148" s="42">
        <f t="shared" ref="AW148" si="477">IF(M148="НР",(AB148*НИРМ+AC148*НИРМИн)*(V148/1.5),IF(M148="НИ",(AB148*НИРА+AC148*НИРАИ)*(V148/1.5),0))</f>
        <v>0</v>
      </c>
      <c r="AX148" s="42">
        <f t="shared" si="382"/>
        <v>0</v>
      </c>
      <c r="AY148" s="42">
        <f t="shared" si="383"/>
        <v>0</v>
      </c>
      <c r="AZ148" s="42">
        <f t="shared" ref="AZ148" si="478">IF(AND(Q148="КЭ",M148="ЧК"),AA148*КдЭк,0)</f>
        <v>0</v>
      </c>
      <c r="BA148" s="42">
        <f t="shared" si="384"/>
        <v>0</v>
      </c>
      <c r="BB148" s="42">
        <f t="shared" si="385"/>
        <v>0</v>
      </c>
      <c r="BC148" s="42">
        <f t="shared" si="386"/>
        <v>0</v>
      </c>
      <c r="BD148" s="42">
        <f t="shared" ref="BD148" si="479">IF(M148="ЧГ",AA148*ЧГ,IF(M148="ПГ",AA148*ПГ,IF(M148="ТЕСТ",ТГИЭ*AE148,IF(M148="СГ",AA148*СГ,0))))</f>
        <v>0</v>
      </c>
      <c r="BE148" s="43">
        <f t="shared" ref="BE148" si="480">SUM(AL148:BD148)</f>
        <v>60.24</v>
      </c>
      <c r="BF148" s="44"/>
      <c r="BG148" s="45">
        <f t="shared" ref="BG148" si="481">IF(OR(K148="1;1",K148="1;2",K148=1,K148="3;1",K148="3;2",K148=3,K148="5;1",K148="5;2",K148=5,K148="7;1",K148="7;2",K148=7,K148="9;1",K148="9;2",K148=9,K148=11),SUM(AL148:AN148),0)</f>
        <v>36</v>
      </c>
      <c r="BH148" s="45">
        <f t="shared" ref="BH148" si="482">IF(BG148&lt;&gt;0,SUM(N148:P148)/2,0)</f>
        <v>1</v>
      </c>
      <c r="BI148" s="45">
        <f t="shared" ref="BI148" si="483">IF(OR(K148="1;1",K148="1;2",K148=1,K148="3;1",K148="3;2",K148=3,K148="5;1",K148="5;2",K148=5,K148="7;1",K148="7;2",K148=7,K148="9;1",K148="9;2",K148=9,K148=11),SUM(AO148:BD148),0)</f>
        <v>24.240000000000002</v>
      </c>
      <c r="BJ148" s="46">
        <f t="shared" si="438"/>
        <v>0</v>
      </c>
      <c r="BK148" s="46">
        <f t="shared" si="439"/>
        <v>0</v>
      </c>
      <c r="BL148" s="46">
        <f t="shared" si="440"/>
        <v>0</v>
      </c>
    </row>
    <row r="149" spans="1:64" ht="30" customHeight="1" x14ac:dyDescent="0.25">
      <c r="A149" s="84" t="str">
        <f t="shared" si="377"/>
        <v>Д</v>
      </c>
      <c r="B149" s="84" t="str">
        <f t="shared" ref="B149" si="484">IF(C149&gt;0, VLOOKUP(C149,Код_ООП,11,FALSE),0)</f>
        <v>Б</v>
      </c>
      <c r="C149" s="101" t="s">
        <v>1786</v>
      </c>
      <c r="D149" s="16" t="str">
        <f t="shared" ref="D149" si="485">IF(C149&gt;0, VLOOKUP(C149,Код_ООП,2,FALSE),0)</f>
        <v>'02.03.00</v>
      </c>
      <c r="E149" s="17" t="str">
        <f t="shared" ref="E149" si="486">IF(C149&gt;0, VLOOKUP(C149,Код_ООП,13,FALSE),0)</f>
        <v>Компьютерные и информационные науки (УГСН)</v>
      </c>
      <c r="F149" s="116" t="s">
        <v>413</v>
      </c>
      <c r="G149" s="116" t="s">
        <v>42</v>
      </c>
      <c r="H149" s="112"/>
      <c r="I149" s="10"/>
      <c r="J149" s="115" t="s">
        <v>3282</v>
      </c>
      <c r="K149" s="11">
        <v>1</v>
      </c>
      <c r="L149" s="11">
        <v>18</v>
      </c>
      <c r="M149" s="8" t="s">
        <v>24</v>
      </c>
      <c r="N149" s="109"/>
      <c r="O149" s="109"/>
      <c r="P149" s="109">
        <v>2</v>
      </c>
      <c r="Q149" s="113" t="s">
        <v>102</v>
      </c>
      <c r="R149" s="11"/>
      <c r="S149" s="11"/>
      <c r="T149" s="11"/>
      <c r="U149" s="11"/>
      <c r="V149" s="11"/>
      <c r="W149" s="83" t="str">
        <f t="shared" si="378"/>
        <v>НКАбд</v>
      </c>
      <c r="X149" s="114" t="s">
        <v>3247</v>
      </c>
      <c r="Y149" s="109">
        <v>2</v>
      </c>
      <c r="Z149" s="109">
        <v>1</v>
      </c>
      <c r="AA149" s="83">
        <f t="shared" ref="AA149" si="487">AB149+AC149</f>
        <v>26</v>
      </c>
      <c r="AB149" s="11">
        <v>15</v>
      </c>
      <c r="AC149" s="11">
        <v>11</v>
      </c>
      <c r="AD149" s="81">
        <f t="shared" si="379"/>
        <v>24</v>
      </c>
      <c r="AE149" s="82">
        <f t="shared" ref="AE149" si="488">IF(AF149&gt;1,1,AF149)</f>
        <v>1</v>
      </c>
      <c r="AF149" s="82">
        <f t="shared" ref="AF149" si="489">AA149/AD149</f>
        <v>1.0833333333333333</v>
      </c>
      <c r="AG149" s="102" t="s">
        <v>3250</v>
      </c>
      <c r="AH149" s="113" t="s">
        <v>204</v>
      </c>
      <c r="AI149" s="113" t="s">
        <v>212</v>
      </c>
      <c r="AJ149" s="119" t="s">
        <v>3252</v>
      </c>
      <c r="AK149" s="8"/>
      <c r="AL149" s="42">
        <f t="shared" si="380"/>
        <v>0</v>
      </c>
      <c r="AM149" s="42">
        <f t="shared" ref="AM149" si="490">IF(OR(M149="пр",M149="ия",M149="сп"),P149*AE149*L149,0)</f>
        <v>36</v>
      </c>
      <c r="AN149" s="42">
        <f t="shared" ref="AN149" si="491">IF(OR(M149="лаб",M149="клн"),O149*AE149*L149,0)</f>
        <v>0</v>
      </c>
      <c r="AO149" s="42">
        <f t="shared" ref="AO149" si="492">(IF((AND(OR(K149=1,K149=2,K149=3,K149=4,K149=5,K149=6,K149=7,K149=8,K149=9,K149=10,K149=11,K149=12),OR(Q149="Зач",Q149="Экз"))),ТКиРА*AA149,0)+IF(SUM(N149:P149)&lt;&gt;0,IF(Q149="ТК",ТКиРА*AA149,0),0))*(IF(F149="ФТД",0,1))</f>
        <v>8.58</v>
      </c>
      <c r="AP149" s="42">
        <f t="shared" ref="AP149" si="493">IF(SUM(O149:P149)&lt;&gt;0,IF(Q149="Зач",ПАБРС*AA149,0),0)+IF(N149&lt;&gt;0,IF(Q149="Экз",ПАБРС*AA149,0),0)</f>
        <v>13</v>
      </c>
      <c r="AQ149" s="42">
        <f t="shared" ref="AQ149" si="494">(IF(AP149&lt;&gt;0,ОфВед*(IF(OR(M149="лек",M149="лаб"),Z149,AE149)),0))*(IF(F149="ФТД",0,1))</f>
        <v>1</v>
      </c>
      <c r="AR149" s="42">
        <f t="shared" si="381"/>
        <v>0</v>
      </c>
      <c r="AS149" s="42">
        <f t="shared" ref="AS149" si="495">IF(OR(M149="лаб",M149="пр"),IF(R149="К",AA149*ВПКР,IF(R149="М",AA149*ВПИБ,0)),0)</f>
        <v>0</v>
      </c>
      <c r="AT149" s="42">
        <f t="shared" ref="AT149" si="496">IF(OR(M149="лаб",M149="пр"),IF(S149="К",AA149*ВПКП,0),0)</f>
        <v>0</v>
      </c>
      <c r="AU149" s="42">
        <f t="shared" ref="AU149" si="497">IF(M149="УП",T149/1.5*AA149*РУП,IF(M149="УПМ",T149/1.5*AA149*РУПЛеч,0))</f>
        <v>0</v>
      </c>
      <c r="AV149" s="42">
        <f>IF(M149="ПП",РПП*AA149*(U149/1.5),IF(M149="ВП",ВПр*AA149*(U149/1.5),IF(M149="РПА",РПА*AA149*(U149/1.5),IF(M149="КПА",КПА*AA149*(U149/1.5),0))))</f>
        <v>0</v>
      </c>
      <c r="AW149" s="42">
        <f t="shared" ref="AW149" si="498">IF(M149="НР",(AB149*НИРМ+AC149*НИРМИн)*(V149/1.5),IF(M149="НИ",(AB149*НИРА+AC149*НИРАИ)*(V149/1.5),0))</f>
        <v>0</v>
      </c>
      <c r="AX149" s="42">
        <f t="shared" si="382"/>
        <v>0</v>
      </c>
      <c r="AY149" s="42">
        <f t="shared" si="383"/>
        <v>0</v>
      </c>
      <c r="AZ149" s="42">
        <f t="shared" ref="AZ149" si="499">IF(AND(Q149="КЭ",M149="ЧК"),AA149*КдЭк,0)</f>
        <v>0</v>
      </c>
      <c r="BA149" s="42">
        <f t="shared" si="384"/>
        <v>0</v>
      </c>
      <c r="BB149" s="42">
        <f t="shared" si="385"/>
        <v>0</v>
      </c>
      <c r="BC149" s="42">
        <f t="shared" si="386"/>
        <v>0</v>
      </c>
      <c r="BD149" s="42">
        <f t="shared" ref="BD149" si="500">IF(M149="ЧГ",AA149*ЧГ,IF(M149="ПГ",AA149*ПГ,IF(M149="ТЕСТ",ТГИЭ*AE149,IF(M149="СГ",AA149*СГ,0))))</f>
        <v>0</v>
      </c>
      <c r="BE149" s="43">
        <f t="shared" ref="BE149" si="501">SUM(AL149:BD149)</f>
        <v>58.58</v>
      </c>
      <c r="BF149" s="44"/>
      <c r="BG149" s="45">
        <f t="shared" ref="BG149" si="502">IF(OR(K149="1;1",K149="1;2",K149=1,K149="3;1",K149="3;2",K149=3,K149="5;1",K149="5;2",K149=5,K149="7;1",K149="7;2",K149=7,K149="9;1",K149="9;2",K149=9,K149=11),SUM(AL149:AN149),0)</f>
        <v>36</v>
      </c>
      <c r="BH149" s="45">
        <f t="shared" ref="BH149" si="503">IF(BG149&lt;&gt;0,SUM(N149:P149)/2,0)</f>
        <v>1</v>
      </c>
      <c r="BI149" s="45">
        <f t="shared" ref="BI149" si="504">IF(OR(K149="1;1",K149="1;2",K149=1,K149="3;1",K149="3;2",K149=3,K149="5;1",K149="5;2",K149=5,K149="7;1",K149="7;2",K149=7,K149="9;1",K149="9;2",K149=9,K149=11),SUM(AO149:BD149),0)</f>
        <v>22.58</v>
      </c>
      <c r="BJ149" s="46">
        <f t="shared" si="438"/>
        <v>0</v>
      </c>
      <c r="BK149" s="46">
        <f t="shared" si="439"/>
        <v>0</v>
      </c>
      <c r="BL149" s="46">
        <f t="shared" si="440"/>
        <v>0</v>
      </c>
    </row>
    <row r="150" spans="1:64" ht="30" customHeight="1" x14ac:dyDescent="0.25">
      <c r="A150" s="84" t="str">
        <f t="shared" si="377"/>
        <v>Д</v>
      </c>
      <c r="B150" s="84" t="str">
        <f t="shared" ref="B150" si="505">IF(C150&gt;0, VLOOKUP(C150,Код_ООП,11,FALSE),0)</f>
        <v>Б</v>
      </c>
      <c r="C150" s="101" t="s">
        <v>1786</v>
      </c>
      <c r="D150" s="16" t="str">
        <f t="shared" ref="D150" si="506">IF(C150&gt;0, VLOOKUP(C150,Код_ООП,2,FALSE),0)</f>
        <v>'02.03.00</v>
      </c>
      <c r="E150" s="17" t="str">
        <f t="shared" ref="E150" si="507">IF(C150&gt;0, VLOOKUP(C150,Код_ООП,13,FALSE),0)</f>
        <v>Компьютерные и информационные науки (УГСН)</v>
      </c>
      <c r="F150" s="116" t="s">
        <v>413</v>
      </c>
      <c r="G150" s="116" t="s">
        <v>42</v>
      </c>
      <c r="H150" s="112"/>
      <c r="I150" s="10"/>
      <c r="J150" s="115" t="s">
        <v>3282</v>
      </c>
      <c r="K150" s="11">
        <v>1</v>
      </c>
      <c r="L150" s="11">
        <v>18</v>
      </c>
      <c r="M150" s="8" t="s">
        <v>24</v>
      </c>
      <c r="N150" s="109"/>
      <c r="O150" s="109"/>
      <c r="P150" s="109">
        <v>2</v>
      </c>
      <c r="Q150" s="113" t="s">
        <v>102</v>
      </c>
      <c r="R150" s="11"/>
      <c r="S150" s="11"/>
      <c r="T150" s="11"/>
      <c r="U150" s="11"/>
      <c r="V150" s="11"/>
      <c r="W150" s="83" t="str">
        <f t="shared" si="378"/>
        <v>НКАбд</v>
      </c>
      <c r="X150" s="114" t="s">
        <v>3248</v>
      </c>
      <c r="Y150" s="109">
        <v>2</v>
      </c>
      <c r="Z150" s="109">
        <v>1</v>
      </c>
      <c r="AA150" s="83">
        <f t="shared" ref="AA150" si="508">AB150+AC150</f>
        <v>26</v>
      </c>
      <c r="AB150" s="11">
        <v>15</v>
      </c>
      <c r="AC150" s="11">
        <v>11</v>
      </c>
      <c r="AD150" s="81">
        <f t="shared" si="379"/>
        <v>24</v>
      </c>
      <c r="AE150" s="82">
        <f t="shared" ref="AE150" si="509">IF(AF150&gt;1,1,AF150)</f>
        <v>1</v>
      </c>
      <c r="AF150" s="82">
        <f t="shared" ref="AF150" si="510">AA150/AD150</f>
        <v>1.0833333333333333</v>
      </c>
      <c r="AG150" s="102" t="s">
        <v>3250</v>
      </c>
      <c r="AH150" s="113" t="s">
        <v>203</v>
      </c>
      <c r="AI150" s="113" t="s">
        <v>214</v>
      </c>
      <c r="AJ150" s="119" t="s">
        <v>3285</v>
      </c>
      <c r="AK150" s="8"/>
      <c r="AL150" s="42">
        <f t="shared" si="380"/>
        <v>0</v>
      </c>
      <c r="AM150" s="42">
        <f t="shared" ref="AM150" si="511">IF(OR(M150="пр",M150="ия",M150="сп"),P150*AE150*L150,0)</f>
        <v>36</v>
      </c>
      <c r="AN150" s="42">
        <f t="shared" ref="AN150" si="512">IF(OR(M150="лаб",M150="клн"),O150*AE150*L150,0)</f>
        <v>0</v>
      </c>
      <c r="AO150" s="42">
        <f t="shared" ref="AO150" si="513">(IF((AND(OR(K150=1,K150=2,K150=3,K150=4,K150=5,K150=6,K150=7,K150=8,K150=9,K150=10,K150=11,K150=12),OR(Q150="Зач",Q150="Экз"))),ТКиРА*AA150,0)+IF(SUM(N150:P150)&lt;&gt;0,IF(Q150="ТК",ТКиРА*AA150,0),0))*(IF(F150="ФТД",0,1))</f>
        <v>8.58</v>
      </c>
      <c r="AP150" s="42">
        <f t="shared" ref="AP150" si="514">IF(SUM(O150:P150)&lt;&gt;0,IF(Q150="Зач",ПАБРС*AA150,0),0)+IF(N150&lt;&gt;0,IF(Q150="Экз",ПАБРС*AA150,0),0)</f>
        <v>13</v>
      </c>
      <c r="AQ150" s="42">
        <f t="shared" ref="AQ150" si="515">(IF(AP150&lt;&gt;0,ОфВед*(IF(OR(M150="лек",M150="лаб"),Z150,AE150)),0))*(IF(F150="ФТД",0,1))</f>
        <v>1</v>
      </c>
      <c r="AR150" s="42">
        <f t="shared" si="381"/>
        <v>0</v>
      </c>
      <c r="AS150" s="42">
        <f t="shared" ref="AS150" si="516">IF(OR(M150="лаб",M150="пр"),IF(R150="К",AA150*ВПКР,IF(R150="М",AA150*ВПИБ,0)),0)</f>
        <v>0</v>
      </c>
      <c r="AT150" s="42">
        <f t="shared" ref="AT150" si="517">IF(OR(M150="лаб",M150="пр"),IF(S150="К",AA150*ВПКП,0),0)</f>
        <v>0</v>
      </c>
      <c r="AU150" s="42">
        <f t="shared" ref="AU150" si="518">IF(M150="УП",T150/1.5*AA150*РУП,IF(M150="УПМ",T150/1.5*AA150*РУПЛеч,0))</f>
        <v>0</v>
      </c>
      <c r="AV150" s="42">
        <f>IF(M150="ПП",РПП*AA150*(U150/1.5),IF(M150="ВП",ВПр*AA150*(U150/1.5),IF(M150="РПА",РПА*AA150*(U150/1.5),IF(M150="КПА",КПА*AA150*(U150/1.5),0))))</f>
        <v>0</v>
      </c>
      <c r="AW150" s="42">
        <f t="shared" ref="AW150" si="519">IF(M150="НР",(AB150*НИРМ+AC150*НИРМИн)*(V150/1.5),IF(M150="НИ",(AB150*НИРА+AC150*НИРАИ)*(V150/1.5),0))</f>
        <v>0</v>
      </c>
      <c r="AX150" s="42">
        <f t="shared" si="382"/>
        <v>0</v>
      </c>
      <c r="AY150" s="42">
        <f t="shared" si="383"/>
        <v>0</v>
      </c>
      <c r="AZ150" s="42">
        <f t="shared" ref="AZ150" si="520">IF(AND(Q150="КЭ",M150="ЧК"),AA150*КдЭк,0)</f>
        <v>0</v>
      </c>
      <c r="BA150" s="42">
        <f t="shared" si="384"/>
        <v>0</v>
      </c>
      <c r="BB150" s="42">
        <f t="shared" si="385"/>
        <v>0</v>
      </c>
      <c r="BC150" s="42">
        <f t="shared" si="386"/>
        <v>0</v>
      </c>
      <c r="BD150" s="42">
        <f t="shared" ref="BD150" si="521">IF(M150="ЧГ",AA150*ЧГ,IF(M150="ПГ",AA150*ПГ,IF(M150="ТЕСТ",ТГИЭ*AE150,IF(M150="СГ",AA150*СГ,0))))</f>
        <v>0</v>
      </c>
      <c r="BE150" s="43">
        <f t="shared" ref="BE150" si="522">SUM(AL150:BD150)</f>
        <v>58.58</v>
      </c>
      <c r="BF150" s="44"/>
      <c r="BG150" s="45">
        <f t="shared" ref="BG150" si="523">IF(OR(K150="1;1",K150="1;2",K150=1,K150="3;1",K150="3;2",K150=3,K150="5;1",K150="5;2",K150=5,K150="7;1",K150="7;2",K150=7,K150="9;1",K150="9;2",K150=9,K150=11),SUM(AL150:AN150),0)</f>
        <v>36</v>
      </c>
      <c r="BH150" s="45">
        <f t="shared" ref="BH150" si="524">IF(BG150&lt;&gt;0,SUM(N150:P150)/2,0)</f>
        <v>1</v>
      </c>
      <c r="BI150" s="45">
        <f t="shared" ref="BI150" si="525">IF(OR(K150="1;1",K150="1;2",K150=1,K150="3;1",K150="3;2",K150=3,K150="5;1",K150="5;2",K150=5,K150="7;1",K150="7;2",K150=7,K150="9;1",K150="9;2",K150=9,K150=11),SUM(AO150:BD150),0)</f>
        <v>22.58</v>
      </c>
      <c r="BJ150" s="46">
        <f t="shared" si="438"/>
        <v>0</v>
      </c>
      <c r="BK150" s="46">
        <f t="shared" si="439"/>
        <v>0</v>
      </c>
      <c r="BL150" s="46">
        <f t="shared" si="440"/>
        <v>0</v>
      </c>
    </row>
    <row r="151" spans="1:64" ht="30" customHeight="1" x14ac:dyDescent="0.25">
      <c r="A151" s="84" t="str">
        <f t="shared" si="377"/>
        <v>Д</v>
      </c>
      <c r="B151" s="84" t="str">
        <f t="shared" si="387"/>
        <v>Б</v>
      </c>
      <c r="C151" s="101" t="s">
        <v>1786</v>
      </c>
      <c r="D151" s="16" t="str">
        <f t="shared" si="388"/>
        <v>'02.03.00</v>
      </c>
      <c r="E151" s="17" t="str">
        <f t="shared" si="389"/>
        <v>Компьютерные и информационные науки (УГСН)</v>
      </c>
      <c r="F151" s="116" t="s">
        <v>413</v>
      </c>
      <c r="G151" s="116" t="s">
        <v>42</v>
      </c>
      <c r="H151" s="112"/>
      <c r="I151" s="10"/>
      <c r="J151" s="115" t="s">
        <v>3282</v>
      </c>
      <c r="K151" s="11">
        <v>1</v>
      </c>
      <c r="L151" s="11">
        <v>18</v>
      </c>
      <c r="M151" s="8" t="s">
        <v>24</v>
      </c>
      <c r="N151" s="109"/>
      <c r="O151" s="109"/>
      <c r="P151" s="109">
        <v>2</v>
      </c>
      <c r="Q151" s="113" t="s">
        <v>102</v>
      </c>
      <c r="R151" s="11"/>
      <c r="S151" s="11"/>
      <c r="T151" s="11"/>
      <c r="U151" s="11"/>
      <c r="V151" s="11"/>
      <c r="W151" s="83" t="str">
        <f t="shared" si="378"/>
        <v>НКАбд</v>
      </c>
      <c r="X151" s="114" t="s">
        <v>3288</v>
      </c>
      <c r="Y151" s="109">
        <v>2</v>
      </c>
      <c r="Z151" s="109">
        <v>1</v>
      </c>
      <c r="AA151" s="83">
        <f t="shared" si="390"/>
        <v>26</v>
      </c>
      <c r="AB151" s="11">
        <v>15</v>
      </c>
      <c r="AC151" s="11">
        <v>11</v>
      </c>
      <c r="AD151" s="81">
        <f t="shared" si="379"/>
        <v>24</v>
      </c>
      <c r="AE151" s="82">
        <f t="shared" si="391"/>
        <v>1</v>
      </c>
      <c r="AF151" s="82">
        <f t="shared" si="392"/>
        <v>1.0833333333333333</v>
      </c>
      <c r="AG151" s="102" t="s">
        <v>3250</v>
      </c>
      <c r="AH151" s="113" t="s">
        <v>204</v>
      </c>
      <c r="AI151" s="113" t="s">
        <v>212</v>
      </c>
      <c r="AJ151" s="119" t="s">
        <v>3252</v>
      </c>
      <c r="AK151" s="8"/>
      <c r="AL151" s="42">
        <f t="shared" si="380"/>
        <v>0</v>
      </c>
      <c r="AM151" s="42">
        <f t="shared" si="360"/>
        <v>36</v>
      </c>
      <c r="AN151" s="42">
        <f t="shared" si="361"/>
        <v>0</v>
      </c>
      <c r="AO151" s="42">
        <f t="shared" si="462"/>
        <v>8.58</v>
      </c>
      <c r="AP151" s="42">
        <f t="shared" si="362"/>
        <v>13</v>
      </c>
      <c r="AQ151" s="42">
        <f t="shared" si="363"/>
        <v>1</v>
      </c>
      <c r="AR151" s="42">
        <f t="shared" si="381"/>
        <v>0</v>
      </c>
      <c r="AS151" s="42">
        <f t="shared" si="364"/>
        <v>0</v>
      </c>
      <c r="AT151" s="42">
        <f t="shared" si="365"/>
        <v>0</v>
      </c>
      <c r="AU151" s="42">
        <f t="shared" si="366"/>
        <v>0</v>
      </c>
      <c r="AV151" s="42">
        <f>IF(M151="ПП",РПП*AA151*(U151/1.5),IF(M151="ВП",ВПр*AA151*(U151/1.5),IF(M151="РПА",РПА*AA151*(U151/1.5),IF(M151="КПА",КПА*AA151*(U151/1.5),0))))</f>
        <v>0</v>
      </c>
      <c r="AW151" s="42">
        <f t="shared" si="367"/>
        <v>0</v>
      </c>
      <c r="AX151" s="42">
        <f t="shared" si="382"/>
        <v>0</v>
      </c>
      <c r="AY151" s="42">
        <f t="shared" si="383"/>
        <v>0</v>
      </c>
      <c r="AZ151" s="42">
        <f t="shared" si="368"/>
        <v>0</v>
      </c>
      <c r="BA151" s="42">
        <f t="shared" si="384"/>
        <v>0</v>
      </c>
      <c r="BB151" s="42">
        <f t="shared" si="385"/>
        <v>0</v>
      </c>
      <c r="BC151" s="42">
        <f t="shared" si="386"/>
        <v>0</v>
      </c>
      <c r="BD151" s="42">
        <f t="shared" si="369"/>
        <v>0</v>
      </c>
      <c r="BE151" s="43">
        <f t="shared" si="370"/>
        <v>58.58</v>
      </c>
      <c r="BF151" s="44"/>
      <c r="BG151" s="45">
        <f t="shared" si="371"/>
        <v>36</v>
      </c>
      <c r="BH151" s="45">
        <f t="shared" si="372"/>
        <v>1</v>
      </c>
      <c r="BI151" s="45">
        <f t="shared" si="373"/>
        <v>22.58</v>
      </c>
      <c r="BJ151" s="46">
        <f t="shared" si="438"/>
        <v>0</v>
      </c>
      <c r="BK151" s="46">
        <f t="shared" si="439"/>
        <v>0</v>
      </c>
      <c r="BL151" s="46">
        <f t="shared" si="440"/>
        <v>0</v>
      </c>
    </row>
    <row r="152" spans="1:64" ht="30" customHeight="1" x14ac:dyDescent="0.25">
      <c r="A152" s="84" t="str">
        <f t="shared" si="377"/>
        <v>Д</v>
      </c>
      <c r="B152" s="84" t="str">
        <f t="shared" si="387"/>
        <v>Б</v>
      </c>
      <c r="C152" s="101" t="s">
        <v>1786</v>
      </c>
      <c r="D152" s="16" t="str">
        <f t="shared" si="388"/>
        <v>'02.03.00</v>
      </c>
      <c r="E152" s="17" t="str">
        <f t="shared" si="389"/>
        <v>Компьютерные и информационные науки (УГСН)</v>
      </c>
      <c r="F152" s="116" t="s">
        <v>413</v>
      </c>
      <c r="G152" s="116" t="s">
        <v>42</v>
      </c>
      <c r="H152" s="112"/>
      <c r="I152" s="10"/>
      <c r="J152" s="115" t="s">
        <v>3282</v>
      </c>
      <c r="K152" s="11">
        <v>1</v>
      </c>
      <c r="L152" s="11">
        <v>18</v>
      </c>
      <c r="M152" s="8" t="s">
        <v>24</v>
      </c>
      <c r="N152" s="109"/>
      <c r="O152" s="109"/>
      <c r="P152" s="109">
        <v>2</v>
      </c>
      <c r="Q152" s="113" t="s">
        <v>102</v>
      </c>
      <c r="R152" s="11"/>
      <c r="S152" s="11"/>
      <c r="T152" s="11"/>
      <c r="U152" s="11"/>
      <c r="V152" s="11"/>
      <c r="W152" s="83" t="str">
        <f t="shared" si="378"/>
        <v>НКАбд</v>
      </c>
      <c r="X152" s="114" t="s">
        <v>3289</v>
      </c>
      <c r="Y152" s="109">
        <v>2</v>
      </c>
      <c r="Z152" s="109">
        <v>1</v>
      </c>
      <c r="AA152" s="83">
        <f t="shared" si="390"/>
        <v>26</v>
      </c>
      <c r="AB152" s="11">
        <v>15</v>
      </c>
      <c r="AC152" s="11">
        <v>11</v>
      </c>
      <c r="AD152" s="81">
        <f t="shared" si="379"/>
        <v>24</v>
      </c>
      <c r="AE152" s="82">
        <f t="shared" si="391"/>
        <v>1</v>
      </c>
      <c r="AF152" s="82">
        <f t="shared" si="392"/>
        <v>1.0833333333333333</v>
      </c>
      <c r="AG152" s="102" t="s">
        <v>3250</v>
      </c>
      <c r="AH152" s="113" t="s">
        <v>203</v>
      </c>
      <c r="AI152" s="113" t="s">
        <v>214</v>
      </c>
      <c r="AJ152" s="119" t="s">
        <v>3285</v>
      </c>
      <c r="AK152" s="8"/>
      <c r="AL152" s="42">
        <f t="shared" si="380"/>
        <v>0</v>
      </c>
      <c r="AM152" s="42">
        <f t="shared" si="360"/>
        <v>36</v>
      </c>
      <c r="AN152" s="42">
        <f t="shared" si="361"/>
        <v>0</v>
      </c>
      <c r="AO152" s="42">
        <f t="shared" si="462"/>
        <v>8.58</v>
      </c>
      <c r="AP152" s="42">
        <f t="shared" si="362"/>
        <v>13</v>
      </c>
      <c r="AQ152" s="42">
        <f t="shared" si="363"/>
        <v>1</v>
      </c>
      <c r="AR152" s="42">
        <f t="shared" si="381"/>
        <v>0</v>
      </c>
      <c r="AS152" s="42">
        <f t="shared" si="364"/>
        <v>0</v>
      </c>
      <c r="AT152" s="42">
        <f t="shared" si="365"/>
        <v>0</v>
      </c>
      <c r="AU152" s="42">
        <f t="shared" si="366"/>
        <v>0</v>
      </c>
      <c r="AV152" s="42">
        <f>IF(M152="ПП",РПП*AA152*(U152/1.5),IF(M152="ВП",ВПр*AA152*(U152/1.5),IF(M152="РПА",РПА*AA152*(U152/1.5),IF(M152="КПА",КПА*AA152*(U152/1.5),0))))</f>
        <v>0</v>
      </c>
      <c r="AW152" s="42">
        <f t="shared" si="367"/>
        <v>0</v>
      </c>
      <c r="AX152" s="42">
        <f t="shared" si="382"/>
        <v>0</v>
      </c>
      <c r="AY152" s="42">
        <f t="shared" si="383"/>
        <v>0</v>
      </c>
      <c r="AZ152" s="42">
        <f t="shared" si="368"/>
        <v>0</v>
      </c>
      <c r="BA152" s="42">
        <f t="shared" si="384"/>
        <v>0</v>
      </c>
      <c r="BB152" s="42">
        <f t="shared" si="385"/>
        <v>0</v>
      </c>
      <c r="BC152" s="42">
        <f t="shared" si="386"/>
        <v>0</v>
      </c>
      <c r="BD152" s="42">
        <f t="shared" si="369"/>
        <v>0</v>
      </c>
      <c r="BE152" s="43">
        <f t="shared" si="370"/>
        <v>58.58</v>
      </c>
      <c r="BF152" s="44"/>
      <c r="BG152" s="45">
        <f t="shared" si="371"/>
        <v>36</v>
      </c>
      <c r="BH152" s="45">
        <f t="shared" si="372"/>
        <v>1</v>
      </c>
      <c r="BI152" s="45">
        <f t="shared" si="373"/>
        <v>22.58</v>
      </c>
      <c r="BJ152" s="46">
        <f t="shared" si="438"/>
        <v>0</v>
      </c>
      <c r="BK152" s="46">
        <f t="shared" si="439"/>
        <v>0</v>
      </c>
      <c r="BL152" s="46">
        <f t="shared" si="440"/>
        <v>0</v>
      </c>
    </row>
    <row r="153" spans="1:64" ht="30" customHeight="1" x14ac:dyDescent="0.25">
      <c r="A153" s="84" t="str">
        <f t="shared" si="377"/>
        <v>Д</v>
      </c>
      <c r="B153" s="84" t="str">
        <f t="shared" si="387"/>
        <v>Б</v>
      </c>
      <c r="C153" s="101" t="s">
        <v>1786</v>
      </c>
      <c r="D153" s="16" t="str">
        <f t="shared" si="388"/>
        <v>'02.03.00</v>
      </c>
      <c r="E153" s="17" t="str">
        <f t="shared" si="389"/>
        <v>Компьютерные и информационные науки (УГСН)</v>
      </c>
      <c r="F153" s="116" t="s">
        <v>413</v>
      </c>
      <c r="G153" s="116" t="s">
        <v>22</v>
      </c>
      <c r="H153" s="112"/>
      <c r="I153" s="10"/>
      <c r="J153" s="115" t="s">
        <v>3282</v>
      </c>
      <c r="K153" s="11">
        <v>1</v>
      </c>
      <c r="L153" s="11">
        <v>18</v>
      </c>
      <c r="M153" s="8" t="s">
        <v>24</v>
      </c>
      <c r="N153" s="109"/>
      <c r="O153" s="109"/>
      <c r="P153" s="109">
        <v>2</v>
      </c>
      <c r="Q153" s="113" t="s">
        <v>102</v>
      </c>
      <c r="R153" s="11"/>
      <c r="S153" s="11"/>
      <c r="T153" s="11"/>
      <c r="U153" s="11"/>
      <c r="V153" s="11"/>
      <c r="W153" s="83" t="str">
        <f t="shared" si="378"/>
        <v>НКАбд</v>
      </c>
      <c r="X153" s="114" t="s">
        <v>3290</v>
      </c>
      <c r="Y153" s="109">
        <v>2</v>
      </c>
      <c r="Z153" s="109">
        <v>1</v>
      </c>
      <c r="AA153" s="83">
        <f t="shared" si="390"/>
        <v>26</v>
      </c>
      <c r="AB153" s="11">
        <v>15</v>
      </c>
      <c r="AC153" s="11">
        <v>11</v>
      </c>
      <c r="AD153" s="81">
        <f t="shared" si="379"/>
        <v>24</v>
      </c>
      <c r="AE153" s="82">
        <f t="shared" si="391"/>
        <v>1</v>
      </c>
      <c r="AF153" s="82">
        <f t="shared" si="392"/>
        <v>1.0833333333333333</v>
      </c>
      <c r="AG153" s="102" t="s">
        <v>3250</v>
      </c>
      <c r="AH153" s="113" t="s">
        <v>203</v>
      </c>
      <c r="AI153" s="113" t="s">
        <v>214</v>
      </c>
      <c r="AJ153" s="119" t="s">
        <v>3285</v>
      </c>
      <c r="AK153" s="8"/>
      <c r="AL153" s="42">
        <f t="shared" si="380"/>
        <v>0</v>
      </c>
      <c r="AM153" s="42">
        <f t="shared" si="360"/>
        <v>36</v>
      </c>
      <c r="AN153" s="42">
        <f t="shared" si="361"/>
        <v>0</v>
      </c>
      <c r="AO153" s="42">
        <f t="shared" si="462"/>
        <v>8.58</v>
      </c>
      <c r="AP153" s="42">
        <f t="shared" si="362"/>
        <v>13</v>
      </c>
      <c r="AQ153" s="42">
        <f t="shared" si="363"/>
        <v>1</v>
      </c>
      <c r="AR153" s="42">
        <f t="shared" si="381"/>
        <v>0</v>
      </c>
      <c r="AS153" s="42">
        <f t="shared" si="364"/>
        <v>0</v>
      </c>
      <c r="AT153" s="42">
        <f t="shared" si="365"/>
        <v>0</v>
      </c>
      <c r="AU153" s="42">
        <f t="shared" si="366"/>
        <v>0</v>
      </c>
      <c r="AV153" s="42">
        <f>IF(M153="ПП",РПП*AA153*(U153/1.5),IF(M153="ВП",ВПр*AA153*(U153/1.5),IF(M153="РПА",РПА*AA153*(U153/1.5),IF(M153="КПА",КПА*AA153*(U153/1.5),0))))</f>
        <v>0</v>
      </c>
      <c r="AW153" s="42">
        <f t="shared" si="367"/>
        <v>0</v>
      </c>
      <c r="AX153" s="42">
        <f t="shared" si="382"/>
        <v>0</v>
      </c>
      <c r="AY153" s="42">
        <f t="shared" si="383"/>
        <v>0</v>
      </c>
      <c r="AZ153" s="42">
        <f t="shared" si="368"/>
        <v>0</v>
      </c>
      <c r="BA153" s="42">
        <f t="shared" si="384"/>
        <v>0</v>
      </c>
      <c r="BB153" s="42">
        <f t="shared" si="385"/>
        <v>0</v>
      </c>
      <c r="BC153" s="42">
        <f t="shared" si="386"/>
        <v>0</v>
      </c>
      <c r="BD153" s="42">
        <f t="shared" si="369"/>
        <v>0</v>
      </c>
      <c r="BE153" s="43">
        <f t="shared" si="370"/>
        <v>58.58</v>
      </c>
      <c r="BF153" s="44"/>
      <c r="BG153" s="45">
        <f t="shared" si="371"/>
        <v>36</v>
      </c>
      <c r="BH153" s="45">
        <f t="shared" si="372"/>
        <v>1</v>
      </c>
      <c r="BI153" s="45">
        <f t="shared" si="373"/>
        <v>22.58</v>
      </c>
      <c r="BJ153" s="46">
        <f t="shared" si="438"/>
        <v>0</v>
      </c>
      <c r="BK153" s="46">
        <f t="shared" si="439"/>
        <v>0</v>
      </c>
      <c r="BL153" s="46">
        <f t="shared" si="440"/>
        <v>0</v>
      </c>
    </row>
    <row r="154" spans="1:64" ht="30" customHeight="1" x14ac:dyDescent="0.25">
      <c r="A154" s="84" t="str">
        <f t="shared" si="377"/>
        <v>Д</v>
      </c>
      <c r="B154" s="84" t="str">
        <f t="shared" si="387"/>
        <v>Б</v>
      </c>
      <c r="C154" s="101" t="s">
        <v>1786</v>
      </c>
      <c r="D154" s="16" t="str">
        <f t="shared" si="388"/>
        <v>'02.03.00</v>
      </c>
      <c r="E154" s="17" t="str">
        <f t="shared" si="389"/>
        <v>Компьютерные и информационные науки (УГСН)</v>
      </c>
      <c r="F154" s="116" t="s">
        <v>413</v>
      </c>
      <c r="G154" s="116" t="s">
        <v>22</v>
      </c>
      <c r="H154" s="112"/>
      <c r="I154" s="10"/>
      <c r="J154" s="115" t="s">
        <v>3280</v>
      </c>
      <c r="K154" s="11">
        <v>1</v>
      </c>
      <c r="L154" s="11">
        <v>18</v>
      </c>
      <c r="M154" s="8" t="s">
        <v>23</v>
      </c>
      <c r="N154" s="109">
        <v>1</v>
      </c>
      <c r="O154" s="109"/>
      <c r="P154" s="109"/>
      <c r="Q154" s="113" t="s">
        <v>103</v>
      </c>
      <c r="R154" s="12"/>
      <c r="S154" s="12"/>
      <c r="T154" s="12"/>
      <c r="U154" s="12"/>
      <c r="V154" s="12"/>
      <c r="W154" s="83" t="str">
        <f t="shared" si="378"/>
        <v>НКАбд</v>
      </c>
      <c r="X154" s="114" t="s">
        <v>3286</v>
      </c>
      <c r="Y154" s="109">
        <v>12</v>
      </c>
      <c r="Z154" s="109">
        <v>6</v>
      </c>
      <c r="AA154" s="83">
        <f t="shared" si="390"/>
        <v>0</v>
      </c>
      <c r="AB154" s="11"/>
      <c r="AC154" s="12"/>
      <c r="AD154" s="81">
        <f t="shared" si="379"/>
        <v>0</v>
      </c>
      <c r="AE154" s="82" t="e">
        <f t="shared" si="391"/>
        <v>#DIV/0!</v>
      </c>
      <c r="AF154" s="82" t="e">
        <f t="shared" si="392"/>
        <v>#DIV/0!</v>
      </c>
      <c r="AG154" s="102" t="s">
        <v>3250</v>
      </c>
      <c r="AH154" s="113" t="s">
        <v>204</v>
      </c>
      <c r="AI154" s="113" t="s">
        <v>212</v>
      </c>
      <c r="AJ154" s="119" t="s">
        <v>3252</v>
      </c>
      <c r="AK154" s="8"/>
      <c r="AL154" s="42">
        <f t="shared" si="380"/>
        <v>18</v>
      </c>
      <c r="AM154" s="42">
        <f t="shared" si="360"/>
        <v>0</v>
      </c>
      <c r="AN154" s="42">
        <f t="shared" si="361"/>
        <v>0</v>
      </c>
      <c r="AO154" s="42">
        <f t="shared" si="462"/>
        <v>0</v>
      </c>
      <c r="AP154" s="42">
        <f t="shared" si="362"/>
        <v>0</v>
      </c>
      <c r="AQ154" s="42">
        <f t="shared" si="363"/>
        <v>0</v>
      </c>
      <c r="AR154" s="42">
        <f t="shared" si="381"/>
        <v>5.4</v>
      </c>
      <c r="AS154" s="42">
        <f t="shared" si="364"/>
        <v>0</v>
      </c>
      <c r="AT154" s="42">
        <f t="shared" si="365"/>
        <v>0</v>
      </c>
      <c r="AU154" s="42">
        <f t="shared" si="366"/>
        <v>0</v>
      </c>
      <c r="AV154" s="42">
        <f>IF(M154="ПП",РПП*AA154*(U154/1.5),IF(M154="ВП",ВПр*AA154*(U154/1.5),IF(M154="РПА",РПА*AA154*(U154/1.5),IF(M154="КПА",КПА*AA154*(U154/1.5),0))))</f>
        <v>0</v>
      </c>
      <c r="AW154" s="42">
        <f t="shared" si="367"/>
        <v>0</v>
      </c>
      <c r="AX154" s="42">
        <f t="shared" si="382"/>
        <v>0</v>
      </c>
      <c r="AY154" s="42">
        <f t="shared" si="383"/>
        <v>0</v>
      </c>
      <c r="AZ154" s="42">
        <f t="shared" si="368"/>
        <v>0</v>
      </c>
      <c r="BA154" s="42">
        <f t="shared" si="384"/>
        <v>0</v>
      </c>
      <c r="BB154" s="42">
        <f t="shared" si="385"/>
        <v>0</v>
      </c>
      <c r="BC154" s="42">
        <f t="shared" si="386"/>
        <v>0</v>
      </c>
      <c r="BD154" s="42">
        <f t="shared" si="369"/>
        <v>0</v>
      </c>
      <c r="BE154" s="43">
        <f t="shared" si="370"/>
        <v>23.4</v>
      </c>
      <c r="BF154" s="44"/>
      <c r="BG154" s="45">
        <f t="shared" si="371"/>
        <v>18</v>
      </c>
      <c r="BH154" s="45">
        <f t="shared" si="372"/>
        <v>0.5</v>
      </c>
      <c r="BI154" s="45">
        <f t="shared" si="373"/>
        <v>5.4</v>
      </c>
      <c r="BJ154" s="46">
        <f t="shared" si="438"/>
        <v>0</v>
      </c>
      <c r="BK154" s="46">
        <f t="shared" si="439"/>
        <v>0</v>
      </c>
      <c r="BL154" s="46">
        <f t="shared" si="440"/>
        <v>0</v>
      </c>
    </row>
    <row r="155" spans="1:64" ht="30" customHeight="1" x14ac:dyDescent="0.25">
      <c r="A155" s="84" t="str">
        <f t="shared" si="377"/>
        <v>Д</v>
      </c>
      <c r="B155" s="84" t="str">
        <f t="shared" si="387"/>
        <v>Б</v>
      </c>
      <c r="C155" s="101" t="s">
        <v>1786</v>
      </c>
      <c r="D155" s="16" t="str">
        <f t="shared" si="388"/>
        <v>'02.03.00</v>
      </c>
      <c r="E155" s="17" t="str">
        <f t="shared" si="389"/>
        <v>Компьютерные и информационные науки (УГСН)</v>
      </c>
      <c r="F155" s="116" t="s">
        <v>413</v>
      </c>
      <c r="G155" s="116" t="s">
        <v>22</v>
      </c>
      <c r="H155" s="112"/>
      <c r="I155" s="10"/>
      <c r="J155" s="115" t="s">
        <v>3280</v>
      </c>
      <c r="K155" s="11">
        <v>1</v>
      </c>
      <c r="L155" s="11">
        <v>18</v>
      </c>
      <c r="M155" s="8" t="s">
        <v>94</v>
      </c>
      <c r="N155" s="109"/>
      <c r="O155" s="109">
        <v>2</v>
      </c>
      <c r="P155" s="109"/>
      <c r="Q155" s="113"/>
      <c r="R155" s="11"/>
      <c r="S155" s="11"/>
      <c r="T155" s="23"/>
      <c r="U155" s="11"/>
      <c r="V155" s="11"/>
      <c r="W155" s="83" t="str">
        <f t="shared" si="378"/>
        <v>НКАбд</v>
      </c>
      <c r="X155" s="114" t="s">
        <v>3246</v>
      </c>
      <c r="Y155" s="109">
        <v>1</v>
      </c>
      <c r="Z155" s="109">
        <v>1</v>
      </c>
      <c r="AA155" s="83">
        <f t="shared" si="390"/>
        <v>14</v>
      </c>
      <c r="AB155" s="11">
        <v>8</v>
      </c>
      <c r="AC155" s="11">
        <v>6</v>
      </c>
      <c r="AD155" s="81">
        <f t="shared" si="379"/>
        <v>12</v>
      </c>
      <c r="AE155" s="82">
        <f t="shared" si="391"/>
        <v>1</v>
      </c>
      <c r="AF155" s="82">
        <f t="shared" si="392"/>
        <v>1.1666666666666667</v>
      </c>
      <c r="AG155" s="102" t="s">
        <v>3250</v>
      </c>
      <c r="AH155" s="113" t="s">
        <v>203</v>
      </c>
      <c r="AI155" s="113" t="s">
        <v>212</v>
      </c>
      <c r="AJ155" s="119" t="s">
        <v>3285</v>
      </c>
      <c r="AK155" s="8"/>
      <c r="AL155" s="42">
        <f t="shared" si="380"/>
        <v>0</v>
      </c>
      <c r="AM155" s="42">
        <f t="shared" si="360"/>
        <v>0</v>
      </c>
      <c r="AN155" s="42">
        <f t="shared" si="361"/>
        <v>36</v>
      </c>
      <c r="AO155" s="42">
        <f t="shared" si="462"/>
        <v>0</v>
      </c>
      <c r="AP155" s="42">
        <f t="shared" si="362"/>
        <v>0</v>
      </c>
      <c r="AQ155" s="42">
        <f t="shared" si="363"/>
        <v>0</v>
      </c>
      <c r="AR155" s="42">
        <f t="shared" si="381"/>
        <v>0</v>
      </c>
      <c r="AS155" s="42">
        <f t="shared" si="364"/>
        <v>0</v>
      </c>
      <c r="AT155" s="42">
        <f t="shared" si="365"/>
        <v>0</v>
      </c>
      <c r="AU155" s="42">
        <f t="shared" si="366"/>
        <v>0</v>
      </c>
      <c r="AV155" s="42">
        <f>IF(M155="ПП",РПП*AA155*(U155/1.5),IF(M155="ВП",ВПр*AA155*(U155/1.5),IF(M155="РПА",РПА*AA155*(U155/1.5),IF(M155="КПА",КПА*AA155*(U155/1.5),0))))</f>
        <v>0</v>
      </c>
      <c r="AW155" s="42">
        <f t="shared" si="367"/>
        <v>0</v>
      </c>
      <c r="AX155" s="42">
        <f t="shared" si="382"/>
        <v>0</v>
      </c>
      <c r="AY155" s="42">
        <f t="shared" si="383"/>
        <v>0</v>
      </c>
      <c r="AZ155" s="42">
        <f t="shared" si="368"/>
        <v>0</v>
      </c>
      <c r="BA155" s="42">
        <f t="shared" si="384"/>
        <v>0</v>
      </c>
      <c r="BB155" s="42">
        <f t="shared" si="385"/>
        <v>0</v>
      </c>
      <c r="BC155" s="42">
        <f t="shared" si="386"/>
        <v>0</v>
      </c>
      <c r="BD155" s="42">
        <f t="shared" si="369"/>
        <v>0</v>
      </c>
      <c r="BE155" s="43">
        <f t="shared" si="370"/>
        <v>36</v>
      </c>
      <c r="BF155" s="44"/>
      <c r="BG155" s="45">
        <f t="shared" si="371"/>
        <v>36</v>
      </c>
      <c r="BH155" s="45">
        <f t="shared" si="372"/>
        <v>1</v>
      </c>
      <c r="BI155" s="45">
        <f t="shared" si="373"/>
        <v>0</v>
      </c>
      <c r="BJ155" s="46">
        <f t="shared" si="438"/>
        <v>0</v>
      </c>
      <c r="BK155" s="46">
        <f t="shared" si="439"/>
        <v>0</v>
      </c>
      <c r="BL155" s="46">
        <f t="shared" si="440"/>
        <v>0</v>
      </c>
    </row>
    <row r="156" spans="1:64" ht="30" customHeight="1" x14ac:dyDescent="0.25">
      <c r="A156" s="84" t="str">
        <f t="shared" si="377"/>
        <v>Д</v>
      </c>
      <c r="B156" s="84" t="str">
        <f t="shared" si="387"/>
        <v>Б</v>
      </c>
      <c r="C156" s="101" t="s">
        <v>1786</v>
      </c>
      <c r="D156" s="16" t="str">
        <f t="shared" si="388"/>
        <v>'02.03.00</v>
      </c>
      <c r="E156" s="17" t="str">
        <f t="shared" si="389"/>
        <v>Компьютерные и информационные науки (УГСН)</v>
      </c>
      <c r="F156" s="116" t="s">
        <v>413</v>
      </c>
      <c r="G156" s="116" t="s">
        <v>22</v>
      </c>
      <c r="H156" s="112"/>
      <c r="I156" s="10"/>
      <c r="J156" s="115" t="s">
        <v>3280</v>
      </c>
      <c r="K156" s="12">
        <v>1</v>
      </c>
      <c r="L156" s="11">
        <v>18</v>
      </c>
      <c r="M156" s="8" t="s">
        <v>94</v>
      </c>
      <c r="N156" s="109"/>
      <c r="O156" s="109">
        <v>2</v>
      </c>
      <c r="P156" s="109"/>
      <c r="Q156" s="113"/>
      <c r="R156" s="11"/>
      <c r="S156" s="11"/>
      <c r="T156" s="23"/>
      <c r="U156" s="11"/>
      <c r="V156" s="11"/>
      <c r="W156" s="83" t="str">
        <f t="shared" si="378"/>
        <v>НКАбд</v>
      </c>
      <c r="X156" s="114" t="s">
        <v>3246</v>
      </c>
      <c r="Y156" s="109">
        <v>1</v>
      </c>
      <c r="Z156" s="109"/>
      <c r="AA156" s="83">
        <f t="shared" si="390"/>
        <v>14</v>
      </c>
      <c r="AB156" s="11">
        <v>8</v>
      </c>
      <c r="AC156" s="11">
        <v>6</v>
      </c>
      <c r="AD156" s="81">
        <f t="shared" si="379"/>
        <v>12</v>
      </c>
      <c r="AE156" s="82">
        <f t="shared" si="391"/>
        <v>1</v>
      </c>
      <c r="AF156" s="82">
        <f t="shared" si="392"/>
        <v>1.1666666666666667</v>
      </c>
      <c r="AG156" s="102" t="s">
        <v>3250</v>
      </c>
      <c r="AH156" s="113" t="s">
        <v>203</v>
      </c>
      <c r="AI156" s="113" t="s">
        <v>214</v>
      </c>
      <c r="AJ156" s="119" t="s">
        <v>3285</v>
      </c>
      <c r="AK156" s="8"/>
      <c r="AL156" s="42">
        <f t="shared" si="380"/>
        <v>0</v>
      </c>
      <c r="AM156" s="42">
        <f t="shared" si="360"/>
        <v>0</v>
      </c>
      <c r="AN156" s="42">
        <f t="shared" si="361"/>
        <v>36</v>
      </c>
      <c r="AO156" s="42">
        <f t="shared" si="462"/>
        <v>0</v>
      </c>
      <c r="AP156" s="42">
        <f t="shared" si="362"/>
        <v>0</v>
      </c>
      <c r="AQ156" s="42">
        <f t="shared" si="363"/>
        <v>0</v>
      </c>
      <c r="AR156" s="42">
        <f t="shared" si="381"/>
        <v>0</v>
      </c>
      <c r="AS156" s="42">
        <f t="shared" si="364"/>
        <v>0</v>
      </c>
      <c r="AT156" s="42">
        <f t="shared" si="365"/>
        <v>0</v>
      </c>
      <c r="AU156" s="42">
        <f t="shared" si="366"/>
        <v>0</v>
      </c>
      <c r="AV156" s="42">
        <f>IF(M156="ПП",РПП*AA156*(U156/1.5),IF(M156="ВП",ВПр*AA156*(U156/1.5),IF(M156="РПА",РПА*AA156*(U156/1.5),IF(M156="КПА",КПА*AA156*(U156/1.5),0))))</f>
        <v>0</v>
      </c>
      <c r="AW156" s="42">
        <f t="shared" si="367"/>
        <v>0</v>
      </c>
      <c r="AX156" s="42">
        <f t="shared" si="382"/>
        <v>0</v>
      </c>
      <c r="AY156" s="42">
        <f t="shared" si="383"/>
        <v>0</v>
      </c>
      <c r="AZ156" s="42">
        <f t="shared" si="368"/>
        <v>0</v>
      </c>
      <c r="BA156" s="42">
        <f t="shared" si="384"/>
        <v>0</v>
      </c>
      <c r="BB156" s="42">
        <f t="shared" si="385"/>
        <v>0</v>
      </c>
      <c r="BC156" s="42">
        <f t="shared" si="386"/>
        <v>0</v>
      </c>
      <c r="BD156" s="42">
        <f t="shared" si="369"/>
        <v>0</v>
      </c>
      <c r="BE156" s="43">
        <f t="shared" si="370"/>
        <v>36</v>
      </c>
      <c r="BF156" s="44"/>
      <c r="BG156" s="45">
        <f t="shared" si="371"/>
        <v>36</v>
      </c>
      <c r="BH156" s="45">
        <f t="shared" si="372"/>
        <v>1</v>
      </c>
      <c r="BI156" s="45">
        <f t="shared" si="373"/>
        <v>0</v>
      </c>
      <c r="BJ156" s="46">
        <f t="shared" si="438"/>
        <v>0</v>
      </c>
      <c r="BK156" s="46">
        <f t="shared" si="439"/>
        <v>0</v>
      </c>
      <c r="BL156" s="46">
        <f t="shared" si="440"/>
        <v>0</v>
      </c>
    </row>
    <row r="157" spans="1:64" ht="30" customHeight="1" x14ac:dyDescent="0.25">
      <c r="A157" s="84" t="str">
        <f t="shared" si="377"/>
        <v>Д</v>
      </c>
      <c r="B157" s="84" t="str">
        <f t="shared" si="387"/>
        <v>Б</v>
      </c>
      <c r="C157" s="101" t="s">
        <v>1786</v>
      </c>
      <c r="D157" s="16" t="str">
        <f t="shared" si="388"/>
        <v>'02.03.00</v>
      </c>
      <c r="E157" s="17" t="str">
        <f t="shared" si="389"/>
        <v>Компьютерные и информационные науки (УГСН)</v>
      </c>
      <c r="F157" s="116" t="s">
        <v>413</v>
      </c>
      <c r="G157" s="116" t="s">
        <v>22</v>
      </c>
      <c r="H157" s="112"/>
      <c r="I157" s="10"/>
      <c r="J157" s="115" t="s">
        <v>3280</v>
      </c>
      <c r="K157" s="11">
        <v>1</v>
      </c>
      <c r="L157" s="11">
        <v>18</v>
      </c>
      <c r="M157" s="8" t="s">
        <v>94</v>
      </c>
      <c r="N157" s="109"/>
      <c r="O157" s="109">
        <v>2</v>
      </c>
      <c r="P157" s="109"/>
      <c r="Q157" s="113"/>
      <c r="R157" s="11"/>
      <c r="S157" s="11"/>
      <c r="T157" s="11"/>
      <c r="U157" s="11"/>
      <c r="V157" s="11"/>
      <c r="W157" s="83" t="str">
        <f t="shared" si="378"/>
        <v>НКАбд</v>
      </c>
      <c r="X157" s="114" t="s">
        <v>3247</v>
      </c>
      <c r="Y157" s="109">
        <v>1</v>
      </c>
      <c r="Z157" s="109">
        <v>1</v>
      </c>
      <c r="AA157" s="83">
        <f t="shared" si="390"/>
        <v>13</v>
      </c>
      <c r="AB157" s="11">
        <v>8</v>
      </c>
      <c r="AC157" s="11">
        <v>5</v>
      </c>
      <c r="AD157" s="81">
        <f t="shared" si="379"/>
        <v>12</v>
      </c>
      <c r="AE157" s="82">
        <f t="shared" si="391"/>
        <v>1</v>
      </c>
      <c r="AF157" s="82">
        <f t="shared" si="392"/>
        <v>1.0833333333333333</v>
      </c>
      <c r="AG157" s="102" t="s">
        <v>3250</v>
      </c>
      <c r="AH157" s="113" t="s">
        <v>203</v>
      </c>
      <c r="AI157" s="113" t="s">
        <v>214</v>
      </c>
      <c r="AJ157" s="119" t="s">
        <v>3285</v>
      </c>
      <c r="AK157" s="8"/>
      <c r="AL157" s="42">
        <f t="shared" si="380"/>
        <v>0</v>
      </c>
      <c r="AM157" s="42">
        <f t="shared" si="360"/>
        <v>0</v>
      </c>
      <c r="AN157" s="42">
        <f t="shared" si="361"/>
        <v>36</v>
      </c>
      <c r="AO157" s="42">
        <f t="shared" si="462"/>
        <v>0</v>
      </c>
      <c r="AP157" s="42">
        <f t="shared" si="362"/>
        <v>0</v>
      </c>
      <c r="AQ157" s="42">
        <f t="shared" si="363"/>
        <v>0</v>
      </c>
      <c r="AR157" s="42">
        <f t="shared" si="381"/>
        <v>0</v>
      </c>
      <c r="AS157" s="42">
        <f t="shared" si="364"/>
        <v>0</v>
      </c>
      <c r="AT157" s="42">
        <f t="shared" si="365"/>
        <v>0</v>
      </c>
      <c r="AU157" s="42">
        <f t="shared" si="366"/>
        <v>0</v>
      </c>
      <c r="AV157" s="42">
        <f>IF(M157="ПП",РПП*AA157*(U157/1.5),IF(M157="ВП",ВПр*AA157*(U157/1.5),IF(M157="РПА",РПА*AA157*(U157/1.5),IF(M157="КПА",КПА*AA157*(U157/1.5),0))))</f>
        <v>0</v>
      </c>
      <c r="AW157" s="42">
        <f t="shared" si="367"/>
        <v>0</v>
      </c>
      <c r="AX157" s="42">
        <f t="shared" si="382"/>
        <v>0</v>
      </c>
      <c r="AY157" s="42">
        <f t="shared" si="383"/>
        <v>0</v>
      </c>
      <c r="AZ157" s="42">
        <f t="shared" si="368"/>
        <v>0</v>
      </c>
      <c r="BA157" s="42">
        <f t="shared" si="384"/>
        <v>0</v>
      </c>
      <c r="BB157" s="42">
        <f t="shared" si="385"/>
        <v>0</v>
      </c>
      <c r="BC157" s="42">
        <f t="shared" si="386"/>
        <v>0</v>
      </c>
      <c r="BD157" s="42">
        <f t="shared" si="369"/>
        <v>0</v>
      </c>
      <c r="BE157" s="43">
        <f t="shared" si="370"/>
        <v>36</v>
      </c>
      <c r="BF157" s="44"/>
      <c r="BG157" s="45">
        <f t="shared" si="371"/>
        <v>36</v>
      </c>
      <c r="BH157" s="45">
        <f t="shared" si="372"/>
        <v>1</v>
      </c>
      <c r="BI157" s="45">
        <f t="shared" si="373"/>
        <v>0</v>
      </c>
      <c r="BJ157" s="46">
        <f t="shared" si="438"/>
        <v>0</v>
      </c>
      <c r="BK157" s="46">
        <f t="shared" si="439"/>
        <v>0</v>
      </c>
      <c r="BL157" s="46">
        <f t="shared" si="440"/>
        <v>0</v>
      </c>
    </row>
    <row r="158" spans="1:64" ht="30" customHeight="1" x14ac:dyDescent="0.25">
      <c r="A158" s="84" t="str">
        <f t="shared" si="377"/>
        <v>Д</v>
      </c>
      <c r="B158" s="84" t="str">
        <f t="shared" si="387"/>
        <v>Б</v>
      </c>
      <c r="C158" s="101" t="s">
        <v>1786</v>
      </c>
      <c r="D158" s="16" t="str">
        <f t="shared" si="388"/>
        <v>'02.03.00</v>
      </c>
      <c r="E158" s="17" t="str">
        <f t="shared" si="389"/>
        <v>Компьютерные и информационные науки (УГСН)</v>
      </c>
      <c r="F158" s="116" t="s">
        <v>413</v>
      </c>
      <c r="G158" s="116" t="s">
        <v>22</v>
      </c>
      <c r="H158" s="112"/>
      <c r="I158" s="10"/>
      <c r="J158" s="115" t="s">
        <v>3280</v>
      </c>
      <c r="K158" s="11">
        <v>1</v>
      </c>
      <c r="L158" s="11">
        <v>18</v>
      </c>
      <c r="M158" s="8" t="s">
        <v>94</v>
      </c>
      <c r="N158" s="109"/>
      <c r="O158" s="109">
        <v>2</v>
      </c>
      <c r="P158" s="109"/>
      <c r="Q158" s="113"/>
      <c r="R158" s="11"/>
      <c r="S158" s="11"/>
      <c r="T158" s="11"/>
      <c r="U158" s="11"/>
      <c r="V158" s="11"/>
      <c r="W158" s="83" t="str">
        <f t="shared" si="378"/>
        <v>НКАбд</v>
      </c>
      <c r="X158" s="114" t="s">
        <v>3247</v>
      </c>
      <c r="Y158" s="109">
        <v>1</v>
      </c>
      <c r="Z158" s="109"/>
      <c r="AA158" s="83">
        <f t="shared" si="390"/>
        <v>13</v>
      </c>
      <c r="AB158" s="11">
        <v>7</v>
      </c>
      <c r="AC158" s="11">
        <v>6</v>
      </c>
      <c r="AD158" s="81">
        <f t="shared" si="379"/>
        <v>12</v>
      </c>
      <c r="AE158" s="82">
        <f t="shared" si="391"/>
        <v>1</v>
      </c>
      <c r="AF158" s="82">
        <f t="shared" si="392"/>
        <v>1.0833333333333333</v>
      </c>
      <c r="AG158" s="102" t="s">
        <v>3250</v>
      </c>
      <c r="AH158" s="113" t="s">
        <v>203</v>
      </c>
      <c r="AI158" s="113" t="s">
        <v>214</v>
      </c>
      <c r="AJ158" s="119" t="s">
        <v>3285</v>
      </c>
      <c r="AK158" s="8"/>
      <c r="AL158" s="42">
        <f t="shared" si="380"/>
        <v>0</v>
      </c>
      <c r="AM158" s="42">
        <f t="shared" si="360"/>
        <v>0</v>
      </c>
      <c r="AN158" s="42">
        <f t="shared" si="361"/>
        <v>36</v>
      </c>
      <c r="AO158" s="42">
        <f t="shared" si="462"/>
        <v>0</v>
      </c>
      <c r="AP158" s="42">
        <f t="shared" si="362"/>
        <v>0</v>
      </c>
      <c r="AQ158" s="42">
        <f t="shared" si="363"/>
        <v>0</v>
      </c>
      <c r="AR158" s="42">
        <f t="shared" si="381"/>
        <v>0</v>
      </c>
      <c r="AS158" s="42">
        <f t="shared" si="364"/>
        <v>0</v>
      </c>
      <c r="AT158" s="42">
        <f t="shared" si="365"/>
        <v>0</v>
      </c>
      <c r="AU158" s="42">
        <f t="shared" si="366"/>
        <v>0</v>
      </c>
      <c r="AV158" s="42">
        <f>IF(M158="ПП",РПП*AA158*(U158/1.5),IF(M158="ВП",ВПр*AA158*(U158/1.5),IF(M158="РПА",РПА*AA158*(U158/1.5),IF(M158="КПА",КПА*AA158*(U158/1.5),0))))</f>
        <v>0</v>
      </c>
      <c r="AW158" s="42">
        <f t="shared" si="367"/>
        <v>0</v>
      </c>
      <c r="AX158" s="42">
        <f t="shared" si="382"/>
        <v>0</v>
      </c>
      <c r="AY158" s="42">
        <f t="shared" si="383"/>
        <v>0</v>
      </c>
      <c r="AZ158" s="42">
        <f t="shared" si="368"/>
        <v>0</v>
      </c>
      <c r="BA158" s="42">
        <f t="shared" si="384"/>
        <v>0</v>
      </c>
      <c r="BB158" s="42">
        <f t="shared" si="385"/>
        <v>0</v>
      </c>
      <c r="BC158" s="42">
        <f t="shared" si="386"/>
        <v>0</v>
      </c>
      <c r="BD158" s="42">
        <f t="shared" si="369"/>
        <v>0</v>
      </c>
      <c r="BE158" s="43">
        <f t="shared" si="370"/>
        <v>36</v>
      </c>
      <c r="BF158" s="44"/>
      <c r="BG158" s="45">
        <f t="shared" si="371"/>
        <v>36</v>
      </c>
      <c r="BH158" s="45">
        <f t="shared" si="372"/>
        <v>1</v>
      </c>
      <c r="BI158" s="45">
        <f t="shared" si="373"/>
        <v>0</v>
      </c>
      <c r="BJ158" s="46">
        <f t="shared" si="438"/>
        <v>0</v>
      </c>
      <c r="BK158" s="46">
        <f t="shared" si="439"/>
        <v>0</v>
      </c>
      <c r="BL158" s="46">
        <f t="shared" si="440"/>
        <v>0</v>
      </c>
    </row>
    <row r="159" spans="1:64" ht="30" customHeight="1" x14ac:dyDescent="0.25">
      <c r="A159" s="84" t="str">
        <f t="shared" si="377"/>
        <v>Д</v>
      </c>
      <c r="B159" s="84" t="str">
        <f t="shared" si="387"/>
        <v>Б</v>
      </c>
      <c r="C159" s="101" t="s">
        <v>1786</v>
      </c>
      <c r="D159" s="16" t="str">
        <f t="shared" si="388"/>
        <v>'02.03.00</v>
      </c>
      <c r="E159" s="17" t="str">
        <f t="shared" si="389"/>
        <v>Компьютерные и информационные науки (УГСН)</v>
      </c>
      <c r="F159" s="116" t="s">
        <v>413</v>
      </c>
      <c r="G159" s="116" t="s">
        <v>22</v>
      </c>
      <c r="H159" s="112"/>
      <c r="I159" s="10"/>
      <c r="J159" s="115" t="s">
        <v>3280</v>
      </c>
      <c r="K159" s="11">
        <v>1</v>
      </c>
      <c r="L159" s="11">
        <v>18</v>
      </c>
      <c r="M159" s="8" t="s">
        <v>94</v>
      </c>
      <c r="N159" s="109"/>
      <c r="O159" s="109">
        <v>2</v>
      </c>
      <c r="P159" s="109"/>
      <c r="Q159" s="113"/>
      <c r="R159" s="11"/>
      <c r="S159" s="11"/>
      <c r="T159" s="11"/>
      <c r="U159" s="11"/>
      <c r="V159" s="11"/>
      <c r="W159" s="83" t="str">
        <f t="shared" si="378"/>
        <v>НКАбд</v>
      </c>
      <c r="X159" s="114" t="s">
        <v>3248</v>
      </c>
      <c r="Y159" s="109">
        <v>1</v>
      </c>
      <c r="Z159" s="109">
        <v>1</v>
      </c>
      <c r="AA159" s="83">
        <f t="shared" si="390"/>
        <v>13</v>
      </c>
      <c r="AB159" s="11">
        <v>8</v>
      </c>
      <c r="AC159" s="11">
        <v>5</v>
      </c>
      <c r="AD159" s="81">
        <f t="shared" si="379"/>
        <v>12</v>
      </c>
      <c r="AE159" s="82">
        <f t="shared" si="391"/>
        <v>1</v>
      </c>
      <c r="AF159" s="82">
        <f t="shared" si="392"/>
        <v>1.0833333333333333</v>
      </c>
      <c r="AG159" s="102" t="s">
        <v>3250</v>
      </c>
      <c r="AH159" s="113" t="s">
        <v>203</v>
      </c>
      <c r="AI159" s="113" t="s">
        <v>214</v>
      </c>
      <c r="AJ159" s="121" t="s">
        <v>3285</v>
      </c>
      <c r="AK159" s="8"/>
      <c r="AL159" s="42">
        <f t="shared" si="380"/>
        <v>0</v>
      </c>
      <c r="AM159" s="42">
        <f t="shared" si="360"/>
        <v>0</v>
      </c>
      <c r="AN159" s="42">
        <f t="shared" si="361"/>
        <v>36</v>
      </c>
      <c r="AO159" s="42">
        <f t="shared" si="462"/>
        <v>0</v>
      </c>
      <c r="AP159" s="42">
        <f t="shared" si="362"/>
        <v>0</v>
      </c>
      <c r="AQ159" s="42">
        <f t="shared" si="363"/>
        <v>0</v>
      </c>
      <c r="AR159" s="42">
        <f t="shared" si="381"/>
        <v>0</v>
      </c>
      <c r="AS159" s="42">
        <f t="shared" si="364"/>
        <v>0</v>
      </c>
      <c r="AT159" s="42">
        <f t="shared" si="365"/>
        <v>0</v>
      </c>
      <c r="AU159" s="42">
        <f t="shared" si="366"/>
        <v>0</v>
      </c>
      <c r="AV159" s="42">
        <f>IF(M159="ПП",РПП*AA159*(U159/1.5),IF(M159="ВП",ВПр*AA159*(U159/1.5),IF(M159="РПА",РПА*AA159*(U159/1.5),IF(M159="КПА",КПА*AA159*(U159/1.5),0))))</f>
        <v>0</v>
      </c>
      <c r="AW159" s="42">
        <f t="shared" si="367"/>
        <v>0</v>
      </c>
      <c r="AX159" s="42">
        <f t="shared" si="382"/>
        <v>0</v>
      </c>
      <c r="AY159" s="42">
        <f t="shared" si="383"/>
        <v>0</v>
      </c>
      <c r="AZ159" s="42">
        <f t="shared" si="368"/>
        <v>0</v>
      </c>
      <c r="BA159" s="42">
        <f t="shared" si="384"/>
        <v>0</v>
      </c>
      <c r="BB159" s="42">
        <f t="shared" si="385"/>
        <v>0</v>
      </c>
      <c r="BC159" s="42">
        <f t="shared" si="386"/>
        <v>0</v>
      </c>
      <c r="BD159" s="42">
        <f t="shared" si="369"/>
        <v>0</v>
      </c>
      <c r="BE159" s="43">
        <f t="shared" si="370"/>
        <v>36</v>
      </c>
      <c r="BF159" s="44"/>
      <c r="BG159" s="45">
        <f t="shared" si="371"/>
        <v>36</v>
      </c>
      <c r="BH159" s="45">
        <f t="shared" si="372"/>
        <v>1</v>
      </c>
      <c r="BI159" s="45">
        <f t="shared" si="373"/>
        <v>0</v>
      </c>
      <c r="BJ159" s="46">
        <f t="shared" si="438"/>
        <v>0</v>
      </c>
      <c r="BK159" s="46">
        <f t="shared" si="439"/>
        <v>0</v>
      </c>
      <c r="BL159" s="46">
        <f t="shared" si="440"/>
        <v>0</v>
      </c>
    </row>
    <row r="160" spans="1:64" ht="30" customHeight="1" x14ac:dyDescent="0.25">
      <c r="A160" s="84" t="str">
        <f t="shared" si="377"/>
        <v>Д</v>
      </c>
      <c r="B160" s="84" t="str">
        <f t="shared" si="387"/>
        <v>Б</v>
      </c>
      <c r="C160" s="101" t="s">
        <v>1786</v>
      </c>
      <c r="D160" s="16" t="str">
        <f t="shared" si="388"/>
        <v>'02.03.00</v>
      </c>
      <c r="E160" s="17" t="str">
        <f t="shared" si="389"/>
        <v>Компьютерные и информационные науки (УГСН)</v>
      </c>
      <c r="F160" s="116" t="s">
        <v>413</v>
      </c>
      <c r="G160" s="116" t="s">
        <v>22</v>
      </c>
      <c r="H160" s="112"/>
      <c r="I160" s="10"/>
      <c r="J160" s="115" t="s">
        <v>3280</v>
      </c>
      <c r="K160" s="11">
        <v>1</v>
      </c>
      <c r="L160" s="11">
        <v>18</v>
      </c>
      <c r="M160" s="8" t="s">
        <v>94</v>
      </c>
      <c r="N160" s="109"/>
      <c r="O160" s="109">
        <v>2</v>
      </c>
      <c r="P160" s="109"/>
      <c r="Q160" s="113"/>
      <c r="R160" s="11"/>
      <c r="S160" s="11"/>
      <c r="T160" s="11"/>
      <c r="U160" s="11"/>
      <c r="V160" s="11"/>
      <c r="W160" s="83" t="str">
        <f t="shared" si="378"/>
        <v>НКАбд</v>
      </c>
      <c r="X160" s="114" t="s">
        <v>3248</v>
      </c>
      <c r="Y160" s="109">
        <v>1</v>
      </c>
      <c r="Z160" s="109"/>
      <c r="AA160" s="83">
        <f t="shared" si="390"/>
        <v>13</v>
      </c>
      <c r="AB160" s="11">
        <v>7</v>
      </c>
      <c r="AC160" s="11">
        <v>6</v>
      </c>
      <c r="AD160" s="81">
        <f t="shared" si="379"/>
        <v>12</v>
      </c>
      <c r="AE160" s="82">
        <f t="shared" si="391"/>
        <v>1</v>
      </c>
      <c r="AF160" s="82">
        <f t="shared" si="392"/>
        <v>1.0833333333333333</v>
      </c>
      <c r="AG160" s="102" t="s">
        <v>3250</v>
      </c>
      <c r="AH160" s="113" t="s">
        <v>203</v>
      </c>
      <c r="AI160" s="113" t="s">
        <v>214</v>
      </c>
      <c r="AJ160" s="119" t="s">
        <v>3285</v>
      </c>
      <c r="AK160" s="8"/>
      <c r="AL160" s="42">
        <f t="shared" si="380"/>
        <v>0</v>
      </c>
      <c r="AM160" s="42">
        <f t="shared" si="360"/>
        <v>0</v>
      </c>
      <c r="AN160" s="42">
        <f t="shared" si="361"/>
        <v>36</v>
      </c>
      <c r="AO160" s="42">
        <f t="shared" si="462"/>
        <v>0</v>
      </c>
      <c r="AP160" s="42">
        <f t="shared" si="362"/>
        <v>0</v>
      </c>
      <c r="AQ160" s="42">
        <f t="shared" si="363"/>
        <v>0</v>
      </c>
      <c r="AR160" s="42">
        <f t="shared" si="381"/>
        <v>0</v>
      </c>
      <c r="AS160" s="42">
        <f t="shared" si="364"/>
        <v>0</v>
      </c>
      <c r="AT160" s="42">
        <f t="shared" si="365"/>
        <v>0</v>
      </c>
      <c r="AU160" s="42">
        <f t="shared" si="366"/>
        <v>0</v>
      </c>
      <c r="AV160" s="42">
        <f>IF(M160="ПП",РПП*AA160*(U160/1.5),IF(M160="ВП",ВПр*AA160*(U160/1.5),IF(M160="РПА",РПА*AA160*(U160/1.5),IF(M160="КПА",КПА*AA160*(U160/1.5),0))))</f>
        <v>0</v>
      </c>
      <c r="AW160" s="42">
        <f t="shared" si="367"/>
        <v>0</v>
      </c>
      <c r="AX160" s="42">
        <f t="shared" si="382"/>
        <v>0</v>
      </c>
      <c r="AY160" s="42">
        <f t="shared" si="383"/>
        <v>0</v>
      </c>
      <c r="AZ160" s="42">
        <f t="shared" si="368"/>
        <v>0</v>
      </c>
      <c r="BA160" s="42">
        <f t="shared" si="384"/>
        <v>0</v>
      </c>
      <c r="BB160" s="42">
        <f t="shared" si="385"/>
        <v>0</v>
      </c>
      <c r="BC160" s="42">
        <f t="shared" si="386"/>
        <v>0</v>
      </c>
      <c r="BD160" s="42">
        <f t="shared" si="369"/>
        <v>0</v>
      </c>
      <c r="BE160" s="43">
        <f t="shared" si="370"/>
        <v>36</v>
      </c>
      <c r="BF160" s="44"/>
      <c r="BG160" s="45">
        <f t="shared" si="371"/>
        <v>36</v>
      </c>
      <c r="BH160" s="45">
        <f t="shared" si="372"/>
        <v>1</v>
      </c>
      <c r="BI160" s="45">
        <f t="shared" si="373"/>
        <v>0</v>
      </c>
      <c r="BJ160" s="46">
        <f t="shared" si="438"/>
        <v>0</v>
      </c>
      <c r="BK160" s="46">
        <f t="shared" si="439"/>
        <v>0</v>
      </c>
      <c r="BL160" s="46">
        <f t="shared" si="440"/>
        <v>0</v>
      </c>
    </row>
    <row r="161" spans="1:64" ht="30" customHeight="1" x14ac:dyDescent="0.25">
      <c r="A161" s="84" t="str">
        <f t="shared" si="377"/>
        <v>Д</v>
      </c>
      <c r="B161" s="84" t="str">
        <f t="shared" si="387"/>
        <v>Б</v>
      </c>
      <c r="C161" s="101" t="s">
        <v>1786</v>
      </c>
      <c r="D161" s="16" t="str">
        <f t="shared" si="388"/>
        <v>'02.03.00</v>
      </c>
      <c r="E161" s="17" t="str">
        <f t="shared" si="389"/>
        <v>Компьютерные и информационные науки (УГСН)</v>
      </c>
      <c r="F161" s="116" t="s">
        <v>413</v>
      </c>
      <c r="G161" s="116" t="s">
        <v>22</v>
      </c>
      <c r="H161" s="112"/>
      <c r="I161" s="10"/>
      <c r="J161" s="115" t="s">
        <v>3280</v>
      </c>
      <c r="K161" s="11">
        <v>1</v>
      </c>
      <c r="L161" s="11">
        <v>18</v>
      </c>
      <c r="M161" s="8" t="s">
        <v>94</v>
      </c>
      <c r="N161" s="109"/>
      <c r="O161" s="109">
        <v>2</v>
      </c>
      <c r="P161" s="109"/>
      <c r="Q161" s="113"/>
      <c r="R161" s="11"/>
      <c r="S161" s="11"/>
      <c r="T161" s="11"/>
      <c r="U161" s="11"/>
      <c r="V161" s="11"/>
      <c r="W161" s="83" t="str">
        <f t="shared" si="378"/>
        <v>НКАбд</v>
      </c>
      <c r="X161" s="114" t="s">
        <v>3288</v>
      </c>
      <c r="Y161" s="109">
        <v>1</v>
      </c>
      <c r="Z161" s="109">
        <v>1</v>
      </c>
      <c r="AA161" s="83">
        <f t="shared" si="390"/>
        <v>13</v>
      </c>
      <c r="AB161" s="11">
        <v>8</v>
      </c>
      <c r="AC161" s="11">
        <v>5</v>
      </c>
      <c r="AD161" s="81">
        <f t="shared" si="379"/>
        <v>12</v>
      </c>
      <c r="AE161" s="82">
        <f t="shared" si="391"/>
        <v>1</v>
      </c>
      <c r="AF161" s="82">
        <f t="shared" si="392"/>
        <v>1.0833333333333333</v>
      </c>
      <c r="AG161" s="102" t="s">
        <v>3250</v>
      </c>
      <c r="AH161" s="113" t="s">
        <v>203</v>
      </c>
      <c r="AI161" s="113" t="s">
        <v>214</v>
      </c>
      <c r="AJ161" s="120" t="s">
        <v>3285</v>
      </c>
      <c r="AK161" s="8"/>
      <c r="AL161" s="42">
        <f t="shared" si="380"/>
        <v>0</v>
      </c>
      <c r="AM161" s="42">
        <f t="shared" si="360"/>
        <v>0</v>
      </c>
      <c r="AN161" s="42">
        <f t="shared" si="361"/>
        <v>36</v>
      </c>
      <c r="AO161" s="42">
        <f t="shared" si="462"/>
        <v>0</v>
      </c>
      <c r="AP161" s="42">
        <f t="shared" si="362"/>
        <v>0</v>
      </c>
      <c r="AQ161" s="42">
        <f t="shared" si="363"/>
        <v>0</v>
      </c>
      <c r="AR161" s="42">
        <f t="shared" si="381"/>
        <v>0</v>
      </c>
      <c r="AS161" s="42">
        <f t="shared" si="364"/>
        <v>0</v>
      </c>
      <c r="AT161" s="42">
        <f t="shared" si="365"/>
        <v>0</v>
      </c>
      <c r="AU161" s="42">
        <f t="shared" si="366"/>
        <v>0</v>
      </c>
      <c r="AV161" s="42">
        <f>IF(M161="ПП",РПП*AA161*(U161/1.5),IF(M161="ВП",ВПр*AA161*(U161/1.5),IF(M161="РПА",РПА*AA161*(U161/1.5),IF(M161="КПА",КПА*AA161*(U161/1.5),0))))</f>
        <v>0</v>
      </c>
      <c r="AW161" s="42">
        <f t="shared" si="367"/>
        <v>0</v>
      </c>
      <c r="AX161" s="42">
        <f t="shared" si="382"/>
        <v>0</v>
      </c>
      <c r="AY161" s="42">
        <f t="shared" si="383"/>
        <v>0</v>
      </c>
      <c r="AZ161" s="42">
        <f t="shared" si="368"/>
        <v>0</v>
      </c>
      <c r="BA161" s="42">
        <f t="shared" si="384"/>
        <v>0</v>
      </c>
      <c r="BB161" s="42">
        <f t="shared" si="385"/>
        <v>0</v>
      </c>
      <c r="BC161" s="42">
        <f t="shared" si="386"/>
        <v>0</v>
      </c>
      <c r="BD161" s="42">
        <f t="shared" si="369"/>
        <v>0</v>
      </c>
      <c r="BE161" s="43">
        <f t="shared" si="370"/>
        <v>36</v>
      </c>
      <c r="BF161" s="44"/>
      <c r="BG161" s="45">
        <f t="shared" si="371"/>
        <v>36</v>
      </c>
      <c r="BH161" s="45">
        <f t="shared" si="372"/>
        <v>1</v>
      </c>
      <c r="BI161" s="45">
        <f t="shared" si="373"/>
        <v>0</v>
      </c>
      <c r="BJ161" s="46">
        <f t="shared" si="438"/>
        <v>0</v>
      </c>
      <c r="BK161" s="46">
        <f t="shared" si="439"/>
        <v>0</v>
      </c>
      <c r="BL161" s="46">
        <f t="shared" si="440"/>
        <v>0</v>
      </c>
    </row>
    <row r="162" spans="1:64" ht="30" customHeight="1" x14ac:dyDescent="0.25">
      <c r="A162" s="84" t="str">
        <f t="shared" si="377"/>
        <v>Д</v>
      </c>
      <c r="B162" s="84" t="str">
        <f t="shared" si="387"/>
        <v>Б</v>
      </c>
      <c r="C162" s="101" t="s">
        <v>1786</v>
      </c>
      <c r="D162" s="16" t="str">
        <f t="shared" si="388"/>
        <v>'02.03.00</v>
      </c>
      <c r="E162" s="17" t="str">
        <f t="shared" si="389"/>
        <v>Компьютерные и информационные науки (УГСН)</v>
      </c>
      <c r="F162" s="116" t="s">
        <v>413</v>
      </c>
      <c r="G162" s="116" t="s">
        <v>22</v>
      </c>
      <c r="H162" s="112"/>
      <c r="I162" s="10"/>
      <c r="J162" s="115" t="s">
        <v>3280</v>
      </c>
      <c r="K162" s="11">
        <v>1</v>
      </c>
      <c r="L162" s="11">
        <v>18</v>
      </c>
      <c r="M162" s="8" t="s">
        <v>94</v>
      </c>
      <c r="N162" s="109"/>
      <c r="O162" s="109">
        <v>2</v>
      </c>
      <c r="P162" s="109"/>
      <c r="Q162" s="113"/>
      <c r="R162" s="12"/>
      <c r="S162" s="12"/>
      <c r="T162" s="12"/>
      <c r="U162" s="12"/>
      <c r="V162" s="12"/>
      <c r="W162" s="83" t="str">
        <f t="shared" si="378"/>
        <v>НКАбд</v>
      </c>
      <c r="X162" s="114" t="s">
        <v>3288</v>
      </c>
      <c r="Y162" s="109">
        <v>1</v>
      </c>
      <c r="Z162" s="109"/>
      <c r="AA162" s="83">
        <f t="shared" si="390"/>
        <v>13</v>
      </c>
      <c r="AB162" s="11">
        <v>7</v>
      </c>
      <c r="AC162" s="11">
        <v>6</v>
      </c>
      <c r="AD162" s="81">
        <f t="shared" si="379"/>
        <v>12</v>
      </c>
      <c r="AE162" s="82">
        <f t="shared" si="391"/>
        <v>1</v>
      </c>
      <c r="AF162" s="82">
        <f t="shared" si="392"/>
        <v>1.0833333333333333</v>
      </c>
      <c r="AG162" s="102" t="s">
        <v>3250</v>
      </c>
      <c r="AH162" s="113" t="s">
        <v>203</v>
      </c>
      <c r="AI162" s="113" t="s">
        <v>214</v>
      </c>
      <c r="AJ162" s="119" t="s">
        <v>3285</v>
      </c>
      <c r="AK162" s="8"/>
      <c r="AL162" s="42">
        <f t="shared" si="380"/>
        <v>0</v>
      </c>
      <c r="AM162" s="42">
        <f t="shared" si="360"/>
        <v>0</v>
      </c>
      <c r="AN162" s="42">
        <f t="shared" si="361"/>
        <v>36</v>
      </c>
      <c r="AO162" s="42">
        <f t="shared" si="462"/>
        <v>0</v>
      </c>
      <c r="AP162" s="42">
        <f t="shared" si="362"/>
        <v>0</v>
      </c>
      <c r="AQ162" s="42">
        <f t="shared" si="363"/>
        <v>0</v>
      </c>
      <c r="AR162" s="42">
        <f t="shared" si="381"/>
        <v>0</v>
      </c>
      <c r="AS162" s="42">
        <f t="shared" si="364"/>
        <v>0</v>
      </c>
      <c r="AT162" s="42">
        <f t="shared" si="365"/>
        <v>0</v>
      </c>
      <c r="AU162" s="42">
        <f t="shared" si="366"/>
        <v>0</v>
      </c>
      <c r="AV162" s="42">
        <f>IF(M162="ПП",РПП*AA162*(U162/1.5),IF(M162="ВП",ВПр*AA162*(U162/1.5),IF(M162="РПА",РПА*AA162*(U162/1.5),IF(M162="КПА",КПА*AA162*(U162/1.5),0))))</f>
        <v>0</v>
      </c>
      <c r="AW162" s="42">
        <f t="shared" si="367"/>
        <v>0</v>
      </c>
      <c r="AX162" s="42">
        <f t="shared" si="382"/>
        <v>0</v>
      </c>
      <c r="AY162" s="42">
        <f t="shared" si="383"/>
        <v>0</v>
      </c>
      <c r="AZ162" s="42">
        <f t="shared" si="368"/>
        <v>0</v>
      </c>
      <c r="BA162" s="42">
        <f t="shared" si="384"/>
        <v>0</v>
      </c>
      <c r="BB162" s="42">
        <f t="shared" si="385"/>
        <v>0</v>
      </c>
      <c r="BC162" s="42">
        <f t="shared" si="386"/>
        <v>0</v>
      </c>
      <c r="BD162" s="42">
        <f t="shared" si="369"/>
        <v>0</v>
      </c>
      <c r="BE162" s="43">
        <f t="shared" si="370"/>
        <v>36</v>
      </c>
      <c r="BF162" s="44"/>
      <c r="BG162" s="45">
        <f t="shared" si="371"/>
        <v>36</v>
      </c>
      <c r="BH162" s="45">
        <f t="shared" si="372"/>
        <v>1</v>
      </c>
      <c r="BI162" s="45">
        <f t="shared" si="373"/>
        <v>0</v>
      </c>
      <c r="BJ162" s="46">
        <f t="shared" si="438"/>
        <v>0</v>
      </c>
      <c r="BK162" s="46">
        <f t="shared" si="439"/>
        <v>0</v>
      </c>
      <c r="BL162" s="46">
        <f t="shared" si="440"/>
        <v>0</v>
      </c>
    </row>
    <row r="163" spans="1:64" ht="30" customHeight="1" x14ac:dyDescent="0.25">
      <c r="A163" s="84" t="str">
        <f t="shared" si="377"/>
        <v>Д</v>
      </c>
      <c r="B163" s="84" t="str">
        <f t="shared" si="387"/>
        <v>Б</v>
      </c>
      <c r="C163" s="101" t="s">
        <v>1786</v>
      </c>
      <c r="D163" s="16" t="str">
        <f t="shared" si="388"/>
        <v>'02.03.00</v>
      </c>
      <c r="E163" s="17" t="str">
        <f t="shared" si="389"/>
        <v>Компьютерные и информационные науки (УГСН)</v>
      </c>
      <c r="F163" s="116" t="s">
        <v>413</v>
      </c>
      <c r="G163" s="116" t="s">
        <v>22</v>
      </c>
      <c r="H163" s="112"/>
      <c r="I163" s="10"/>
      <c r="J163" s="115" t="s">
        <v>3280</v>
      </c>
      <c r="K163" s="11">
        <v>1</v>
      </c>
      <c r="L163" s="11">
        <v>18</v>
      </c>
      <c r="M163" s="8" t="s">
        <v>94</v>
      </c>
      <c r="N163" s="109"/>
      <c r="O163" s="109">
        <v>2</v>
      </c>
      <c r="P163" s="109"/>
      <c r="Q163" s="113"/>
      <c r="R163" s="11"/>
      <c r="S163" s="11"/>
      <c r="T163" s="23"/>
      <c r="U163" s="11"/>
      <c r="V163" s="11"/>
      <c r="W163" s="83" t="str">
        <f t="shared" si="378"/>
        <v>НКАбд</v>
      </c>
      <c r="X163" s="114" t="s">
        <v>3289</v>
      </c>
      <c r="Y163" s="109">
        <v>1</v>
      </c>
      <c r="Z163" s="109">
        <v>1</v>
      </c>
      <c r="AA163" s="83">
        <f t="shared" si="390"/>
        <v>13</v>
      </c>
      <c r="AB163" s="11">
        <v>8</v>
      </c>
      <c r="AC163" s="11">
        <v>5</v>
      </c>
      <c r="AD163" s="81">
        <f t="shared" si="379"/>
        <v>12</v>
      </c>
      <c r="AE163" s="82">
        <f t="shared" si="391"/>
        <v>1</v>
      </c>
      <c r="AF163" s="82">
        <f t="shared" si="392"/>
        <v>1.0833333333333333</v>
      </c>
      <c r="AG163" s="102" t="s">
        <v>3250</v>
      </c>
      <c r="AH163" s="113" t="s">
        <v>203</v>
      </c>
      <c r="AI163" s="113" t="s">
        <v>214</v>
      </c>
      <c r="AJ163" s="119" t="s">
        <v>3285</v>
      </c>
      <c r="AK163" s="8"/>
      <c r="AL163" s="42">
        <f t="shared" si="380"/>
        <v>0</v>
      </c>
      <c r="AM163" s="42">
        <f t="shared" si="360"/>
        <v>0</v>
      </c>
      <c r="AN163" s="42">
        <f t="shared" si="361"/>
        <v>36</v>
      </c>
      <c r="AO163" s="42">
        <f t="shared" si="462"/>
        <v>0</v>
      </c>
      <c r="AP163" s="42">
        <f t="shared" si="362"/>
        <v>0</v>
      </c>
      <c r="AQ163" s="42">
        <f t="shared" si="363"/>
        <v>0</v>
      </c>
      <c r="AR163" s="42">
        <f t="shared" si="381"/>
        <v>0</v>
      </c>
      <c r="AS163" s="42">
        <f t="shared" si="364"/>
        <v>0</v>
      </c>
      <c r="AT163" s="42">
        <f t="shared" si="365"/>
        <v>0</v>
      </c>
      <c r="AU163" s="42">
        <f t="shared" si="366"/>
        <v>0</v>
      </c>
      <c r="AV163" s="42">
        <f>IF(M163="ПП",РПП*AA163*(U163/1.5),IF(M163="ВП",ВПр*AA163*(U163/1.5),IF(M163="РПА",РПА*AA163*(U163/1.5),IF(M163="КПА",КПА*AA163*(U163/1.5),0))))</f>
        <v>0</v>
      </c>
      <c r="AW163" s="42">
        <f t="shared" si="367"/>
        <v>0</v>
      </c>
      <c r="AX163" s="42">
        <f t="shared" si="382"/>
        <v>0</v>
      </c>
      <c r="AY163" s="42">
        <f t="shared" si="383"/>
        <v>0</v>
      </c>
      <c r="AZ163" s="42">
        <f t="shared" si="368"/>
        <v>0</v>
      </c>
      <c r="BA163" s="42">
        <f t="shared" si="384"/>
        <v>0</v>
      </c>
      <c r="BB163" s="42">
        <f t="shared" si="385"/>
        <v>0</v>
      </c>
      <c r="BC163" s="42">
        <f t="shared" si="386"/>
        <v>0</v>
      </c>
      <c r="BD163" s="42">
        <f t="shared" si="369"/>
        <v>0</v>
      </c>
      <c r="BE163" s="43">
        <f t="shared" si="370"/>
        <v>36</v>
      </c>
      <c r="BF163" s="44"/>
      <c r="BG163" s="45">
        <f t="shared" si="371"/>
        <v>36</v>
      </c>
      <c r="BH163" s="45">
        <f t="shared" si="372"/>
        <v>1</v>
      </c>
      <c r="BI163" s="45">
        <f t="shared" si="373"/>
        <v>0</v>
      </c>
      <c r="BJ163" s="46">
        <f t="shared" si="438"/>
        <v>0</v>
      </c>
      <c r="BK163" s="46">
        <f t="shared" si="439"/>
        <v>0</v>
      </c>
      <c r="BL163" s="46">
        <f t="shared" si="440"/>
        <v>0</v>
      </c>
    </row>
    <row r="164" spans="1:64" ht="30" customHeight="1" x14ac:dyDescent="0.25">
      <c r="A164" s="84" t="str">
        <f t="shared" si="377"/>
        <v>Д</v>
      </c>
      <c r="B164" s="84" t="str">
        <f t="shared" si="387"/>
        <v>Б</v>
      </c>
      <c r="C164" s="101" t="s">
        <v>1786</v>
      </c>
      <c r="D164" s="16" t="str">
        <f t="shared" si="388"/>
        <v>'02.03.00</v>
      </c>
      <c r="E164" s="17" t="str">
        <f t="shared" si="389"/>
        <v>Компьютерные и информационные науки (УГСН)</v>
      </c>
      <c r="F164" s="116" t="s">
        <v>413</v>
      </c>
      <c r="G164" s="116" t="s">
        <v>22</v>
      </c>
      <c r="H164" s="112"/>
      <c r="I164" s="10"/>
      <c r="J164" s="115" t="s">
        <v>3280</v>
      </c>
      <c r="K164" s="12">
        <v>1</v>
      </c>
      <c r="L164" s="11">
        <v>18</v>
      </c>
      <c r="M164" s="8" t="s">
        <v>94</v>
      </c>
      <c r="N164" s="109"/>
      <c r="O164" s="109">
        <v>2</v>
      </c>
      <c r="P164" s="109"/>
      <c r="Q164" s="113"/>
      <c r="R164" s="11"/>
      <c r="S164" s="11"/>
      <c r="T164" s="23"/>
      <c r="U164" s="11"/>
      <c r="V164" s="11"/>
      <c r="W164" s="83" t="str">
        <f t="shared" si="378"/>
        <v>НКАбд</v>
      </c>
      <c r="X164" s="114" t="s">
        <v>3289</v>
      </c>
      <c r="Y164" s="109">
        <v>1</v>
      </c>
      <c r="Z164" s="109"/>
      <c r="AA164" s="83">
        <f t="shared" si="390"/>
        <v>13</v>
      </c>
      <c r="AB164" s="11">
        <v>7</v>
      </c>
      <c r="AC164" s="11">
        <v>6</v>
      </c>
      <c r="AD164" s="81">
        <f t="shared" si="379"/>
        <v>12</v>
      </c>
      <c r="AE164" s="82">
        <f t="shared" si="391"/>
        <v>1</v>
      </c>
      <c r="AF164" s="82">
        <f t="shared" si="392"/>
        <v>1.0833333333333333</v>
      </c>
      <c r="AG164" s="102" t="s">
        <v>3250</v>
      </c>
      <c r="AH164" s="113" t="s">
        <v>203</v>
      </c>
      <c r="AI164" s="113" t="s">
        <v>214</v>
      </c>
      <c r="AJ164" s="119" t="s">
        <v>3285</v>
      </c>
      <c r="AK164" s="8"/>
      <c r="AL164" s="42">
        <f t="shared" si="380"/>
        <v>0</v>
      </c>
      <c r="AM164" s="42">
        <f t="shared" si="360"/>
        <v>0</v>
      </c>
      <c r="AN164" s="42">
        <f t="shared" si="361"/>
        <v>36</v>
      </c>
      <c r="AO164" s="42">
        <f t="shared" si="462"/>
        <v>0</v>
      </c>
      <c r="AP164" s="42">
        <f t="shared" si="362"/>
        <v>0</v>
      </c>
      <c r="AQ164" s="42">
        <f t="shared" si="363"/>
        <v>0</v>
      </c>
      <c r="AR164" s="42">
        <f t="shared" si="381"/>
        <v>0</v>
      </c>
      <c r="AS164" s="42">
        <f t="shared" si="364"/>
        <v>0</v>
      </c>
      <c r="AT164" s="42">
        <f t="shared" si="365"/>
        <v>0</v>
      </c>
      <c r="AU164" s="42">
        <f t="shared" si="366"/>
        <v>0</v>
      </c>
      <c r="AV164" s="42">
        <f>IF(M164="ПП",РПП*AA164*(U164/1.5),IF(M164="ВП",ВПр*AA164*(U164/1.5),IF(M164="РПА",РПА*AA164*(U164/1.5),IF(M164="КПА",КПА*AA164*(U164/1.5),0))))</f>
        <v>0</v>
      </c>
      <c r="AW164" s="42">
        <f t="shared" si="367"/>
        <v>0</v>
      </c>
      <c r="AX164" s="42">
        <f t="shared" si="382"/>
        <v>0</v>
      </c>
      <c r="AY164" s="42">
        <f t="shared" si="383"/>
        <v>0</v>
      </c>
      <c r="AZ164" s="42">
        <f t="shared" si="368"/>
        <v>0</v>
      </c>
      <c r="BA164" s="42">
        <f t="shared" si="384"/>
        <v>0</v>
      </c>
      <c r="BB164" s="42">
        <f t="shared" si="385"/>
        <v>0</v>
      </c>
      <c r="BC164" s="42">
        <f t="shared" si="386"/>
        <v>0</v>
      </c>
      <c r="BD164" s="42">
        <f t="shared" si="369"/>
        <v>0</v>
      </c>
      <c r="BE164" s="43">
        <f t="shared" si="370"/>
        <v>36</v>
      </c>
      <c r="BF164" s="44"/>
      <c r="BG164" s="45">
        <f t="shared" si="371"/>
        <v>36</v>
      </c>
      <c r="BH164" s="45">
        <f t="shared" si="372"/>
        <v>1</v>
      </c>
      <c r="BI164" s="45">
        <f t="shared" si="373"/>
        <v>0</v>
      </c>
      <c r="BJ164" s="46">
        <f t="shared" si="438"/>
        <v>0</v>
      </c>
      <c r="BK164" s="46">
        <f t="shared" si="439"/>
        <v>0</v>
      </c>
      <c r="BL164" s="46">
        <f t="shared" si="440"/>
        <v>0</v>
      </c>
    </row>
    <row r="165" spans="1:64" ht="30" customHeight="1" x14ac:dyDescent="0.25">
      <c r="A165" s="84" t="str">
        <f t="shared" si="377"/>
        <v>Д</v>
      </c>
      <c r="B165" s="84" t="str">
        <f t="shared" ref="B165" si="526">IF(C165&gt;0, VLOOKUP(C165,Код_ООП,11,FALSE),0)</f>
        <v>Б</v>
      </c>
      <c r="C165" s="101" t="s">
        <v>1786</v>
      </c>
      <c r="D165" s="16" t="str">
        <f t="shared" ref="D165" si="527">IF(C165&gt;0, VLOOKUP(C165,Код_ООП,2,FALSE),0)</f>
        <v>'02.03.00</v>
      </c>
      <c r="E165" s="17" t="str">
        <f t="shared" ref="E165" si="528">IF(C165&gt;0, VLOOKUP(C165,Код_ООП,13,FALSE),0)</f>
        <v>Компьютерные и информационные науки (УГСН)</v>
      </c>
      <c r="F165" s="116" t="s">
        <v>413</v>
      </c>
      <c r="G165" s="116" t="s">
        <v>22</v>
      </c>
      <c r="H165" s="112"/>
      <c r="I165" s="10"/>
      <c r="J165" s="115" t="s">
        <v>3280</v>
      </c>
      <c r="K165" s="11">
        <v>1</v>
      </c>
      <c r="L165" s="11">
        <v>18</v>
      </c>
      <c r="M165" s="8" t="s">
        <v>94</v>
      </c>
      <c r="N165" s="109"/>
      <c r="O165" s="109">
        <v>2</v>
      </c>
      <c r="P165" s="109"/>
      <c r="Q165" s="113"/>
      <c r="R165" s="11"/>
      <c r="S165" s="11"/>
      <c r="T165" s="11"/>
      <c r="U165" s="11"/>
      <c r="V165" s="11"/>
      <c r="W165" s="83" t="str">
        <f t="shared" si="378"/>
        <v>НКАбд</v>
      </c>
      <c r="X165" s="114" t="s">
        <v>3290</v>
      </c>
      <c r="Y165" s="109">
        <v>1</v>
      </c>
      <c r="Z165" s="109">
        <v>1</v>
      </c>
      <c r="AA165" s="83">
        <f t="shared" ref="AA165" si="529">AB165+AC165</f>
        <v>13</v>
      </c>
      <c r="AB165" s="11">
        <v>8</v>
      </c>
      <c r="AC165" s="11">
        <v>5</v>
      </c>
      <c r="AD165" s="81">
        <f t="shared" si="379"/>
        <v>12</v>
      </c>
      <c r="AE165" s="82">
        <f t="shared" ref="AE165" si="530">IF(AF165&gt;1,1,AF165)</f>
        <v>1</v>
      </c>
      <c r="AF165" s="82">
        <f t="shared" ref="AF165" si="531">AA165/AD165</f>
        <v>1.0833333333333333</v>
      </c>
      <c r="AG165" s="102" t="s">
        <v>3250</v>
      </c>
      <c r="AH165" s="113" t="s">
        <v>203</v>
      </c>
      <c r="AI165" s="113" t="s">
        <v>214</v>
      </c>
      <c r="AJ165" s="119" t="s">
        <v>3285</v>
      </c>
      <c r="AK165" s="8"/>
      <c r="AL165" s="42">
        <f t="shared" si="380"/>
        <v>0</v>
      </c>
      <c r="AM165" s="42">
        <f t="shared" ref="AM165" si="532">IF(OR(M165="пр",M165="ия",M165="сп"),P165*AE165*L165,0)</f>
        <v>0</v>
      </c>
      <c r="AN165" s="42">
        <f t="shared" ref="AN165" si="533">IF(OR(M165="лаб",M165="клн"),O165*AE165*L165,0)</f>
        <v>36</v>
      </c>
      <c r="AO165" s="42">
        <f t="shared" ref="AO165" si="534">(IF((AND(OR(K165=1,K165=2,K165=3,K165=4,K165=5,K165=6,K165=7,K165=8,K165=9,K165=10,K165=11,K165=12),OR(Q165="Зач",Q165="Экз"))),ТКиРА*AA165,0)+IF(SUM(N165:P165)&lt;&gt;0,IF(Q165="ТК",ТКиРА*AA165,0),0))*(IF(F165="ФТД",0,1))</f>
        <v>0</v>
      </c>
      <c r="AP165" s="42">
        <f t="shared" ref="AP165" si="535">IF(SUM(O165:P165)&lt;&gt;0,IF(Q165="Зач",ПАБРС*AA165,0),0)+IF(N165&lt;&gt;0,IF(Q165="Экз",ПАБРС*AA165,0),0)</f>
        <v>0</v>
      </c>
      <c r="AQ165" s="42">
        <f t="shared" ref="AQ165" si="536">(IF(AP165&lt;&gt;0,ОфВед*(IF(OR(M165="лек",M165="лаб"),Z165,AE165)),0))*(IF(F165="ФТД",0,1))</f>
        <v>0</v>
      </c>
      <c r="AR165" s="42">
        <f t="shared" si="381"/>
        <v>0</v>
      </c>
      <c r="AS165" s="42">
        <f t="shared" ref="AS165" si="537">IF(OR(M165="лаб",M165="пр"),IF(R165="К",AA165*ВПКР,IF(R165="М",AA165*ВПИБ,0)),0)</f>
        <v>0</v>
      </c>
      <c r="AT165" s="42">
        <f t="shared" ref="AT165" si="538">IF(OR(M165="лаб",M165="пр"),IF(S165="К",AA165*ВПКП,0),0)</f>
        <v>0</v>
      </c>
      <c r="AU165" s="42">
        <f t="shared" ref="AU165" si="539">IF(M165="УП",T165/1.5*AA165*РУП,IF(M165="УПМ",T165/1.5*AA165*РУПЛеч,0))</f>
        <v>0</v>
      </c>
      <c r="AV165" s="42">
        <f>IF(M165="ПП",РПП*AA165*(U165/1.5),IF(M165="ВП",ВПр*AA165*(U165/1.5),IF(M165="РПА",РПА*AA165*(U165/1.5),IF(M165="КПА",КПА*AA165*(U165/1.5),0))))</f>
        <v>0</v>
      </c>
      <c r="AW165" s="42">
        <f t="shared" ref="AW165" si="540">IF(M165="НР",(AB165*НИРМ+AC165*НИРМИн)*(V165/1.5),IF(M165="НИ",(AB165*НИРА+AC165*НИРАИ)*(V165/1.5),0))</f>
        <v>0</v>
      </c>
      <c r="AX165" s="42">
        <f t="shared" si="382"/>
        <v>0</v>
      </c>
      <c r="AY165" s="42">
        <f t="shared" si="383"/>
        <v>0</v>
      </c>
      <c r="AZ165" s="42">
        <f t="shared" ref="AZ165" si="541">IF(AND(Q165="КЭ",M165="ЧК"),AA165*КдЭк,0)</f>
        <v>0</v>
      </c>
      <c r="BA165" s="42">
        <f t="shared" si="384"/>
        <v>0</v>
      </c>
      <c r="BB165" s="42">
        <f t="shared" si="385"/>
        <v>0</v>
      </c>
      <c r="BC165" s="42">
        <f t="shared" si="386"/>
        <v>0</v>
      </c>
      <c r="BD165" s="42">
        <f t="shared" ref="BD165" si="542">IF(M165="ЧГ",AA165*ЧГ,IF(M165="ПГ",AA165*ПГ,IF(M165="ТЕСТ",ТГИЭ*AE165,IF(M165="СГ",AA165*СГ,0))))</f>
        <v>0</v>
      </c>
      <c r="BE165" s="43">
        <f t="shared" ref="BE165" si="543">SUM(AL165:BD165)</f>
        <v>36</v>
      </c>
      <c r="BF165" s="44"/>
      <c r="BG165" s="45">
        <f t="shared" ref="BG165" si="544">IF(OR(K165="1;1",K165="1;2",K165=1,K165="3;1",K165="3;2",K165=3,K165="5;1",K165="5;2",K165=5,K165="7;1",K165="7;2",K165=7,K165="9;1",K165="9;2",K165=9,K165=11),SUM(AL165:AN165),0)</f>
        <v>36</v>
      </c>
      <c r="BH165" s="45">
        <f t="shared" ref="BH165" si="545">IF(BG165&lt;&gt;0,SUM(N165:P165)/2,0)</f>
        <v>1</v>
      </c>
      <c r="BI165" s="45">
        <f t="shared" ref="BI165" si="546">IF(OR(K165="1;1",K165="1;2",K165=1,K165="3;1",K165="3;2",K165=3,K165="5;1",K165="5;2",K165=5,K165="7;1",K165="7;2",K165=7,K165="9;1",K165="9;2",K165=9,K165=11),SUM(AO165:BD165),0)</f>
        <v>0</v>
      </c>
      <c r="BJ165" s="46">
        <f t="shared" si="438"/>
        <v>0</v>
      </c>
      <c r="BK165" s="46">
        <f t="shared" si="439"/>
        <v>0</v>
      </c>
      <c r="BL165" s="46">
        <f t="shared" si="440"/>
        <v>0</v>
      </c>
    </row>
    <row r="166" spans="1:64" ht="30" customHeight="1" x14ac:dyDescent="0.25">
      <c r="A166" s="84" t="str">
        <f t="shared" si="377"/>
        <v>Д</v>
      </c>
      <c r="B166" s="84" t="str">
        <f t="shared" si="387"/>
        <v>Б</v>
      </c>
      <c r="C166" s="101" t="s">
        <v>1786</v>
      </c>
      <c r="D166" s="16" t="str">
        <f t="shared" si="388"/>
        <v>'02.03.00</v>
      </c>
      <c r="E166" s="17" t="str">
        <f t="shared" si="389"/>
        <v>Компьютерные и информационные науки (УГСН)</v>
      </c>
      <c r="F166" s="116" t="s">
        <v>413</v>
      </c>
      <c r="G166" s="116" t="s">
        <v>22</v>
      </c>
      <c r="H166" s="112"/>
      <c r="I166" s="10"/>
      <c r="J166" s="115" t="s">
        <v>3280</v>
      </c>
      <c r="K166" s="11">
        <v>1</v>
      </c>
      <c r="L166" s="11">
        <v>18</v>
      </c>
      <c r="M166" s="8" t="s">
        <v>94</v>
      </c>
      <c r="N166" s="109"/>
      <c r="O166" s="109">
        <v>2</v>
      </c>
      <c r="P166" s="109"/>
      <c r="Q166" s="113"/>
      <c r="R166" s="11"/>
      <c r="S166" s="11"/>
      <c r="T166" s="11"/>
      <c r="U166" s="11"/>
      <c r="V166" s="11"/>
      <c r="W166" s="83" t="str">
        <f t="shared" si="378"/>
        <v>НКАбд</v>
      </c>
      <c r="X166" s="114" t="s">
        <v>3290</v>
      </c>
      <c r="Y166" s="109">
        <v>1</v>
      </c>
      <c r="Z166" s="109"/>
      <c r="AA166" s="83">
        <f t="shared" si="390"/>
        <v>13</v>
      </c>
      <c r="AB166" s="11">
        <v>7</v>
      </c>
      <c r="AC166" s="11">
        <v>6</v>
      </c>
      <c r="AD166" s="81">
        <f t="shared" si="379"/>
        <v>12</v>
      </c>
      <c r="AE166" s="82">
        <f t="shared" si="391"/>
        <v>1</v>
      </c>
      <c r="AF166" s="82">
        <f t="shared" si="392"/>
        <v>1.0833333333333333</v>
      </c>
      <c r="AG166" s="102" t="s">
        <v>3250</v>
      </c>
      <c r="AH166" s="113" t="s">
        <v>203</v>
      </c>
      <c r="AI166" s="113" t="s">
        <v>214</v>
      </c>
      <c r="AJ166" s="119" t="s">
        <v>3285</v>
      </c>
      <c r="AK166" s="8"/>
      <c r="AL166" s="42">
        <f t="shared" si="380"/>
        <v>0</v>
      </c>
      <c r="AM166" s="42">
        <f t="shared" si="360"/>
        <v>0</v>
      </c>
      <c r="AN166" s="42">
        <f t="shared" si="361"/>
        <v>36</v>
      </c>
      <c r="AO166" s="42">
        <f t="shared" si="462"/>
        <v>0</v>
      </c>
      <c r="AP166" s="42">
        <f t="shared" si="362"/>
        <v>0</v>
      </c>
      <c r="AQ166" s="42">
        <f t="shared" si="363"/>
        <v>0</v>
      </c>
      <c r="AR166" s="42">
        <f t="shared" si="381"/>
        <v>0</v>
      </c>
      <c r="AS166" s="42">
        <f t="shared" si="364"/>
        <v>0</v>
      </c>
      <c r="AT166" s="42">
        <f t="shared" si="365"/>
        <v>0</v>
      </c>
      <c r="AU166" s="42">
        <f t="shared" si="366"/>
        <v>0</v>
      </c>
      <c r="AV166" s="42">
        <f>IF(M166="ПП",РПП*AA166*(U166/1.5),IF(M166="ВП",ВПр*AA166*(U166/1.5),IF(M166="РПА",РПА*AA166*(U166/1.5),IF(M166="КПА",КПА*AA166*(U166/1.5),0))))</f>
        <v>0</v>
      </c>
      <c r="AW166" s="42">
        <f t="shared" si="367"/>
        <v>0</v>
      </c>
      <c r="AX166" s="42">
        <f t="shared" si="382"/>
        <v>0</v>
      </c>
      <c r="AY166" s="42">
        <f t="shared" si="383"/>
        <v>0</v>
      </c>
      <c r="AZ166" s="42">
        <f t="shared" si="368"/>
        <v>0</v>
      </c>
      <c r="BA166" s="42">
        <f t="shared" si="384"/>
        <v>0</v>
      </c>
      <c r="BB166" s="42">
        <f t="shared" si="385"/>
        <v>0</v>
      </c>
      <c r="BC166" s="42">
        <f t="shared" si="386"/>
        <v>0</v>
      </c>
      <c r="BD166" s="42">
        <f t="shared" si="369"/>
        <v>0</v>
      </c>
      <c r="BE166" s="43">
        <f t="shared" si="370"/>
        <v>36</v>
      </c>
      <c r="BF166" s="44"/>
      <c r="BG166" s="45">
        <f t="shared" si="371"/>
        <v>36</v>
      </c>
      <c r="BH166" s="45">
        <f t="shared" si="372"/>
        <v>1</v>
      </c>
      <c r="BI166" s="45">
        <f t="shared" si="373"/>
        <v>0</v>
      </c>
      <c r="BJ166" s="46">
        <f t="shared" si="438"/>
        <v>0</v>
      </c>
      <c r="BK166" s="46">
        <f t="shared" si="439"/>
        <v>0</v>
      </c>
      <c r="BL166" s="46">
        <f t="shared" si="440"/>
        <v>0</v>
      </c>
    </row>
    <row r="167" spans="1:64" ht="30" customHeight="1" x14ac:dyDescent="0.25">
      <c r="A167" s="84" t="str">
        <f t="shared" si="377"/>
        <v>Д</v>
      </c>
      <c r="B167" s="84" t="str">
        <f t="shared" si="387"/>
        <v>Б</v>
      </c>
      <c r="C167" s="101" t="s">
        <v>1786</v>
      </c>
      <c r="D167" s="16" t="str">
        <f t="shared" si="388"/>
        <v>'02.03.00</v>
      </c>
      <c r="E167" s="17" t="str">
        <f t="shared" si="389"/>
        <v>Компьютерные и информационные науки (УГСН)</v>
      </c>
      <c r="F167" s="116" t="s">
        <v>413</v>
      </c>
      <c r="G167" s="116" t="s">
        <v>22</v>
      </c>
      <c r="H167" s="112"/>
      <c r="I167" s="10"/>
      <c r="J167" s="115" t="s">
        <v>3281</v>
      </c>
      <c r="K167" s="11">
        <v>3</v>
      </c>
      <c r="L167" s="11">
        <v>18</v>
      </c>
      <c r="M167" s="8" t="s">
        <v>23</v>
      </c>
      <c r="N167" s="109">
        <v>2</v>
      </c>
      <c r="O167" s="109"/>
      <c r="P167" s="109"/>
      <c r="Q167" s="113" t="s">
        <v>103</v>
      </c>
      <c r="R167" s="11"/>
      <c r="S167" s="11"/>
      <c r="T167" s="11"/>
      <c r="U167" s="11"/>
      <c r="V167" s="11"/>
      <c r="W167" s="83" t="str">
        <f t="shared" si="378"/>
        <v>НКАбд</v>
      </c>
      <c r="X167" s="114" t="s">
        <v>3352</v>
      </c>
      <c r="Y167" s="109">
        <v>8</v>
      </c>
      <c r="Z167" s="109">
        <v>4</v>
      </c>
      <c r="AA167" s="83">
        <f t="shared" si="390"/>
        <v>111</v>
      </c>
      <c r="AB167" s="11">
        <v>74</v>
      </c>
      <c r="AC167" s="11">
        <v>37</v>
      </c>
      <c r="AD167" s="81">
        <f t="shared" si="379"/>
        <v>111</v>
      </c>
      <c r="AE167" s="82">
        <f t="shared" si="391"/>
        <v>1</v>
      </c>
      <c r="AF167" s="82">
        <f t="shared" si="392"/>
        <v>1</v>
      </c>
      <c r="AG167" s="102" t="s">
        <v>3250</v>
      </c>
      <c r="AH167" s="113" t="s">
        <v>204</v>
      </c>
      <c r="AI167" s="113" t="s">
        <v>212</v>
      </c>
      <c r="AJ167" s="121" t="s">
        <v>3252</v>
      </c>
      <c r="AK167" s="8"/>
      <c r="AL167" s="42">
        <f t="shared" si="380"/>
        <v>36</v>
      </c>
      <c r="AM167" s="42">
        <f t="shared" si="360"/>
        <v>0</v>
      </c>
      <c r="AN167" s="42">
        <f t="shared" si="361"/>
        <v>0</v>
      </c>
      <c r="AO167" s="42">
        <f t="shared" si="462"/>
        <v>36.630000000000003</v>
      </c>
      <c r="AP167" s="42">
        <f t="shared" si="362"/>
        <v>55.5</v>
      </c>
      <c r="AQ167" s="42">
        <f t="shared" si="363"/>
        <v>4</v>
      </c>
      <c r="AR167" s="42">
        <f t="shared" si="381"/>
        <v>7.2</v>
      </c>
      <c r="AS167" s="42">
        <f t="shared" si="364"/>
        <v>0</v>
      </c>
      <c r="AT167" s="42">
        <f t="shared" si="365"/>
        <v>0</v>
      </c>
      <c r="AU167" s="42">
        <f t="shared" si="366"/>
        <v>0</v>
      </c>
      <c r="AV167" s="42">
        <f>IF(M167="ПП",РПП*AA167*(U167/1.5),IF(M167="ВП",ВПр*AA167*(U167/1.5),IF(M167="РПА",РПА*AA167*(U167/1.5),IF(M167="КПА",КПА*AA167*(U167/1.5),0))))</f>
        <v>0</v>
      </c>
      <c r="AW167" s="42">
        <f t="shared" si="367"/>
        <v>0</v>
      </c>
      <c r="AX167" s="42">
        <f t="shared" si="382"/>
        <v>0</v>
      </c>
      <c r="AY167" s="42">
        <f t="shared" si="383"/>
        <v>0</v>
      </c>
      <c r="AZ167" s="42">
        <f t="shared" si="368"/>
        <v>0</v>
      </c>
      <c r="BA167" s="42">
        <f t="shared" si="384"/>
        <v>0</v>
      </c>
      <c r="BB167" s="42">
        <f t="shared" si="385"/>
        <v>0</v>
      </c>
      <c r="BC167" s="42">
        <f t="shared" si="386"/>
        <v>0</v>
      </c>
      <c r="BD167" s="42">
        <f t="shared" si="369"/>
        <v>0</v>
      </c>
      <c r="BE167" s="43">
        <f t="shared" si="370"/>
        <v>139.32999999999998</v>
      </c>
      <c r="BF167" s="44"/>
      <c r="BG167" s="45">
        <f t="shared" si="371"/>
        <v>36</v>
      </c>
      <c r="BH167" s="45">
        <f t="shared" si="372"/>
        <v>1</v>
      </c>
      <c r="BI167" s="45">
        <f t="shared" si="373"/>
        <v>103.33</v>
      </c>
      <c r="BJ167" s="46">
        <f t="shared" si="438"/>
        <v>0</v>
      </c>
      <c r="BK167" s="46">
        <f t="shared" si="439"/>
        <v>0</v>
      </c>
      <c r="BL167" s="46">
        <f t="shared" si="440"/>
        <v>0</v>
      </c>
    </row>
    <row r="168" spans="1:64" ht="30" customHeight="1" x14ac:dyDescent="0.25">
      <c r="A168" s="84" t="str">
        <f t="shared" si="377"/>
        <v>Д</v>
      </c>
      <c r="B168" s="84" t="str">
        <f t="shared" si="387"/>
        <v>Б</v>
      </c>
      <c r="C168" s="101" t="s">
        <v>1786</v>
      </c>
      <c r="D168" s="16" t="str">
        <f t="shared" si="388"/>
        <v>'02.03.00</v>
      </c>
      <c r="E168" s="17" t="str">
        <f t="shared" si="389"/>
        <v>Компьютерные и информационные науки (УГСН)</v>
      </c>
      <c r="F168" s="116" t="s">
        <v>413</v>
      </c>
      <c r="G168" s="116" t="s">
        <v>22</v>
      </c>
      <c r="H168" s="112"/>
      <c r="I168" s="10"/>
      <c r="J168" s="115" t="s">
        <v>3281</v>
      </c>
      <c r="K168" s="11">
        <v>3</v>
      </c>
      <c r="L168" s="11">
        <v>18</v>
      </c>
      <c r="M168" s="8" t="s">
        <v>94</v>
      </c>
      <c r="N168" s="109"/>
      <c r="O168" s="109">
        <v>2</v>
      </c>
      <c r="P168" s="109"/>
      <c r="Q168" s="113"/>
      <c r="R168" s="11"/>
      <c r="S168" s="11"/>
      <c r="T168" s="11"/>
      <c r="U168" s="11"/>
      <c r="V168" s="11"/>
      <c r="W168" s="83" t="str">
        <f t="shared" si="378"/>
        <v>НКАбд</v>
      </c>
      <c r="X168" s="114" t="s">
        <v>3234</v>
      </c>
      <c r="Y168" s="109">
        <v>1</v>
      </c>
      <c r="Z168" s="109">
        <v>1</v>
      </c>
      <c r="AA168" s="83">
        <f t="shared" si="390"/>
        <v>15</v>
      </c>
      <c r="AB168" s="11">
        <v>10</v>
      </c>
      <c r="AC168" s="11">
        <v>5</v>
      </c>
      <c r="AD168" s="81">
        <f t="shared" si="379"/>
        <v>12</v>
      </c>
      <c r="AE168" s="82">
        <f t="shared" si="391"/>
        <v>1</v>
      </c>
      <c r="AF168" s="82">
        <f t="shared" si="392"/>
        <v>1.25</v>
      </c>
      <c r="AG168" s="102" t="s">
        <v>3250</v>
      </c>
      <c r="AH168" s="113" t="s">
        <v>204</v>
      </c>
      <c r="AI168" s="113" t="s">
        <v>212</v>
      </c>
      <c r="AJ168" s="119" t="s">
        <v>3252</v>
      </c>
      <c r="AK168" s="8"/>
      <c r="AL168" s="42">
        <f t="shared" si="380"/>
        <v>0</v>
      </c>
      <c r="AM168" s="42">
        <f t="shared" si="360"/>
        <v>0</v>
      </c>
      <c r="AN168" s="42">
        <f t="shared" si="361"/>
        <v>36</v>
      </c>
      <c r="AO168" s="42">
        <f t="shared" si="462"/>
        <v>0</v>
      </c>
      <c r="AP168" s="42">
        <f t="shared" si="362"/>
        <v>0</v>
      </c>
      <c r="AQ168" s="42">
        <f t="shared" si="363"/>
        <v>0</v>
      </c>
      <c r="AR168" s="42">
        <f t="shared" si="381"/>
        <v>0</v>
      </c>
      <c r="AS168" s="42">
        <f t="shared" si="364"/>
        <v>0</v>
      </c>
      <c r="AT168" s="42">
        <f t="shared" si="365"/>
        <v>0</v>
      </c>
      <c r="AU168" s="42">
        <f t="shared" si="366"/>
        <v>0</v>
      </c>
      <c r="AV168" s="42">
        <f>IF(M168="ПП",РПП*AA168*(U168/1.5),IF(M168="ВП",ВПр*AA168*(U168/1.5),IF(M168="РПА",РПА*AA168*(U168/1.5),IF(M168="КПА",КПА*AA168*(U168/1.5),0))))</f>
        <v>0</v>
      </c>
      <c r="AW168" s="42">
        <f t="shared" si="367"/>
        <v>0</v>
      </c>
      <c r="AX168" s="42">
        <f t="shared" si="382"/>
        <v>0</v>
      </c>
      <c r="AY168" s="42">
        <f t="shared" si="383"/>
        <v>0</v>
      </c>
      <c r="AZ168" s="42">
        <f t="shared" si="368"/>
        <v>0</v>
      </c>
      <c r="BA168" s="42">
        <f t="shared" si="384"/>
        <v>0</v>
      </c>
      <c r="BB168" s="42">
        <f t="shared" si="385"/>
        <v>0</v>
      </c>
      <c r="BC168" s="42">
        <f t="shared" si="386"/>
        <v>0</v>
      </c>
      <c r="BD168" s="42">
        <f t="shared" si="369"/>
        <v>0</v>
      </c>
      <c r="BE168" s="43">
        <f t="shared" si="370"/>
        <v>36</v>
      </c>
      <c r="BF168" s="44"/>
      <c r="BG168" s="45">
        <f t="shared" si="371"/>
        <v>36</v>
      </c>
      <c r="BH168" s="45">
        <f t="shared" si="372"/>
        <v>1</v>
      </c>
      <c r="BI168" s="45">
        <f t="shared" si="373"/>
        <v>0</v>
      </c>
      <c r="BJ168" s="46">
        <f t="shared" si="438"/>
        <v>0</v>
      </c>
      <c r="BK168" s="46">
        <f t="shared" si="439"/>
        <v>0</v>
      </c>
      <c r="BL168" s="46">
        <f t="shared" si="440"/>
        <v>0</v>
      </c>
    </row>
    <row r="169" spans="1:64" ht="30" customHeight="1" x14ac:dyDescent="0.25">
      <c r="A169" s="84" t="str">
        <f t="shared" si="377"/>
        <v>Д</v>
      </c>
      <c r="B169" s="84" t="str">
        <f t="shared" si="387"/>
        <v>Б</v>
      </c>
      <c r="C169" s="101" t="s">
        <v>1786</v>
      </c>
      <c r="D169" s="16" t="str">
        <f t="shared" si="388"/>
        <v>'02.03.00</v>
      </c>
      <c r="E169" s="17" t="str">
        <f t="shared" si="389"/>
        <v>Компьютерные и информационные науки (УГСН)</v>
      </c>
      <c r="F169" s="116" t="s">
        <v>413</v>
      </c>
      <c r="G169" s="116" t="s">
        <v>22</v>
      </c>
      <c r="H169" s="112"/>
      <c r="I169" s="10"/>
      <c r="J169" s="115" t="s">
        <v>3281</v>
      </c>
      <c r="K169" s="11">
        <v>3</v>
      </c>
      <c r="L169" s="11">
        <v>18</v>
      </c>
      <c r="M169" s="8" t="s">
        <v>94</v>
      </c>
      <c r="N169" s="109"/>
      <c r="O169" s="109">
        <v>2</v>
      </c>
      <c r="P169" s="109"/>
      <c r="Q169" s="113"/>
      <c r="R169" s="11"/>
      <c r="S169" s="11"/>
      <c r="T169" s="11"/>
      <c r="U169" s="11"/>
      <c r="V169" s="11"/>
      <c r="W169" s="83" t="str">
        <f t="shared" si="378"/>
        <v>НКАбд</v>
      </c>
      <c r="X169" s="114" t="s">
        <v>3234</v>
      </c>
      <c r="Y169" s="109">
        <v>1</v>
      </c>
      <c r="Z169" s="109"/>
      <c r="AA169" s="83">
        <f t="shared" si="390"/>
        <v>14</v>
      </c>
      <c r="AB169" s="11">
        <v>9</v>
      </c>
      <c r="AC169" s="11">
        <v>5</v>
      </c>
      <c r="AD169" s="81">
        <f t="shared" si="379"/>
        <v>12</v>
      </c>
      <c r="AE169" s="82">
        <f t="shared" si="391"/>
        <v>1</v>
      </c>
      <c r="AF169" s="82">
        <f t="shared" si="392"/>
        <v>1.1666666666666667</v>
      </c>
      <c r="AG169" s="102" t="s">
        <v>3250</v>
      </c>
      <c r="AH169" s="113" t="s">
        <v>204</v>
      </c>
      <c r="AI169" s="113" t="s">
        <v>212</v>
      </c>
      <c r="AJ169" s="120" t="s">
        <v>3252</v>
      </c>
      <c r="AK169" s="8"/>
      <c r="AL169" s="42">
        <f t="shared" si="380"/>
        <v>0</v>
      </c>
      <c r="AM169" s="42">
        <f t="shared" si="360"/>
        <v>0</v>
      </c>
      <c r="AN169" s="42">
        <f t="shared" si="361"/>
        <v>36</v>
      </c>
      <c r="AO169" s="42">
        <f t="shared" si="462"/>
        <v>0</v>
      </c>
      <c r="AP169" s="42">
        <f t="shared" si="362"/>
        <v>0</v>
      </c>
      <c r="AQ169" s="42">
        <f t="shared" si="363"/>
        <v>0</v>
      </c>
      <c r="AR169" s="42">
        <f t="shared" si="381"/>
        <v>0</v>
      </c>
      <c r="AS169" s="42">
        <f t="shared" si="364"/>
        <v>0</v>
      </c>
      <c r="AT169" s="42">
        <f t="shared" si="365"/>
        <v>0</v>
      </c>
      <c r="AU169" s="42">
        <f t="shared" si="366"/>
        <v>0</v>
      </c>
      <c r="AV169" s="42">
        <f>IF(M169="ПП",РПП*AA169*(U169/1.5),IF(M169="ВП",ВПр*AA169*(U169/1.5),IF(M169="РПА",РПА*AA169*(U169/1.5),IF(M169="КПА",КПА*AA169*(U169/1.5),0))))</f>
        <v>0</v>
      </c>
      <c r="AW169" s="42">
        <f t="shared" si="367"/>
        <v>0</v>
      </c>
      <c r="AX169" s="42">
        <f t="shared" si="382"/>
        <v>0</v>
      </c>
      <c r="AY169" s="42">
        <f t="shared" si="383"/>
        <v>0</v>
      </c>
      <c r="AZ169" s="42">
        <f t="shared" si="368"/>
        <v>0</v>
      </c>
      <c r="BA169" s="42">
        <f t="shared" si="384"/>
        <v>0</v>
      </c>
      <c r="BB169" s="42">
        <f t="shared" si="385"/>
        <v>0</v>
      </c>
      <c r="BC169" s="42">
        <f t="shared" si="386"/>
        <v>0</v>
      </c>
      <c r="BD169" s="42">
        <f t="shared" si="369"/>
        <v>0</v>
      </c>
      <c r="BE169" s="43">
        <f t="shared" si="370"/>
        <v>36</v>
      </c>
      <c r="BF169" s="44"/>
      <c r="BG169" s="45">
        <f t="shared" si="371"/>
        <v>36</v>
      </c>
      <c r="BH169" s="45">
        <f t="shared" si="372"/>
        <v>1</v>
      </c>
      <c r="BI169" s="45">
        <f t="shared" si="373"/>
        <v>0</v>
      </c>
      <c r="BJ169" s="46">
        <f t="shared" si="438"/>
        <v>0</v>
      </c>
      <c r="BK169" s="46">
        <f t="shared" si="439"/>
        <v>0</v>
      </c>
      <c r="BL169" s="46">
        <f t="shared" si="440"/>
        <v>0</v>
      </c>
    </row>
    <row r="170" spans="1:64" ht="30" customHeight="1" x14ac:dyDescent="0.25">
      <c r="A170" s="84" t="str">
        <f t="shared" si="377"/>
        <v>Д</v>
      </c>
      <c r="B170" s="84" t="str">
        <f t="shared" si="387"/>
        <v>Б</v>
      </c>
      <c r="C170" s="101" t="s">
        <v>1786</v>
      </c>
      <c r="D170" s="16" t="str">
        <f t="shared" si="388"/>
        <v>'02.03.00</v>
      </c>
      <c r="E170" s="17" t="str">
        <f t="shared" si="389"/>
        <v>Компьютерные и информационные науки (УГСН)</v>
      </c>
      <c r="F170" s="116" t="s">
        <v>413</v>
      </c>
      <c r="G170" s="116" t="s">
        <v>22</v>
      </c>
      <c r="H170" s="112"/>
      <c r="I170" s="10"/>
      <c r="J170" s="115" t="s">
        <v>3281</v>
      </c>
      <c r="K170" s="11">
        <v>3</v>
      </c>
      <c r="L170" s="11">
        <v>18</v>
      </c>
      <c r="M170" s="8" t="s">
        <v>94</v>
      </c>
      <c r="N170" s="109"/>
      <c r="O170" s="109">
        <v>2</v>
      </c>
      <c r="P170" s="109"/>
      <c r="Q170" s="113"/>
      <c r="R170" s="12"/>
      <c r="S170" s="12"/>
      <c r="T170" s="12"/>
      <c r="U170" s="12"/>
      <c r="V170" s="12"/>
      <c r="W170" s="83" t="str">
        <f t="shared" si="378"/>
        <v>НКАбд</v>
      </c>
      <c r="X170" s="114" t="s">
        <v>3235</v>
      </c>
      <c r="Y170" s="109">
        <v>1</v>
      </c>
      <c r="Z170" s="109">
        <v>1</v>
      </c>
      <c r="AA170" s="83">
        <f t="shared" si="390"/>
        <v>15</v>
      </c>
      <c r="AB170" s="11">
        <v>10</v>
      </c>
      <c r="AC170" s="11">
        <v>5</v>
      </c>
      <c r="AD170" s="81">
        <f t="shared" si="379"/>
        <v>12</v>
      </c>
      <c r="AE170" s="82">
        <f t="shared" si="391"/>
        <v>1</v>
      </c>
      <c r="AF170" s="82">
        <f t="shared" si="392"/>
        <v>1.25</v>
      </c>
      <c r="AG170" s="102" t="s">
        <v>3250</v>
      </c>
      <c r="AH170" s="113" t="s">
        <v>203</v>
      </c>
      <c r="AI170" s="113" t="s">
        <v>214</v>
      </c>
      <c r="AJ170" s="119" t="s">
        <v>3285</v>
      </c>
      <c r="AK170" s="8"/>
      <c r="AL170" s="42">
        <f t="shared" si="380"/>
        <v>0</v>
      </c>
      <c r="AM170" s="42">
        <f t="shared" si="360"/>
        <v>0</v>
      </c>
      <c r="AN170" s="42">
        <f t="shared" si="361"/>
        <v>36</v>
      </c>
      <c r="AO170" s="42">
        <f t="shared" si="462"/>
        <v>0</v>
      </c>
      <c r="AP170" s="42">
        <f t="shared" si="362"/>
        <v>0</v>
      </c>
      <c r="AQ170" s="42">
        <f t="shared" si="363"/>
        <v>0</v>
      </c>
      <c r="AR170" s="42">
        <f t="shared" si="381"/>
        <v>0</v>
      </c>
      <c r="AS170" s="42">
        <f t="shared" si="364"/>
        <v>0</v>
      </c>
      <c r="AT170" s="42">
        <f t="shared" si="365"/>
        <v>0</v>
      </c>
      <c r="AU170" s="42">
        <f t="shared" si="366"/>
        <v>0</v>
      </c>
      <c r="AV170" s="42">
        <f>IF(M170="ПП",РПП*AA170*(U170/1.5),IF(M170="ВП",ВПр*AA170*(U170/1.5),IF(M170="РПА",РПА*AA170*(U170/1.5),IF(M170="КПА",КПА*AA170*(U170/1.5),0))))</f>
        <v>0</v>
      </c>
      <c r="AW170" s="42">
        <f t="shared" si="367"/>
        <v>0</v>
      </c>
      <c r="AX170" s="42">
        <f t="shared" si="382"/>
        <v>0</v>
      </c>
      <c r="AY170" s="42">
        <f t="shared" si="383"/>
        <v>0</v>
      </c>
      <c r="AZ170" s="42">
        <f t="shared" si="368"/>
        <v>0</v>
      </c>
      <c r="BA170" s="42">
        <f t="shared" si="384"/>
        <v>0</v>
      </c>
      <c r="BB170" s="42">
        <f t="shared" si="385"/>
        <v>0</v>
      </c>
      <c r="BC170" s="42">
        <f t="shared" si="386"/>
        <v>0</v>
      </c>
      <c r="BD170" s="42">
        <f t="shared" si="369"/>
        <v>0</v>
      </c>
      <c r="BE170" s="43">
        <f t="shared" si="370"/>
        <v>36</v>
      </c>
      <c r="BF170" s="44"/>
      <c r="BG170" s="45">
        <f t="shared" si="371"/>
        <v>36</v>
      </c>
      <c r="BH170" s="45">
        <f t="shared" si="372"/>
        <v>1</v>
      </c>
      <c r="BI170" s="45">
        <f t="shared" si="373"/>
        <v>0</v>
      </c>
      <c r="BJ170" s="46">
        <f t="shared" si="438"/>
        <v>0</v>
      </c>
      <c r="BK170" s="46">
        <f t="shared" si="439"/>
        <v>0</v>
      </c>
      <c r="BL170" s="46">
        <f t="shared" si="440"/>
        <v>0</v>
      </c>
    </row>
    <row r="171" spans="1:64" ht="30" customHeight="1" x14ac:dyDescent="0.25">
      <c r="A171" s="84" t="str">
        <f t="shared" si="377"/>
        <v>Д</v>
      </c>
      <c r="B171" s="84" t="str">
        <f t="shared" si="387"/>
        <v>Б</v>
      </c>
      <c r="C171" s="101" t="s">
        <v>1786</v>
      </c>
      <c r="D171" s="16" t="str">
        <f t="shared" si="388"/>
        <v>'02.03.00</v>
      </c>
      <c r="E171" s="17" t="str">
        <f t="shared" si="389"/>
        <v>Компьютерные и информационные науки (УГСН)</v>
      </c>
      <c r="F171" s="116" t="s">
        <v>413</v>
      </c>
      <c r="G171" s="116" t="s">
        <v>22</v>
      </c>
      <c r="H171" s="112"/>
      <c r="I171" s="10"/>
      <c r="J171" s="115" t="s">
        <v>3281</v>
      </c>
      <c r="K171" s="11">
        <v>3</v>
      </c>
      <c r="L171" s="11">
        <v>18</v>
      </c>
      <c r="M171" s="8" t="s">
        <v>94</v>
      </c>
      <c r="N171" s="117"/>
      <c r="O171" s="117">
        <v>2</v>
      </c>
      <c r="P171" s="117"/>
      <c r="Q171" s="113"/>
      <c r="R171" s="11"/>
      <c r="S171" s="11"/>
      <c r="T171" s="23"/>
      <c r="U171" s="11"/>
      <c r="V171" s="11"/>
      <c r="W171" s="83" t="str">
        <f t="shared" si="378"/>
        <v>НКАбд</v>
      </c>
      <c r="X171" s="114" t="s">
        <v>3235</v>
      </c>
      <c r="Y171" s="109">
        <v>1</v>
      </c>
      <c r="Z171" s="109"/>
      <c r="AA171" s="83">
        <f t="shared" si="390"/>
        <v>13</v>
      </c>
      <c r="AB171" s="11">
        <v>9</v>
      </c>
      <c r="AC171" s="11">
        <v>4</v>
      </c>
      <c r="AD171" s="81">
        <f t="shared" si="379"/>
        <v>12</v>
      </c>
      <c r="AE171" s="82">
        <f t="shared" si="391"/>
        <v>1</v>
      </c>
      <c r="AF171" s="82">
        <f t="shared" si="392"/>
        <v>1.0833333333333333</v>
      </c>
      <c r="AG171" s="102" t="s">
        <v>3250</v>
      </c>
      <c r="AH171" s="113" t="s">
        <v>203</v>
      </c>
      <c r="AI171" s="113" t="s">
        <v>214</v>
      </c>
      <c r="AJ171" s="119" t="s">
        <v>3285</v>
      </c>
      <c r="AK171" s="8"/>
      <c r="AL171" s="42">
        <f t="shared" si="380"/>
        <v>0</v>
      </c>
      <c r="AM171" s="42">
        <f t="shared" si="360"/>
        <v>0</v>
      </c>
      <c r="AN171" s="42">
        <f t="shared" si="361"/>
        <v>36</v>
      </c>
      <c r="AO171" s="42">
        <f t="shared" si="462"/>
        <v>0</v>
      </c>
      <c r="AP171" s="42">
        <f t="shared" si="362"/>
        <v>0</v>
      </c>
      <c r="AQ171" s="42">
        <f t="shared" si="363"/>
        <v>0</v>
      </c>
      <c r="AR171" s="42">
        <f t="shared" si="381"/>
        <v>0</v>
      </c>
      <c r="AS171" s="42">
        <f t="shared" si="364"/>
        <v>0</v>
      </c>
      <c r="AT171" s="42">
        <f t="shared" si="365"/>
        <v>0</v>
      </c>
      <c r="AU171" s="42">
        <f t="shared" si="366"/>
        <v>0</v>
      </c>
      <c r="AV171" s="42">
        <f>IF(M171="ПП",РПП*AA171*(U171/1.5),IF(M171="ВП",ВПр*AA171*(U171/1.5),IF(M171="РПА",РПА*AA171*(U171/1.5),IF(M171="КПА",КПА*AA171*(U171/1.5),0))))</f>
        <v>0</v>
      </c>
      <c r="AW171" s="42">
        <f t="shared" si="367"/>
        <v>0</v>
      </c>
      <c r="AX171" s="42">
        <f t="shared" si="382"/>
        <v>0</v>
      </c>
      <c r="AY171" s="42">
        <f t="shared" si="383"/>
        <v>0</v>
      </c>
      <c r="AZ171" s="42">
        <f t="shared" si="368"/>
        <v>0</v>
      </c>
      <c r="BA171" s="42">
        <f t="shared" si="384"/>
        <v>0</v>
      </c>
      <c r="BB171" s="42">
        <f t="shared" si="385"/>
        <v>0</v>
      </c>
      <c r="BC171" s="42">
        <f t="shared" si="386"/>
        <v>0</v>
      </c>
      <c r="BD171" s="42">
        <f t="shared" si="369"/>
        <v>0</v>
      </c>
      <c r="BE171" s="43">
        <f t="shared" si="370"/>
        <v>36</v>
      </c>
      <c r="BF171" s="44"/>
      <c r="BG171" s="45">
        <f t="shared" si="371"/>
        <v>36</v>
      </c>
      <c r="BH171" s="45">
        <f t="shared" si="372"/>
        <v>1</v>
      </c>
      <c r="BI171" s="45">
        <f t="shared" si="373"/>
        <v>0</v>
      </c>
      <c r="BJ171" s="46">
        <f t="shared" si="438"/>
        <v>0</v>
      </c>
      <c r="BK171" s="46">
        <f t="shared" si="439"/>
        <v>0</v>
      </c>
      <c r="BL171" s="46">
        <f t="shared" si="440"/>
        <v>0</v>
      </c>
    </row>
    <row r="172" spans="1:64" ht="30" customHeight="1" x14ac:dyDescent="0.25">
      <c r="A172" s="84" t="str">
        <f t="shared" si="377"/>
        <v>Д</v>
      </c>
      <c r="B172" s="84" t="str">
        <f t="shared" si="387"/>
        <v>Б</v>
      </c>
      <c r="C172" s="101" t="s">
        <v>1786</v>
      </c>
      <c r="D172" s="16" t="str">
        <f t="shared" si="388"/>
        <v>'02.03.00</v>
      </c>
      <c r="E172" s="17" t="str">
        <f t="shared" si="389"/>
        <v>Компьютерные и информационные науки (УГСН)</v>
      </c>
      <c r="F172" s="116" t="s">
        <v>413</v>
      </c>
      <c r="G172" s="116" t="s">
        <v>22</v>
      </c>
      <c r="H172" s="112"/>
      <c r="I172" s="10"/>
      <c r="J172" s="115" t="s">
        <v>3281</v>
      </c>
      <c r="K172" s="11">
        <v>3</v>
      </c>
      <c r="L172" s="11">
        <v>18</v>
      </c>
      <c r="M172" s="8" t="s">
        <v>94</v>
      </c>
      <c r="N172" s="109"/>
      <c r="O172" s="109">
        <v>2</v>
      </c>
      <c r="P172" s="109"/>
      <c r="Q172" s="113"/>
      <c r="R172" s="11"/>
      <c r="S172" s="11"/>
      <c r="T172" s="23"/>
      <c r="U172" s="11"/>
      <c r="V172" s="11"/>
      <c r="W172" s="83" t="str">
        <f t="shared" si="378"/>
        <v>НКАбд</v>
      </c>
      <c r="X172" s="114" t="s">
        <v>3236</v>
      </c>
      <c r="Y172" s="109">
        <v>1</v>
      </c>
      <c r="Z172" s="109">
        <v>1</v>
      </c>
      <c r="AA172" s="83">
        <f t="shared" si="390"/>
        <v>14</v>
      </c>
      <c r="AB172" s="11">
        <v>9</v>
      </c>
      <c r="AC172" s="11">
        <v>5</v>
      </c>
      <c r="AD172" s="81">
        <f t="shared" si="379"/>
        <v>12</v>
      </c>
      <c r="AE172" s="82">
        <f t="shared" si="391"/>
        <v>1</v>
      </c>
      <c r="AF172" s="82">
        <f t="shared" si="392"/>
        <v>1.1666666666666667</v>
      </c>
      <c r="AG172" s="102" t="s">
        <v>3250</v>
      </c>
      <c r="AH172" s="113" t="s">
        <v>204</v>
      </c>
      <c r="AI172" s="113" t="s">
        <v>212</v>
      </c>
      <c r="AJ172" s="119" t="s">
        <v>3252</v>
      </c>
      <c r="AK172" s="8"/>
      <c r="AL172" s="42">
        <f t="shared" si="380"/>
        <v>0</v>
      </c>
      <c r="AM172" s="42">
        <f t="shared" si="360"/>
        <v>0</v>
      </c>
      <c r="AN172" s="42">
        <f t="shared" si="361"/>
        <v>36</v>
      </c>
      <c r="AO172" s="42">
        <f t="shared" si="462"/>
        <v>0</v>
      </c>
      <c r="AP172" s="42">
        <f t="shared" si="362"/>
        <v>0</v>
      </c>
      <c r="AQ172" s="42">
        <f t="shared" si="363"/>
        <v>0</v>
      </c>
      <c r="AR172" s="42">
        <f t="shared" si="381"/>
        <v>0</v>
      </c>
      <c r="AS172" s="42">
        <f t="shared" si="364"/>
        <v>0</v>
      </c>
      <c r="AT172" s="42">
        <f t="shared" si="365"/>
        <v>0</v>
      </c>
      <c r="AU172" s="42">
        <f t="shared" si="366"/>
        <v>0</v>
      </c>
      <c r="AV172" s="42">
        <f>IF(M172="ПП",РПП*AA172*(U172/1.5),IF(M172="ВП",ВПр*AA172*(U172/1.5),IF(M172="РПА",РПА*AA172*(U172/1.5),IF(M172="КПА",КПА*AA172*(U172/1.5),0))))</f>
        <v>0</v>
      </c>
      <c r="AW172" s="42">
        <f t="shared" si="367"/>
        <v>0</v>
      </c>
      <c r="AX172" s="42">
        <f t="shared" si="382"/>
        <v>0</v>
      </c>
      <c r="AY172" s="42">
        <f t="shared" si="383"/>
        <v>0</v>
      </c>
      <c r="AZ172" s="42">
        <f t="shared" si="368"/>
        <v>0</v>
      </c>
      <c r="BA172" s="42">
        <f t="shared" si="384"/>
        <v>0</v>
      </c>
      <c r="BB172" s="42">
        <f t="shared" si="385"/>
        <v>0</v>
      </c>
      <c r="BC172" s="42">
        <f t="shared" si="386"/>
        <v>0</v>
      </c>
      <c r="BD172" s="42">
        <f t="shared" si="369"/>
        <v>0</v>
      </c>
      <c r="BE172" s="43">
        <f t="shared" si="370"/>
        <v>36</v>
      </c>
      <c r="BF172" s="44"/>
      <c r="BG172" s="45">
        <f t="shared" si="371"/>
        <v>36</v>
      </c>
      <c r="BH172" s="45">
        <f t="shared" si="372"/>
        <v>1</v>
      </c>
      <c r="BI172" s="45">
        <f t="shared" si="373"/>
        <v>0</v>
      </c>
      <c r="BJ172" s="46">
        <f t="shared" si="438"/>
        <v>0</v>
      </c>
      <c r="BK172" s="46">
        <f t="shared" si="439"/>
        <v>0</v>
      </c>
      <c r="BL172" s="46">
        <f t="shared" si="440"/>
        <v>0</v>
      </c>
    </row>
    <row r="173" spans="1:64" ht="30" customHeight="1" x14ac:dyDescent="0.25">
      <c r="A173" s="84" t="str">
        <f t="shared" si="377"/>
        <v>Д</v>
      </c>
      <c r="B173" s="84" t="str">
        <f t="shared" si="387"/>
        <v>Б</v>
      </c>
      <c r="C173" s="101" t="s">
        <v>1786</v>
      </c>
      <c r="D173" s="16" t="str">
        <f t="shared" si="388"/>
        <v>'02.03.00</v>
      </c>
      <c r="E173" s="17" t="str">
        <f t="shared" si="389"/>
        <v>Компьютерные и информационные науки (УГСН)</v>
      </c>
      <c r="F173" s="116" t="s">
        <v>413</v>
      </c>
      <c r="G173" s="116" t="s">
        <v>22</v>
      </c>
      <c r="H173" s="112"/>
      <c r="I173" s="10"/>
      <c r="J173" s="115" t="s">
        <v>3281</v>
      </c>
      <c r="K173" s="11">
        <v>3</v>
      </c>
      <c r="L173" s="11">
        <v>18</v>
      </c>
      <c r="M173" s="8" t="s">
        <v>94</v>
      </c>
      <c r="N173" s="109"/>
      <c r="O173" s="109">
        <v>2</v>
      </c>
      <c r="P173" s="109"/>
      <c r="Q173" s="113"/>
      <c r="R173" s="11"/>
      <c r="S173" s="11"/>
      <c r="T173" s="11"/>
      <c r="U173" s="11"/>
      <c r="V173" s="11"/>
      <c r="W173" s="83" t="str">
        <f t="shared" si="378"/>
        <v>НКАбд</v>
      </c>
      <c r="X173" s="114" t="s">
        <v>3236</v>
      </c>
      <c r="Y173" s="109">
        <v>1</v>
      </c>
      <c r="Z173" s="109"/>
      <c r="AA173" s="83">
        <f t="shared" si="390"/>
        <v>13</v>
      </c>
      <c r="AB173" s="11">
        <v>9</v>
      </c>
      <c r="AC173" s="11">
        <v>4</v>
      </c>
      <c r="AD173" s="81">
        <f t="shared" si="379"/>
        <v>12</v>
      </c>
      <c r="AE173" s="82">
        <f t="shared" si="391"/>
        <v>1</v>
      </c>
      <c r="AF173" s="82">
        <f t="shared" si="392"/>
        <v>1.0833333333333333</v>
      </c>
      <c r="AG173" s="102" t="s">
        <v>3250</v>
      </c>
      <c r="AH173" s="113" t="s">
        <v>204</v>
      </c>
      <c r="AI173" s="113" t="s">
        <v>212</v>
      </c>
      <c r="AJ173" s="119" t="s">
        <v>3252</v>
      </c>
      <c r="AK173" s="8"/>
      <c r="AL173" s="42">
        <f t="shared" si="380"/>
        <v>0</v>
      </c>
      <c r="AM173" s="42">
        <f t="shared" si="360"/>
        <v>0</v>
      </c>
      <c r="AN173" s="42">
        <f t="shared" si="361"/>
        <v>36</v>
      </c>
      <c r="AO173" s="42">
        <f t="shared" si="462"/>
        <v>0</v>
      </c>
      <c r="AP173" s="42">
        <f t="shared" si="362"/>
        <v>0</v>
      </c>
      <c r="AQ173" s="42">
        <f t="shared" si="363"/>
        <v>0</v>
      </c>
      <c r="AR173" s="42">
        <f t="shared" si="381"/>
        <v>0</v>
      </c>
      <c r="AS173" s="42">
        <f t="shared" si="364"/>
        <v>0</v>
      </c>
      <c r="AT173" s="42">
        <f t="shared" si="365"/>
        <v>0</v>
      </c>
      <c r="AU173" s="42">
        <f t="shared" si="366"/>
        <v>0</v>
      </c>
      <c r="AV173" s="42">
        <f>IF(M173="ПП",РПП*AA173*(U173/1.5),IF(M173="ВП",ВПр*AA173*(U173/1.5),IF(M173="РПА",РПА*AA173*(U173/1.5),IF(M173="КПА",КПА*AA173*(U173/1.5),0))))</f>
        <v>0</v>
      </c>
      <c r="AW173" s="42">
        <f t="shared" si="367"/>
        <v>0</v>
      </c>
      <c r="AX173" s="42">
        <f t="shared" si="382"/>
        <v>0</v>
      </c>
      <c r="AY173" s="42">
        <f t="shared" si="383"/>
        <v>0</v>
      </c>
      <c r="AZ173" s="42">
        <f t="shared" si="368"/>
        <v>0</v>
      </c>
      <c r="BA173" s="42">
        <f t="shared" si="384"/>
        <v>0</v>
      </c>
      <c r="BB173" s="42">
        <f t="shared" si="385"/>
        <v>0</v>
      </c>
      <c r="BC173" s="42">
        <f t="shared" si="386"/>
        <v>0</v>
      </c>
      <c r="BD173" s="42">
        <f t="shared" si="369"/>
        <v>0</v>
      </c>
      <c r="BE173" s="43">
        <f t="shared" si="370"/>
        <v>36</v>
      </c>
      <c r="BF173" s="44"/>
      <c r="BG173" s="45">
        <f t="shared" si="371"/>
        <v>36</v>
      </c>
      <c r="BH173" s="45">
        <f t="shared" si="372"/>
        <v>1</v>
      </c>
      <c r="BI173" s="45">
        <f t="shared" si="373"/>
        <v>0</v>
      </c>
      <c r="BJ173" s="46">
        <f t="shared" si="438"/>
        <v>0</v>
      </c>
      <c r="BK173" s="46">
        <f t="shared" si="439"/>
        <v>0</v>
      </c>
      <c r="BL173" s="46">
        <f t="shared" si="440"/>
        <v>0</v>
      </c>
    </row>
    <row r="174" spans="1:64" ht="30" customHeight="1" x14ac:dyDescent="0.25">
      <c r="A174" s="84" t="str">
        <f t="shared" si="377"/>
        <v>Д</v>
      </c>
      <c r="B174" s="84" t="str">
        <f t="shared" si="387"/>
        <v>Б</v>
      </c>
      <c r="C174" s="101" t="s">
        <v>1786</v>
      </c>
      <c r="D174" s="16" t="str">
        <f t="shared" si="388"/>
        <v>'02.03.00</v>
      </c>
      <c r="E174" s="17" t="str">
        <f t="shared" si="389"/>
        <v>Компьютерные и информационные науки (УГСН)</v>
      </c>
      <c r="F174" s="116" t="s">
        <v>413</v>
      </c>
      <c r="G174" s="116" t="s">
        <v>22</v>
      </c>
      <c r="H174" s="112"/>
      <c r="I174" s="10"/>
      <c r="J174" s="115" t="s">
        <v>3281</v>
      </c>
      <c r="K174" s="11">
        <v>3</v>
      </c>
      <c r="L174" s="11">
        <v>18</v>
      </c>
      <c r="M174" s="8" t="s">
        <v>94</v>
      </c>
      <c r="N174" s="109"/>
      <c r="O174" s="109">
        <v>2</v>
      </c>
      <c r="P174" s="109"/>
      <c r="Q174" s="113"/>
      <c r="R174" s="11"/>
      <c r="S174" s="11"/>
      <c r="T174" s="11"/>
      <c r="U174" s="11"/>
      <c r="V174" s="11"/>
      <c r="W174" s="83" t="str">
        <f t="shared" si="378"/>
        <v>НКАбд</v>
      </c>
      <c r="X174" s="114" t="s">
        <v>3283</v>
      </c>
      <c r="Y174" s="109">
        <v>1</v>
      </c>
      <c r="Z174" s="109">
        <v>1</v>
      </c>
      <c r="AA174" s="83">
        <f t="shared" si="390"/>
        <v>14</v>
      </c>
      <c r="AB174" s="11">
        <v>9</v>
      </c>
      <c r="AC174" s="11">
        <v>5</v>
      </c>
      <c r="AD174" s="81">
        <f t="shared" si="379"/>
        <v>12</v>
      </c>
      <c r="AE174" s="82">
        <f t="shared" si="391"/>
        <v>1</v>
      </c>
      <c r="AF174" s="82">
        <f t="shared" si="392"/>
        <v>1.1666666666666667</v>
      </c>
      <c r="AG174" s="102" t="s">
        <v>3250</v>
      </c>
      <c r="AH174" s="113" t="s">
        <v>203</v>
      </c>
      <c r="AI174" s="113" t="s">
        <v>214</v>
      </c>
      <c r="AJ174" s="119" t="s">
        <v>3285</v>
      </c>
      <c r="AK174" s="8"/>
      <c r="AL174" s="42">
        <f t="shared" si="380"/>
        <v>0</v>
      </c>
      <c r="AM174" s="42">
        <f t="shared" ref="AM174:AM221" si="547">IF(OR(M174="пр",M174="ия",M174="сп"),P174*AE174*L174,0)</f>
        <v>0</v>
      </c>
      <c r="AN174" s="42">
        <f t="shared" ref="AN174:AN221" si="548">IF(OR(M174="лаб",M174="клн"),O174*AE174*L174,0)</f>
        <v>36</v>
      </c>
      <c r="AO174" s="42">
        <f t="shared" si="462"/>
        <v>0</v>
      </c>
      <c r="AP174" s="42">
        <f t="shared" ref="AP174:AP221" si="549">IF(SUM(O174:P174)&lt;&gt;0,IF(Q174="Зач",ПАБРС*AA174,0),0)+IF(N174&lt;&gt;0,IF(Q174="Экз",ПАБРС*AA174,0),0)</f>
        <v>0</v>
      </c>
      <c r="AQ174" s="42">
        <f t="shared" ref="AQ174:AQ221" si="550">(IF(AP174&lt;&gt;0,ОфВед*(IF(OR(M174="лек",M174="лаб"),Z174,AE174)),0))*(IF(F174="ФТД",0,1))</f>
        <v>0</v>
      </c>
      <c r="AR174" s="42">
        <f t="shared" si="381"/>
        <v>0</v>
      </c>
      <c r="AS174" s="42">
        <f t="shared" ref="AS174:AS221" si="551">IF(OR(M174="лаб",M174="пр"),IF(R174="К",AA174*ВПКР,IF(R174="М",AA174*ВПИБ,0)),0)</f>
        <v>0</v>
      </c>
      <c r="AT174" s="42">
        <f t="shared" ref="AT174:AT221" si="552">IF(OR(M174="лаб",M174="пр"),IF(S174="К",AA174*ВПКП,0),0)</f>
        <v>0</v>
      </c>
      <c r="AU174" s="42">
        <f t="shared" ref="AU174:AU221" si="553">IF(M174="УП",T174/1.5*AA174*РУП,IF(M174="УПМ",T174/1.5*AA174*РУПЛеч,0))</f>
        <v>0</v>
      </c>
      <c r="AV174" s="42">
        <f>IF(M174="ПП",РПП*AA174*(U174/1.5),IF(M174="ВП",ВПр*AA174*(U174/1.5),IF(M174="РПА",РПА*AA174*(U174/1.5),IF(M174="КПА",КПА*AA174*(U174/1.5),0))))</f>
        <v>0</v>
      </c>
      <c r="AW174" s="42">
        <f t="shared" ref="AW174:AW221" si="554">IF(M174="НР",(AB174*НИРМ+AC174*НИРМИн)*(V174/1.5),IF(M174="НИ",(AB174*НИРА+AC174*НИРАИ)*(V174/1.5),0))</f>
        <v>0</v>
      </c>
      <c r="AX174" s="42">
        <f t="shared" si="382"/>
        <v>0</v>
      </c>
      <c r="AY174" s="42">
        <f t="shared" si="383"/>
        <v>0</v>
      </c>
      <c r="AZ174" s="42">
        <f t="shared" ref="AZ174:AZ221" si="555">IF(AND(Q174="КЭ",M174="ЧК"),AA174*КдЭк,0)</f>
        <v>0</v>
      </c>
      <c r="BA174" s="42">
        <f t="shared" si="384"/>
        <v>0</v>
      </c>
      <c r="BB174" s="42">
        <f t="shared" si="385"/>
        <v>0</v>
      </c>
      <c r="BC174" s="42">
        <f t="shared" si="386"/>
        <v>0</v>
      </c>
      <c r="BD174" s="42">
        <f t="shared" ref="BD174:BD221" si="556">IF(M174="ЧГ",AA174*ЧГ,IF(M174="ПГ",AA174*ПГ,IF(M174="ТЕСТ",ТГИЭ*AE174,IF(M174="СГ",AA174*СГ,0))))</f>
        <v>0</v>
      </c>
      <c r="BE174" s="43">
        <f t="shared" ref="BE174:BE221" si="557">SUM(AL174:BD174)</f>
        <v>36</v>
      </c>
      <c r="BF174" s="44"/>
      <c r="BG174" s="45">
        <f t="shared" ref="BG174:BG221" si="558">IF(OR(K174="1;1",K174="1;2",K174=1,K174="3;1",K174="3;2",K174=3,K174="5;1",K174="5;2",K174=5,K174="7;1",K174="7;2",K174=7,K174="9;1",K174="9;2",K174=9,K174=11),SUM(AL174:AN174),0)</f>
        <v>36</v>
      </c>
      <c r="BH174" s="45">
        <f t="shared" ref="BH174:BH221" si="559">IF(BG174&lt;&gt;0,SUM(N174:P174)/2,0)</f>
        <v>1</v>
      </c>
      <c r="BI174" s="45">
        <f t="shared" ref="BI174:BI221" si="560">IF(OR(K174="1;1",K174="1;2",K174=1,K174="3;1",K174="3;2",K174=3,K174="5;1",K174="5;2",K174=5,K174="7;1",K174="7;2",K174=7,K174="9;1",K174="9;2",K174=9,K174=11),SUM(AO174:BD174),0)</f>
        <v>0</v>
      </c>
      <c r="BJ174" s="46">
        <f t="shared" si="438"/>
        <v>0</v>
      </c>
      <c r="BK174" s="46">
        <f t="shared" si="439"/>
        <v>0</v>
      </c>
      <c r="BL174" s="46">
        <f t="shared" si="440"/>
        <v>0</v>
      </c>
    </row>
    <row r="175" spans="1:64" ht="30" customHeight="1" x14ac:dyDescent="0.25">
      <c r="A175" s="84" t="str">
        <f t="shared" si="377"/>
        <v>Д</v>
      </c>
      <c r="B175" s="84" t="str">
        <f t="shared" si="387"/>
        <v>Б</v>
      </c>
      <c r="C175" s="101" t="s">
        <v>1786</v>
      </c>
      <c r="D175" s="16" t="str">
        <f t="shared" si="388"/>
        <v>'02.03.00</v>
      </c>
      <c r="E175" s="17" t="str">
        <f t="shared" si="389"/>
        <v>Компьютерные и информационные науки (УГСН)</v>
      </c>
      <c r="F175" s="116" t="s">
        <v>413</v>
      </c>
      <c r="G175" s="116" t="s">
        <v>22</v>
      </c>
      <c r="H175" s="112"/>
      <c r="I175" s="10"/>
      <c r="J175" s="115" t="s">
        <v>3281</v>
      </c>
      <c r="K175" s="11">
        <v>3</v>
      </c>
      <c r="L175" s="11">
        <v>18</v>
      </c>
      <c r="M175" s="8" t="s">
        <v>94</v>
      </c>
      <c r="N175" s="109"/>
      <c r="O175" s="109">
        <v>2</v>
      </c>
      <c r="P175" s="109"/>
      <c r="Q175" s="113"/>
      <c r="R175" s="11"/>
      <c r="S175" s="11"/>
      <c r="T175" s="11"/>
      <c r="U175" s="11"/>
      <c r="V175" s="11"/>
      <c r="W175" s="83" t="str">
        <f t="shared" si="378"/>
        <v>НКАбд</v>
      </c>
      <c r="X175" s="114" t="s">
        <v>3283</v>
      </c>
      <c r="Y175" s="109">
        <v>1</v>
      </c>
      <c r="Z175" s="109"/>
      <c r="AA175" s="83">
        <f t="shared" si="390"/>
        <v>13</v>
      </c>
      <c r="AB175" s="11">
        <v>9</v>
      </c>
      <c r="AC175" s="11">
        <v>4</v>
      </c>
      <c r="AD175" s="81">
        <f t="shared" si="379"/>
        <v>12</v>
      </c>
      <c r="AE175" s="82">
        <f t="shared" si="391"/>
        <v>1</v>
      </c>
      <c r="AF175" s="82">
        <f t="shared" si="392"/>
        <v>1.0833333333333333</v>
      </c>
      <c r="AG175" s="102" t="s">
        <v>3250</v>
      </c>
      <c r="AH175" s="113" t="s">
        <v>203</v>
      </c>
      <c r="AI175" s="113" t="s">
        <v>214</v>
      </c>
      <c r="AJ175" s="121" t="s">
        <v>3285</v>
      </c>
      <c r="AK175" s="8"/>
      <c r="AL175" s="42">
        <f t="shared" si="380"/>
        <v>0</v>
      </c>
      <c r="AM175" s="42">
        <f t="shared" si="547"/>
        <v>0</v>
      </c>
      <c r="AN175" s="42">
        <f t="shared" si="548"/>
        <v>36</v>
      </c>
      <c r="AO175" s="42">
        <f t="shared" si="462"/>
        <v>0</v>
      </c>
      <c r="AP175" s="42">
        <f t="shared" si="549"/>
        <v>0</v>
      </c>
      <c r="AQ175" s="42">
        <f t="shared" si="550"/>
        <v>0</v>
      </c>
      <c r="AR175" s="42">
        <f t="shared" si="381"/>
        <v>0</v>
      </c>
      <c r="AS175" s="42">
        <f t="shared" si="551"/>
        <v>0</v>
      </c>
      <c r="AT175" s="42">
        <f t="shared" si="552"/>
        <v>0</v>
      </c>
      <c r="AU175" s="42">
        <f t="shared" si="553"/>
        <v>0</v>
      </c>
      <c r="AV175" s="42">
        <f>IF(M175="ПП",РПП*AA175*(U175/1.5),IF(M175="ВП",ВПр*AA175*(U175/1.5),IF(M175="РПА",РПА*AA175*(U175/1.5),IF(M175="КПА",КПА*AA175*(U175/1.5),0))))</f>
        <v>0</v>
      </c>
      <c r="AW175" s="42">
        <f t="shared" si="554"/>
        <v>0</v>
      </c>
      <c r="AX175" s="42">
        <f t="shared" si="382"/>
        <v>0</v>
      </c>
      <c r="AY175" s="42">
        <f t="shared" si="383"/>
        <v>0</v>
      </c>
      <c r="AZ175" s="42">
        <f t="shared" si="555"/>
        <v>0</v>
      </c>
      <c r="BA175" s="42">
        <f t="shared" si="384"/>
        <v>0</v>
      </c>
      <c r="BB175" s="42">
        <f t="shared" si="385"/>
        <v>0</v>
      </c>
      <c r="BC175" s="42">
        <f t="shared" si="386"/>
        <v>0</v>
      </c>
      <c r="BD175" s="42">
        <f t="shared" si="556"/>
        <v>0</v>
      </c>
      <c r="BE175" s="43">
        <f t="shared" si="557"/>
        <v>36</v>
      </c>
      <c r="BF175" s="44"/>
      <c r="BG175" s="45">
        <f t="shared" si="558"/>
        <v>36</v>
      </c>
      <c r="BH175" s="45">
        <f t="shared" si="559"/>
        <v>1</v>
      </c>
      <c r="BI175" s="45">
        <f t="shared" si="560"/>
        <v>0</v>
      </c>
      <c r="BJ175" s="46">
        <f t="shared" si="438"/>
        <v>0</v>
      </c>
      <c r="BK175" s="46">
        <f t="shared" si="439"/>
        <v>0</v>
      </c>
      <c r="BL175" s="46">
        <f t="shared" si="440"/>
        <v>0</v>
      </c>
    </row>
    <row r="176" spans="1:64" ht="30" customHeight="1" x14ac:dyDescent="0.25">
      <c r="A176" s="84" t="str">
        <f t="shared" si="377"/>
        <v>Д</v>
      </c>
      <c r="B176" s="84" t="str">
        <f t="shared" si="387"/>
        <v>Б</v>
      </c>
      <c r="C176" s="101" t="s">
        <v>1786</v>
      </c>
      <c r="D176" s="16" t="str">
        <f t="shared" si="388"/>
        <v>'02.03.00</v>
      </c>
      <c r="E176" s="17" t="str">
        <f t="shared" si="389"/>
        <v>Компьютерные и информационные науки (УГСН)</v>
      </c>
      <c r="F176" s="116" t="s">
        <v>413</v>
      </c>
      <c r="G176" s="116" t="s">
        <v>22</v>
      </c>
      <c r="H176" s="112"/>
      <c r="I176" s="10"/>
      <c r="J176" s="115" t="s">
        <v>3281</v>
      </c>
      <c r="K176" s="11">
        <v>3</v>
      </c>
      <c r="L176" s="11">
        <v>18</v>
      </c>
      <c r="M176" s="8" t="s">
        <v>94</v>
      </c>
      <c r="N176" s="109"/>
      <c r="O176" s="109">
        <v>2</v>
      </c>
      <c r="P176" s="109"/>
      <c r="Q176" s="113"/>
      <c r="R176" s="11"/>
      <c r="S176" s="11"/>
      <c r="T176" s="11"/>
      <c r="U176" s="11"/>
      <c r="V176" s="11"/>
      <c r="W176" s="83" t="str">
        <f t="shared" si="378"/>
        <v>НКАбд</v>
      </c>
      <c r="X176" s="114" t="s">
        <v>3284</v>
      </c>
      <c r="Y176" s="109"/>
      <c r="Z176" s="109"/>
      <c r="AA176" s="83">
        <f t="shared" si="390"/>
        <v>0</v>
      </c>
      <c r="AB176" s="11"/>
      <c r="AC176" s="11"/>
      <c r="AD176" s="81">
        <f t="shared" si="379"/>
        <v>12</v>
      </c>
      <c r="AE176" s="82">
        <f t="shared" si="391"/>
        <v>0</v>
      </c>
      <c r="AF176" s="82">
        <f t="shared" si="392"/>
        <v>0</v>
      </c>
      <c r="AG176" s="102" t="s">
        <v>3250</v>
      </c>
      <c r="AH176" s="113" t="s">
        <v>204</v>
      </c>
      <c r="AI176" s="113" t="s">
        <v>212</v>
      </c>
      <c r="AJ176" s="119" t="s">
        <v>3252</v>
      </c>
      <c r="AK176" s="8"/>
      <c r="AL176" s="42">
        <f t="shared" si="380"/>
        <v>0</v>
      </c>
      <c r="AM176" s="42">
        <f t="shared" si="547"/>
        <v>0</v>
      </c>
      <c r="AN176" s="42">
        <f t="shared" si="548"/>
        <v>0</v>
      </c>
      <c r="AO176" s="42">
        <f t="shared" si="462"/>
        <v>0</v>
      </c>
      <c r="AP176" s="42">
        <f t="shared" si="549"/>
        <v>0</v>
      </c>
      <c r="AQ176" s="42">
        <f t="shared" si="550"/>
        <v>0</v>
      </c>
      <c r="AR176" s="42">
        <f t="shared" si="381"/>
        <v>0</v>
      </c>
      <c r="AS176" s="42">
        <f t="shared" si="551"/>
        <v>0</v>
      </c>
      <c r="AT176" s="42">
        <f t="shared" si="552"/>
        <v>0</v>
      </c>
      <c r="AU176" s="42">
        <f t="shared" si="553"/>
        <v>0</v>
      </c>
      <c r="AV176" s="42">
        <f>IF(M176="ПП",РПП*AA176*(U176/1.5),IF(M176="ВП",ВПр*AA176*(U176/1.5),IF(M176="РПА",РПА*AA176*(U176/1.5),IF(M176="КПА",КПА*AA176*(U176/1.5),0))))</f>
        <v>0</v>
      </c>
      <c r="AW176" s="42">
        <f t="shared" si="554"/>
        <v>0</v>
      </c>
      <c r="AX176" s="42">
        <f t="shared" si="382"/>
        <v>0</v>
      </c>
      <c r="AY176" s="42">
        <f t="shared" si="383"/>
        <v>0</v>
      </c>
      <c r="AZ176" s="42">
        <f t="shared" si="555"/>
        <v>0</v>
      </c>
      <c r="BA176" s="42">
        <f t="shared" si="384"/>
        <v>0</v>
      </c>
      <c r="BB176" s="42">
        <f t="shared" si="385"/>
        <v>0</v>
      </c>
      <c r="BC176" s="42">
        <f t="shared" si="386"/>
        <v>0</v>
      </c>
      <c r="BD176" s="42">
        <f t="shared" si="556"/>
        <v>0</v>
      </c>
      <c r="BE176" s="43">
        <f t="shared" si="557"/>
        <v>0</v>
      </c>
      <c r="BF176" s="44"/>
      <c r="BG176" s="45">
        <f t="shared" si="558"/>
        <v>0</v>
      </c>
      <c r="BH176" s="45">
        <f t="shared" si="559"/>
        <v>0</v>
      </c>
      <c r="BI176" s="45">
        <f t="shared" si="560"/>
        <v>0</v>
      </c>
      <c r="BJ176" s="46">
        <f t="shared" si="438"/>
        <v>0</v>
      </c>
      <c r="BK176" s="46">
        <f t="shared" si="439"/>
        <v>0</v>
      </c>
      <c r="BL176" s="46">
        <f t="shared" si="440"/>
        <v>0</v>
      </c>
    </row>
    <row r="177" spans="1:64" ht="30" customHeight="1" x14ac:dyDescent="0.25">
      <c r="A177" s="84" t="str">
        <f t="shared" si="377"/>
        <v>Д</v>
      </c>
      <c r="B177" s="84" t="str">
        <f t="shared" si="387"/>
        <v>Б</v>
      </c>
      <c r="C177" s="101" t="s">
        <v>1786</v>
      </c>
      <c r="D177" s="16" t="str">
        <f t="shared" si="388"/>
        <v>'02.03.00</v>
      </c>
      <c r="E177" s="17" t="str">
        <f t="shared" si="389"/>
        <v>Компьютерные и информационные науки (УГСН)</v>
      </c>
      <c r="F177" s="116" t="s">
        <v>413</v>
      </c>
      <c r="G177" s="116" t="s">
        <v>22</v>
      </c>
      <c r="H177" s="112"/>
      <c r="I177" s="10"/>
      <c r="J177" s="115" t="s">
        <v>3281</v>
      </c>
      <c r="K177" s="11">
        <v>3</v>
      </c>
      <c r="L177" s="11">
        <v>18</v>
      </c>
      <c r="M177" s="8" t="s">
        <v>94</v>
      </c>
      <c r="N177" s="109"/>
      <c r="O177" s="109">
        <v>2</v>
      </c>
      <c r="P177" s="109"/>
      <c r="Q177" s="113"/>
      <c r="R177" s="11"/>
      <c r="S177" s="11"/>
      <c r="T177" s="11"/>
      <c r="U177" s="11"/>
      <c r="V177" s="11"/>
      <c r="W177" s="83" t="str">
        <f t="shared" si="378"/>
        <v>НКАбд</v>
      </c>
      <c r="X177" s="114" t="s">
        <v>3284</v>
      </c>
      <c r="Y177" s="109"/>
      <c r="Z177" s="109"/>
      <c r="AA177" s="83">
        <f t="shared" si="390"/>
        <v>0</v>
      </c>
      <c r="AB177" s="11"/>
      <c r="AC177" s="11"/>
      <c r="AD177" s="81">
        <f t="shared" si="379"/>
        <v>12</v>
      </c>
      <c r="AE177" s="82">
        <f t="shared" si="391"/>
        <v>0</v>
      </c>
      <c r="AF177" s="82">
        <f t="shared" si="392"/>
        <v>0</v>
      </c>
      <c r="AG177" s="102" t="s">
        <v>3250</v>
      </c>
      <c r="AH177" s="113" t="s">
        <v>204</v>
      </c>
      <c r="AI177" s="113" t="s">
        <v>212</v>
      </c>
      <c r="AJ177" s="120" t="s">
        <v>3252</v>
      </c>
      <c r="AK177" s="8"/>
      <c r="AL177" s="42">
        <f t="shared" si="380"/>
        <v>0</v>
      </c>
      <c r="AM177" s="42">
        <f t="shared" si="547"/>
        <v>0</v>
      </c>
      <c r="AN177" s="42">
        <f t="shared" si="548"/>
        <v>0</v>
      </c>
      <c r="AO177" s="42">
        <f t="shared" si="462"/>
        <v>0</v>
      </c>
      <c r="AP177" s="42">
        <f t="shared" si="549"/>
        <v>0</v>
      </c>
      <c r="AQ177" s="42">
        <f t="shared" si="550"/>
        <v>0</v>
      </c>
      <c r="AR177" s="42">
        <f t="shared" si="381"/>
        <v>0</v>
      </c>
      <c r="AS177" s="42">
        <f t="shared" si="551"/>
        <v>0</v>
      </c>
      <c r="AT177" s="42">
        <f t="shared" si="552"/>
        <v>0</v>
      </c>
      <c r="AU177" s="42">
        <f t="shared" si="553"/>
        <v>0</v>
      </c>
      <c r="AV177" s="42">
        <f>IF(M177="ПП",РПП*AA177*(U177/1.5),IF(M177="ВП",ВПр*AA177*(U177/1.5),IF(M177="РПА",РПА*AA177*(U177/1.5),IF(M177="КПА",КПА*AA177*(U177/1.5),0))))</f>
        <v>0</v>
      </c>
      <c r="AW177" s="42">
        <f t="shared" si="554"/>
        <v>0</v>
      </c>
      <c r="AX177" s="42">
        <f t="shared" si="382"/>
        <v>0</v>
      </c>
      <c r="AY177" s="42">
        <f t="shared" si="383"/>
        <v>0</v>
      </c>
      <c r="AZ177" s="42">
        <f t="shared" si="555"/>
        <v>0</v>
      </c>
      <c r="BA177" s="42">
        <f t="shared" si="384"/>
        <v>0</v>
      </c>
      <c r="BB177" s="42">
        <f t="shared" si="385"/>
        <v>0</v>
      </c>
      <c r="BC177" s="42">
        <f t="shared" si="386"/>
        <v>0</v>
      </c>
      <c r="BD177" s="42">
        <f t="shared" si="556"/>
        <v>0</v>
      </c>
      <c r="BE177" s="43">
        <f t="shared" si="557"/>
        <v>0</v>
      </c>
      <c r="BF177" s="44"/>
      <c r="BG177" s="45">
        <f t="shared" si="558"/>
        <v>0</v>
      </c>
      <c r="BH177" s="45">
        <f t="shared" si="559"/>
        <v>0</v>
      </c>
      <c r="BI177" s="45">
        <f t="shared" si="560"/>
        <v>0</v>
      </c>
      <c r="BJ177" s="46">
        <f t="shared" si="438"/>
        <v>0</v>
      </c>
      <c r="BK177" s="46">
        <f t="shared" si="439"/>
        <v>0</v>
      </c>
      <c r="BL177" s="46">
        <f t="shared" si="440"/>
        <v>0</v>
      </c>
    </row>
    <row r="178" spans="1:64" ht="30" customHeight="1" x14ac:dyDescent="0.25">
      <c r="A178" s="84" t="str">
        <f t="shared" si="377"/>
        <v>Д</v>
      </c>
      <c r="B178" s="84" t="str">
        <f t="shared" si="387"/>
        <v>Б</v>
      </c>
      <c r="C178" s="101" t="s">
        <v>1786</v>
      </c>
      <c r="D178" s="16" t="str">
        <f t="shared" si="388"/>
        <v>'02.03.00</v>
      </c>
      <c r="E178" s="17" t="str">
        <f t="shared" si="389"/>
        <v>Компьютерные и информационные науки (УГСН)</v>
      </c>
      <c r="F178" s="116" t="s">
        <v>413</v>
      </c>
      <c r="G178" s="116" t="s">
        <v>42</v>
      </c>
      <c r="H178" s="112" t="s">
        <v>3233</v>
      </c>
      <c r="I178" s="10"/>
      <c r="J178" s="115" t="s">
        <v>3204</v>
      </c>
      <c r="K178" s="11">
        <v>1</v>
      </c>
      <c r="L178" s="11">
        <v>18</v>
      </c>
      <c r="M178" s="8" t="s">
        <v>23</v>
      </c>
      <c r="N178" s="109">
        <v>1</v>
      </c>
      <c r="O178" s="109"/>
      <c r="P178" s="109"/>
      <c r="Q178" s="113"/>
      <c r="R178" s="11"/>
      <c r="S178" s="11"/>
      <c r="T178" s="11"/>
      <c r="U178" s="11"/>
      <c r="V178" s="11"/>
      <c r="W178" s="83" t="str">
        <f t="shared" si="378"/>
        <v>НКАбд</v>
      </c>
      <c r="X178" s="114" t="s">
        <v>3287</v>
      </c>
      <c r="Y178" s="109">
        <v>12</v>
      </c>
      <c r="Z178" s="109">
        <v>6</v>
      </c>
      <c r="AA178" s="83">
        <f t="shared" si="390"/>
        <v>158</v>
      </c>
      <c r="AB178" s="11">
        <v>91</v>
      </c>
      <c r="AC178" s="11">
        <v>67</v>
      </c>
      <c r="AD178" s="81">
        <f t="shared" si="379"/>
        <v>158</v>
      </c>
      <c r="AE178" s="82">
        <f t="shared" si="391"/>
        <v>1</v>
      </c>
      <c r="AF178" s="82">
        <f t="shared" si="392"/>
        <v>1</v>
      </c>
      <c r="AG178" s="102" t="s">
        <v>3250</v>
      </c>
      <c r="AH178" s="113" t="s">
        <v>204</v>
      </c>
      <c r="AI178" s="113" t="s">
        <v>212</v>
      </c>
      <c r="AJ178" s="120" t="s">
        <v>3255</v>
      </c>
      <c r="AK178" s="8"/>
      <c r="AL178" s="42">
        <f t="shared" si="380"/>
        <v>18</v>
      </c>
      <c r="AM178" s="42">
        <f t="shared" si="547"/>
        <v>0</v>
      </c>
      <c r="AN178" s="42">
        <f t="shared" si="548"/>
        <v>0</v>
      </c>
      <c r="AO178" s="42">
        <f t="shared" si="462"/>
        <v>0</v>
      </c>
      <c r="AP178" s="42">
        <f t="shared" si="549"/>
        <v>0</v>
      </c>
      <c r="AQ178" s="42">
        <f t="shared" si="550"/>
        <v>0</v>
      </c>
      <c r="AR178" s="42">
        <f t="shared" si="381"/>
        <v>5.4</v>
      </c>
      <c r="AS178" s="42">
        <f t="shared" si="551"/>
        <v>0</v>
      </c>
      <c r="AT178" s="42">
        <f t="shared" si="552"/>
        <v>0</v>
      </c>
      <c r="AU178" s="42">
        <f t="shared" si="553"/>
        <v>0</v>
      </c>
      <c r="AV178" s="42">
        <f>IF(M178="ПП",РПП*AA178*(U178/1.5),IF(M178="ВП",ВПр*AA178*(U178/1.5),IF(M178="РПА",РПА*AA178*(U178/1.5),IF(M178="КПА",КПА*AA178*(U178/1.5),0))))</f>
        <v>0</v>
      </c>
      <c r="AW178" s="42">
        <f t="shared" si="554"/>
        <v>0</v>
      </c>
      <c r="AX178" s="42">
        <f t="shared" si="382"/>
        <v>0</v>
      </c>
      <c r="AY178" s="42">
        <f t="shared" si="383"/>
        <v>0</v>
      </c>
      <c r="AZ178" s="42">
        <f t="shared" si="555"/>
        <v>0</v>
      </c>
      <c r="BA178" s="42">
        <f t="shared" si="384"/>
        <v>0</v>
      </c>
      <c r="BB178" s="42">
        <f t="shared" si="385"/>
        <v>0</v>
      </c>
      <c r="BC178" s="42">
        <f t="shared" si="386"/>
        <v>0</v>
      </c>
      <c r="BD178" s="42">
        <f t="shared" si="556"/>
        <v>0</v>
      </c>
      <c r="BE178" s="43">
        <f t="shared" si="557"/>
        <v>23.4</v>
      </c>
      <c r="BF178" s="44"/>
      <c r="BG178" s="45">
        <f t="shared" si="558"/>
        <v>18</v>
      </c>
      <c r="BH178" s="45">
        <f t="shared" si="559"/>
        <v>0.5</v>
      </c>
      <c r="BI178" s="45">
        <f t="shared" si="560"/>
        <v>5.4</v>
      </c>
      <c r="BJ178" s="46">
        <f t="shared" si="438"/>
        <v>0</v>
      </c>
      <c r="BK178" s="46">
        <f t="shared" si="439"/>
        <v>0</v>
      </c>
      <c r="BL178" s="46">
        <f t="shared" si="440"/>
        <v>0</v>
      </c>
    </row>
    <row r="179" spans="1:64" ht="30" customHeight="1" x14ac:dyDescent="0.25">
      <c r="A179" s="84" t="str">
        <f t="shared" si="377"/>
        <v>Д</v>
      </c>
      <c r="B179" s="84" t="str">
        <f t="shared" si="387"/>
        <v>Б</v>
      </c>
      <c r="C179" s="101" t="s">
        <v>1786</v>
      </c>
      <c r="D179" s="16" t="str">
        <f t="shared" si="388"/>
        <v>'02.03.00</v>
      </c>
      <c r="E179" s="17" t="str">
        <f t="shared" si="389"/>
        <v>Компьютерные и информационные науки (УГСН)</v>
      </c>
      <c r="F179" s="116" t="s">
        <v>413</v>
      </c>
      <c r="G179" s="116" t="s">
        <v>42</v>
      </c>
      <c r="H179" s="112" t="s">
        <v>3233</v>
      </c>
      <c r="I179" s="10"/>
      <c r="J179" s="115" t="s">
        <v>3204</v>
      </c>
      <c r="K179" s="11">
        <v>1</v>
      </c>
      <c r="L179" s="11">
        <v>18</v>
      </c>
      <c r="M179" s="8" t="s">
        <v>94</v>
      </c>
      <c r="N179" s="117"/>
      <c r="O179" s="117">
        <v>2</v>
      </c>
      <c r="P179" s="117"/>
      <c r="Q179" s="113" t="s">
        <v>102</v>
      </c>
      <c r="R179" s="11"/>
      <c r="S179" s="11"/>
      <c r="T179" s="11"/>
      <c r="U179" s="11"/>
      <c r="V179" s="11"/>
      <c r="W179" s="83" t="str">
        <f t="shared" si="378"/>
        <v>НКАбд</v>
      </c>
      <c r="X179" s="114" t="s">
        <v>3246</v>
      </c>
      <c r="Y179" s="109">
        <v>1</v>
      </c>
      <c r="Z179" s="109">
        <v>1</v>
      </c>
      <c r="AA179" s="83">
        <f t="shared" si="390"/>
        <v>14</v>
      </c>
      <c r="AB179" s="11">
        <v>8</v>
      </c>
      <c r="AC179" s="11">
        <v>6</v>
      </c>
      <c r="AD179" s="81">
        <f t="shared" si="379"/>
        <v>12</v>
      </c>
      <c r="AE179" s="82">
        <f t="shared" si="391"/>
        <v>1</v>
      </c>
      <c r="AF179" s="82">
        <f t="shared" si="392"/>
        <v>1.1666666666666667</v>
      </c>
      <c r="AG179" s="102" t="s">
        <v>3250</v>
      </c>
      <c r="AH179" s="113" t="s">
        <v>203</v>
      </c>
      <c r="AI179" s="113" t="s">
        <v>213</v>
      </c>
      <c r="AJ179" s="119" t="s">
        <v>3344</v>
      </c>
      <c r="AK179" s="8"/>
      <c r="AL179" s="42">
        <f t="shared" si="380"/>
        <v>0</v>
      </c>
      <c r="AM179" s="42">
        <f t="shared" si="547"/>
        <v>0</v>
      </c>
      <c r="AN179" s="42">
        <f t="shared" si="548"/>
        <v>36</v>
      </c>
      <c r="AO179" s="42">
        <f t="shared" si="462"/>
        <v>4.62</v>
      </c>
      <c r="AP179" s="42">
        <f t="shared" si="549"/>
        <v>7</v>
      </c>
      <c r="AQ179" s="42">
        <f t="shared" si="550"/>
        <v>1</v>
      </c>
      <c r="AR179" s="42">
        <f t="shared" si="381"/>
        <v>0</v>
      </c>
      <c r="AS179" s="42">
        <f t="shared" si="551"/>
        <v>0</v>
      </c>
      <c r="AT179" s="42">
        <f t="shared" si="552"/>
        <v>0</v>
      </c>
      <c r="AU179" s="42">
        <f t="shared" si="553"/>
        <v>0</v>
      </c>
      <c r="AV179" s="42">
        <f>IF(M179="ПП",РПП*AA179*(U179/1.5),IF(M179="ВП",ВПр*AA179*(U179/1.5),IF(M179="РПА",РПА*AA179*(U179/1.5),IF(M179="КПА",КПА*AA179*(U179/1.5),0))))</f>
        <v>0</v>
      </c>
      <c r="AW179" s="42">
        <f t="shared" si="554"/>
        <v>0</v>
      </c>
      <c r="AX179" s="42">
        <f t="shared" si="382"/>
        <v>0</v>
      </c>
      <c r="AY179" s="42">
        <f t="shared" si="383"/>
        <v>0</v>
      </c>
      <c r="AZ179" s="42">
        <f t="shared" si="555"/>
        <v>0</v>
      </c>
      <c r="BA179" s="42">
        <f t="shared" si="384"/>
        <v>0</v>
      </c>
      <c r="BB179" s="42">
        <f t="shared" si="385"/>
        <v>0</v>
      </c>
      <c r="BC179" s="42">
        <f t="shared" si="386"/>
        <v>0</v>
      </c>
      <c r="BD179" s="42">
        <f t="shared" si="556"/>
        <v>0</v>
      </c>
      <c r="BE179" s="43">
        <f t="shared" si="557"/>
        <v>48.62</v>
      </c>
      <c r="BF179" s="44"/>
      <c r="BG179" s="45">
        <f t="shared" si="558"/>
        <v>36</v>
      </c>
      <c r="BH179" s="45">
        <f t="shared" si="559"/>
        <v>1</v>
      </c>
      <c r="BI179" s="45">
        <f t="shared" si="560"/>
        <v>12.620000000000001</v>
      </c>
      <c r="BJ179" s="46">
        <f t="shared" si="438"/>
        <v>0</v>
      </c>
      <c r="BK179" s="46">
        <f t="shared" si="439"/>
        <v>0</v>
      </c>
      <c r="BL179" s="46">
        <f t="shared" si="440"/>
        <v>0</v>
      </c>
    </row>
    <row r="180" spans="1:64" ht="30" customHeight="1" x14ac:dyDescent="0.25">
      <c r="A180" s="84" t="str">
        <f t="shared" si="377"/>
        <v>Д</v>
      </c>
      <c r="B180" s="84" t="str">
        <f t="shared" si="387"/>
        <v>Б</v>
      </c>
      <c r="C180" s="101" t="s">
        <v>1786</v>
      </c>
      <c r="D180" s="16" t="str">
        <f t="shared" si="388"/>
        <v>'02.03.00</v>
      </c>
      <c r="E180" s="17" t="str">
        <f t="shared" si="389"/>
        <v>Компьютерные и информационные науки (УГСН)</v>
      </c>
      <c r="F180" s="116" t="s">
        <v>413</v>
      </c>
      <c r="G180" s="116" t="s">
        <v>42</v>
      </c>
      <c r="H180" s="112" t="s">
        <v>3233</v>
      </c>
      <c r="I180" s="10"/>
      <c r="J180" s="115" t="s">
        <v>3204</v>
      </c>
      <c r="K180" s="11">
        <v>1</v>
      </c>
      <c r="L180" s="11">
        <v>18</v>
      </c>
      <c r="M180" s="8" t="s">
        <v>94</v>
      </c>
      <c r="N180" s="109"/>
      <c r="O180" s="109">
        <v>2</v>
      </c>
      <c r="P180" s="109"/>
      <c r="Q180" s="113" t="s">
        <v>102</v>
      </c>
      <c r="R180" s="11"/>
      <c r="S180" s="11"/>
      <c r="T180" s="11"/>
      <c r="U180" s="11"/>
      <c r="V180" s="11"/>
      <c r="W180" s="83" t="str">
        <f t="shared" si="378"/>
        <v>НКАбд</v>
      </c>
      <c r="X180" s="114" t="s">
        <v>3246</v>
      </c>
      <c r="Y180" s="109">
        <v>1</v>
      </c>
      <c r="Z180" s="109"/>
      <c r="AA180" s="83">
        <f t="shared" si="390"/>
        <v>14</v>
      </c>
      <c r="AB180" s="11">
        <v>8</v>
      </c>
      <c r="AC180" s="11">
        <v>6</v>
      </c>
      <c r="AD180" s="81">
        <f t="shared" si="379"/>
        <v>12</v>
      </c>
      <c r="AE180" s="82">
        <f t="shared" si="391"/>
        <v>1</v>
      </c>
      <c r="AF180" s="82">
        <f t="shared" si="392"/>
        <v>1.1666666666666667</v>
      </c>
      <c r="AG180" s="102" t="s">
        <v>3250</v>
      </c>
      <c r="AH180" s="113" t="s">
        <v>203</v>
      </c>
      <c r="AI180" s="113" t="s">
        <v>213</v>
      </c>
      <c r="AJ180" s="119" t="s">
        <v>3344</v>
      </c>
      <c r="AK180" s="8"/>
      <c r="AL180" s="42">
        <f t="shared" si="380"/>
        <v>0</v>
      </c>
      <c r="AM180" s="42">
        <f t="shared" si="547"/>
        <v>0</v>
      </c>
      <c r="AN180" s="42">
        <f t="shared" si="548"/>
        <v>36</v>
      </c>
      <c r="AO180" s="42">
        <f t="shared" si="462"/>
        <v>4.62</v>
      </c>
      <c r="AP180" s="42">
        <f t="shared" si="549"/>
        <v>7</v>
      </c>
      <c r="AQ180" s="42">
        <f t="shared" si="550"/>
        <v>0</v>
      </c>
      <c r="AR180" s="42">
        <f t="shared" si="381"/>
        <v>0</v>
      </c>
      <c r="AS180" s="42">
        <f t="shared" si="551"/>
        <v>0</v>
      </c>
      <c r="AT180" s="42">
        <f t="shared" si="552"/>
        <v>0</v>
      </c>
      <c r="AU180" s="42">
        <f t="shared" si="553"/>
        <v>0</v>
      </c>
      <c r="AV180" s="42">
        <f>IF(M180="ПП",РПП*AA180*(U180/1.5),IF(M180="ВП",ВПр*AA180*(U180/1.5),IF(M180="РПА",РПА*AA180*(U180/1.5),IF(M180="КПА",КПА*AA180*(U180/1.5),0))))</f>
        <v>0</v>
      </c>
      <c r="AW180" s="42">
        <f t="shared" si="554"/>
        <v>0</v>
      </c>
      <c r="AX180" s="42">
        <f t="shared" si="382"/>
        <v>0</v>
      </c>
      <c r="AY180" s="42">
        <f t="shared" si="383"/>
        <v>0</v>
      </c>
      <c r="AZ180" s="42">
        <f t="shared" si="555"/>
        <v>0</v>
      </c>
      <c r="BA180" s="42">
        <f t="shared" si="384"/>
        <v>0</v>
      </c>
      <c r="BB180" s="42">
        <f t="shared" si="385"/>
        <v>0</v>
      </c>
      <c r="BC180" s="42">
        <f t="shared" si="386"/>
        <v>0</v>
      </c>
      <c r="BD180" s="42">
        <f t="shared" si="556"/>
        <v>0</v>
      </c>
      <c r="BE180" s="43">
        <f t="shared" si="557"/>
        <v>47.62</v>
      </c>
      <c r="BF180" s="44"/>
      <c r="BG180" s="45">
        <f t="shared" si="558"/>
        <v>36</v>
      </c>
      <c r="BH180" s="45">
        <f t="shared" si="559"/>
        <v>1</v>
      </c>
      <c r="BI180" s="45">
        <f t="shared" si="560"/>
        <v>11.620000000000001</v>
      </c>
      <c r="BJ180" s="46">
        <f t="shared" si="438"/>
        <v>0</v>
      </c>
      <c r="BK180" s="46">
        <f t="shared" si="439"/>
        <v>0</v>
      </c>
      <c r="BL180" s="46">
        <f t="shared" si="440"/>
        <v>0</v>
      </c>
    </row>
    <row r="181" spans="1:64" ht="30" customHeight="1" x14ac:dyDescent="0.25">
      <c r="A181" s="84" t="str">
        <f t="shared" si="377"/>
        <v>Д</v>
      </c>
      <c r="B181" s="84" t="str">
        <f t="shared" si="387"/>
        <v>Б</v>
      </c>
      <c r="C181" s="101" t="s">
        <v>1786</v>
      </c>
      <c r="D181" s="16" t="str">
        <f t="shared" si="388"/>
        <v>'02.03.00</v>
      </c>
      <c r="E181" s="17" t="str">
        <f t="shared" si="389"/>
        <v>Компьютерные и информационные науки (УГСН)</v>
      </c>
      <c r="F181" s="116" t="s">
        <v>413</v>
      </c>
      <c r="G181" s="116" t="s">
        <v>42</v>
      </c>
      <c r="H181" s="112" t="s">
        <v>3233</v>
      </c>
      <c r="I181" s="10"/>
      <c r="J181" s="115" t="s">
        <v>3204</v>
      </c>
      <c r="K181" s="11">
        <v>1</v>
      </c>
      <c r="L181" s="11">
        <v>18</v>
      </c>
      <c r="M181" s="8" t="s">
        <v>94</v>
      </c>
      <c r="N181" s="109"/>
      <c r="O181" s="109">
        <v>2</v>
      </c>
      <c r="P181" s="109"/>
      <c r="Q181" s="113" t="s">
        <v>102</v>
      </c>
      <c r="R181" s="12"/>
      <c r="S181" s="12"/>
      <c r="T181" s="12"/>
      <c r="U181" s="12"/>
      <c r="V181" s="12"/>
      <c r="W181" s="83" t="str">
        <f t="shared" si="378"/>
        <v>НКАбд</v>
      </c>
      <c r="X181" s="114" t="s">
        <v>3247</v>
      </c>
      <c r="Y181" s="109">
        <v>1</v>
      </c>
      <c r="Z181" s="109">
        <v>1</v>
      </c>
      <c r="AA181" s="83">
        <f t="shared" si="390"/>
        <v>13</v>
      </c>
      <c r="AB181" s="11">
        <v>8</v>
      </c>
      <c r="AC181" s="11">
        <v>5</v>
      </c>
      <c r="AD181" s="81">
        <f t="shared" si="379"/>
        <v>12</v>
      </c>
      <c r="AE181" s="82">
        <f t="shared" si="391"/>
        <v>1</v>
      </c>
      <c r="AF181" s="82">
        <f t="shared" si="392"/>
        <v>1.0833333333333333</v>
      </c>
      <c r="AG181" s="102" t="s">
        <v>3250</v>
      </c>
      <c r="AH181" s="113" t="s">
        <v>203</v>
      </c>
      <c r="AI181" s="113" t="s">
        <v>213</v>
      </c>
      <c r="AJ181" s="119" t="s">
        <v>3344</v>
      </c>
      <c r="AK181" s="8"/>
      <c r="AL181" s="42">
        <f t="shared" si="380"/>
        <v>0</v>
      </c>
      <c r="AM181" s="42">
        <f t="shared" si="547"/>
        <v>0</v>
      </c>
      <c r="AN181" s="42">
        <f t="shared" si="548"/>
        <v>36</v>
      </c>
      <c r="AO181" s="42">
        <f t="shared" si="462"/>
        <v>4.29</v>
      </c>
      <c r="AP181" s="42">
        <f t="shared" si="549"/>
        <v>6.5</v>
      </c>
      <c r="AQ181" s="42">
        <f t="shared" si="550"/>
        <v>1</v>
      </c>
      <c r="AR181" s="42">
        <f t="shared" si="381"/>
        <v>0</v>
      </c>
      <c r="AS181" s="42">
        <f t="shared" si="551"/>
        <v>0</v>
      </c>
      <c r="AT181" s="42">
        <f t="shared" si="552"/>
        <v>0</v>
      </c>
      <c r="AU181" s="42">
        <f t="shared" si="553"/>
        <v>0</v>
      </c>
      <c r="AV181" s="42">
        <f>IF(M181="ПП",РПП*AA181*(U181/1.5),IF(M181="ВП",ВПр*AA181*(U181/1.5),IF(M181="РПА",РПА*AA181*(U181/1.5),IF(M181="КПА",КПА*AA181*(U181/1.5),0))))</f>
        <v>0</v>
      </c>
      <c r="AW181" s="42">
        <f t="shared" si="554"/>
        <v>0</v>
      </c>
      <c r="AX181" s="42">
        <f t="shared" si="382"/>
        <v>0</v>
      </c>
      <c r="AY181" s="42">
        <f t="shared" si="383"/>
        <v>0</v>
      </c>
      <c r="AZ181" s="42">
        <f t="shared" si="555"/>
        <v>0</v>
      </c>
      <c r="BA181" s="42">
        <f t="shared" si="384"/>
        <v>0</v>
      </c>
      <c r="BB181" s="42">
        <f t="shared" si="385"/>
        <v>0</v>
      </c>
      <c r="BC181" s="42">
        <f t="shared" si="386"/>
        <v>0</v>
      </c>
      <c r="BD181" s="42">
        <f t="shared" si="556"/>
        <v>0</v>
      </c>
      <c r="BE181" s="43">
        <f t="shared" si="557"/>
        <v>47.79</v>
      </c>
      <c r="BF181" s="44"/>
      <c r="BG181" s="45">
        <f t="shared" si="558"/>
        <v>36</v>
      </c>
      <c r="BH181" s="45">
        <f t="shared" si="559"/>
        <v>1</v>
      </c>
      <c r="BI181" s="45">
        <f t="shared" si="560"/>
        <v>11.79</v>
      </c>
      <c r="BJ181" s="46">
        <f t="shared" si="438"/>
        <v>0</v>
      </c>
      <c r="BK181" s="46">
        <f t="shared" si="439"/>
        <v>0</v>
      </c>
      <c r="BL181" s="46">
        <f t="shared" si="440"/>
        <v>0</v>
      </c>
    </row>
    <row r="182" spans="1:64" ht="30" customHeight="1" x14ac:dyDescent="0.25">
      <c r="A182" s="84" t="str">
        <f t="shared" si="377"/>
        <v>Д</v>
      </c>
      <c r="B182" s="84" t="str">
        <f t="shared" si="387"/>
        <v>Б</v>
      </c>
      <c r="C182" s="101" t="s">
        <v>1786</v>
      </c>
      <c r="D182" s="16" t="str">
        <f t="shared" si="388"/>
        <v>'02.03.00</v>
      </c>
      <c r="E182" s="17" t="str">
        <f t="shared" si="389"/>
        <v>Компьютерные и информационные науки (УГСН)</v>
      </c>
      <c r="F182" s="116" t="s">
        <v>413</v>
      </c>
      <c r="G182" s="116" t="s">
        <v>42</v>
      </c>
      <c r="H182" s="112" t="s">
        <v>3233</v>
      </c>
      <c r="I182" s="10"/>
      <c r="J182" s="115" t="s">
        <v>3204</v>
      </c>
      <c r="K182" s="11">
        <v>1</v>
      </c>
      <c r="L182" s="11">
        <v>18</v>
      </c>
      <c r="M182" s="8" t="s">
        <v>94</v>
      </c>
      <c r="N182" s="109"/>
      <c r="O182" s="109">
        <v>2</v>
      </c>
      <c r="P182" s="109"/>
      <c r="Q182" s="113" t="s">
        <v>102</v>
      </c>
      <c r="R182" s="13"/>
      <c r="S182" s="13"/>
      <c r="T182" s="13"/>
      <c r="U182" s="13"/>
      <c r="V182" s="13"/>
      <c r="W182" s="83" t="str">
        <f t="shared" si="378"/>
        <v>НКАбд</v>
      </c>
      <c r="X182" s="114" t="s">
        <v>3247</v>
      </c>
      <c r="Y182" s="109">
        <v>1</v>
      </c>
      <c r="Z182" s="109"/>
      <c r="AA182" s="83">
        <f t="shared" si="390"/>
        <v>13</v>
      </c>
      <c r="AB182" s="11">
        <v>7</v>
      </c>
      <c r="AC182" s="11">
        <v>6</v>
      </c>
      <c r="AD182" s="81">
        <f t="shared" si="379"/>
        <v>12</v>
      </c>
      <c r="AE182" s="82">
        <f t="shared" si="391"/>
        <v>1</v>
      </c>
      <c r="AF182" s="82">
        <f t="shared" si="392"/>
        <v>1.0833333333333333</v>
      </c>
      <c r="AG182" s="102" t="s">
        <v>3250</v>
      </c>
      <c r="AH182" s="113" t="s">
        <v>203</v>
      </c>
      <c r="AI182" s="113" t="s">
        <v>213</v>
      </c>
      <c r="AJ182" s="119" t="s">
        <v>3344</v>
      </c>
      <c r="AK182" s="8"/>
      <c r="AL182" s="42">
        <f t="shared" si="380"/>
        <v>0</v>
      </c>
      <c r="AM182" s="42">
        <f t="shared" si="547"/>
        <v>0</v>
      </c>
      <c r="AN182" s="42">
        <f t="shared" si="548"/>
        <v>36</v>
      </c>
      <c r="AO182" s="42">
        <f t="shared" si="462"/>
        <v>4.29</v>
      </c>
      <c r="AP182" s="42">
        <f t="shared" si="549"/>
        <v>6.5</v>
      </c>
      <c r="AQ182" s="42">
        <f t="shared" si="550"/>
        <v>0</v>
      </c>
      <c r="AR182" s="42">
        <f t="shared" si="381"/>
        <v>0</v>
      </c>
      <c r="AS182" s="42">
        <f t="shared" si="551"/>
        <v>0</v>
      </c>
      <c r="AT182" s="42">
        <f t="shared" si="552"/>
        <v>0</v>
      </c>
      <c r="AU182" s="42">
        <f t="shared" si="553"/>
        <v>0</v>
      </c>
      <c r="AV182" s="42">
        <f>IF(M182="ПП",РПП*AA182*(U182/1.5),IF(M182="ВП",ВПр*AA182*(U182/1.5),IF(M182="РПА",РПА*AA182*(U182/1.5),IF(M182="КПА",КПА*AA182*(U182/1.5),0))))</f>
        <v>0</v>
      </c>
      <c r="AW182" s="42">
        <f t="shared" si="554"/>
        <v>0</v>
      </c>
      <c r="AX182" s="42">
        <f t="shared" si="382"/>
        <v>0</v>
      </c>
      <c r="AY182" s="42">
        <f t="shared" si="383"/>
        <v>0</v>
      </c>
      <c r="AZ182" s="42">
        <f t="shared" si="555"/>
        <v>0</v>
      </c>
      <c r="BA182" s="42">
        <f t="shared" si="384"/>
        <v>0</v>
      </c>
      <c r="BB182" s="42">
        <f t="shared" si="385"/>
        <v>0</v>
      </c>
      <c r="BC182" s="42">
        <f t="shared" si="386"/>
        <v>0</v>
      </c>
      <c r="BD182" s="42">
        <f t="shared" si="556"/>
        <v>0</v>
      </c>
      <c r="BE182" s="43">
        <f t="shared" si="557"/>
        <v>46.79</v>
      </c>
      <c r="BF182" s="44"/>
      <c r="BG182" s="45">
        <f t="shared" si="558"/>
        <v>36</v>
      </c>
      <c r="BH182" s="45">
        <f t="shared" si="559"/>
        <v>1</v>
      </c>
      <c r="BI182" s="45">
        <f t="shared" si="560"/>
        <v>10.79</v>
      </c>
      <c r="BJ182" s="46">
        <f t="shared" si="438"/>
        <v>0</v>
      </c>
      <c r="BK182" s="46">
        <f t="shared" si="439"/>
        <v>0</v>
      </c>
      <c r="BL182" s="46">
        <f t="shared" si="440"/>
        <v>0</v>
      </c>
    </row>
    <row r="183" spans="1:64" ht="30" customHeight="1" x14ac:dyDescent="0.25">
      <c r="A183" s="84" t="str">
        <f t="shared" si="377"/>
        <v>Д</v>
      </c>
      <c r="B183" s="84" t="str">
        <f t="shared" si="387"/>
        <v>Б</v>
      </c>
      <c r="C183" s="101" t="s">
        <v>1786</v>
      </c>
      <c r="D183" s="16" t="str">
        <f t="shared" si="388"/>
        <v>'02.03.00</v>
      </c>
      <c r="E183" s="17" t="str">
        <f t="shared" si="389"/>
        <v>Компьютерные и информационные науки (УГСН)</v>
      </c>
      <c r="F183" s="116" t="s">
        <v>413</v>
      </c>
      <c r="G183" s="116" t="s">
        <v>42</v>
      </c>
      <c r="H183" s="112" t="s">
        <v>3233</v>
      </c>
      <c r="I183" s="10"/>
      <c r="J183" s="115" t="s">
        <v>3204</v>
      </c>
      <c r="K183" s="12">
        <v>1</v>
      </c>
      <c r="L183" s="11">
        <v>18</v>
      </c>
      <c r="M183" s="8" t="s">
        <v>94</v>
      </c>
      <c r="N183" s="109"/>
      <c r="O183" s="109">
        <v>2</v>
      </c>
      <c r="P183" s="109"/>
      <c r="Q183" s="113" t="s">
        <v>102</v>
      </c>
      <c r="R183" s="13"/>
      <c r="S183" s="13"/>
      <c r="T183" s="13"/>
      <c r="U183" s="13"/>
      <c r="V183" s="13"/>
      <c r="W183" s="83" t="str">
        <f t="shared" si="378"/>
        <v>НКАбд</v>
      </c>
      <c r="X183" s="114" t="s">
        <v>3248</v>
      </c>
      <c r="Y183" s="109">
        <v>1</v>
      </c>
      <c r="Z183" s="109">
        <v>1</v>
      </c>
      <c r="AA183" s="83">
        <f t="shared" si="390"/>
        <v>13</v>
      </c>
      <c r="AB183" s="11">
        <v>8</v>
      </c>
      <c r="AC183" s="11">
        <v>5</v>
      </c>
      <c r="AD183" s="81">
        <f t="shared" si="379"/>
        <v>12</v>
      </c>
      <c r="AE183" s="82">
        <f t="shared" si="391"/>
        <v>1</v>
      </c>
      <c r="AF183" s="82">
        <f t="shared" si="392"/>
        <v>1.0833333333333333</v>
      </c>
      <c r="AG183" s="102" t="s">
        <v>3250</v>
      </c>
      <c r="AH183" s="113" t="s">
        <v>203</v>
      </c>
      <c r="AI183" s="113" t="s">
        <v>213</v>
      </c>
      <c r="AJ183" s="119" t="s">
        <v>3344</v>
      </c>
      <c r="AK183" s="8"/>
      <c r="AL183" s="42">
        <f t="shared" si="380"/>
        <v>0</v>
      </c>
      <c r="AM183" s="42">
        <f t="shared" si="547"/>
        <v>0</v>
      </c>
      <c r="AN183" s="42">
        <f t="shared" si="548"/>
        <v>36</v>
      </c>
      <c r="AO183" s="42">
        <f t="shared" si="462"/>
        <v>4.29</v>
      </c>
      <c r="AP183" s="42">
        <f t="shared" si="549"/>
        <v>6.5</v>
      </c>
      <c r="AQ183" s="42">
        <f t="shared" si="550"/>
        <v>1</v>
      </c>
      <c r="AR183" s="42">
        <f t="shared" si="381"/>
        <v>0</v>
      </c>
      <c r="AS183" s="42">
        <f t="shared" si="551"/>
        <v>0</v>
      </c>
      <c r="AT183" s="42">
        <f t="shared" si="552"/>
        <v>0</v>
      </c>
      <c r="AU183" s="42">
        <f t="shared" si="553"/>
        <v>0</v>
      </c>
      <c r="AV183" s="42">
        <f>IF(M183="ПП",РПП*AA183*(U183/1.5),IF(M183="ВП",ВПр*AA183*(U183/1.5),IF(M183="РПА",РПА*AA183*(U183/1.5),IF(M183="КПА",КПА*AA183*(U183/1.5),0))))</f>
        <v>0</v>
      </c>
      <c r="AW183" s="42">
        <f t="shared" si="554"/>
        <v>0</v>
      </c>
      <c r="AX183" s="42">
        <f t="shared" si="382"/>
        <v>0</v>
      </c>
      <c r="AY183" s="42">
        <f t="shared" si="383"/>
        <v>0</v>
      </c>
      <c r="AZ183" s="42">
        <f t="shared" si="555"/>
        <v>0</v>
      </c>
      <c r="BA183" s="42">
        <f t="shared" si="384"/>
        <v>0</v>
      </c>
      <c r="BB183" s="42">
        <f t="shared" si="385"/>
        <v>0</v>
      </c>
      <c r="BC183" s="42">
        <f t="shared" si="386"/>
        <v>0</v>
      </c>
      <c r="BD183" s="42">
        <f t="shared" si="556"/>
        <v>0</v>
      </c>
      <c r="BE183" s="43">
        <f t="shared" si="557"/>
        <v>47.79</v>
      </c>
      <c r="BF183" s="44"/>
      <c r="BG183" s="45">
        <f t="shared" si="558"/>
        <v>36</v>
      </c>
      <c r="BH183" s="45">
        <f t="shared" si="559"/>
        <v>1</v>
      </c>
      <c r="BI183" s="45">
        <f t="shared" si="560"/>
        <v>11.79</v>
      </c>
      <c r="BJ183" s="46">
        <f t="shared" si="438"/>
        <v>0</v>
      </c>
      <c r="BK183" s="46">
        <f t="shared" si="439"/>
        <v>0</v>
      </c>
      <c r="BL183" s="46">
        <f t="shared" si="440"/>
        <v>0</v>
      </c>
    </row>
    <row r="184" spans="1:64" ht="30" customHeight="1" x14ac:dyDescent="0.25">
      <c r="A184" s="84" t="str">
        <f t="shared" si="377"/>
        <v>Д</v>
      </c>
      <c r="B184" s="84" t="str">
        <f t="shared" si="32"/>
        <v>Б</v>
      </c>
      <c r="C184" s="101" t="s">
        <v>1786</v>
      </c>
      <c r="D184" s="16" t="str">
        <f t="shared" ref="D184:D245" si="561">IF(C184&gt;0, VLOOKUP(C184,Код_ООП,2,FALSE),0)</f>
        <v>'02.03.00</v>
      </c>
      <c r="E184" s="17" t="str">
        <f t="shared" si="34"/>
        <v>Компьютерные и информационные науки (УГСН)</v>
      </c>
      <c r="F184" s="116" t="s">
        <v>413</v>
      </c>
      <c r="G184" s="116" t="s">
        <v>42</v>
      </c>
      <c r="H184" s="112" t="s">
        <v>3233</v>
      </c>
      <c r="I184" s="10"/>
      <c r="J184" s="115" t="s">
        <v>3204</v>
      </c>
      <c r="K184" s="13">
        <v>1</v>
      </c>
      <c r="L184" s="11">
        <v>18</v>
      </c>
      <c r="M184" s="8" t="s">
        <v>94</v>
      </c>
      <c r="N184" s="109"/>
      <c r="O184" s="109">
        <v>2</v>
      </c>
      <c r="P184" s="109"/>
      <c r="Q184" s="113" t="s">
        <v>102</v>
      </c>
      <c r="R184" s="11"/>
      <c r="S184" s="11"/>
      <c r="T184" s="23"/>
      <c r="U184" s="11"/>
      <c r="V184" s="11"/>
      <c r="W184" s="83" t="str">
        <f t="shared" si="378"/>
        <v>НКАбд</v>
      </c>
      <c r="X184" s="114" t="s">
        <v>3248</v>
      </c>
      <c r="Y184" s="109">
        <v>1</v>
      </c>
      <c r="Z184" s="109"/>
      <c r="AA184" s="83">
        <f t="shared" ref="AA184:AA245" si="562">AB184+AC184</f>
        <v>13</v>
      </c>
      <c r="AB184" s="11">
        <v>7</v>
      </c>
      <c r="AC184" s="11">
        <v>6</v>
      </c>
      <c r="AD184" s="81">
        <f t="shared" si="379"/>
        <v>12</v>
      </c>
      <c r="AE184" s="82">
        <f t="shared" ref="AE184:AE245" si="563">IF(AF184&gt;1,1,AF184)</f>
        <v>1</v>
      </c>
      <c r="AF184" s="82">
        <f t="shared" ref="AF184:AF245" si="564">AA184/AD184</f>
        <v>1.0833333333333333</v>
      </c>
      <c r="AG184" s="102" t="s">
        <v>3250</v>
      </c>
      <c r="AH184" s="113" t="s">
        <v>203</v>
      </c>
      <c r="AI184" s="113" t="s">
        <v>213</v>
      </c>
      <c r="AJ184" s="119" t="s">
        <v>3344</v>
      </c>
      <c r="AK184" s="8"/>
      <c r="AL184" s="42">
        <f t="shared" si="380"/>
        <v>0</v>
      </c>
      <c r="AM184" s="42">
        <f t="shared" si="547"/>
        <v>0</v>
      </c>
      <c r="AN184" s="42">
        <f t="shared" si="548"/>
        <v>36</v>
      </c>
      <c r="AO184" s="42">
        <f t="shared" si="462"/>
        <v>4.29</v>
      </c>
      <c r="AP184" s="42">
        <f t="shared" si="549"/>
        <v>6.5</v>
      </c>
      <c r="AQ184" s="42">
        <f t="shared" si="550"/>
        <v>0</v>
      </c>
      <c r="AR184" s="42">
        <f t="shared" si="381"/>
        <v>0</v>
      </c>
      <c r="AS184" s="42">
        <f t="shared" si="551"/>
        <v>0</v>
      </c>
      <c r="AT184" s="42">
        <f t="shared" si="552"/>
        <v>0</v>
      </c>
      <c r="AU184" s="42">
        <f t="shared" si="553"/>
        <v>0</v>
      </c>
      <c r="AV184" s="42">
        <f>IF(M184="ПП",РПП*AA184*(U184/1.5),IF(M184="ВП",ВПр*AA184*(U184/1.5),IF(M184="РПА",РПА*AA184*(U184/1.5),IF(M184="КПА",КПА*AA184*(U184/1.5),0))))</f>
        <v>0</v>
      </c>
      <c r="AW184" s="42">
        <f t="shared" si="554"/>
        <v>0</v>
      </c>
      <c r="AX184" s="42">
        <f t="shared" si="382"/>
        <v>0</v>
      </c>
      <c r="AY184" s="42">
        <f t="shared" si="383"/>
        <v>0</v>
      </c>
      <c r="AZ184" s="42">
        <f t="shared" si="555"/>
        <v>0</v>
      </c>
      <c r="BA184" s="42">
        <f t="shared" si="384"/>
        <v>0</v>
      </c>
      <c r="BB184" s="42">
        <f t="shared" si="385"/>
        <v>0</v>
      </c>
      <c r="BC184" s="42">
        <f t="shared" si="386"/>
        <v>0</v>
      </c>
      <c r="BD184" s="42">
        <f t="shared" si="556"/>
        <v>0</v>
      </c>
      <c r="BE184" s="43">
        <f t="shared" si="557"/>
        <v>46.79</v>
      </c>
      <c r="BF184" s="44"/>
      <c r="BG184" s="45">
        <f t="shared" si="558"/>
        <v>36</v>
      </c>
      <c r="BH184" s="45">
        <f t="shared" si="559"/>
        <v>1</v>
      </c>
      <c r="BI184" s="45">
        <f t="shared" si="560"/>
        <v>10.79</v>
      </c>
      <c r="BJ184" s="46">
        <f t="shared" si="438"/>
        <v>0</v>
      </c>
      <c r="BK184" s="46">
        <f t="shared" si="439"/>
        <v>0</v>
      </c>
      <c r="BL184" s="46">
        <f t="shared" si="440"/>
        <v>0</v>
      </c>
    </row>
    <row r="185" spans="1:64" ht="30" customHeight="1" x14ac:dyDescent="0.25">
      <c r="A185" s="84" t="str">
        <f t="shared" si="377"/>
        <v>Д</v>
      </c>
      <c r="B185" s="84" t="str">
        <f t="shared" si="32"/>
        <v>Б</v>
      </c>
      <c r="C185" s="101" t="s">
        <v>1786</v>
      </c>
      <c r="D185" s="16" t="str">
        <f t="shared" si="561"/>
        <v>'02.03.00</v>
      </c>
      <c r="E185" s="17" t="str">
        <f t="shared" si="34"/>
        <v>Компьютерные и информационные науки (УГСН)</v>
      </c>
      <c r="F185" s="116" t="s">
        <v>413</v>
      </c>
      <c r="G185" s="116" t="s">
        <v>42</v>
      </c>
      <c r="H185" s="112" t="s">
        <v>3233</v>
      </c>
      <c r="I185" s="10"/>
      <c r="J185" s="115" t="s">
        <v>3204</v>
      </c>
      <c r="K185" s="13">
        <v>1</v>
      </c>
      <c r="L185" s="11">
        <v>18</v>
      </c>
      <c r="M185" s="8" t="s">
        <v>94</v>
      </c>
      <c r="N185" s="109"/>
      <c r="O185" s="109">
        <v>2</v>
      </c>
      <c r="P185" s="109"/>
      <c r="Q185" s="113" t="s">
        <v>102</v>
      </c>
      <c r="R185" s="11"/>
      <c r="S185" s="11"/>
      <c r="T185" s="23"/>
      <c r="U185" s="11"/>
      <c r="V185" s="11"/>
      <c r="W185" s="83" t="str">
        <f t="shared" si="378"/>
        <v>НКАбд</v>
      </c>
      <c r="X185" s="114" t="s">
        <v>3288</v>
      </c>
      <c r="Y185" s="109">
        <v>1</v>
      </c>
      <c r="Z185" s="109">
        <v>1</v>
      </c>
      <c r="AA185" s="83">
        <f t="shared" si="562"/>
        <v>13</v>
      </c>
      <c r="AB185" s="11">
        <v>8</v>
      </c>
      <c r="AC185" s="11">
        <v>5</v>
      </c>
      <c r="AD185" s="81">
        <f t="shared" si="379"/>
        <v>12</v>
      </c>
      <c r="AE185" s="82">
        <f t="shared" si="563"/>
        <v>1</v>
      </c>
      <c r="AF185" s="82">
        <f t="shared" si="564"/>
        <v>1.0833333333333333</v>
      </c>
      <c r="AG185" s="102" t="s">
        <v>3250</v>
      </c>
      <c r="AH185" s="113" t="s">
        <v>203</v>
      </c>
      <c r="AI185" s="113" t="s">
        <v>213</v>
      </c>
      <c r="AJ185" s="119" t="s">
        <v>3344</v>
      </c>
      <c r="AK185" s="8"/>
      <c r="AL185" s="42">
        <f t="shared" si="380"/>
        <v>0</v>
      </c>
      <c r="AM185" s="42">
        <f t="shared" si="547"/>
        <v>0</v>
      </c>
      <c r="AN185" s="42">
        <f t="shared" si="548"/>
        <v>36</v>
      </c>
      <c r="AO185" s="42">
        <f t="shared" si="462"/>
        <v>4.29</v>
      </c>
      <c r="AP185" s="42">
        <f t="shared" si="549"/>
        <v>6.5</v>
      </c>
      <c r="AQ185" s="42">
        <f t="shared" si="550"/>
        <v>1</v>
      </c>
      <c r="AR185" s="42">
        <f t="shared" si="381"/>
        <v>0</v>
      </c>
      <c r="AS185" s="42">
        <f t="shared" si="551"/>
        <v>0</v>
      </c>
      <c r="AT185" s="42">
        <f t="shared" si="552"/>
        <v>0</v>
      </c>
      <c r="AU185" s="42">
        <f t="shared" si="553"/>
        <v>0</v>
      </c>
      <c r="AV185" s="42">
        <f>IF(M185="ПП",РПП*AA185*(U185/1.5),IF(M185="ВП",ВПр*AA185*(U185/1.5),IF(M185="РПА",РПА*AA185*(U185/1.5),IF(M185="КПА",КПА*AA185*(U185/1.5),0))))</f>
        <v>0</v>
      </c>
      <c r="AW185" s="42">
        <f t="shared" si="554"/>
        <v>0</v>
      </c>
      <c r="AX185" s="42">
        <f t="shared" si="382"/>
        <v>0</v>
      </c>
      <c r="AY185" s="42">
        <f t="shared" si="383"/>
        <v>0</v>
      </c>
      <c r="AZ185" s="42">
        <f t="shared" si="555"/>
        <v>0</v>
      </c>
      <c r="BA185" s="42">
        <f t="shared" si="384"/>
        <v>0</v>
      </c>
      <c r="BB185" s="42">
        <f t="shared" si="385"/>
        <v>0</v>
      </c>
      <c r="BC185" s="42">
        <f t="shared" si="386"/>
        <v>0</v>
      </c>
      <c r="BD185" s="42">
        <f t="shared" si="556"/>
        <v>0</v>
      </c>
      <c r="BE185" s="43">
        <f t="shared" si="557"/>
        <v>47.79</v>
      </c>
      <c r="BF185" s="44"/>
      <c r="BG185" s="45">
        <f t="shared" si="558"/>
        <v>36</v>
      </c>
      <c r="BH185" s="45">
        <f t="shared" si="559"/>
        <v>1</v>
      </c>
      <c r="BI185" s="45">
        <f t="shared" si="560"/>
        <v>11.79</v>
      </c>
      <c r="BJ185" s="46">
        <f t="shared" si="438"/>
        <v>0</v>
      </c>
      <c r="BK185" s="46">
        <f t="shared" si="439"/>
        <v>0</v>
      </c>
      <c r="BL185" s="46">
        <f t="shared" si="440"/>
        <v>0</v>
      </c>
    </row>
    <row r="186" spans="1:64" ht="30" customHeight="1" x14ac:dyDescent="0.25">
      <c r="A186" s="84" t="str">
        <f t="shared" si="377"/>
        <v>Д</v>
      </c>
      <c r="B186" s="84" t="str">
        <f t="shared" si="32"/>
        <v>Б</v>
      </c>
      <c r="C186" s="101" t="s">
        <v>1786</v>
      </c>
      <c r="D186" s="16" t="str">
        <f t="shared" si="561"/>
        <v>'02.03.00</v>
      </c>
      <c r="E186" s="17" t="str">
        <f t="shared" si="34"/>
        <v>Компьютерные и информационные науки (УГСН)</v>
      </c>
      <c r="F186" s="116" t="s">
        <v>413</v>
      </c>
      <c r="G186" s="116" t="s">
        <v>42</v>
      </c>
      <c r="H186" s="112" t="s">
        <v>3233</v>
      </c>
      <c r="I186" s="10"/>
      <c r="J186" s="115" t="s">
        <v>3204</v>
      </c>
      <c r="K186" s="11">
        <v>1</v>
      </c>
      <c r="L186" s="11">
        <v>18</v>
      </c>
      <c r="M186" s="8" t="s">
        <v>94</v>
      </c>
      <c r="N186" s="109"/>
      <c r="O186" s="109">
        <v>2</v>
      </c>
      <c r="P186" s="109"/>
      <c r="Q186" s="113" t="s">
        <v>102</v>
      </c>
      <c r="R186" s="11"/>
      <c r="S186" s="11"/>
      <c r="T186" s="23"/>
      <c r="U186" s="11"/>
      <c r="V186" s="11"/>
      <c r="W186" s="83" t="str">
        <f t="shared" si="378"/>
        <v>НКАбд</v>
      </c>
      <c r="X186" s="114" t="s">
        <v>3288</v>
      </c>
      <c r="Y186" s="109">
        <v>1</v>
      </c>
      <c r="Z186" s="109"/>
      <c r="AA186" s="83">
        <f t="shared" si="562"/>
        <v>13</v>
      </c>
      <c r="AB186" s="11">
        <v>7</v>
      </c>
      <c r="AC186" s="11">
        <v>6</v>
      </c>
      <c r="AD186" s="81">
        <f t="shared" si="379"/>
        <v>12</v>
      </c>
      <c r="AE186" s="82">
        <f t="shared" si="563"/>
        <v>1</v>
      </c>
      <c r="AF186" s="82">
        <f t="shared" si="564"/>
        <v>1.0833333333333333</v>
      </c>
      <c r="AG186" s="102" t="s">
        <v>3250</v>
      </c>
      <c r="AH186" s="113" t="s">
        <v>203</v>
      </c>
      <c r="AI186" s="113" t="s">
        <v>213</v>
      </c>
      <c r="AJ186" s="119" t="s">
        <v>3344</v>
      </c>
      <c r="AK186" s="8"/>
      <c r="AL186" s="42">
        <f t="shared" si="380"/>
        <v>0</v>
      </c>
      <c r="AM186" s="42">
        <f t="shared" si="547"/>
        <v>0</v>
      </c>
      <c r="AN186" s="42">
        <f t="shared" si="548"/>
        <v>36</v>
      </c>
      <c r="AO186" s="42">
        <f t="shared" si="462"/>
        <v>4.29</v>
      </c>
      <c r="AP186" s="42">
        <f t="shared" si="549"/>
        <v>6.5</v>
      </c>
      <c r="AQ186" s="42">
        <f t="shared" si="550"/>
        <v>0</v>
      </c>
      <c r="AR186" s="42">
        <f t="shared" si="381"/>
        <v>0</v>
      </c>
      <c r="AS186" s="42">
        <f t="shared" si="551"/>
        <v>0</v>
      </c>
      <c r="AT186" s="42">
        <f t="shared" si="552"/>
        <v>0</v>
      </c>
      <c r="AU186" s="42">
        <f t="shared" si="553"/>
        <v>0</v>
      </c>
      <c r="AV186" s="42">
        <f>IF(M186="ПП",РПП*AA186*(U186/1.5),IF(M186="ВП",ВПр*AA186*(U186/1.5),IF(M186="РПА",РПА*AA186*(U186/1.5),IF(M186="КПА",КПА*AA186*(U186/1.5),0))))</f>
        <v>0</v>
      </c>
      <c r="AW186" s="42">
        <f t="shared" si="554"/>
        <v>0</v>
      </c>
      <c r="AX186" s="42">
        <f t="shared" si="382"/>
        <v>0</v>
      </c>
      <c r="AY186" s="42">
        <f t="shared" si="383"/>
        <v>0</v>
      </c>
      <c r="AZ186" s="42">
        <f t="shared" si="555"/>
        <v>0</v>
      </c>
      <c r="BA186" s="42">
        <f t="shared" si="384"/>
        <v>0</v>
      </c>
      <c r="BB186" s="42">
        <f t="shared" si="385"/>
        <v>0</v>
      </c>
      <c r="BC186" s="42">
        <f t="shared" si="386"/>
        <v>0</v>
      </c>
      <c r="BD186" s="42">
        <f t="shared" si="556"/>
        <v>0</v>
      </c>
      <c r="BE186" s="43">
        <f t="shared" si="557"/>
        <v>46.79</v>
      </c>
      <c r="BF186" s="44"/>
      <c r="BG186" s="45">
        <f t="shared" si="558"/>
        <v>36</v>
      </c>
      <c r="BH186" s="45">
        <f t="shared" si="559"/>
        <v>1</v>
      </c>
      <c r="BI186" s="45">
        <f t="shared" si="560"/>
        <v>10.79</v>
      </c>
      <c r="BJ186" s="46">
        <f t="shared" si="438"/>
        <v>0</v>
      </c>
      <c r="BK186" s="46">
        <f t="shared" si="439"/>
        <v>0</v>
      </c>
      <c r="BL186" s="46">
        <f t="shared" si="440"/>
        <v>0</v>
      </c>
    </row>
    <row r="187" spans="1:64" ht="30" customHeight="1" x14ac:dyDescent="0.25">
      <c r="A187" s="84" t="str">
        <f t="shared" si="377"/>
        <v>Д</v>
      </c>
      <c r="B187" s="84" t="str">
        <f t="shared" si="32"/>
        <v>Б</v>
      </c>
      <c r="C187" s="101" t="s">
        <v>1786</v>
      </c>
      <c r="D187" s="16" t="str">
        <f t="shared" si="561"/>
        <v>'02.03.00</v>
      </c>
      <c r="E187" s="17" t="str">
        <f t="shared" si="34"/>
        <v>Компьютерные и информационные науки (УГСН)</v>
      </c>
      <c r="F187" s="116" t="s">
        <v>413</v>
      </c>
      <c r="G187" s="116" t="s">
        <v>42</v>
      </c>
      <c r="H187" s="112" t="s">
        <v>3233</v>
      </c>
      <c r="I187" s="10"/>
      <c r="J187" s="115" t="s">
        <v>3204</v>
      </c>
      <c r="K187" s="11">
        <v>1</v>
      </c>
      <c r="L187" s="11">
        <v>18</v>
      </c>
      <c r="M187" s="8" t="s">
        <v>94</v>
      </c>
      <c r="N187" s="117"/>
      <c r="O187" s="117">
        <v>2</v>
      </c>
      <c r="P187" s="117"/>
      <c r="Q187" s="113" t="s">
        <v>102</v>
      </c>
      <c r="R187" s="11"/>
      <c r="S187" s="11"/>
      <c r="T187" s="23"/>
      <c r="U187" s="11"/>
      <c r="V187" s="11"/>
      <c r="W187" s="83" t="str">
        <f t="shared" si="378"/>
        <v>НКАбд</v>
      </c>
      <c r="X187" s="114" t="s">
        <v>3289</v>
      </c>
      <c r="Y187" s="109">
        <v>1</v>
      </c>
      <c r="Z187" s="109">
        <v>1</v>
      </c>
      <c r="AA187" s="83">
        <f t="shared" si="562"/>
        <v>13</v>
      </c>
      <c r="AB187" s="11">
        <v>8</v>
      </c>
      <c r="AC187" s="11">
        <v>5</v>
      </c>
      <c r="AD187" s="81">
        <f t="shared" si="379"/>
        <v>12</v>
      </c>
      <c r="AE187" s="82">
        <f t="shared" si="563"/>
        <v>1</v>
      </c>
      <c r="AF187" s="82">
        <f t="shared" si="564"/>
        <v>1.0833333333333333</v>
      </c>
      <c r="AG187" s="102" t="s">
        <v>3250</v>
      </c>
      <c r="AH187" s="113" t="s">
        <v>203</v>
      </c>
      <c r="AI187" s="113" t="s">
        <v>213</v>
      </c>
      <c r="AJ187" s="119" t="s">
        <v>3344</v>
      </c>
      <c r="AK187" s="8"/>
      <c r="AL187" s="42">
        <f t="shared" si="380"/>
        <v>0</v>
      </c>
      <c r="AM187" s="42">
        <f t="shared" si="547"/>
        <v>0</v>
      </c>
      <c r="AN187" s="42">
        <f t="shared" si="548"/>
        <v>36</v>
      </c>
      <c r="AO187" s="42">
        <f t="shared" si="462"/>
        <v>4.29</v>
      </c>
      <c r="AP187" s="42">
        <f t="shared" si="549"/>
        <v>6.5</v>
      </c>
      <c r="AQ187" s="42">
        <f t="shared" si="550"/>
        <v>1</v>
      </c>
      <c r="AR187" s="42">
        <f t="shared" si="381"/>
        <v>0</v>
      </c>
      <c r="AS187" s="42">
        <f t="shared" si="551"/>
        <v>0</v>
      </c>
      <c r="AT187" s="42">
        <f t="shared" si="552"/>
        <v>0</v>
      </c>
      <c r="AU187" s="42">
        <f t="shared" si="553"/>
        <v>0</v>
      </c>
      <c r="AV187" s="42">
        <f>IF(M187="ПП",РПП*AA187*(U187/1.5),IF(M187="ВП",ВПр*AA187*(U187/1.5),IF(M187="РПА",РПА*AA187*(U187/1.5),IF(M187="КПА",КПА*AA187*(U187/1.5),0))))</f>
        <v>0</v>
      </c>
      <c r="AW187" s="42">
        <f t="shared" si="554"/>
        <v>0</v>
      </c>
      <c r="AX187" s="42">
        <f t="shared" si="382"/>
        <v>0</v>
      </c>
      <c r="AY187" s="42">
        <f t="shared" si="383"/>
        <v>0</v>
      </c>
      <c r="AZ187" s="42">
        <f t="shared" si="555"/>
        <v>0</v>
      </c>
      <c r="BA187" s="42">
        <f t="shared" si="384"/>
        <v>0</v>
      </c>
      <c r="BB187" s="42">
        <f t="shared" si="385"/>
        <v>0</v>
      </c>
      <c r="BC187" s="42">
        <f t="shared" si="386"/>
        <v>0</v>
      </c>
      <c r="BD187" s="42">
        <f t="shared" si="556"/>
        <v>0</v>
      </c>
      <c r="BE187" s="43">
        <f t="shared" si="557"/>
        <v>47.79</v>
      </c>
      <c r="BF187" s="44"/>
      <c r="BG187" s="45">
        <f t="shared" si="558"/>
        <v>36</v>
      </c>
      <c r="BH187" s="45">
        <f t="shared" si="559"/>
        <v>1</v>
      </c>
      <c r="BI187" s="45">
        <f t="shared" si="560"/>
        <v>11.79</v>
      </c>
      <c r="BJ187" s="46">
        <f t="shared" si="438"/>
        <v>0</v>
      </c>
      <c r="BK187" s="46">
        <f t="shared" si="439"/>
        <v>0</v>
      </c>
      <c r="BL187" s="46">
        <f t="shared" si="440"/>
        <v>0</v>
      </c>
    </row>
    <row r="188" spans="1:64" ht="30" customHeight="1" x14ac:dyDescent="0.25">
      <c r="A188" s="84" t="str">
        <f t="shared" si="377"/>
        <v>Д</v>
      </c>
      <c r="B188" s="84" t="str">
        <f t="shared" ref="B188" si="565">IF(C188&gt;0, VLOOKUP(C188,Код_ООП,11,FALSE),0)</f>
        <v>Б</v>
      </c>
      <c r="C188" s="101" t="s">
        <v>1786</v>
      </c>
      <c r="D188" s="16" t="str">
        <f t="shared" ref="D188" si="566">IF(C188&gt;0, VLOOKUP(C188,Код_ООП,2,FALSE),0)</f>
        <v>'02.03.00</v>
      </c>
      <c r="E188" s="17" t="str">
        <f t="shared" ref="E188" si="567">IF(C188&gt;0, VLOOKUP(C188,Код_ООП,13,FALSE),0)</f>
        <v>Компьютерные и информационные науки (УГСН)</v>
      </c>
      <c r="F188" s="116" t="s">
        <v>413</v>
      </c>
      <c r="G188" s="116" t="s">
        <v>42</v>
      </c>
      <c r="H188" s="112" t="s">
        <v>3233</v>
      </c>
      <c r="I188" s="10"/>
      <c r="J188" s="115" t="s">
        <v>3204</v>
      </c>
      <c r="K188" s="11">
        <v>1</v>
      </c>
      <c r="L188" s="11">
        <v>18</v>
      </c>
      <c r="M188" s="8" t="s">
        <v>94</v>
      </c>
      <c r="N188" s="109"/>
      <c r="O188" s="109">
        <v>2</v>
      </c>
      <c r="P188" s="109"/>
      <c r="Q188" s="113" t="s">
        <v>102</v>
      </c>
      <c r="R188" s="11"/>
      <c r="S188" s="11"/>
      <c r="T188" s="23"/>
      <c r="U188" s="11"/>
      <c r="V188" s="11"/>
      <c r="W188" s="83" t="str">
        <f t="shared" si="378"/>
        <v>НКАбд</v>
      </c>
      <c r="X188" s="114" t="s">
        <v>3289</v>
      </c>
      <c r="Y188" s="109">
        <v>1</v>
      </c>
      <c r="Z188" s="109"/>
      <c r="AA188" s="83">
        <f t="shared" ref="AA188" si="568">AB188+AC188</f>
        <v>13</v>
      </c>
      <c r="AB188" s="11">
        <v>7</v>
      </c>
      <c r="AC188" s="11">
        <v>6</v>
      </c>
      <c r="AD188" s="81">
        <f t="shared" si="379"/>
        <v>12</v>
      </c>
      <c r="AE188" s="82">
        <f t="shared" ref="AE188" si="569">IF(AF188&gt;1,1,AF188)</f>
        <v>1</v>
      </c>
      <c r="AF188" s="82">
        <f t="shared" ref="AF188" si="570">AA188/AD188</f>
        <v>1.0833333333333333</v>
      </c>
      <c r="AG188" s="102" t="s">
        <v>3250</v>
      </c>
      <c r="AH188" s="113" t="s">
        <v>203</v>
      </c>
      <c r="AI188" s="113" t="s">
        <v>213</v>
      </c>
      <c r="AJ188" s="119" t="s">
        <v>3347</v>
      </c>
      <c r="AK188" s="8"/>
      <c r="AL188" s="42">
        <f t="shared" si="380"/>
        <v>0</v>
      </c>
      <c r="AM188" s="42">
        <f t="shared" ref="AM188" si="571">IF(OR(M188="пр",M188="ия",M188="сп"),P188*AE188*L188,0)</f>
        <v>0</v>
      </c>
      <c r="AN188" s="42">
        <f t="shared" ref="AN188" si="572">IF(OR(M188="лаб",M188="клн"),O188*AE188*L188,0)</f>
        <v>36</v>
      </c>
      <c r="AO188" s="42">
        <f t="shared" ref="AO188" si="573">(IF((AND(OR(K188=1,K188=2,K188=3,K188=4,K188=5,K188=6,K188=7,K188=8,K188=9,K188=10,K188=11,K188=12),OR(Q188="Зач",Q188="Экз"))),ТКиРА*AA188,0)+IF(SUM(N188:P188)&lt;&gt;0,IF(Q188="ТК",ТКиРА*AA188,0),0))*(IF(F188="ФТД",0,1))</f>
        <v>4.29</v>
      </c>
      <c r="AP188" s="42">
        <f t="shared" ref="AP188" si="574">IF(SUM(O188:P188)&lt;&gt;0,IF(Q188="Зач",ПАБРС*AA188,0),0)+IF(N188&lt;&gt;0,IF(Q188="Экз",ПАБРС*AA188,0),0)</f>
        <v>6.5</v>
      </c>
      <c r="AQ188" s="42">
        <f t="shared" ref="AQ188" si="575">(IF(AP188&lt;&gt;0,ОфВед*(IF(OR(M188="лек",M188="лаб"),Z188,AE188)),0))*(IF(F188="ФТД",0,1))</f>
        <v>0</v>
      </c>
      <c r="AR188" s="42">
        <f t="shared" si="381"/>
        <v>0</v>
      </c>
      <c r="AS188" s="42">
        <f t="shared" ref="AS188" si="576">IF(OR(M188="лаб",M188="пр"),IF(R188="К",AA188*ВПКР,IF(R188="М",AA188*ВПИБ,0)),0)</f>
        <v>0</v>
      </c>
      <c r="AT188" s="42">
        <f t="shared" ref="AT188" si="577">IF(OR(M188="лаб",M188="пр"),IF(S188="К",AA188*ВПКП,0),0)</f>
        <v>0</v>
      </c>
      <c r="AU188" s="42">
        <f t="shared" ref="AU188" si="578">IF(M188="УП",T188/1.5*AA188*РУП,IF(M188="УПМ",T188/1.5*AA188*РУПЛеч,0))</f>
        <v>0</v>
      </c>
      <c r="AV188" s="42">
        <f>IF(M188="ПП",РПП*AA188*(U188/1.5),IF(M188="ВП",ВПр*AA188*(U188/1.5),IF(M188="РПА",РПА*AA188*(U188/1.5),IF(M188="КПА",КПА*AA188*(U188/1.5),0))))</f>
        <v>0</v>
      </c>
      <c r="AW188" s="42">
        <f t="shared" ref="AW188" si="579">IF(M188="НР",(AB188*НИРМ+AC188*НИРМИн)*(V188/1.5),IF(M188="НИ",(AB188*НИРА+AC188*НИРАИ)*(V188/1.5),0))</f>
        <v>0</v>
      </c>
      <c r="AX188" s="42">
        <f t="shared" si="382"/>
        <v>0</v>
      </c>
      <c r="AY188" s="42">
        <f t="shared" si="383"/>
        <v>0</v>
      </c>
      <c r="AZ188" s="42">
        <f t="shared" ref="AZ188" si="580">IF(AND(Q188="КЭ",M188="ЧК"),AA188*КдЭк,0)</f>
        <v>0</v>
      </c>
      <c r="BA188" s="42">
        <f t="shared" si="384"/>
        <v>0</v>
      </c>
      <c r="BB188" s="42">
        <f t="shared" si="385"/>
        <v>0</v>
      </c>
      <c r="BC188" s="42">
        <f t="shared" si="386"/>
        <v>0</v>
      </c>
      <c r="BD188" s="42">
        <f t="shared" ref="BD188" si="581">IF(M188="ЧГ",AA188*ЧГ,IF(M188="ПГ",AA188*ПГ,IF(M188="ТЕСТ",ТГИЭ*AE188,IF(M188="СГ",AA188*СГ,0))))</f>
        <v>0</v>
      </c>
      <c r="BE188" s="43">
        <f t="shared" ref="BE188" si="582">SUM(AL188:BD188)</f>
        <v>46.79</v>
      </c>
      <c r="BF188" s="44"/>
      <c r="BG188" s="45">
        <f t="shared" ref="BG188" si="583">IF(OR(K188="1;1",K188="1;2",K188=1,K188="3;1",K188="3;2",K188=3,K188="5;1",K188="5;2",K188=5,K188="7;1",K188="7;2",K188=7,K188="9;1",K188="9;2",K188=9,K188=11),SUM(AL188:AN188),0)</f>
        <v>36</v>
      </c>
      <c r="BH188" s="45">
        <f t="shared" ref="BH188" si="584">IF(BG188&lt;&gt;0,SUM(N188:P188)/2,0)</f>
        <v>1</v>
      </c>
      <c r="BI188" s="45">
        <f t="shared" ref="BI188" si="585">IF(OR(K188="1;1",K188="1;2",K188=1,K188="3;1",K188="3;2",K188=3,K188="5;1",K188="5;2",K188=5,K188="7;1",K188="7;2",K188=7,K188="9;1",K188="9;2",K188=9,K188=11),SUM(AO188:BD188),0)</f>
        <v>10.79</v>
      </c>
      <c r="BJ188" s="46">
        <f t="shared" si="438"/>
        <v>0</v>
      </c>
      <c r="BK188" s="46">
        <f t="shared" si="439"/>
        <v>0</v>
      </c>
      <c r="BL188" s="46">
        <f t="shared" si="440"/>
        <v>0</v>
      </c>
    </row>
    <row r="189" spans="1:64" ht="30" customHeight="1" x14ac:dyDescent="0.25">
      <c r="A189" s="84" t="str">
        <f t="shared" si="377"/>
        <v>Д</v>
      </c>
      <c r="B189" s="84" t="str">
        <f t="shared" si="32"/>
        <v>Б</v>
      </c>
      <c r="C189" s="101" t="s">
        <v>1786</v>
      </c>
      <c r="D189" s="16" t="str">
        <f t="shared" si="561"/>
        <v>'02.03.00</v>
      </c>
      <c r="E189" s="17" t="str">
        <f t="shared" si="34"/>
        <v>Компьютерные и информационные науки (УГСН)</v>
      </c>
      <c r="F189" s="116" t="s">
        <v>413</v>
      </c>
      <c r="G189" s="116" t="s">
        <v>42</v>
      </c>
      <c r="H189" s="112" t="s">
        <v>3233</v>
      </c>
      <c r="I189" s="10"/>
      <c r="J189" s="115" t="s">
        <v>3204</v>
      </c>
      <c r="K189" s="11">
        <v>1</v>
      </c>
      <c r="L189" s="11">
        <v>18</v>
      </c>
      <c r="M189" s="8" t="s">
        <v>94</v>
      </c>
      <c r="N189" s="109"/>
      <c r="O189" s="109">
        <v>2</v>
      </c>
      <c r="P189" s="109"/>
      <c r="Q189" s="113" t="s">
        <v>102</v>
      </c>
      <c r="R189" s="11"/>
      <c r="S189" s="11"/>
      <c r="T189" s="23"/>
      <c r="U189" s="11"/>
      <c r="V189" s="11"/>
      <c r="W189" s="83" t="str">
        <f t="shared" si="378"/>
        <v>НКАбд</v>
      </c>
      <c r="X189" s="114" t="s">
        <v>3290</v>
      </c>
      <c r="Y189" s="109">
        <v>1</v>
      </c>
      <c r="Z189" s="109">
        <v>1</v>
      </c>
      <c r="AA189" s="83">
        <f t="shared" si="562"/>
        <v>13</v>
      </c>
      <c r="AB189" s="11">
        <v>8</v>
      </c>
      <c r="AC189" s="11">
        <v>5</v>
      </c>
      <c r="AD189" s="81">
        <f t="shared" si="379"/>
        <v>12</v>
      </c>
      <c r="AE189" s="82">
        <f t="shared" si="563"/>
        <v>1</v>
      </c>
      <c r="AF189" s="82">
        <f t="shared" si="564"/>
        <v>1.0833333333333333</v>
      </c>
      <c r="AG189" s="102" t="s">
        <v>3250</v>
      </c>
      <c r="AH189" s="113" t="s">
        <v>203</v>
      </c>
      <c r="AI189" s="113" t="s">
        <v>213</v>
      </c>
      <c r="AJ189" s="119" t="s">
        <v>3347</v>
      </c>
      <c r="AK189" s="8"/>
      <c r="AL189" s="42">
        <f t="shared" si="380"/>
        <v>0</v>
      </c>
      <c r="AM189" s="42">
        <f t="shared" si="547"/>
        <v>0</v>
      </c>
      <c r="AN189" s="42">
        <f t="shared" si="548"/>
        <v>36</v>
      </c>
      <c r="AO189" s="42">
        <f t="shared" si="462"/>
        <v>4.29</v>
      </c>
      <c r="AP189" s="42">
        <f t="shared" si="549"/>
        <v>6.5</v>
      </c>
      <c r="AQ189" s="42">
        <f t="shared" si="550"/>
        <v>1</v>
      </c>
      <c r="AR189" s="42">
        <f t="shared" si="381"/>
        <v>0</v>
      </c>
      <c r="AS189" s="42">
        <f t="shared" si="551"/>
        <v>0</v>
      </c>
      <c r="AT189" s="42">
        <f t="shared" si="552"/>
        <v>0</v>
      </c>
      <c r="AU189" s="42">
        <f t="shared" si="553"/>
        <v>0</v>
      </c>
      <c r="AV189" s="42">
        <f>IF(M189="ПП",РПП*AA189*(U189/1.5),IF(M189="ВП",ВПр*AA189*(U189/1.5),IF(M189="РПА",РПА*AA189*(U189/1.5),IF(M189="КПА",КПА*AA189*(U189/1.5),0))))</f>
        <v>0</v>
      </c>
      <c r="AW189" s="42">
        <f t="shared" si="554"/>
        <v>0</v>
      </c>
      <c r="AX189" s="42">
        <f t="shared" si="382"/>
        <v>0</v>
      </c>
      <c r="AY189" s="42">
        <f t="shared" si="383"/>
        <v>0</v>
      </c>
      <c r="AZ189" s="42">
        <f t="shared" si="555"/>
        <v>0</v>
      </c>
      <c r="BA189" s="42">
        <f t="shared" si="384"/>
        <v>0</v>
      </c>
      <c r="BB189" s="42">
        <f t="shared" si="385"/>
        <v>0</v>
      </c>
      <c r="BC189" s="42">
        <f t="shared" si="386"/>
        <v>0</v>
      </c>
      <c r="BD189" s="42">
        <f t="shared" si="556"/>
        <v>0</v>
      </c>
      <c r="BE189" s="43">
        <f t="shared" si="557"/>
        <v>47.79</v>
      </c>
      <c r="BF189" s="44"/>
      <c r="BG189" s="45">
        <f t="shared" si="558"/>
        <v>36</v>
      </c>
      <c r="BH189" s="45">
        <f t="shared" si="559"/>
        <v>1</v>
      </c>
      <c r="BI189" s="45">
        <f t="shared" si="560"/>
        <v>11.79</v>
      </c>
      <c r="BJ189" s="46">
        <f t="shared" si="438"/>
        <v>0</v>
      </c>
      <c r="BK189" s="46">
        <f t="shared" si="439"/>
        <v>0</v>
      </c>
      <c r="BL189" s="46">
        <f t="shared" si="440"/>
        <v>0</v>
      </c>
    </row>
    <row r="190" spans="1:64" ht="30" customHeight="1" x14ac:dyDescent="0.25">
      <c r="A190" s="84" t="str">
        <f t="shared" si="377"/>
        <v>Д</v>
      </c>
      <c r="B190" s="84" t="str">
        <f t="shared" si="32"/>
        <v>Б</v>
      </c>
      <c r="C190" s="101" t="s">
        <v>1786</v>
      </c>
      <c r="D190" s="16" t="str">
        <f t="shared" si="561"/>
        <v>'02.03.00</v>
      </c>
      <c r="E190" s="17" t="str">
        <f t="shared" si="34"/>
        <v>Компьютерные и информационные науки (УГСН)</v>
      </c>
      <c r="F190" s="116" t="s">
        <v>413</v>
      </c>
      <c r="G190" s="116" t="s">
        <v>42</v>
      </c>
      <c r="H190" s="112" t="s">
        <v>3233</v>
      </c>
      <c r="I190" s="10"/>
      <c r="J190" s="115" t="s">
        <v>3204</v>
      </c>
      <c r="K190" s="11">
        <v>1</v>
      </c>
      <c r="L190" s="11">
        <v>18</v>
      </c>
      <c r="M190" s="8" t="s">
        <v>94</v>
      </c>
      <c r="N190" s="109"/>
      <c r="O190" s="109">
        <v>2</v>
      </c>
      <c r="P190" s="109"/>
      <c r="Q190" s="113" t="s">
        <v>102</v>
      </c>
      <c r="R190" s="11"/>
      <c r="S190" s="11"/>
      <c r="T190" s="23"/>
      <c r="U190" s="11"/>
      <c r="V190" s="11"/>
      <c r="W190" s="83" t="str">
        <f t="shared" si="378"/>
        <v>НКАбд</v>
      </c>
      <c r="X190" s="114" t="s">
        <v>3290</v>
      </c>
      <c r="Y190" s="109">
        <v>1</v>
      </c>
      <c r="Z190" s="109"/>
      <c r="AA190" s="83">
        <f t="shared" si="562"/>
        <v>13</v>
      </c>
      <c r="AB190" s="11">
        <v>7</v>
      </c>
      <c r="AC190" s="11">
        <v>6</v>
      </c>
      <c r="AD190" s="81">
        <f t="shared" si="379"/>
        <v>12</v>
      </c>
      <c r="AE190" s="82">
        <f t="shared" si="563"/>
        <v>1</v>
      </c>
      <c r="AF190" s="82">
        <f t="shared" si="564"/>
        <v>1.0833333333333333</v>
      </c>
      <c r="AG190" s="102" t="s">
        <v>3250</v>
      </c>
      <c r="AH190" s="113" t="s">
        <v>203</v>
      </c>
      <c r="AI190" s="113" t="s">
        <v>213</v>
      </c>
      <c r="AJ190" s="119" t="s">
        <v>3347</v>
      </c>
      <c r="AK190" s="8"/>
      <c r="AL190" s="42">
        <f t="shared" si="380"/>
        <v>0</v>
      </c>
      <c r="AM190" s="42">
        <f t="shared" si="547"/>
        <v>0</v>
      </c>
      <c r="AN190" s="42">
        <f t="shared" si="548"/>
        <v>36</v>
      </c>
      <c r="AO190" s="42">
        <f t="shared" si="462"/>
        <v>4.29</v>
      </c>
      <c r="AP190" s="42">
        <f t="shared" si="549"/>
        <v>6.5</v>
      </c>
      <c r="AQ190" s="42">
        <f t="shared" si="550"/>
        <v>0</v>
      </c>
      <c r="AR190" s="42">
        <f t="shared" si="381"/>
        <v>0</v>
      </c>
      <c r="AS190" s="42">
        <f t="shared" si="551"/>
        <v>0</v>
      </c>
      <c r="AT190" s="42">
        <f t="shared" si="552"/>
        <v>0</v>
      </c>
      <c r="AU190" s="42">
        <f t="shared" si="553"/>
        <v>0</v>
      </c>
      <c r="AV190" s="42">
        <f>IF(M190="ПП",РПП*AA190*(U190/1.5),IF(M190="ВП",ВПр*AA190*(U190/1.5),IF(M190="РПА",РПА*AA190*(U190/1.5),IF(M190="КПА",КПА*AA190*(U190/1.5),0))))</f>
        <v>0</v>
      </c>
      <c r="AW190" s="42">
        <f t="shared" si="554"/>
        <v>0</v>
      </c>
      <c r="AX190" s="42">
        <f t="shared" si="382"/>
        <v>0</v>
      </c>
      <c r="AY190" s="42">
        <f t="shared" si="383"/>
        <v>0</v>
      </c>
      <c r="AZ190" s="42">
        <f t="shared" si="555"/>
        <v>0</v>
      </c>
      <c r="BA190" s="42">
        <f t="shared" si="384"/>
        <v>0</v>
      </c>
      <c r="BB190" s="42">
        <f t="shared" si="385"/>
        <v>0</v>
      </c>
      <c r="BC190" s="42">
        <f t="shared" si="386"/>
        <v>0</v>
      </c>
      <c r="BD190" s="42">
        <f t="shared" si="556"/>
        <v>0</v>
      </c>
      <c r="BE190" s="43">
        <f t="shared" si="557"/>
        <v>46.79</v>
      </c>
      <c r="BF190" s="44"/>
      <c r="BG190" s="45">
        <f t="shared" si="558"/>
        <v>36</v>
      </c>
      <c r="BH190" s="45">
        <f t="shared" si="559"/>
        <v>1</v>
      </c>
      <c r="BI190" s="45">
        <f t="shared" si="560"/>
        <v>10.79</v>
      </c>
      <c r="BJ190" s="46">
        <f t="shared" si="438"/>
        <v>0</v>
      </c>
      <c r="BK190" s="46">
        <f t="shared" si="439"/>
        <v>0</v>
      </c>
      <c r="BL190" s="46">
        <f t="shared" si="440"/>
        <v>0</v>
      </c>
    </row>
    <row r="191" spans="1:64" ht="30" customHeight="1" x14ac:dyDescent="0.25">
      <c r="A191" s="84" t="str">
        <f t="shared" si="377"/>
        <v>Д</v>
      </c>
      <c r="B191" s="84" t="str">
        <f t="shared" si="32"/>
        <v>Б</v>
      </c>
      <c r="C191" s="101" t="s">
        <v>1786</v>
      </c>
      <c r="D191" s="16" t="str">
        <f t="shared" si="561"/>
        <v>'02.03.00</v>
      </c>
      <c r="E191" s="17" t="str">
        <f t="shared" si="34"/>
        <v>Компьютерные и информационные науки (УГСН)</v>
      </c>
      <c r="F191" s="116" t="s">
        <v>413</v>
      </c>
      <c r="G191" s="116" t="s">
        <v>42</v>
      </c>
      <c r="H191" s="112" t="s">
        <v>3233</v>
      </c>
      <c r="I191" s="10"/>
      <c r="J191" s="115" t="s">
        <v>3210</v>
      </c>
      <c r="K191" s="11">
        <v>2</v>
      </c>
      <c r="L191" s="11">
        <v>18</v>
      </c>
      <c r="M191" s="8" t="s">
        <v>23</v>
      </c>
      <c r="N191" s="109">
        <v>1</v>
      </c>
      <c r="O191" s="109"/>
      <c r="P191" s="109"/>
      <c r="Q191" s="113" t="s">
        <v>103</v>
      </c>
      <c r="R191" s="11"/>
      <c r="S191" s="11"/>
      <c r="T191" s="23"/>
      <c r="U191" s="11"/>
      <c r="V191" s="11"/>
      <c r="W191" s="83" t="str">
        <f t="shared" si="378"/>
        <v>НКАбд</v>
      </c>
      <c r="X191" s="114" t="s">
        <v>3287</v>
      </c>
      <c r="Y191" s="109">
        <v>12</v>
      </c>
      <c r="Z191" s="109">
        <v>6</v>
      </c>
      <c r="AA191" s="83">
        <f t="shared" si="562"/>
        <v>158</v>
      </c>
      <c r="AB191" s="11">
        <v>91</v>
      </c>
      <c r="AC191" s="11">
        <v>67</v>
      </c>
      <c r="AD191" s="81">
        <f t="shared" si="379"/>
        <v>158</v>
      </c>
      <c r="AE191" s="82">
        <f t="shared" si="563"/>
        <v>1</v>
      </c>
      <c r="AF191" s="82">
        <f t="shared" si="564"/>
        <v>1</v>
      </c>
      <c r="AG191" s="102" t="s">
        <v>3250</v>
      </c>
      <c r="AH191" s="113" t="s">
        <v>204</v>
      </c>
      <c r="AI191" s="113" t="s">
        <v>212</v>
      </c>
      <c r="AJ191" s="119" t="s">
        <v>3261</v>
      </c>
      <c r="AK191" s="8"/>
      <c r="AL191" s="42">
        <f t="shared" si="380"/>
        <v>18</v>
      </c>
      <c r="AM191" s="42">
        <f t="shared" si="547"/>
        <v>0</v>
      </c>
      <c r="AN191" s="42">
        <f t="shared" si="548"/>
        <v>0</v>
      </c>
      <c r="AO191" s="42">
        <f t="shared" si="462"/>
        <v>52.14</v>
      </c>
      <c r="AP191" s="42">
        <f t="shared" si="549"/>
        <v>79</v>
      </c>
      <c r="AQ191" s="42">
        <f t="shared" si="550"/>
        <v>6</v>
      </c>
      <c r="AR191" s="42">
        <f t="shared" si="381"/>
        <v>5.4</v>
      </c>
      <c r="AS191" s="42">
        <f t="shared" si="551"/>
        <v>0</v>
      </c>
      <c r="AT191" s="42">
        <f t="shared" si="552"/>
        <v>0</v>
      </c>
      <c r="AU191" s="42">
        <f t="shared" si="553"/>
        <v>0</v>
      </c>
      <c r="AV191" s="42">
        <f>IF(M191="ПП",РПП*AA191*(U191/1.5),IF(M191="ВП",ВПр*AA191*(U191/1.5),IF(M191="РПА",РПА*AA191*(U191/1.5),IF(M191="КПА",КПА*AA191*(U191/1.5),0))))</f>
        <v>0</v>
      </c>
      <c r="AW191" s="42">
        <f t="shared" si="554"/>
        <v>0</v>
      </c>
      <c r="AX191" s="42">
        <f t="shared" si="382"/>
        <v>0</v>
      </c>
      <c r="AY191" s="42">
        <f t="shared" si="383"/>
        <v>0</v>
      </c>
      <c r="AZ191" s="42">
        <f t="shared" si="555"/>
        <v>0</v>
      </c>
      <c r="BA191" s="42">
        <f t="shared" si="384"/>
        <v>0</v>
      </c>
      <c r="BB191" s="42">
        <f t="shared" si="385"/>
        <v>0</v>
      </c>
      <c r="BC191" s="42">
        <f t="shared" si="386"/>
        <v>0</v>
      </c>
      <c r="BD191" s="42">
        <f t="shared" si="556"/>
        <v>0</v>
      </c>
      <c r="BE191" s="43">
        <f t="shared" si="557"/>
        <v>160.54</v>
      </c>
      <c r="BF191" s="44"/>
      <c r="BG191" s="45">
        <f t="shared" si="558"/>
        <v>0</v>
      </c>
      <c r="BH191" s="45">
        <f t="shared" si="559"/>
        <v>0</v>
      </c>
      <c r="BI191" s="45">
        <f t="shared" si="560"/>
        <v>0</v>
      </c>
      <c r="BJ191" s="46">
        <f t="shared" si="438"/>
        <v>18</v>
      </c>
      <c r="BK191" s="46">
        <f t="shared" si="439"/>
        <v>0.5</v>
      </c>
      <c r="BL191" s="46">
        <f t="shared" si="440"/>
        <v>142.54</v>
      </c>
    </row>
    <row r="192" spans="1:64" ht="30" customHeight="1" x14ac:dyDescent="0.25">
      <c r="A192" s="84" t="str">
        <f t="shared" si="377"/>
        <v>Д</v>
      </c>
      <c r="B192" s="84" t="str">
        <f t="shared" si="32"/>
        <v>Б</v>
      </c>
      <c r="C192" s="101" t="s">
        <v>1786</v>
      </c>
      <c r="D192" s="16" t="str">
        <f t="shared" si="561"/>
        <v>'02.03.00</v>
      </c>
      <c r="E192" s="17" t="str">
        <f t="shared" si="34"/>
        <v>Компьютерные и информационные науки (УГСН)</v>
      </c>
      <c r="F192" s="116" t="s">
        <v>413</v>
      </c>
      <c r="G192" s="116" t="s">
        <v>42</v>
      </c>
      <c r="H192" s="112" t="s">
        <v>3233</v>
      </c>
      <c r="I192" s="10"/>
      <c r="J192" s="115" t="s">
        <v>3210</v>
      </c>
      <c r="K192" s="11">
        <v>2</v>
      </c>
      <c r="L192" s="11">
        <v>18</v>
      </c>
      <c r="M192" s="8" t="s">
        <v>94</v>
      </c>
      <c r="N192" s="109"/>
      <c r="O192" s="109">
        <v>2</v>
      </c>
      <c r="P192" s="109"/>
      <c r="Q192" s="113"/>
      <c r="R192" s="11"/>
      <c r="S192" s="11"/>
      <c r="T192" s="11"/>
      <c r="U192" s="11"/>
      <c r="V192" s="11"/>
      <c r="W192" s="83" t="str">
        <f t="shared" si="378"/>
        <v>НКАбд</v>
      </c>
      <c r="X192" s="114" t="s">
        <v>3246</v>
      </c>
      <c r="Y192" s="109">
        <v>1</v>
      </c>
      <c r="Z192" s="109">
        <v>1</v>
      </c>
      <c r="AA192" s="83">
        <f t="shared" si="562"/>
        <v>14</v>
      </c>
      <c r="AB192" s="11">
        <v>8</v>
      </c>
      <c r="AC192" s="11">
        <v>6</v>
      </c>
      <c r="AD192" s="81">
        <f t="shared" si="379"/>
        <v>12</v>
      </c>
      <c r="AE192" s="82">
        <f t="shared" si="563"/>
        <v>1</v>
      </c>
      <c r="AF192" s="82">
        <f t="shared" si="564"/>
        <v>1.1666666666666667</v>
      </c>
      <c r="AG192" s="102" t="s">
        <v>3250</v>
      </c>
      <c r="AH192" s="113" t="s">
        <v>204</v>
      </c>
      <c r="AI192" s="113" t="s">
        <v>212</v>
      </c>
      <c r="AJ192" s="119" t="s">
        <v>3261</v>
      </c>
      <c r="AK192" s="8"/>
      <c r="AL192" s="42">
        <f t="shared" si="380"/>
        <v>0</v>
      </c>
      <c r="AM192" s="42">
        <f t="shared" si="547"/>
        <v>0</v>
      </c>
      <c r="AN192" s="42">
        <f t="shared" si="548"/>
        <v>36</v>
      </c>
      <c r="AO192" s="42">
        <f t="shared" si="462"/>
        <v>0</v>
      </c>
      <c r="AP192" s="42">
        <f t="shared" si="549"/>
        <v>0</v>
      </c>
      <c r="AQ192" s="42">
        <f t="shared" si="550"/>
        <v>0</v>
      </c>
      <c r="AR192" s="42">
        <f t="shared" si="381"/>
        <v>0</v>
      </c>
      <c r="AS192" s="42">
        <f t="shared" si="551"/>
        <v>0</v>
      </c>
      <c r="AT192" s="42">
        <f t="shared" si="552"/>
        <v>0</v>
      </c>
      <c r="AU192" s="42">
        <f t="shared" si="553"/>
        <v>0</v>
      </c>
      <c r="AV192" s="42">
        <f>IF(M192="ПП",РПП*AA192*(U192/1.5),IF(M192="ВП",ВПр*AA192*(U192/1.5),IF(M192="РПА",РПА*AA192*(U192/1.5),IF(M192="КПА",КПА*AA192*(U192/1.5),0))))</f>
        <v>0</v>
      </c>
      <c r="AW192" s="42">
        <f t="shared" si="554"/>
        <v>0</v>
      </c>
      <c r="AX192" s="42">
        <f t="shared" si="382"/>
        <v>0</v>
      </c>
      <c r="AY192" s="42">
        <f t="shared" si="383"/>
        <v>0</v>
      </c>
      <c r="AZ192" s="42">
        <f t="shared" si="555"/>
        <v>0</v>
      </c>
      <c r="BA192" s="42">
        <f t="shared" si="384"/>
        <v>0</v>
      </c>
      <c r="BB192" s="42">
        <f t="shared" si="385"/>
        <v>0</v>
      </c>
      <c r="BC192" s="42">
        <f t="shared" si="386"/>
        <v>0</v>
      </c>
      <c r="BD192" s="42">
        <f t="shared" si="556"/>
        <v>0</v>
      </c>
      <c r="BE192" s="43">
        <f t="shared" si="557"/>
        <v>36</v>
      </c>
      <c r="BF192" s="44"/>
      <c r="BG192" s="45">
        <f t="shared" si="558"/>
        <v>0</v>
      </c>
      <c r="BH192" s="45">
        <f t="shared" si="559"/>
        <v>0</v>
      </c>
      <c r="BI192" s="45">
        <f t="shared" si="560"/>
        <v>0</v>
      </c>
      <c r="BJ192" s="46">
        <f t="shared" si="438"/>
        <v>36</v>
      </c>
      <c r="BK192" s="46">
        <f t="shared" si="439"/>
        <v>1</v>
      </c>
      <c r="BL192" s="46">
        <f t="shared" si="440"/>
        <v>0</v>
      </c>
    </row>
    <row r="193" spans="1:64" ht="30" customHeight="1" x14ac:dyDescent="0.25">
      <c r="A193" s="84" t="str">
        <f t="shared" si="377"/>
        <v>Д</v>
      </c>
      <c r="B193" s="84" t="str">
        <f t="shared" si="32"/>
        <v>Б</v>
      </c>
      <c r="C193" s="101" t="s">
        <v>1786</v>
      </c>
      <c r="D193" s="16" t="str">
        <f t="shared" si="561"/>
        <v>'02.03.00</v>
      </c>
      <c r="E193" s="17" t="str">
        <f t="shared" si="34"/>
        <v>Компьютерные и информационные науки (УГСН)</v>
      </c>
      <c r="F193" s="116" t="s">
        <v>413</v>
      </c>
      <c r="G193" s="116" t="s">
        <v>42</v>
      </c>
      <c r="H193" s="112" t="s">
        <v>3233</v>
      </c>
      <c r="I193" s="10"/>
      <c r="J193" s="115" t="s">
        <v>3210</v>
      </c>
      <c r="K193" s="11">
        <v>2</v>
      </c>
      <c r="L193" s="11">
        <v>18</v>
      </c>
      <c r="M193" s="8" t="s">
        <v>94</v>
      </c>
      <c r="N193" s="109"/>
      <c r="O193" s="109">
        <v>2</v>
      </c>
      <c r="P193" s="109"/>
      <c r="Q193" s="113"/>
      <c r="R193" s="11"/>
      <c r="S193" s="11"/>
      <c r="T193" s="11"/>
      <c r="U193" s="11"/>
      <c r="V193" s="11"/>
      <c r="W193" s="83" t="str">
        <f t="shared" si="378"/>
        <v>НКАбд</v>
      </c>
      <c r="X193" s="114" t="s">
        <v>3246</v>
      </c>
      <c r="Y193" s="109">
        <v>1</v>
      </c>
      <c r="Z193" s="109"/>
      <c r="AA193" s="83">
        <f t="shared" si="562"/>
        <v>14</v>
      </c>
      <c r="AB193" s="11">
        <v>8</v>
      </c>
      <c r="AC193" s="11">
        <v>6</v>
      </c>
      <c r="AD193" s="81">
        <f t="shared" si="379"/>
        <v>12</v>
      </c>
      <c r="AE193" s="82">
        <f t="shared" si="563"/>
        <v>1</v>
      </c>
      <c r="AF193" s="82">
        <f t="shared" si="564"/>
        <v>1.1666666666666667</v>
      </c>
      <c r="AG193" s="102" t="s">
        <v>3250</v>
      </c>
      <c r="AH193" s="113" t="s">
        <v>204</v>
      </c>
      <c r="AI193" s="113" t="s">
        <v>212</v>
      </c>
      <c r="AJ193" s="119" t="s">
        <v>3261</v>
      </c>
      <c r="AK193" s="8"/>
      <c r="AL193" s="42">
        <f t="shared" si="380"/>
        <v>0</v>
      </c>
      <c r="AM193" s="42">
        <f t="shared" si="547"/>
        <v>0</v>
      </c>
      <c r="AN193" s="42">
        <f t="shared" si="548"/>
        <v>36</v>
      </c>
      <c r="AO193" s="42">
        <f t="shared" si="462"/>
        <v>0</v>
      </c>
      <c r="AP193" s="42">
        <f t="shared" si="549"/>
        <v>0</v>
      </c>
      <c r="AQ193" s="42">
        <f t="shared" si="550"/>
        <v>0</v>
      </c>
      <c r="AR193" s="42">
        <f t="shared" si="381"/>
        <v>0</v>
      </c>
      <c r="AS193" s="42">
        <f t="shared" si="551"/>
        <v>0</v>
      </c>
      <c r="AT193" s="42">
        <f t="shared" si="552"/>
        <v>0</v>
      </c>
      <c r="AU193" s="42">
        <f t="shared" si="553"/>
        <v>0</v>
      </c>
      <c r="AV193" s="42">
        <f>IF(M193="ПП",РПП*AA193*(U193/1.5),IF(M193="ВП",ВПр*AA193*(U193/1.5),IF(M193="РПА",РПА*AA193*(U193/1.5),IF(M193="КПА",КПА*AA193*(U193/1.5),0))))</f>
        <v>0</v>
      </c>
      <c r="AW193" s="42">
        <f t="shared" si="554"/>
        <v>0</v>
      </c>
      <c r="AX193" s="42">
        <f t="shared" si="382"/>
        <v>0</v>
      </c>
      <c r="AY193" s="42">
        <f t="shared" si="383"/>
        <v>0</v>
      </c>
      <c r="AZ193" s="42">
        <f t="shared" si="555"/>
        <v>0</v>
      </c>
      <c r="BA193" s="42">
        <f t="shared" si="384"/>
        <v>0</v>
      </c>
      <c r="BB193" s="42">
        <f t="shared" si="385"/>
        <v>0</v>
      </c>
      <c r="BC193" s="42">
        <f t="shared" si="386"/>
        <v>0</v>
      </c>
      <c r="BD193" s="42">
        <f t="shared" si="556"/>
        <v>0</v>
      </c>
      <c r="BE193" s="43">
        <f t="shared" si="557"/>
        <v>36</v>
      </c>
      <c r="BF193" s="44"/>
      <c r="BG193" s="45">
        <f t="shared" si="558"/>
        <v>0</v>
      </c>
      <c r="BH193" s="45">
        <f t="shared" si="559"/>
        <v>0</v>
      </c>
      <c r="BI193" s="45">
        <f t="shared" si="560"/>
        <v>0</v>
      </c>
      <c r="BJ193" s="46">
        <f t="shared" si="438"/>
        <v>36</v>
      </c>
      <c r="BK193" s="46">
        <f t="shared" si="439"/>
        <v>1</v>
      </c>
      <c r="BL193" s="46">
        <f t="shared" si="440"/>
        <v>0</v>
      </c>
    </row>
    <row r="194" spans="1:64" ht="30" customHeight="1" x14ac:dyDescent="0.25">
      <c r="A194" s="84" t="str">
        <f t="shared" si="377"/>
        <v>Д</v>
      </c>
      <c r="B194" s="84" t="str">
        <f t="shared" si="32"/>
        <v>Б</v>
      </c>
      <c r="C194" s="101" t="s">
        <v>1786</v>
      </c>
      <c r="D194" s="16" t="str">
        <f t="shared" si="561"/>
        <v>'02.03.00</v>
      </c>
      <c r="E194" s="17" t="str">
        <f t="shared" si="34"/>
        <v>Компьютерные и информационные науки (УГСН)</v>
      </c>
      <c r="F194" s="116" t="s">
        <v>413</v>
      </c>
      <c r="G194" s="116" t="s">
        <v>42</v>
      </c>
      <c r="H194" s="112" t="s">
        <v>3233</v>
      </c>
      <c r="I194" s="10"/>
      <c r="J194" s="115" t="s">
        <v>3210</v>
      </c>
      <c r="K194" s="11">
        <v>2</v>
      </c>
      <c r="L194" s="11">
        <v>18</v>
      </c>
      <c r="M194" s="8" t="s">
        <v>94</v>
      </c>
      <c r="N194" s="109"/>
      <c r="O194" s="109">
        <v>2</v>
      </c>
      <c r="P194" s="109"/>
      <c r="Q194" s="113"/>
      <c r="R194" s="11"/>
      <c r="S194" s="11"/>
      <c r="T194" s="11"/>
      <c r="U194" s="11"/>
      <c r="V194" s="11"/>
      <c r="W194" s="83" t="str">
        <f t="shared" si="378"/>
        <v>НКАбд</v>
      </c>
      <c r="X194" s="114" t="s">
        <v>3247</v>
      </c>
      <c r="Y194" s="109">
        <v>1</v>
      </c>
      <c r="Z194" s="109">
        <v>1</v>
      </c>
      <c r="AA194" s="83">
        <f t="shared" si="562"/>
        <v>13</v>
      </c>
      <c r="AB194" s="11">
        <v>8</v>
      </c>
      <c r="AC194" s="11">
        <v>5</v>
      </c>
      <c r="AD194" s="81">
        <f t="shared" si="379"/>
        <v>12</v>
      </c>
      <c r="AE194" s="82">
        <f t="shared" si="563"/>
        <v>1</v>
      </c>
      <c r="AF194" s="82">
        <f t="shared" si="564"/>
        <v>1.0833333333333333</v>
      </c>
      <c r="AG194" s="102" t="s">
        <v>3250</v>
      </c>
      <c r="AH194" s="113" t="s">
        <v>204</v>
      </c>
      <c r="AI194" s="113" t="s">
        <v>212</v>
      </c>
      <c r="AJ194" s="119" t="s">
        <v>3261</v>
      </c>
      <c r="AK194" s="8"/>
      <c r="AL194" s="42">
        <f t="shared" si="380"/>
        <v>0</v>
      </c>
      <c r="AM194" s="42">
        <f t="shared" si="547"/>
        <v>0</v>
      </c>
      <c r="AN194" s="42">
        <f t="shared" si="548"/>
        <v>36</v>
      </c>
      <c r="AO194" s="42">
        <f t="shared" si="462"/>
        <v>0</v>
      </c>
      <c r="AP194" s="42">
        <f t="shared" si="549"/>
        <v>0</v>
      </c>
      <c r="AQ194" s="42">
        <f t="shared" si="550"/>
        <v>0</v>
      </c>
      <c r="AR194" s="42">
        <f t="shared" si="381"/>
        <v>0</v>
      </c>
      <c r="AS194" s="42">
        <f t="shared" si="551"/>
        <v>0</v>
      </c>
      <c r="AT194" s="42">
        <f t="shared" si="552"/>
        <v>0</v>
      </c>
      <c r="AU194" s="42">
        <f t="shared" si="553"/>
        <v>0</v>
      </c>
      <c r="AV194" s="42">
        <f>IF(M194="ПП",РПП*AA194*(U194/1.5),IF(M194="ВП",ВПр*AA194*(U194/1.5),IF(M194="РПА",РПА*AA194*(U194/1.5),IF(M194="КПА",КПА*AA194*(U194/1.5),0))))</f>
        <v>0</v>
      </c>
      <c r="AW194" s="42">
        <f t="shared" si="554"/>
        <v>0</v>
      </c>
      <c r="AX194" s="42">
        <f t="shared" si="382"/>
        <v>0</v>
      </c>
      <c r="AY194" s="42">
        <f t="shared" si="383"/>
        <v>0</v>
      </c>
      <c r="AZ194" s="42">
        <f t="shared" si="555"/>
        <v>0</v>
      </c>
      <c r="BA194" s="42">
        <f t="shared" si="384"/>
        <v>0</v>
      </c>
      <c r="BB194" s="42">
        <f t="shared" si="385"/>
        <v>0</v>
      </c>
      <c r="BC194" s="42">
        <f t="shared" si="386"/>
        <v>0</v>
      </c>
      <c r="BD194" s="42">
        <f t="shared" si="556"/>
        <v>0</v>
      </c>
      <c r="BE194" s="43">
        <f t="shared" si="557"/>
        <v>36</v>
      </c>
      <c r="BF194" s="44"/>
      <c r="BG194" s="45">
        <f t="shared" si="558"/>
        <v>0</v>
      </c>
      <c r="BH194" s="45">
        <f t="shared" si="559"/>
        <v>0</v>
      </c>
      <c r="BI194" s="45">
        <f t="shared" si="560"/>
        <v>0</v>
      </c>
      <c r="BJ194" s="46">
        <f t="shared" si="438"/>
        <v>36</v>
      </c>
      <c r="BK194" s="46">
        <f t="shared" si="439"/>
        <v>1</v>
      </c>
      <c r="BL194" s="46">
        <f t="shared" si="440"/>
        <v>0</v>
      </c>
    </row>
    <row r="195" spans="1:64" ht="30" customHeight="1" x14ac:dyDescent="0.25">
      <c r="A195" s="84" t="str">
        <f t="shared" si="377"/>
        <v>Д</v>
      </c>
      <c r="B195" s="84" t="str">
        <f t="shared" si="32"/>
        <v>Б</v>
      </c>
      <c r="C195" s="101" t="s">
        <v>1786</v>
      </c>
      <c r="D195" s="16" t="str">
        <f t="shared" si="561"/>
        <v>'02.03.00</v>
      </c>
      <c r="E195" s="17" t="str">
        <f t="shared" si="34"/>
        <v>Компьютерные и информационные науки (УГСН)</v>
      </c>
      <c r="F195" s="116" t="s">
        <v>413</v>
      </c>
      <c r="G195" s="116" t="s">
        <v>42</v>
      </c>
      <c r="H195" s="112" t="s">
        <v>3233</v>
      </c>
      <c r="I195" s="10"/>
      <c r="J195" s="115" t="s">
        <v>3210</v>
      </c>
      <c r="K195" s="11">
        <v>2</v>
      </c>
      <c r="L195" s="11">
        <v>18</v>
      </c>
      <c r="M195" s="8" t="s">
        <v>94</v>
      </c>
      <c r="N195" s="117"/>
      <c r="O195" s="117">
        <v>2</v>
      </c>
      <c r="P195" s="117"/>
      <c r="Q195" s="113"/>
      <c r="R195" s="11"/>
      <c r="S195" s="11"/>
      <c r="T195" s="11"/>
      <c r="U195" s="11"/>
      <c r="V195" s="11"/>
      <c r="W195" s="83" t="str">
        <f t="shared" si="378"/>
        <v>НКАбд</v>
      </c>
      <c r="X195" s="114" t="s">
        <v>3247</v>
      </c>
      <c r="Y195" s="109">
        <v>1</v>
      </c>
      <c r="Z195" s="109"/>
      <c r="AA195" s="83">
        <f t="shared" si="562"/>
        <v>13</v>
      </c>
      <c r="AB195" s="11">
        <v>7</v>
      </c>
      <c r="AC195" s="11">
        <v>6</v>
      </c>
      <c r="AD195" s="81">
        <f t="shared" si="379"/>
        <v>12</v>
      </c>
      <c r="AE195" s="82">
        <f t="shared" si="563"/>
        <v>1</v>
      </c>
      <c r="AF195" s="82">
        <f t="shared" si="564"/>
        <v>1.0833333333333333</v>
      </c>
      <c r="AG195" s="102" t="s">
        <v>3250</v>
      </c>
      <c r="AH195" s="113" t="s">
        <v>204</v>
      </c>
      <c r="AI195" s="113" t="s">
        <v>212</v>
      </c>
      <c r="AJ195" s="119" t="s">
        <v>3261</v>
      </c>
      <c r="AK195" s="8"/>
      <c r="AL195" s="42">
        <f t="shared" si="380"/>
        <v>0</v>
      </c>
      <c r="AM195" s="42">
        <f t="shared" si="547"/>
        <v>0</v>
      </c>
      <c r="AN195" s="42">
        <f t="shared" si="548"/>
        <v>36</v>
      </c>
      <c r="AO195" s="42">
        <f t="shared" si="462"/>
        <v>0</v>
      </c>
      <c r="AP195" s="42">
        <f t="shared" si="549"/>
        <v>0</v>
      </c>
      <c r="AQ195" s="42">
        <f t="shared" si="550"/>
        <v>0</v>
      </c>
      <c r="AR195" s="42">
        <f t="shared" si="381"/>
        <v>0</v>
      </c>
      <c r="AS195" s="42">
        <f t="shared" si="551"/>
        <v>0</v>
      </c>
      <c r="AT195" s="42">
        <f t="shared" si="552"/>
        <v>0</v>
      </c>
      <c r="AU195" s="42">
        <f t="shared" si="553"/>
        <v>0</v>
      </c>
      <c r="AV195" s="42">
        <f>IF(M195="ПП",РПП*AA195*(U195/1.5),IF(M195="ВП",ВПр*AA195*(U195/1.5),IF(M195="РПА",РПА*AA195*(U195/1.5),IF(M195="КПА",КПА*AA195*(U195/1.5),0))))</f>
        <v>0</v>
      </c>
      <c r="AW195" s="42">
        <f t="shared" si="554"/>
        <v>0</v>
      </c>
      <c r="AX195" s="42">
        <f t="shared" si="382"/>
        <v>0</v>
      </c>
      <c r="AY195" s="42">
        <f t="shared" si="383"/>
        <v>0</v>
      </c>
      <c r="AZ195" s="42">
        <f t="shared" si="555"/>
        <v>0</v>
      </c>
      <c r="BA195" s="42">
        <f t="shared" si="384"/>
        <v>0</v>
      </c>
      <c r="BB195" s="42">
        <f t="shared" si="385"/>
        <v>0</v>
      </c>
      <c r="BC195" s="42">
        <f t="shared" si="386"/>
        <v>0</v>
      </c>
      <c r="BD195" s="42">
        <f t="shared" si="556"/>
        <v>0</v>
      </c>
      <c r="BE195" s="43">
        <f t="shared" si="557"/>
        <v>36</v>
      </c>
      <c r="BF195" s="44"/>
      <c r="BG195" s="45">
        <f t="shared" si="558"/>
        <v>0</v>
      </c>
      <c r="BH195" s="45">
        <f t="shared" si="559"/>
        <v>0</v>
      </c>
      <c r="BI195" s="45">
        <f t="shared" si="560"/>
        <v>0</v>
      </c>
      <c r="BJ195" s="46">
        <f t="shared" si="438"/>
        <v>36</v>
      </c>
      <c r="BK195" s="46">
        <f t="shared" si="439"/>
        <v>1</v>
      </c>
      <c r="BL195" s="46">
        <f t="shared" si="440"/>
        <v>0</v>
      </c>
    </row>
    <row r="196" spans="1:64" ht="30" customHeight="1" x14ac:dyDescent="0.25">
      <c r="A196" s="84" t="str">
        <f t="shared" si="377"/>
        <v>Д</v>
      </c>
      <c r="B196" s="84" t="str">
        <f t="shared" si="32"/>
        <v>Б</v>
      </c>
      <c r="C196" s="101" t="s">
        <v>1786</v>
      </c>
      <c r="D196" s="16" t="str">
        <f t="shared" si="561"/>
        <v>'02.03.00</v>
      </c>
      <c r="E196" s="17" t="str">
        <f t="shared" si="34"/>
        <v>Компьютерные и информационные науки (УГСН)</v>
      </c>
      <c r="F196" s="116" t="s">
        <v>413</v>
      </c>
      <c r="G196" s="116" t="s">
        <v>42</v>
      </c>
      <c r="H196" s="112" t="s">
        <v>3233</v>
      </c>
      <c r="I196" s="10"/>
      <c r="J196" s="115" t="s">
        <v>3210</v>
      </c>
      <c r="K196" s="11">
        <v>2</v>
      </c>
      <c r="L196" s="11">
        <v>18</v>
      </c>
      <c r="M196" s="8" t="s">
        <v>94</v>
      </c>
      <c r="N196" s="109"/>
      <c r="O196" s="109">
        <v>2</v>
      </c>
      <c r="P196" s="109"/>
      <c r="Q196" s="113"/>
      <c r="R196" s="11"/>
      <c r="S196" s="11"/>
      <c r="T196" s="11"/>
      <c r="U196" s="11"/>
      <c r="V196" s="11"/>
      <c r="W196" s="83" t="str">
        <f t="shared" si="378"/>
        <v>НКАбд</v>
      </c>
      <c r="X196" s="114" t="s">
        <v>3248</v>
      </c>
      <c r="Y196" s="109">
        <v>1</v>
      </c>
      <c r="Z196" s="109">
        <v>1</v>
      </c>
      <c r="AA196" s="83">
        <f t="shared" si="562"/>
        <v>13</v>
      </c>
      <c r="AB196" s="11">
        <v>8</v>
      </c>
      <c r="AC196" s="11">
        <v>5</v>
      </c>
      <c r="AD196" s="81">
        <f t="shared" si="379"/>
        <v>12</v>
      </c>
      <c r="AE196" s="82">
        <f t="shared" si="563"/>
        <v>1</v>
      </c>
      <c r="AF196" s="82">
        <f t="shared" si="564"/>
        <v>1.0833333333333333</v>
      </c>
      <c r="AG196" s="102" t="s">
        <v>3250</v>
      </c>
      <c r="AH196" s="113" t="s">
        <v>203</v>
      </c>
      <c r="AI196" s="113" t="s">
        <v>213</v>
      </c>
      <c r="AJ196" s="134" t="s">
        <v>3262</v>
      </c>
      <c r="AK196" s="8"/>
      <c r="AL196" s="42">
        <f t="shared" si="380"/>
        <v>0</v>
      </c>
      <c r="AM196" s="42">
        <f t="shared" si="547"/>
        <v>0</v>
      </c>
      <c r="AN196" s="42">
        <f t="shared" si="548"/>
        <v>36</v>
      </c>
      <c r="AO196" s="42">
        <f t="shared" ref="AO196:AO249" si="586">(IF((AND(OR(K196=1,K196=2,K196=3,K196=4,K196=5,K196=6,K196=7,K196=8,K196=9,K196=10,K196=11,K196=12),OR(Q196="Зач",Q196="Экз"))),ТКиРА*AA196,0)+IF(SUM(N196:P196)&lt;&gt;0,IF(Q196="ТК",ТКиРА*AA196,0),0))*(IF(F196="ФТД",0,1))</f>
        <v>0</v>
      </c>
      <c r="AP196" s="42">
        <f t="shared" si="549"/>
        <v>0</v>
      </c>
      <c r="AQ196" s="42">
        <f t="shared" si="550"/>
        <v>0</v>
      </c>
      <c r="AR196" s="42">
        <f t="shared" si="381"/>
        <v>0</v>
      </c>
      <c r="AS196" s="42">
        <f t="shared" si="551"/>
        <v>0</v>
      </c>
      <c r="AT196" s="42">
        <f t="shared" si="552"/>
        <v>0</v>
      </c>
      <c r="AU196" s="42">
        <f t="shared" si="553"/>
        <v>0</v>
      </c>
      <c r="AV196" s="42">
        <f>IF(M196="ПП",РПП*AA196*(U196/1.5),IF(M196="ВП",ВПр*AA196*(U196/1.5),IF(M196="РПА",РПА*AA196*(U196/1.5),IF(M196="КПА",КПА*AA196*(U196/1.5),0))))</f>
        <v>0</v>
      </c>
      <c r="AW196" s="42">
        <f t="shared" si="554"/>
        <v>0</v>
      </c>
      <c r="AX196" s="42">
        <f t="shared" si="382"/>
        <v>0</v>
      </c>
      <c r="AY196" s="42">
        <f t="shared" si="383"/>
        <v>0</v>
      </c>
      <c r="AZ196" s="42">
        <f t="shared" si="555"/>
        <v>0</v>
      </c>
      <c r="BA196" s="42">
        <f t="shared" si="384"/>
        <v>0</v>
      </c>
      <c r="BB196" s="42">
        <f t="shared" si="385"/>
        <v>0</v>
      </c>
      <c r="BC196" s="42">
        <f t="shared" si="386"/>
        <v>0</v>
      </c>
      <c r="BD196" s="42">
        <f t="shared" si="556"/>
        <v>0</v>
      </c>
      <c r="BE196" s="43">
        <f t="shared" si="557"/>
        <v>36</v>
      </c>
      <c r="BF196" s="44"/>
      <c r="BG196" s="45">
        <f t="shared" si="558"/>
        <v>0</v>
      </c>
      <c r="BH196" s="45">
        <f t="shared" si="559"/>
        <v>0</v>
      </c>
      <c r="BI196" s="45">
        <f t="shared" si="560"/>
        <v>0</v>
      </c>
      <c r="BJ196" s="46">
        <f t="shared" si="438"/>
        <v>36</v>
      </c>
      <c r="BK196" s="46">
        <f t="shared" si="439"/>
        <v>1</v>
      </c>
      <c r="BL196" s="46">
        <f t="shared" si="440"/>
        <v>0</v>
      </c>
    </row>
    <row r="197" spans="1:64" ht="30" customHeight="1" x14ac:dyDescent="0.25">
      <c r="A197" s="84" t="str">
        <f t="shared" si="377"/>
        <v>Д</v>
      </c>
      <c r="B197" s="84" t="str">
        <f t="shared" si="32"/>
        <v>Б</v>
      </c>
      <c r="C197" s="101" t="s">
        <v>1786</v>
      </c>
      <c r="D197" s="16" t="str">
        <f t="shared" si="561"/>
        <v>'02.03.00</v>
      </c>
      <c r="E197" s="17" t="str">
        <f t="shared" si="34"/>
        <v>Компьютерные и информационные науки (УГСН)</v>
      </c>
      <c r="F197" s="116" t="s">
        <v>413</v>
      </c>
      <c r="G197" s="116" t="s">
        <v>42</v>
      </c>
      <c r="H197" s="112" t="s">
        <v>3233</v>
      </c>
      <c r="I197" s="10"/>
      <c r="J197" s="115" t="s">
        <v>3210</v>
      </c>
      <c r="K197" s="11">
        <v>2</v>
      </c>
      <c r="L197" s="11">
        <v>18</v>
      </c>
      <c r="M197" s="8" t="s">
        <v>94</v>
      </c>
      <c r="N197" s="109"/>
      <c r="O197" s="109">
        <v>2</v>
      </c>
      <c r="P197" s="109"/>
      <c r="Q197" s="113"/>
      <c r="R197" s="12"/>
      <c r="S197" s="12"/>
      <c r="T197" s="12"/>
      <c r="U197" s="12"/>
      <c r="V197" s="12"/>
      <c r="W197" s="83" t="str">
        <f t="shared" si="378"/>
        <v>НКАбд</v>
      </c>
      <c r="X197" s="114" t="s">
        <v>3248</v>
      </c>
      <c r="Y197" s="109">
        <v>1</v>
      </c>
      <c r="Z197" s="109"/>
      <c r="AA197" s="83">
        <f t="shared" si="562"/>
        <v>13</v>
      </c>
      <c r="AB197" s="11">
        <v>7</v>
      </c>
      <c r="AC197" s="11">
        <v>6</v>
      </c>
      <c r="AD197" s="81">
        <f t="shared" si="379"/>
        <v>12</v>
      </c>
      <c r="AE197" s="82">
        <f t="shared" si="563"/>
        <v>1</v>
      </c>
      <c r="AF197" s="82">
        <f t="shared" si="564"/>
        <v>1.0833333333333333</v>
      </c>
      <c r="AG197" s="102" t="s">
        <v>3250</v>
      </c>
      <c r="AH197" s="113" t="s">
        <v>203</v>
      </c>
      <c r="AI197" s="113" t="s">
        <v>213</v>
      </c>
      <c r="AJ197" s="134" t="s">
        <v>3262</v>
      </c>
      <c r="AK197" s="8"/>
      <c r="AL197" s="42">
        <f t="shared" si="380"/>
        <v>0</v>
      </c>
      <c r="AM197" s="42">
        <f t="shared" si="547"/>
        <v>0</v>
      </c>
      <c r="AN197" s="42">
        <f t="shared" si="548"/>
        <v>36</v>
      </c>
      <c r="AO197" s="42">
        <f t="shared" si="586"/>
        <v>0</v>
      </c>
      <c r="AP197" s="42">
        <f t="shared" si="549"/>
        <v>0</v>
      </c>
      <c r="AQ197" s="42">
        <f t="shared" si="550"/>
        <v>0</v>
      </c>
      <c r="AR197" s="42">
        <f t="shared" si="381"/>
        <v>0</v>
      </c>
      <c r="AS197" s="42">
        <f t="shared" si="551"/>
        <v>0</v>
      </c>
      <c r="AT197" s="42">
        <f t="shared" si="552"/>
        <v>0</v>
      </c>
      <c r="AU197" s="42">
        <f t="shared" si="553"/>
        <v>0</v>
      </c>
      <c r="AV197" s="42">
        <f>IF(M197="ПП",РПП*AA197*(U197/1.5),IF(M197="ВП",ВПр*AA197*(U197/1.5),IF(M197="РПА",РПА*AA197*(U197/1.5),IF(M197="КПА",КПА*AA197*(U197/1.5),0))))</f>
        <v>0</v>
      </c>
      <c r="AW197" s="42">
        <f t="shared" si="554"/>
        <v>0</v>
      </c>
      <c r="AX197" s="42">
        <f t="shared" si="382"/>
        <v>0</v>
      </c>
      <c r="AY197" s="42">
        <f t="shared" si="383"/>
        <v>0</v>
      </c>
      <c r="AZ197" s="42">
        <f t="shared" si="555"/>
        <v>0</v>
      </c>
      <c r="BA197" s="42">
        <f t="shared" si="384"/>
        <v>0</v>
      </c>
      <c r="BB197" s="42">
        <f t="shared" si="385"/>
        <v>0</v>
      </c>
      <c r="BC197" s="42">
        <f t="shared" si="386"/>
        <v>0</v>
      </c>
      <c r="BD197" s="42">
        <f t="shared" si="556"/>
        <v>0</v>
      </c>
      <c r="BE197" s="43">
        <f t="shared" si="557"/>
        <v>36</v>
      </c>
      <c r="BF197" s="44"/>
      <c r="BG197" s="45">
        <f t="shared" si="558"/>
        <v>0</v>
      </c>
      <c r="BH197" s="45">
        <f t="shared" si="559"/>
        <v>0</v>
      </c>
      <c r="BI197" s="45">
        <f t="shared" si="560"/>
        <v>0</v>
      </c>
      <c r="BJ197" s="46">
        <f t="shared" ref="BJ197:BJ250" si="587">IF(OR(K197="2;3",K197="2;4",K197=2,K197="4;3",K197="4;4",K197=4,K197="6;3",K197="6;4",K197=6,K197="8;3",K197="8;4",K197=8,K197="10;3",K197="10;4",K197=10,K197=12),SUM(AL197:AN197),0)</f>
        <v>36</v>
      </c>
      <c r="BK197" s="46">
        <f t="shared" ref="BK197:BK250" si="588">IF(BJ197&lt;&gt;0,SUM(N197:P197)/2,0)</f>
        <v>1</v>
      </c>
      <c r="BL197" s="46">
        <f t="shared" ref="BL197:BL250" si="589">IF(OR(K197="2;3",K197="2;4",K197=2,K197="4;3",K197="4;4",K197=4,K197="6;3",K197="6;4",K197=6,K197="8;3",K197="8;4",K197=8,K197="10;3",K197="10;4",K197=10,K197=12),SUM(AO197:BD197),0)</f>
        <v>0</v>
      </c>
    </row>
    <row r="198" spans="1:64" ht="30" customHeight="1" x14ac:dyDescent="0.25">
      <c r="A198" s="84" t="str">
        <f t="shared" ref="A198:A261" si="590">IF(C198&gt;0, VLOOKUP(C198,Код_ООП,12,FALSE),0)</f>
        <v>Д</v>
      </c>
      <c r="B198" s="84" t="str">
        <f t="shared" si="32"/>
        <v>Б</v>
      </c>
      <c r="C198" s="101" t="s">
        <v>1786</v>
      </c>
      <c r="D198" s="16" t="str">
        <f t="shared" si="561"/>
        <v>'02.03.00</v>
      </c>
      <c r="E198" s="17" t="str">
        <f t="shared" si="34"/>
        <v>Компьютерные и информационные науки (УГСН)</v>
      </c>
      <c r="F198" s="116" t="s">
        <v>413</v>
      </c>
      <c r="G198" s="116" t="s">
        <v>42</v>
      </c>
      <c r="H198" s="112" t="s">
        <v>3233</v>
      </c>
      <c r="I198" s="10"/>
      <c r="J198" s="115" t="s">
        <v>3210</v>
      </c>
      <c r="K198" s="11">
        <v>2</v>
      </c>
      <c r="L198" s="11">
        <v>18</v>
      </c>
      <c r="M198" s="8" t="s">
        <v>94</v>
      </c>
      <c r="N198" s="109"/>
      <c r="O198" s="109">
        <v>2</v>
      </c>
      <c r="P198" s="109"/>
      <c r="Q198" s="113"/>
      <c r="R198" s="11"/>
      <c r="S198" s="11"/>
      <c r="T198" s="23"/>
      <c r="U198" s="11"/>
      <c r="V198" s="11"/>
      <c r="W198" s="83" t="str">
        <f t="shared" ref="W198:W261" si="591">MID(C198,1,5)</f>
        <v>НКАбд</v>
      </c>
      <c r="X198" s="114" t="s">
        <v>3288</v>
      </c>
      <c r="Y198" s="109">
        <v>1</v>
      </c>
      <c r="Z198" s="109">
        <v>1</v>
      </c>
      <c r="AA198" s="83">
        <f t="shared" si="562"/>
        <v>13</v>
      </c>
      <c r="AB198" s="11">
        <v>8</v>
      </c>
      <c r="AC198" s="11">
        <v>5</v>
      </c>
      <c r="AD198" s="81">
        <f t="shared" ref="AD198:AD261" si="592">IF(M198="сп",6,IF(M198="клн",8,IF(OR(M198="лаб",M198="ия"),12,IF(OR(M198="пр",M198="ТЕСТ"),IF(OR(B198="Б",B198="С"),24,12),IF(M198="лек",AA198,1)))))</f>
        <v>12</v>
      </c>
      <c r="AE198" s="82">
        <f t="shared" si="563"/>
        <v>1</v>
      </c>
      <c r="AF198" s="82">
        <f t="shared" si="564"/>
        <v>1.0833333333333333</v>
      </c>
      <c r="AG198" s="102" t="s">
        <v>3250</v>
      </c>
      <c r="AH198" s="113" t="s">
        <v>203</v>
      </c>
      <c r="AI198" s="113" t="s">
        <v>213</v>
      </c>
      <c r="AJ198" s="134" t="s">
        <v>3262</v>
      </c>
      <c r="AK198" s="8"/>
      <c r="AL198" s="42">
        <f t="shared" ref="AL198:AL261" si="593">IF(OR(M198="лек",M198="ТУИС"),(IF(NOT(B198="ЦМ"),N198*L198,0)),0)</f>
        <v>0</v>
      </c>
      <c r="AM198" s="42">
        <f t="shared" si="547"/>
        <v>0</v>
      </c>
      <c r="AN198" s="42">
        <f t="shared" si="548"/>
        <v>36</v>
      </c>
      <c r="AO198" s="42">
        <f t="shared" si="586"/>
        <v>0</v>
      </c>
      <c r="AP198" s="42">
        <f t="shared" si="549"/>
        <v>0</v>
      </c>
      <c r="AQ198" s="42">
        <f t="shared" si="550"/>
        <v>0</v>
      </c>
      <c r="AR198" s="42">
        <f t="shared" ref="AR198:AR261" si="594">(IF(A198="Д",ТКЛД,IF(A198="В",ТКЛВ,IF(A198="З",ТКЛЗ,0))))*(IF(F198="ФТД",0,AL198))*Z198</f>
        <v>0</v>
      </c>
      <c r="AS198" s="42">
        <f t="shared" si="551"/>
        <v>0</v>
      </c>
      <c r="AT198" s="42">
        <f t="shared" si="552"/>
        <v>0</v>
      </c>
      <c r="AU198" s="42">
        <f t="shared" si="553"/>
        <v>0</v>
      </c>
      <c r="AV198" s="42">
        <f>IF(M198="ПП",РПП*AA198*(U198/1.5),IF(M198="ВП",ВПр*AA198*(U198/1.5),IF(M198="РПА",РПА*AA198*(U198/1.5),IF(M198="КПА",КПА*AA198*(U198/1.5),0))))</f>
        <v>0</v>
      </c>
      <c r="AW198" s="42">
        <f t="shared" si="554"/>
        <v>0</v>
      </c>
      <c r="AX198" s="42">
        <f t="shared" ref="AX198:AX261" si="595">IF(AND(M198="ЦП",B198="ЦМ"),AA198*ЦП,0)</f>
        <v>0</v>
      </c>
      <c r="AY198" s="42">
        <f t="shared" ref="AY198:AY261" si="596">IF(B198="А",IF(M198="РР",AA198*РефАсп,IF(M198="РРФ",AA198*РефФил,0)),0)</f>
        <v>0</v>
      </c>
      <c r="AZ198" s="42">
        <f t="shared" si="555"/>
        <v>0</v>
      </c>
      <c r="BA198" s="42">
        <f t="shared" ref="BA198:BA261" si="597">IF(AND(M198="НКД",B198="Д"),AA198*НКД,0)+IF(AND(M198="РПЛ",B198="А"),AA198*РукПЛ,0)+IF(AND(M198="РСтж",B198="А"),AB198*РукСт+AC198*РукИСт,0)+IF(M198="ФГТ",AB198*РукРФа+AC198*РукИна,0)</f>
        <v>0</v>
      </c>
      <c r="BB198" s="42">
        <f t="shared" ref="BB198:BB261" si="598">IF(M198="РК",IF(OR(B198="С",B198="М",B198="ЦМ"),(AB198*РСМ+AC198*РСМИ),0),0)+IF(M198="РК",IF(B198="Б",(AB198*РБ+AC198*РБИ),0),0)+IF(M198="РК",IF(B198="А",(AB198*РНКР+AC198*РНКРИн),0),0)+IF(AND(Q198="ПАкр"),AA198*0.3)</f>
        <v>0</v>
      </c>
      <c r="BC198" s="42">
        <f t="shared" ref="BC198:BC261" si="599">IF(M198="РДП",IF(B198="А",AA198*РРА,IF(OR(B198="С",B198="М",B198="ЦМ"),AA198*РРСМ,IF(B198="Б",AA198*РРБ,0))),IF(M198="РДИ",AA198*РДП,0))</f>
        <v>0</v>
      </c>
      <c r="BD198" s="42">
        <f t="shared" si="556"/>
        <v>0</v>
      </c>
      <c r="BE198" s="43">
        <f t="shared" si="557"/>
        <v>36</v>
      </c>
      <c r="BF198" s="44"/>
      <c r="BG198" s="45">
        <f t="shared" si="558"/>
        <v>0</v>
      </c>
      <c r="BH198" s="45">
        <f t="shared" si="559"/>
        <v>0</v>
      </c>
      <c r="BI198" s="45">
        <f t="shared" si="560"/>
        <v>0</v>
      </c>
      <c r="BJ198" s="46">
        <f t="shared" si="587"/>
        <v>36</v>
      </c>
      <c r="BK198" s="46">
        <f t="shared" si="588"/>
        <v>1</v>
      </c>
      <c r="BL198" s="46">
        <f t="shared" si="589"/>
        <v>0</v>
      </c>
    </row>
    <row r="199" spans="1:64" ht="30" customHeight="1" x14ac:dyDescent="0.25">
      <c r="A199" s="84" t="str">
        <f t="shared" si="590"/>
        <v>Д</v>
      </c>
      <c r="B199" s="84" t="str">
        <f t="shared" si="32"/>
        <v>Б</v>
      </c>
      <c r="C199" s="101" t="s">
        <v>1786</v>
      </c>
      <c r="D199" s="16" t="str">
        <f t="shared" si="561"/>
        <v>'02.03.00</v>
      </c>
      <c r="E199" s="17" t="str">
        <f t="shared" si="34"/>
        <v>Компьютерные и информационные науки (УГСН)</v>
      </c>
      <c r="F199" s="116" t="s">
        <v>413</v>
      </c>
      <c r="G199" s="116" t="s">
        <v>42</v>
      </c>
      <c r="H199" s="112" t="s">
        <v>3233</v>
      </c>
      <c r="I199" s="10"/>
      <c r="J199" s="115" t="s">
        <v>3210</v>
      </c>
      <c r="K199" s="12">
        <v>2</v>
      </c>
      <c r="L199" s="11">
        <v>18</v>
      </c>
      <c r="M199" s="8" t="s">
        <v>94</v>
      </c>
      <c r="N199" s="109"/>
      <c r="O199" s="109">
        <v>2</v>
      </c>
      <c r="P199" s="109"/>
      <c r="Q199" s="113"/>
      <c r="R199" s="11"/>
      <c r="S199" s="11"/>
      <c r="T199" s="23"/>
      <c r="U199" s="11"/>
      <c r="V199" s="11"/>
      <c r="W199" s="83" t="str">
        <f t="shared" si="591"/>
        <v>НКАбд</v>
      </c>
      <c r="X199" s="114" t="s">
        <v>3288</v>
      </c>
      <c r="Y199" s="109">
        <v>1</v>
      </c>
      <c r="Z199" s="109"/>
      <c r="AA199" s="83">
        <f t="shared" si="562"/>
        <v>13</v>
      </c>
      <c r="AB199" s="11">
        <v>7</v>
      </c>
      <c r="AC199" s="11">
        <v>6</v>
      </c>
      <c r="AD199" s="81">
        <f t="shared" si="592"/>
        <v>12</v>
      </c>
      <c r="AE199" s="82">
        <f t="shared" si="563"/>
        <v>1</v>
      </c>
      <c r="AF199" s="82">
        <f t="shared" si="564"/>
        <v>1.0833333333333333</v>
      </c>
      <c r="AG199" s="102" t="s">
        <v>3250</v>
      </c>
      <c r="AH199" s="113" t="s">
        <v>203</v>
      </c>
      <c r="AI199" s="113" t="s">
        <v>213</v>
      </c>
      <c r="AJ199" s="134" t="s">
        <v>3262</v>
      </c>
      <c r="AK199" s="8"/>
      <c r="AL199" s="42">
        <f t="shared" si="593"/>
        <v>0</v>
      </c>
      <c r="AM199" s="42">
        <f t="shared" si="547"/>
        <v>0</v>
      </c>
      <c r="AN199" s="42">
        <f t="shared" si="548"/>
        <v>36</v>
      </c>
      <c r="AO199" s="42">
        <f t="shared" si="586"/>
        <v>0</v>
      </c>
      <c r="AP199" s="42">
        <f t="shared" si="549"/>
        <v>0</v>
      </c>
      <c r="AQ199" s="42">
        <f t="shared" si="550"/>
        <v>0</v>
      </c>
      <c r="AR199" s="42">
        <f t="shared" si="594"/>
        <v>0</v>
      </c>
      <c r="AS199" s="42">
        <f t="shared" si="551"/>
        <v>0</v>
      </c>
      <c r="AT199" s="42">
        <f t="shared" si="552"/>
        <v>0</v>
      </c>
      <c r="AU199" s="42">
        <f t="shared" si="553"/>
        <v>0</v>
      </c>
      <c r="AV199" s="42">
        <f>IF(M199="ПП",РПП*AA199*(U199/1.5),IF(M199="ВП",ВПр*AA199*(U199/1.5),IF(M199="РПА",РПА*AA199*(U199/1.5),IF(M199="КПА",КПА*AA199*(U199/1.5),0))))</f>
        <v>0</v>
      </c>
      <c r="AW199" s="42">
        <f t="shared" si="554"/>
        <v>0</v>
      </c>
      <c r="AX199" s="42">
        <f t="shared" si="595"/>
        <v>0</v>
      </c>
      <c r="AY199" s="42">
        <f t="shared" si="596"/>
        <v>0</v>
      </c>
      <c r="AZ199" s="42">
        <f t="shared" si="555"/>
        <v>0</v>
      </c>
      <c r="BA199" s="42">
        <f t="shared" si="597"/>
        <v>0</v>
      </c>
      <c r="BB199" s="42">
        <f t="shared" si="598"/>
        <v>0</v>
      </c>
      <c r="BC199" s="42">
        <f t="shared" si="599"/>
        <v>0</v>
      </c>
      <c r="BD199" s="42">
        <f t="shared" si="556"/>
        <v>0</v>
      </c>
      <c r="BE199" s="43">
        <f t="shared" si="557"/>
        <v>36</v>
      </c>
      <c r="BF199" s="44"/>
      <c r="BG199" s="45">
        <f t="shared" si="558"/>
        <v>0</v>
      </c>
      <c r="BH199" s="45">
        <f t="shared" si="559"/>
        <v>0</v>
      </c>
      <c r="BI199" s="45">
        <f t="shared" si="560"/>
        <v>0</v>
      </c>
      <c r="BJ199" s="46">
        <f t="shared" si="587"/>
        <v>36</v>
      </c>
      <c r="BK199" s="46">
        <f t="shared" si="588"/>
        <v>1</v>
      </c>
      <c r="BL199" s="46">
        <f t="shared" si="589"/>
        <v>0</v>
      </c>
    </row>
    <row r="200" spans="1:64" ht="30" customHeight="1" x14ac:dyDescent="0.25">
      <c r="A200" s="84" t="str">
        <f t="shared" si="590"/>
        <v>Д</v>
      </c>
      <c r="B200" s="84" t="str">
        <f t="shared" si="32"/>
        <v>Б</v>
      </c>
      <c r="C200" s="101" t="s">
        <v>1786</v>
      </c>
      <c r="D200" s="16" t="str">
        <f t="shared" si="561"/>
        <v>'02.03.00</v>
      </c>
      <c r="E200" s="17" t="str">
        <f t="shared" si="34"/>
        <v>Компьютерные и информационные науки (УГСН)</v>
      </c>
      <c r="F200" s="116" t="s">
        <v>413</v>
      </c>
      <c r="G200" s="116" t="s">
        <v>42</v>
      </c>
      <c r="H200" s="112" t="s">
        <v>3233</v>
      </c>
      <c r="I200" s="10"/>
      <c r="J200" s="115" t="s">
        <v>3210</v>
      </c>
      <c r="K200" s="11">
        <v>2</v>
      </c>
      <c r="L200" s="11">
        <v>18</v>
      </c>
      <c r="M200" s="8" t="s">
        <v>94</v>
      </c>
      <c r="N200" s="109"/>
      <c r="O200" s="109">
        <v>2</v>
      </c>
      <c r="P200" s="109"/>
      <c r="Q200" s="113"/>
      <c r="R200" s="11"/>
      <c r="S200" s="11"/>
      <c r="T200" s="11"/>
      <c r="U200" s="11"/>
      <c r="V200" s="11"/>
      <c r="W200" s="83" t="str">
        <f t="shared" si="591"/>
        <v>НКАбд</v>
      </c>
      <c r="X200" s="114" t="s">
        <v>3289</v>
      </c>
      <c r="Y200" s="109">
        <v>1</v>
      </c>
      <c r="Z200" s="109">
        <v>1</v>
      </c>
      <c r="AA200" s="83">
        <f t="shared" si="562"/>
        <v>13</v>
      </c>
      <c r="AB200" s="11">
        <v>8</v>
      </c>
      <c r="AC200" s="11">
        <v>5</v>
      </c>
      <c r="AD200" s="81">
        <f t="shared" si="592"/>
        <v>12</v>
      </c>
      <c r="AE200" s="82">
        <f t="shared" si="563"/>
        <v>1</v>
      </c>
      <c r="AF200" s="82">
        <f t="shared" si="564"/>
        <v>1.0833333333333333</v>
      </c>
      <c r="AG200" s="102" t="s">
        <v>3250</v>
      </c>
      <c r="AH200" s="113" t="s">
        <v>203</v>
      </c>
      <c r="AI200" s="113" t="s">
        <v>213</v>
      </c>
      <c r="AJ200" s="119" t="s">
        <v>3261</v>
      </c>
      <c r="AK200" s="8"/>
      <c r="AL200" s="42">
        <f t="shared" si="593"/>
        <v>0</v>
      </c>
      <c r="AM200" s="42">
        <f t="shared" si="547"/>
        <v>0</v>
      </c>
      <c r="AN200" s="42">
        <f t="shared" si="548"/>
        <v>36</v>
      </c>
      <c r="AO200" s="42">
        <f t="shared" si="586"/>
        <v>0</v>
      </c>
      <c r="AP200" s="42">
        <f t="shared" si="549"/>
        <v>0</v>
      </c>
      <c r="AQ200" s="42">
        <f t="shared" si="550"/>
        <v>0</v>
      </c>
      <c r="AR200" s="42">
        <f t="shared" si="594"/>
        <v>0</v>
      </c>
      <c r="AS200" s="42">
        <f t="shared" si="551"/>
        <v>0</v>
      </c>
      <c r="AT200" s="42">
        <f t="shared" si="552"/>
        <v>0</v>
      </c>
      <c r="AU200" s="42">
        <f t="shared" si="553"/>
        <v>0</v>
      </c>
      <c r="AV200" s="42">
        <f>IF(M200="ПП",РПП*AA200*(U200/1.5),IF(M200="ВП",ВПр*AA200*(U200/1.5),IF(M200="РПА",РПА*AA200*(U200/1.5),IF(M200="КПА",КПА*AA200*(U200/1.5),0))))</f>
        <v>0</v>
      </c>
      <c r="AW200" s="42">
        <f t="shared" si="554"/>
        <v>0</v>
      </c>
      <c r="AX200" s="42">
        <f t="shared" si="595"/>
        <v>0</v>
      </c>
      <c r="AY200" s="42">
        <f t="shared" si="596"/>
        <v>0</v>
      </c>
      <c r="AZ200" s="42">
        <f t="shared" si="555"/>
        <v>0</v>
      </c>
      <c r="BA200" s="42">
        <f t="shared" si="597"/>
        <v>0</v>
      </c>
      <c r="BB200" s="42">
        <f t="shared" si="598"/>
        <v>0</v>
      </c>
      <c r="BC200" s="42">
        <f t="shared" si="599"/>
        <v>0</v>
      </c>
      <c r="BD200" s="42">
        <f t="shared" si="556"/>
        <v>0</v>
      </c>
      <c r="BE200" s="43">
        <f t="shared" si="557"/>
        <v>36</v>
      </c>
      <c r="BF200" s="44"/>
      <c r="BG200" s="45">
        <f t="shared" si="558"/>
        <v>0</v>
      </c>
      <c r="BH200" s="45">
        <f t="shared" si="559"/>
        <v>0</v>
      </c>
      <c r="BI200" s="45">
        <f t="shared" si="560"/>
        <v>0</v>
      </c>
      <c r="BJ200" s="46">
        <f t="shared" si="587"/>
        <v>36</v>
      </c>
      <c r="BK200" s="46">
        <f t="shared" si="588"/>
        <v>1</v>
      </c>
      <c r="BL200" s="46">
        <f t="shared" si="589"/>
        <v>0</v>
      </c>
    </row>
    <row r="201" spans="1:64" ht="30" customHeight="1" x14ac:dyDescent="0.25">
      <c r="A201" s="84" t="str">
        <f t="shared" si="590"/>
        <v>Д</v>
      </c>
      <c r="B201" s="84" t="str">
        <f t="shared" si="32"/>
        <v>Б</v>
      </c>
      <c r="C201" s="101" t="s">
        <v>1786</v>
      </c>
      <c r="D201" s="16" t="str">
        <f t="shared" si="561"/>
        <v>'02.03.00</v>
      </c>
      <c r="E201" s="17" t="str">
        <f t="shared" si="34"/>
        <v>Компьютерные и информационные науки (УГСН)</v>
      </c>
      <c r="F201" s="116" t="s">
        <v>413</v>
      </c>
      <c r="G201" s="116" t="s">
        <v>42</v>
      </c>
      <c r="H201" s="112" t="s">
        <v>3233</v>
      </c>
      <c r="I201" s="10"/>
      <c r="J201" s="115" t="s">
        <v>3210</v>
      </c>
      <c r="K201" s="11">
        <v>2</v>
      </c>
      <c r="L201" s="11">
        <v>18</v>
      </c>
      <c r="M201" s="8" t="s">
        <v>94</v>
      </c>
      <c r="N201" s="109"/>
      <c r="O201" s="109">
        <v>2</v>
      </c>
      <c r="P201" s="109"/>
      <c r="Q201" s="113"/>
      <c r="R201" s="11"/>
      <c r="S201" s="11"/>
      <c r="T201" s="11"/>
      <c r="U201" s="11"/>
      <c r="V201" s="11"/>
      <c r="W201" s="83" t="str">
        <f t="shared" si="591"/>
        <v>НКАбд</v>
      </c>
      <c r="X201" s="114" t="s">
        <v>3289</v>
      </c>
      <c r="Y201" s="109">
        <v>1</v>
      </c>
      <c r="Z201" s="109"/>
      <c r="AA201" s="83">
        <f t="shared" si="562"/>
        <v>13</v>
      </c>
      <c r="AB201" s="11">
        <v>7</v>
      </c>
      <c r="AC201" s="11">
        <v>6</v>
      </c>
      <c r="AD201" s="81">
        <f t="shared" si="592"/>
        <v>12</v>
      </c>
      <c r="AE201" s="82">
        <f t="shared" si="563"/>
        <v>1</v>
      </c>
      <c r="AF201" s="82">
        <f t="shared" si="564"/>
        <v>1.0833333333333333</v>
      </c>
      <c r="AG201" s="102" t="s">
        <v>3250</v>
      </c>
      <c r="AH201" s="113" t="s">
        <v>203</v>
      </c>
      <c r="AI201" s="113" t="s">
        <v>213</v>
      </c>
      <c r="AJ201" s="119" t="s">
        <v>3261</v>
      </c>
      <c r="AK201" s="8"/>
      <c r="AL201" s="42">
        <f t="shared" si="593"/>
        <v>0</v>
      </c>
      <c r="AM201" s="42">
        <f t="shared" si="547"/>
        <v>0</v>
      </c>
      <c r="AN201" s="42">
        <f t="shared" si="548"/>
        <v>36</v>
      </c>
      <c r="AO201" s="42">
        <f t="shared" si="586"/>
        <v>0</v>
      </c>
      <c r="AP201" s="42">
        <f t="shared" si="549"/>
        <v>0</v>
      </c>
      <c r="AQ201" s="42">
        <f t="shared" si="550"/>
        <v>0</v>
      </c>
      <c r="AR201" s="42">
        <f t="shared" si="594"/>
        <v>0</v>
      </c>
      <c r="AS201" s="42">
        <f t="shared" si="551"/>
        <v>0</v>
      </c>
      <c r="AT201" s="42">
        <f t="shared" si="552"/>
        <v>0</v>
      </c>
      <c r="AU201" s="42">
        <f t="shared" si="553"/>
        <v>0</v>
      </c>
      <c r="AV201" s="42">
        <f>IF(M201="ПП",РПП*AA201*(U201/1.5),IF(M201="ВП",ВПр*AA201*(U201/1.5),IF(M201="РПА",РПА*AA201*(U201/1.5),IF(M201="КПА",КПА*AA201*(U201/1.5),0))))</f>
        <v>0</v>
      </c>
      <c r="AW201" s="42">
        <f t="shared" si="554"/>
        <v>0</v>
      </c>
      <c r="AX201" s="42">
        <f t="shared" si="595"/>
        <v>0</v>
      </c>
      <c r="AY201" s="42">
        <f t="shared" si="596"/>
        <v>0</v>
      </c>
      <c r="AZ201" s="42">
        <f t="shared" si="555"/>
        <v>0</v>
      </c>
      <c r="BA201" s="42">
        <f t="shared" si="597"/>
        <v>0</v>
      </c>
      <c r="BB201" s="42">
        <f t="shared" si="598"/>
        <v>0</v>
      </c>
      <c r="BC201" s="42">
        <f t="shared" si="599"/>
        <v>0</v>
      </c>
      <c r="BD201" s="42">
        <f t="shared" si="556"/>
        <v>0</v>
      </c>
      <c r="BE201" s="43">
        <f t="shared" si="557"/>
        <v>36</v>
      </c>
      <c r="BF201" s="44"/>
      <c r="BG201" s="45">
        <f t="shared" si="558"/>
        <v>0</v>
      </c>
      <c r="BH201" s="45">
        <f t="shared" si="559"/>
        <v>0</v>
      </c>
      <c r="BI201" s="45">
        <f t="shared" si="560"/>
        <v>0</v>
      </c>
      <c r="BJ201" s="46">
        <f t="shared" si="587"/>
        <v>36</v>
      </c>
      <c r="BK201" s="46">
        <f t="shared" si="588"/>
        <v>1</v>
      </c>
      <c r="BL201" s="46">
        <f t="shared" si="589"/>
        <v>0</v>
      </c>
    </row>
    <row r="202" spans="1:64" ht="30" customHeight="1" x14ac:dyDescent="0.25">
      <c r="A202" s="84" t="str">
        <f t="shared" si="590"/>
        <v>Д</v>
      </c>
      <c r="B202" s="84" t="str">
        <f t="shared" ref="B202" si="600">IF(C202&gt;0, VLOOKUP(C202,Код_ООП,11,FALSE),0)</f>
        <v>Б</v>
      </c>
      <c r="C202" s="101" t="s">
        <v>1786</v>
      </c>
      <c r="D202" s="16" t="str">
        <f t="shared" ref="D202" si="601">IF(C202&gt;0, VLOOKUP(C202,Код_ООП,2,FALSE),0)</f>
        <v>'02.03.00</v>
      </c>
      <c r="E202" s="17" t="str">
        <f t="shared" ref="E202" si="602">IF(C202&gt;0, VLOOKUP(C202,Код_ООП,13,FALSE),0)</f>
        <v>Компьютерные и информационные науки (УГСН)</v>
      </c>
      <c r="F202" s="116" t="s">
        <v>413</v>
      </c>
      <c r="G202" s="116" t="s">
        <v>42</v>
      </c>
      <c r="H202" s="112" t="s">
        <v>3233</v>
      </c>
      <c r="I202" s="10"/>
      <c r="J202" s="115" t="s">
        <v>3210</v>
      </c>
      <c r="K202" s="11">
        <v>2</v>
      </c>
      <c r="L202" s="11">
        <v>18</v>
      </c>
      <c r="M202" s="8" t="s">
        <v>94</v>
      </c>
      <c r="N202" s="117"/>
      <c r="O202" s="117">
        <v>2</v>
      </c>
      <c r="P202" s="117"/>
      <c r="Q202" s="113"/>
      <c r="R202" s="11"/>
      <c r="S202" s="11"/>
      <c r="T202" s="11"/>
      <c r="U202" s="11"/>
      <c r="V202" s="11"/>
      <c r="W202" s="83" t="str">
        <f t="shared" si="591"/>
        <v>НКАбд</v>
      </c>
      <c r="X202" s="114" t="s">
        <v>3290</v>
      </c>
      <c r="Y202" s="109">
        <v>1</v>
      </c>
      <c r="Z202" s="109">
        <v>1</v>
      </c>
      <c r="AA202" s="83">
        <f t="shared" ref="AA202" si="603">AB202+AC202</f>
        <v>13</v>
      </c>
      <c r="AB202" s="11">
        <v>8</v>
      </c>
      <c r="AC202" s="11">
        <v>5</v>
      </c>
      <c r="AD202" s="81">
        <f t="shared" si="592"/>
        <v>12</v>
      </c>
      <c r="AE202" s="82">
        <f t="shared" ref="AE202" si="604">IF(AF202&gt;1,1,AF202)</f>
        <v>1</v>
      </c>
      <c r="AF202" s="82">
        <f t="shared" ref="AF202" si="605">AA202/AD202</f>
        <v>1.0833333333333333</v>
      </c>
      <c r="AG202" s="102" t="s">
        <v>3250</v>
      </c>
      <c r="AH202" s="113" t="s">
        <v>204</v>
      </c>
      <c r="AI202" s="113" t="s">
        <v>212</v>
      </c>
      <c r="AJ202" s="119" t="s">
        <v>3261</v>
      </c>
      <c r="AK202" s="8"/>
      <c r="AL202" s="42">
        <f t="shared" si="593"/>
        <v>0</v>
      </c>
      <c r="AM202" s="42">
        <f t="shared" ref="AM202" si="606">IF(OR(M202="пр",M202="ия",M202="сп"),P202*AE202*L202,0)</f>
        <v>0</v>
      </c>
      <c r="AN202" s="42">
        <f t="shared" ref="AN202" si="607">IF(OR(M202="лаб",M202="клн"),O202*AE202*L202,0)</f>
        <v>36</v>
      </c>
      <c r="AO202" s="42">
        <f t="shared" ref="AO202" si="608">(IF((AND(OR(K202=1,K202=2,K202=3,K202=4,K202=5,K202=6,K202=7,K202=8,K202=9,K202=10,K202=11,K202=12),OR(Q202="Зач",Q202="Экз"))),ТКиРА*AA202,0)+IF(SUM(N202:P202)&lt;&gt;0,IF(Q202="ТК",ТКиРА*AA202,0),0))*(IF(F202="ФТД",0,1))</f>
        <v>0</v>
      </c>
      <c r="AP202" s="42">
        <f t="shared" ref="AP202" si="609">IF(SUM(O202:P202)&lt;&gt;0,IF(Q202="Зач",ПАБРС*AA202,0),0)+IF(N202&lt;&gt;0,IF(Q202="Экз",ПАБРС*AA202,0),0)</f>
        <v>0</v>
      </c>
      <c r="AQ202" s="42">
        <f t="shared" ref="AQ202" si="610">(IF(AP202&lt;&gt;0,ОфВед*(IF(OR(M202="лек",M202="лаб"),Z202,AE202)),0))*(IF(F202="ФТД",0,1))</f>
        <v>0</v>
      </c>
      <c r="AR202" s="42">
        <f t="shared" si="594"/>
        <v>0</v>
      </c>
      <c r="AS202" s="42">
        <f t="shared" ref="AS202" si="611">IF(OR(M202="лаб",M202="пр"),IF(R202="К",AA202*ВПКР,IF(R202="М",AA202*ВПИБ,0)),0)</f>
        <v>0</v>
      </c>
      <c r="AT202" s="42">
        <f t="shared" ref="AT202" si="612">IF(OR(M202="лаб",M202="пр"),IF(S202="К",AA202*ВПКП,0),0)</f>
        <v>0</v>
      </c>
      <c r="AU202" s="42">
        <f t="shared" ref="AU202" si="613">IF(M202="УП",T202/1.5*AA202*РУП,IF(M202="УПМ",T202/1.5*AA202*РУПЛеч,0))</f>
        <v>0</v>
      </c>
      <c r="AV202" s="42">
        <f>IF(M202="ПП",РПП*AA202*(U202/1.5),IF(M202="ВП",ВПр*AA202*(U202/1.5),IF(M202="РПА",РПА*AA202*(U202/1.5),IF(M202="КПА",КПА*AA202*(U202/1.5),0))))</f>
        <v>0</v>
      </c>
      <c r="AW202" s="42">
        <f t="shared" ref="AW202" si="614">IF(M202="НР",(AB202*НИРМ+AC202*НИРМИн)*(V202/1.5),IF(M202="НИ",(AB202*НИРА+AC202*НИРАИ)*(V202/1.5),0))</f>
        <v>0</v>
      </c>
      <c r="AX202" s="42">
        <f t="shared" si="595"/>
        <v>0</v>
      </c>
      <c r="AY202" s="42">
        <f t="shared" si="596"/>
        <v>0</v>
      </c>
      <c r="AZ202" s="42">
        <f t="shared" ref="AZ202" si="615">IF(AND(Q202="КЭ",M202="ЧК"),AA202*КдЭк,0)</f>
        <v>0</v>
      </c>
      <c r="BA202" s="42">
        <f t="shared" si="597"/>
        <v>0</v>
      </c>
      <c r="BB202" s="42">
        <f t="shared" si="598"/>
        <v>0</v>
      </c>
      <c r="BC202" s="42">
        <f t="shared" si="599"/>
        <v>0</v>
      </c>
      <c r="BD202" s="42">
        <f t="shared" ref="BD202" si="616">IF(M202="ЧГ",AA202*ЧГ,IF(M202="ПГ",AA202*ПГ,IF(M202="ТЕСТ",ТГИЭ*AE202,IF(M202="СГ",AA202*СГ,0))))</f>
        <v>0</v>
      </c>
      <c r="BE202" s="43">
        <f t="shared" ref="BE202" si="617">SUM(AL202:BD202)</f>
        <v>36</v>
      </c>
      <c r="BF202" s="44"/>
      <c r="BG202" s="45">
        <f t="shared" ref="BG202" si="618">IF(OR(K202="1;1",K202="1;2",K202=1,K202="3;1",K202="3;2",K202=3,K202="5;1",K202="5;2",K202=5,K202="7;1",K202="7;2",K202=7,K202="9;1",K202="9;2",K202=9,K202=11),SUM(AL202:AN202),0)</f>
        <v>0</v>
      </c>
      <c r="BH202" s="45">
        <f t="shared" ref="BH202" si="619">IF(BG202&lt;&gt;0,SUM(N202:P202)/2,0)</f>
        <v>0</v>
      </c>
      <c r="BI202" s="45">
        <f t="shared" ref="BI202" si="620">IF(OR(K202="1;1",K202="1;2",K202=1,K202="3;1",K202="3;2",K202=3,K202="5;1",K202="5;2",K202=5,K202="7;1",K202="7;2",K202=7,K202="9;1",K202="9;2",K202=9,K202=11),SUM(AO202:BD202),0)</f>
        <v>0</v>
      </c>
      <c r="BJ202" s="46">
        <f t="shared" si="587"/>
        <v>36</v>
      </c>
      <c r="BK202" s="46">
        <f t="shared" si="588"/>
        <v>1</v>
      </c>
      <c r="BL202" s="46">
        <f t="shared" si="589"/>
        <v>0</v>
      </c>
    </row>
    <row r="203" spans="1:64" ht="30" customHeight="1" x14ac:dyDescent="0.25">
      <c r="A203" s="84" t="str">
        <f t="shared" si="590"/>
        <v>Д</v>
      </c>
      <c r="B203" s="84" t="str">
        <f t="shared" si="32"/>
        <v>Б</v>
      </c>
      <c r="C203" s="101" t="s">
        <v>1786</v>
      </c>
      <c r="D203" s="16" t="str">
        <f t="shared" si="561"/>
        <v>'02.03.00</v>
      </c>
      <c r="E203" s="17" t="str">
        <f t="shared" si="34"/>
        <v>Компьютерные и информационные науки (УГСН)</v>
      </c>
      <c r="F203" s="116" t="s">
        <v>413</v>
      </c>
      <c r="G203" s="116" t="s">
        <v>42</v>
      </c>
      <c r="H203" s="112" t="s">
        <v>3233</v>
      </c>
      <c r="I203" s="10"/>
      <c r="J203" s="115" t="s">
        <v>3210</v>
      </c>
      <c r="K203" s="11">
        <v>2</v>
      </c>
      <c r="L203" s="11">
        <v>18</v>
      </c>
      <c r="M203" s="8" t="s">
        <v>94</v>
      </c>
      <c r="N203" s="117"/>
      <c r="O203" s="117">
        <v>2</v>
      </c>
      <c r="P203" s="117"/>
      <c r="Q203" s="113"/>
      <c r="R203" s="11"/>
      <c r="S203" s="11"/>
      <c r="T203" s="11"/>
      <c r="U203" s="11"/>
      <c r="V203" s="11"/>
      <c r="W203" s="83" t="str">
        <f t="shared" si="591"/>
        <v>НКАбд</v>
      </c>
      <c r="X203" s="114" t="s">
        <v>3290</v>
      </c>
      <c r="Y203" s="109">
        <v>1</v>
      </c>
      <c r="Z203" s="109"/>
      <c r="AA203" s="83">
        <f t="shared" si="562"/>
        <v>13</v>
      </c>
      <c r="AB203" s="11">
        <v>7</v>
      </c>
      <c r="AC203" s="11">
        <v>6</v>
      </c>
      <c r="AD203" s="81">
        <f t="shared" si="592"/>
        <v>12</v>
      </c>
      <c r="AE203" s="82">
        <f t="shared" si="563"/>
        <v>1</v>
      </c>
      <c r="AF203" s="82">
        <f t="shared" si="564"/>
        <v>1.0833333333333333</v>
      </c>
      <c r="AG203" s="102" t="s">
        <v>3250</v>
      </c>
      <c r="AH203" s="113" t="s">
        <v>204</v>
      </c>
      <c r="AI203" s="113" t="s">
        <v>212</v>
      </c>
      <c r="AJ203" s="119" t="s">
        <v>3261</v>
      </c>
      <c r="AK203" s="8"/>
      <c r="AL203" s="42">
        <f t="shared" si="593"/>
        <v>0</v>
      </c>
      <c r="AM203" s="42">
        <f t="shared" si="547"/>
        <v>0</v>
      </c>
      <c r="AN203" s="42">
        <f t="shared" si="548"/>
        <v>36</v>
      </c>
      <c r="AO203" s="42">
        <f t="shared" si="586"/>
        <v>0</v>
      </c>
      <c r="AP203" s="42">
        <f t="shared" si="549"/>
        <v>0</v>
      </c>
      <c r="AQ203" s="42">
        <f t="shared" si="550"/>
        <v>0</v>
      </c>
      <c r="AR203" s="42">
        <f t="shared" si="594"/>
        <v>0</v>
      </c>
      <c r="AS203" s="42">
        <f t="shared" si="551"/>
        <v>0</v>
      </c>
      <c r="AT203" s="42">
        <f t="shared" si="552"/>
        <v>0</v>
      </c>
      <c r="AU203" s="42">
        <f t="shared" si="553"/>
        <v>0</v>
      </c>
      <c r="AV203" s="42">
        <f>IF(M203="ПП",РПП*AA203*(U203/1.5),IF(M203="ВП",ВПр*AA203*(U203/1.5),IF(M203="РПА",РПА*AA203*(U203/1.5),IF(M203="КПА",КПА*AA203*(U203/1.5),0))))</f>
        <v>0</v>
      </c>
      <c r="AW203" s="42">
        <f t="shared" si="554"/>
        <v>0</v>
      </c>
      <c r="AX203" s="42">
        <f t="shared" si="595"/>
        <v>0</v>
      </c>
      <c r="AY203" s="42">
        <f t="shared" si="596"/>
        <v>0</v>
      </c>
      <c r="AZ203" s="42">
        <f t="shared" si="555"/>
        <v>0</v>
      </c>
      <c r="BA203" s="42">
        <f t="shared" si="597"/>
        <v>0</v>
      </c>
      <c r="BB203" s="42">
        <f t="shared" si="598"/>
        <v>0</v>
      </c>
      <c r="BC203" s="42">
        <f t="shared" si="599"/>
        <v>0</v>
      </c>
      <c r="BD203" s="42">
        <f t="shared" si="556"/>
        <v>0</v>
      </c>
      <c r="BE203" s="43">
        <f t="shared" si="557"/>
        <v>36</v>
      </c>
      <c r="BF203" s="44"/>
      <c r="BG203" s="45">
        <f t="shared" si="558"/>
        <v>0</v>
      </c>
      <c r="BH203" s="45">
        <f t="shared" si="559"/>
        <v>0</v>
      </c>
      <c r="BI203" s="45">
        <f t="shared" si="560"/>
        <v>0</v>
      </c>
      <c r="BJ203" s="46">
        <f t="shared" si="587"/>
        <v>36</v>
      </c>
      <c r="BK203" s="46">
        <f t="shared" si="588"/>
        <v>1</v>
      </c>
      <c r="BL203" s="46">
        <f t="shared" si="589"/>
        <v>0</v>
      </c>
    </row>
    <row r="204" spans="1:64" ht="30" customHeight="1" x14ac:dyDescent="0.25">
      <c r="A204" s="84" t="str">
        <f t="shared" si="590"/>
        <v>Д</v>
      </c>
      <c r="B204" s="84" t="str">
        <f t="shared" si="32"/>
        <v>Б</v>
      </c>
      <c r="C204" s="101" t="s">
        <v>1786</v>
      </c>
      <c r="D204" s="16" t="str">
        <f t="shared" si="561"/>
        <v>'02.03.00</v>
      </c>
      <c r="E204" s="17" t="str">
        <f t="shared" ref="E204:E245" si="621">IF(C204&gt;0, VLOOKUP(C204,Код_ООП,13,FALSE),0)</f>
        <v>Компьютерные и информационные науки (УГСН)</v>
      </c>
      <c r="F204" s="116" t="s">
        <v>413</v>
      </c>
      <c r="G204" s="116" t="s">
        <v>42</v>
      </c>
      <c r="H204" s="112" t="s">
        <v>3233</v>
      </c>
      <c r="I204" s="10"/>
      <c r="J204" s="115" t="s">
        <v>3211</v>
      </c>
      <c r="K204" s="11">
        <v>4</v>
      </c>
      <c r="L204" s="11">
        <v>18</v>
      </c>
      <c r="M204" s="8" t="s">
        <v>23</v>
      </c>
      <c r="N204" s="109">
        <v>1</v>
      </c>
      <c r="O204" s="109"/>
      <c r="P204" s="109"/>
      <c r="Q204" s="113" t="s">
        <v>103</v>
      </c>
      <c r="R204" s="11"/>
      <c r="S204" s="11"/>
      <c r="T204" s="11"/>
      <c r="U204" s="11"/>
      <c r="V204" s="11"/>
      <c r="W204" s="83" t="str">
        <f t="shared" si="591"/>
        <v>НКАбд</v>
      </c>
      <c r="X204" s="114" t="s">
        <v>3351</v>
      </c>
      <c r="Y204" s="109">
        <v>8</v>
      </c>
      <c r="Z204" s="109">
        <v>4</v>
      </c>
      <c r="AA204" s="83">
        <f t="shared" si="562"/>
        <v>111</v>
      </c>
      <c r="AB204" s="11">
        <v>74</v>
      </c>
      <c r="AC204" s="11">
        <v>37</v>
      </c>
      <c r="AD204" s="81">
        <f t="shared" si="592"/>
        <v>111</v>
      </c>
      <c r="AE204" s="82">
        <f t="shared" si="563"/>
        <v>1</v>
      </c>
      <c r="AF204" s="82">
        <f t="shared" si="564"/>
        <v>1</v>
      </c>
      <c r="AG204" s="102" t="s">
        <v>3250</v>
      </c>
      <c r="AH204" s="113" t="s">
        <v>204</v>
      </c>
      <c r="AI204" s="113" t="s">
        <v>213</v>
      </c>
      <c r="AJ204" s="136" t="s">
        <v>3263</v>
      </c>
      <c r="AK204" s="8"/>
      <c r="AL204" s="42">
        <f t="shared" si="593"/>
        <v>18</v>
      </c>
      <c r="AM204" s="42">
        <f t="shared" si="547"/>
        <v>0</v>
      </c>
      <c r="AN204" s="42">
        <f t="shared" si="548"/>
        <v>0</v>
      </c>
      <c r="AO204" s="42">
        <f t="shared" si="586"/>
        <v>36.630000000000003</v>
      </c>
      <c r="AP204" s="42">
        <f t="shared" si="549"/>
        <v>55.5</v>
      </c>
      <c r="AQ204" s="42">
        <f t="shared" si="550"/>
        <v>4</v>
      </c>
      <c r="AR204" s="42">
        <f t="shared" si="594"/>
        <v>3.6</v>
      </c>
      <c r="AS204" s="42">
        <f t="shared" si="551"/>
        <v>0</v>
      </c>
      <c r="AT204" s="42">
        <f t="shared" si="552"/>
        <v>0</v>
      </c>
      <c r="AU204" s="42">
        <f t="shared" si="553"/>
        <v>0</v>
      </c>
      <c r="AV204" s="42">
        <f>IF(M204="ПП",РПП*AA204*(U204/1.5),IF(M204="ВП",ВПр*AA204*(U204/1.5),IF(M204="РПА",РПА*AA204*(U204/1.5),IF(M204="КПА",КПА*AA204*(U204/1.5),0))))</f>
        <v>0</v>
      </c>
      <c r="AW204" s="42">
        <f t="shared" si="554"/>
        <v>0</v>
      </c>
      <c r="AX204" s="42">
        <f t="shared" si="595"/>
        <v>0</v>
      </c>
      <c r="AY204" s="42">
        <f t="shared" si="596"/>
        <v>0</v>
      </c>
      <c r="AZ204" s="42">
        <f t="shared" si="555"/>
        <v>0</v>
      </c>
      <c r="BA204" s="42">
        <f t="shared" si="597"/>
        <v>0</v>
      </c>
      <c r="BB204" s="42">
        <f t="shared" si="598"/>
        <v>0</v>
      </c>
      <c r="BC204" s="42">
        <f t="shared" si="599"/>
        <v>0</v>
      </c>
      <c r="BD204" s="42">
        <f t="shared" si="556"/>
        <v>0</v>
      </c>
      <c r="BE204" s="43">
        <f t="shared" si="557"/>
        <v>117.72999999999999</v>
      </c>
      <c r="BF204" s="44"/>
      <c r="BG204" s="45">
        <f t="shared" si="558"/>
        <v>0</v>
      </c>
      <c r="BH204" s="45">
        <f t="shared" si="559"/>
        <v>0</v>
      </c>
      <c r="BI204" s="45">
        <f t="shared" si="560"/>
        <v>0</v>
      </c>
      <c r="BJ204" s="46">
        <f t="shared" si="587"/>
        <v>18</v>
      </c>
      <c r="BK204" s="46">
        <f t="shared" si="588"/>
        <v>0.5</v>
      </c>
      <c r="BL204" s="46">
        <f t="shared" si="589"/>
        <v>99.72999999999999</v>
      </c>
    </row>
    <row r="205" spans="1:64" ht="30" customHeight="1" x14ac:dyDescent="0.25">
      <c r="A205" s="84" t="str">
        <f t="shared" si="590"/>
        <v>Д</v>
      </c>
      <c r="B205" s="84" t="str">
        <f t="shared" si="32"/>
        <v>Б</v>
      </c>
      <c r="C205" s="101" t="s">
        <v>1786</v>
      </c>
      <c r="D205" s="16" t="str">
        <f t="shared" si="561"/>
        <v>'02.03.00</v>
      </c>
      <c r="E205" s="17" t="str">
        <f t="shared" si="621"/>
        <v>Компьютерные и информационные науки (УГСН)</v>
      </c>
      <c r="F205" s="116" t="s">
        <v>413</v>
      </c>
      <c r="G205" s="116" t="s">
        <v>42</v>
      </c>
      <c r="H205" s="112" t="s">
        <v>3233</v>
      </c>
      <c r="I205" s="10"/>
      <c r="J205" s="115" t="s">
        <v>3211</v>
      </c>
      <c r="K205" s="11">
        <v>4</v>
      </c>
      <c r="L205" s="11">
        <v>18</v>
      </c>
      <c r="M205" s="8" t="s">
        <v>24</v>
      </c>
      <c r="N205" s="109"/>
      <c r="O205" s="109"/>
      <c r="P205" s="109">
        <v>2</v>
      </c>
      <c r="Q205" s="113"/>
      <c r="R205" s="12"/>
      <c r="S205" s="12"/>
      <c r="T205" s="12"/>
      <c r="U205" s="12"/>
      <c r="V205" s="12"/>
      <c r="W205" s="83" t="str">
        <f t="shared" si="591"/>
        <v>НКАбд</v>
      </c>
      <c r="X205" s="114" t="s">
        <v>3234</v>
      </c>
      <c r="Y205" s="109">
        <v>2</v>
      </c>
      <c r="Z205" s="109">
        <v>1</v>
      </c>
      <c r="AA205" s="83">
        <f t="shared" si="562"/>
        <v>29</v>
      </c>
      <c r="AB205" s="11">
        <v>19</v>
      </c>
      <c r="AC205" s="11">
        <v>10</v>
      </c>
      <c r="AD205" s="81">
        <f t="shared" si="592"/>
        <v>24</v>
      </c>
      <c r="AE205" s="82">
        <f t="shared" si="563"/>
        <v>1</v>
      </c>
      <c r="AF205" s="82">
        <f t="shared" si="564"/>
        <v>1.2083333333333333</v>
      </c>
      <c r="AG205" s="102" t="s">
        <v>3250</v>
      </c>
      <c r="AH205" s="113" t="s">
        <v>204</v>
      </c>
      <c r="AI205" s="113" t="s">
        <v>213</v>
      </c>
      <c r="AJ205" s="119" t="s">
        <v>3263</v>
      </c>
      <c r="AK205" s="8"/>
      <c r="AL205" s="42">
        <f t="shared" si="593"/>
        <v>0</v>
      </c>
      <c r="AM205" s="42">
        <f t="shared" si="547"/>
        <v>36</v>
      </c>
      <c r="AN205" s="42">
        <f t="shared" si="548"/>
        <v>0</v>
      </c>
      <c r="AO205" s="42">
        <f t="shared" si="586"/>
        <v>0</v>
      </c>
      <c r="AP205" s="42">
        <f t="shared" si="549"/>
        <v>0</v>
      </c>
      <c r="AQ205" s="42">
        <f t="shared" si="550"/>
        <v>0</v>
      </c>
      <c r="AR205" s="42">
        <f t="shared" si="594"/>
        <v>0</v>
      </c>
      <c r="AS205" s="42">
        <f t="shared" si="551"/>
        <v>0</v>
      </c>
      <c r="AT205" s="42">
        <f t="shared" si="552"/>
        <v>0</v>
      </c>
      <c r="AU205" s="42">
        <f t="shared" si="553"/>
        <v>0</v>
      </c>
      <c r="AV205" s="42">
        <f>IF(M205="ПП",РПП*AA205*(U205/1.5),IF(M205="ВП",ВПр*AA205*(U205/1.5),IF(M205="РПА",РПА*AA205*(U205/1.5),IF(M205="КПА",КПА*AA205*(U205/1.5),0))))</f>
        <v>0</v>
      </c>
      <c r="AW205" s="42">
        <f t="shared" si="554"/>
        <v>0</v>
      </c>
      <c r="AX205" s="42">
        <f t="shared" si="595"/>
        <v>0</v>
      </c>
      <c r="AY205" s="42">
        <f t="shared" si="596"/>
        <v>0</v>
      </c>
      <c r="AZ205" s="42">
        <f t="shared" si="555"/>
        <v>0</v>
      </c>
      <c r="BA205" s="42">
        <f t="shared" si="597"/>
        <v>0</v>
      </c>
      <c r="BB205" s="42">
        <f t="shared" si="598"/>
        <v>0</v>
      </c>
      <c r="BC205" s="42">
        <f t="shared" si="599"/>
        <v>0</v>
      </c>
      <c r="BD205" s="42">
        <f t="shared" si="556"/>
        <v>0</v>
      </c>
      <c r="BE205" s="43">
        <f t="shared" si="557"/>
        <v>36</v>
      </c>
      <c r="BF205" s="44"/>
      <c r="BG205" s="45">
        <f t="shared" si="558"/>
        <v>0</v>
      </c>
      <c r="BH205" s="45">
        <f t="shared" si="559"/>
        <v>0</v>
      </c>
      <c r="BI205" s="45">
        <f t="shared" si="560"/>
        <v>0</v>
      </c>
      <c r="BJ205" s="46">
        <f t="shared" si="587"/>
        <v>36</v>
      </c>
      <c r="BK205" s="46">
        <f t="shared" si="588"/>
        <v>1</v>
      </c>
      <c r="BL205" s="46">
        <f t="shared" si="589"/>
        <v>0</v>
      </c>
    </row>
    <row r="206" spans="1:64" ht="30" customHeight="1" x14ac:dyDescent="0.25">
      <c r="A206" s="84" t="str">
        <f t="shared" si="590"/>
        <v>Д</v>
      </c>
      <c r="B206" s="84" t="str">
        <f t="shared" si="32"/>
        <v>Б</v>
      </c>
      <c r="C206" s="101" t="s">
        <v>1786</v>
      </c>
      <c r="D206" s="16" t="str">
        <f t="shared" si="561"/>
        <v>'02.03.00</v>
      </c>
      <c r="E206" s="17" t="str">
        <f t="shared" si="621"/>
        <v>Компьютерные и информационные науки (УГСН)</v>
      </c>
      <c r="F206" s="116" t="s">
        <v>413</v>
      </c>
      <c r="G206" s="116" t="s">
        <v>42</v>
      </c>
      <c r="H206" s="112" t="s">
        <v>3233</v>
      </c>
      <c r="I206" s="10"/>
      <c r="J206" s="115" t="s">
        <v>3211</v>
      </c>
      <c r="K206" s="11">
        <v>4</v>
      </c>
      <c r="L206" s="11">
        <v>18</v>
      </c>
      <c r="M206" s="8" t="s">
        <v>24</v>
      </c>
      <c r="N206" s="109"/>
      <c r="O206" s="109"/>
      <c r="P206" s="109">
        <v>2</v>
      </c>
      <c r="Q206" s="113"/>
      <c r="R206" s="11"/>
      <c r="S206" s="11"/>
      <c r="T206" s="23"/>
      <c r="U206" s="11"/>
      <c r="V206" s="11"/>
      <c r="W206" s="83" t="str">
        <f t="shared" si="591"/>
        <v>НКАбд</v>
      </c>
      <c r="X206" s="114" t="s">
        <v>3235</v>
      </c>
      <c r="Y206" s="109">
        <v>2</v>
      </c>
      <c r="Z206" s="109">
        <v>1</v>
      </c>
      <c r="AA206" s="83">
        <f t="shared" si="562"/>
        <v>28</v>
      </c>
      <c r="AB206" s="11">
        <v>19</v>
      </c>
      <c r="AC206" s="11">
        <v>9</v>
      </c>
      <c r="AD206" s="81">
        <f t="shared" si="592"/>
        <v>24</v>
      </c>
      <c r="AE206" s="82">
        <f t="shared" si="563"/>
        <v>1</v>
      </c>
      <c r="AF206" s="82">
        <f t="shared" si="564"/>
        <v>1.1666666666666667</v>
      </c>
      <c r="AG206" s="102" t="s">
        <v>3250</v>
      </c>
      <c r="AH206" s="113" t="s">
        <v>204</v>
      </c>
      <c r="AI206" s="113" t="s">
        <v>213</v>
      </c>
      <c r="AJ206" s="119" t="s">
        <v>3263</v>
      </c>
      <c r="AK206" s="8"/>
      <c r="AL206" s="42">
        <f t="shared" si="593"/>
        <v>0</v>
      </c>
      <c r="AM206" s="42">
        <f t="shared" si="547"/>
        <v>36</v>
      </c>
      <c r="AN206" s="42">
        <f t="shared" si="548"/>
        <v>0</v>
      </c>
      <c r="AO206" s="42">
        <f t="shared" si="586"/>
        <v>0</v>
      </c>
      <c r="AP206" s="42">
        <f t="shared" si="549"/>
        <v>0</v>
      </c>
      <c r="AQ206" s="42">
        <f t="shared" si="550"/>
        <v>0</v>
      </c>
      <c r="AR206" s="42">
        <f t="shared" si="594"/>
        <v>0</v>
      </c>
      <c r="AS206" s="42">
        <f t="shared" si="551"/>
        <v>0</v>
      </c>
      <c r="AT206" s="42">
        <f t="shared" si="552"/>
        <v>0</v>
      </c>
      <c r="AU206" s="42">
        <f t="shared" si="553"/>
        <v>0</v>
      </c>
      <c r="AV206" s="42">
        <f>IF(M206="ПП",РПП*AA206*(U206/1.5),IF(M206="ВП",ВПр*AA206*(U206/1.5),IF(M206="РПА",РПА*AA206*(U206/1.5),IF(M206="КПА",КПА*AA206*(U206/1.5),0))))</f>
        <v>0</v>
      </c>
      <c r="AW206" s="42">
        <f t="shared" si="554"/>
        <v>0</v>
      </c>
      <c r="AX206" s="42">
        <f t="shared" si="595"/>
        <v>0</v>
      </c>
      <c r="AY206" s="42">
        <f t="shared" si="596"/>
        <v>0</v>
      </c>
      <c r="AZ206" s="42">
        <f t="shared" si="555"/>
        <v>0</v>
      </c>
      <c r="BA206" s="42">
        <f t="shared" si="597"/>
        <v>0</v>
      </c>
      <c r="BB206" s="42">
        <f t="shared" si="598"/>
        <v>0</v>
      </c>
      <c r="BC206" s="42">
        <f t="shared" si="599"/>
        <v>0</v>
      </c>
      <c r="BD206" s="42">
        <f t="shared" si="556"/>
        <v>0</v>
      </c>
      <c r="BE206" s="43">
        <f t="shared" si="557"/>
        <v>36</v>
      </c>
      <c r="BF206" s="44"/>
      <c r="BG206" s="45">
        <f t="shared" si="558"/>
        <v>0</v>
      </c>
      <c r="BH206" s="45">
        <f t="shared" si="559"/>
        <v>0</v>
      </c>
      <c r="BI206" s="45">
        <f t="shared" si="560"/>
        <v>0</v>
      </c>
      <c r="BJ206" s="46">
        <f t="shared" si="587"/>
        <v>36</v>
      </c>
      <c r="BK206" s="46">
        <f t="shared" si="588"/>
        <v>1</v>
      </c>
      <c r="BL206" s="46">
        <f t="shared" si="589"/>
        <v>0</v>
      </c>
    </row>
    <row r="207" spans="1:64" ht="30" customHeight="1" x14ac:dyDescent="0.25">
      <c r="A207" s="84" t="str">
        <f t="shared" si="590"/>
        <v>Д</v>
      </c>
      <c r="B207" s="84" t="str">
        <f t="shared" si="32"/>
        <v>Б</v>
      </c>
      <c r="C207" s="101" t="s">
        <v>1786</v>
      </c>
      <c r="D207" s="16" t="str">
        <f t="shared" si="561"/>
        <v>'02.03.00</v>
      </c>
      <c r="E207" s="17" t="str">
        <f t="shared" si="621"/>
        <v>Компьютерные и информационные науки (УГСН)</v>
      </c>
      <c r="F207" s="116" t="s">
        <v>413</v>
      </c>
      <c r="G207" s="116" t="s">
        <v>42</v>
      </c>
      <c r="H207" s="112" t="s">
        <v>3233</v>
      </c>
      <c r="I207" s="10"/>
      <c r="J207" s="115" t="s">
        <v>3211</v>
      </c>
      <c r="K207" s="12">
        <v>4</v>
      </c>
      <c r="L207" s="11">
        <v>18</v>
      </c>
      <c r="M207" s="8" t="s">
        <v>24</v>
      </c>
      <c r="N207" s="117"/>
      <c r="O207" s="117"/>
      <c r="P207" s="117">
        <v>2</v>
      </c>
      <c r="Q207" s="113"/>
      <c r="R207" s="11"/>
      <c r="S207" s="11"/>
      <c r="T207" s="23"/>
      <c r="U207" s="11"/>
      <c r="V207" s="11"/>
      <c r="W207" s="83" t="str">
        <f t="shared" si="591"/>
        <v>НКАбд</v>
      </c>
      <c r="X207" s="114" t="s">
        <v>3236</v>
      </c>
      <c r="Y207" s="109">
        <v>2</v>
      </c>
      <c r="Z207" s="109">
        <v>1</v>
      </c>
      <c r="AA207" s="83">
        <f t="shared" si="562"/>
        <v>27</v>
      </c>
      <c r="AB207" s="11">
        <v>18</v>
      </c>
      <c r="AC207" s="11">
        <v>9</v>
      </c>
      <c r="AD207" s="81">
        <f t="shared" si="592"/>
        <v>24</v>
      </c>
      <c r="AE207" s="82">
        <f t="shared" si="563"/>
        <v>1</v>
      </c>
      <c r="AF207" s="82">
        <f t="shared" si="564"/>
        <v>1.125</v>
      </c>
      <c r="AG207" s="102" t="s">
        <v>3250</v>
      </c>
      <c r="AH207" s="113" t="s">
        <v>204</v>
      </c>
      <c r="AI207" s="113" t="s">
        <v>213</v>
      </c>
      <c r="AJ207" s="119" t="s">
        <v>3263</v>
      </c>
      <c r="AK207" s="8"/>
      <c r="AL207" s="42">
        <f t="shared" si="593"/>
        <v>0</v>
      </c>
      <c r="AM207" s="42">
        <f t="shared" si="547"/>
        <v>36</v>
      </c>
      <c r="AN207" s="42">
        <f t="shared" si="548"/>
        <v>0</v>
      </c>
      <c r="AO207" s="42">
        <f t="shared" si="586"/>
        <v>0</v>
      </c>
      <c r="AP207" s="42">
        <f t="shared" si="549"/>
        <v>0</v>
      </c>
      <c r="AQ207" s="42">
        <f t="shared" si="550"/>
        <v>0</v>
      </c>
      <c r="AR207" s="42">
        <f t="shared" si="594"/>
        <v>0</v>
      </c>
      <c r="AS207" s="42">
        <f t="shared" si="551"/>
        <v>0</v>
      </c>
      <c r="AT207" s="42">
        <f t="shared" si="552"/>
        <v>0</v>
      </c>
      <c r="AU207" s="42">
        <f t="shared" si="553"/>
        <v>0</v>
      </c>
      <c r="AV207" s="42">
        <f>IF(M207="ПП",РПП*AA207*(U207/1.5),IF(M207="ВП",ВПр*AA207*(U207/1.5),IF(M207="РПА",РПА*AA207*(U207/1.5),IF(M207="КПА",КПА*AA207*(U207/1.5),0))))</f>
        <v>0</v>
      </c>
      <c r="AW207" s="42">
        <f t="shared" si="554"/>
        <v>0</v>
      </c>
      <c r="AX207" s="42">
        <f t="shared" si="595"/>
        <v>0</v>
      </c>
      <c r="AY207" s="42">
        <f t="shared" si="596"/>
        <v>0</v>
      </c>
      <c r="AZ207" s="42">
        <f t="shared" si="555"/>
        <v>0</v>
      </c>
      <c r="BA207" s="42">
        <f t="shared" si="597"/>
        <v>0</v>
      </c>
      <c r="BB207" s="42">
        <f t="shared" si="598"/>
        <v>0</v>
      </c>
      <c r="BC207" s="42">
        <f t="shared" si="599"/>
        <v>0</v>
      </c>
      <c r="BD207" s="42">
        <f t="shared" si="556"/>
        <v>0</v>
      </c>
      <c r="BE207" s="43">
        <f t="shared" si="557"/>
        <v>36</v>
      </c>
      <c r="BF207" s="44"/>
      <c r="BG207" s="45">
        <f t="shared" si="558"/>
        <v>0</v>
      </c>
      <c r="BH207" s="45">
        <f t="shared" si="559"/>
        <v>0</v>
      </c>
      <c r="BI207" s="45">
        <f t="shared" si="560"/>
        <v>0</v>
      </c>
      <c r="BJ207" s="46">
        <f t="shared" si="587"/>
        <v>36</v>
      </c>
      <c r="BK207" s="46">
        <f t="shared" si="588"/>
        <v>1</v>
      </c>
      <c r="BL207" s="46">
        <f t="shared" si="589"/>
        <v>0</v>
      </c>
    </row>
    <row r="208" spans="1:64" ht="30" customHeight="1" x14ac:dyDescent="0.25">
      <c r="A208" s="84" t="str">
        <f t="shared" si="590"/>
        <v>Д</v>
      </c>
      <c r="B208" s="84" t="str">
        <f t="shared" si="32"/>
        <v>Б</v>
      </c>
      <c r="C208" s="101" t="s">
        <v>1786</v>
      </c>
      <c r="D208" s="16" t="str">
        <f t="shared" si="561"/>
        <v>'02.03.00</v>
      </c>
      <c r="E208" s="17" t="str">
        <f t="shared" si="621"/>
        <v>Компьютерные и информационные науки (УГСН)</v>
      </c>
      <c r="F208" s="116" t="s">
        <v>413</v>
      </c>
      <c r="G208" s="116" t="s">
        <v>42</v>
      </c>
      <c r="H208" s="112" t="s">
        <v>3233</v>
      </c>
      <c r="I208" s="10"/>
      <c r="J208" s="115" t="s">
        <v>3211</v>
      </c>
      <c r="K208" s="11">
        <v>4</v>
      </c>
      <c r="L208" s="11">
        <v>18</v>
      </c>
      <c r="M208" s="8" t="s">
        <v>24</v>
      </c>
      <c r="N208" s="109"/>
      <c r="O208" s="109"/>
      <c r="P208" s="109">
        <v>2</v>
      </c>
      <c r="Q208" s="113"/>
      <c r="R208" s="11"/>
      <c r="S208" s="11"/>
      <c r="T208" s="11"/>
      <c r="U208" s="11"/>
      <c r="V208" s="11"/>
      <c r="W208" s="83" t="str">
        <f t="shared" si="591"/>
        <v>НКАбд</v>
      </c>
      <c r="X208" s="114" t="s">
        <v>3283</v>
      </c>
      <c r="Y208" s="109">
        <v>2</v>
      </c>
      <c r="Z208" s="109">
        <v>1</v>
      </c>
      <c r="AA208" s="83">
        <f t="shared" si="562"/>
        <v>27</v>
      </c>
      <c r="AB208" s="11">
        <v>18</v>
      </c>
      <c r="AC208" s="11">
        <v>9</v>
      </c>
      <c r="AD208" s="81">
        <f t="shared" si="592"/>
        <v>24</v>
      </c>
      <c r="AE208" s="82">
        <f t="shared" si="563"/>
        <v>1</v>
      </c>
      <c r="AF208" s="82">
        <f t="shared" si="564"/>
        <v>1.125</v>
      </c>
      <c r="AG208" s="102" t="s">
        <v>3250</v>
      </c>
      <c r="AH208" s="113" t="s">
        <v>203</v>
      </c>
      <c r="AI208" s="113" t="s">
        <v>213</v>
      </c>
      <c r="AJ208" s="134" t="s">
        <v>3262</v>
      </c>
      <c r="AK208" s="8"/>
      <c r="AL208" s="42">
        <f t="shared" si="593"/>
        <v>0</v>
      </c>
      <c r="AM208" s="42">
        <f t="shared" si="547"/>
        <v>36</v>
      </c>
      <c r="AN208" s="42">
        <f t="shared" si="548"/>
        <v>0</v>
      </c>
      <c r="AO208" s="42">
        <f t="shared" si="586"/>
        <v>0</v>
      </c>
      <c r="AP208" s="42">
        <f t="shared" si="549"/>
        <v>0</v>
      </c>
      <c r="AQ208" s="42">
        <f t="shared" si="550"/>
        <v>0</v>
      </c>
      <c r="AR208" s="42">
        <f t="shared" si="594"/>
        <v>0</v>
      </c>
      <c r="AS208" s="42">
        <f t="shared" si="551"/>
        <v>0</v>
      </c>
      <c r="AT208" s="42">
        <f t="shared" si="552"/>
        <v>0</v>
      </c>
      <c r="AU208" s="42">
        <f t="shared" si="553"/>
        <v>0</v>
      </c>
      <c r="AV208" s="42">
        <f>IF(M208="ПП",РПП*AA208*(U208/1.5),IF(M208="ВП",ВПр*AA208*(U208/1.5),IF(M208="РПА",РПА*AA208*(U208/1.5),IF(M208="КПА",КПА*AA208*(U208/1.5),0))))</f>
        <v>0</v>
      </c>
      <c r="AW208" s="42">
        <f t="shared" si="554"/>
        <v>0</v>
      </c>
      <c r="AX208" s="42">
        <f t="shared" si="595"/>
        <v>0</v>
      </c>
      <c r="AY208" s="42">
        <f t="shared" si="596"/>
        <v>0</v>
      </c>
      <c r="AZ208" s="42">
        <f t="shared" si="555"/>
        <v>0</v>
      </c>
      <c r="BA208" s="42">
        <f t="shared" si="597"/>
        <v>0</v>
      </c>
      <c r="BB208" s="42">
        <f t="shared" si="598"/>
        <v>0</v>
      </c>
      <c r="BC208" s="42">
        <f t="shared" si="599"/>
        <v>0</v>
      </c>
      <c r="BD208" s="42">
        <f t="shared" si="556"/>
        <v>0</v>
      </c>
      <c r="BE208" s="43">
        <f t="shared" si="557"/>
        <v>36</v>
      </c>
      <c r="BF208" s="44"/>
      <c r="BG208" s="45">
        <f t="shared" si="558"/>
        <v>0</v>
      </c>
      <c r="BH208" s="45">
        <f t="shared" si="559"/>
        <v>0</v>
      </c>
      <c r="BI208" s="45">
        <f t="shared" si="560"/>
        <v>0</v>
      </c>
      <c r="BJ208" s="46">
        <f t="shared" si="587"/>
        <v>36</v>
      </c>
      <c r="BK208" s="46">
        <f t="shared" si="588"/>
        <v>1</v>
      </c>
      <c r="BL208" s="46">
        <f t="shared" si="589"/>
        <v>0</v>
      </c>
    </row>
    <row r="209" spans="1:64" ht="30" customHeight="1" x14ac:dyDescent="0.25">
      <c r="A209" s="84" t="str">
        <f t="shared" si="590"/>
        <v>Д</v>
      </c>
      <c r="B209" s="84" t="str">
        <f t="shared" si="32"/>
        <v>Б</v>
      </c>
      <c r="C209" s="101" t="s">
        <v>1786</v>
      </c>
      <c r="D209" s="16" t="str">
        <f t="shared" si="561"/>
        <v>'02.03.00</v>
      </c>
      <c r="E209" s="17" t="str">
        <f t="shared" si="621"/>
        <v>Компьютерные и информационные науки (УГСН)</v>
      </c>
      <c r="F209" s="116" t="s">
        <v>413</v>
      </c>
      <c r="G209" s="116" t="s">
        <v>42</v>
      </c>
      <c r="H209" s="112" t="s">
        <v>3233</v>
      </c>
      <c r="I209" s="10"/>
      <c r="J209" s="115" t="s">
        <v>3211</v>
      </c>
      <c r="K209" s="11">
        <v>4</v>
      </c>
      <c r="L209" s="11">
        <v>18</v>
      </c>
      <c r="M209" s="8" t="s">
        <v>24</v>
      </c>
      <c r="N209" s="109"/>
      <c r="O209" s="109"/>
      <c r="P209" s="109">
        <v>2</v>
      </c>
      <c r="Q209" s="113"/>
      <c r="R209" s="11"/>
      <c r="S209" s="11"/>
      <c r="T209" s="11"/>
      <c r="U209" s="11"/>
      <c r="V209" s="11"/>
      <c r="W209" s="83" t="str">
        <f t="shared" si="591"/>
        <v>НКАбд</v>
      </c>
      <c r="X209" s="114" t="s">
        <v>3284</v>
      </c>
      <c r="Y209" s="109"/>
      <c r="Z209" s="109"/>
      <c r="AA209" s="83">
        <f t="shared" si="562"/>
        <v>0</v>
      </c>
      <c r="AB209" s="11"/>
      <c r="AC209" s="11"/>
      <c r="AD209" s="81">
        <f t="shared" si="592"/>
        <v>24</v>
      </c>
      <c r="AE209" s="82">
        <f t="shared" si="563"/>
        <v>0</v>
      </c>
      <c r="AF209" s="82">
        <f t="shared" si="564"/>
        <v>0</v>
      </c>
      <c r="AG209" s="102" t="s">
        <v>3250</v>
      </c>
      <c r="AH209" s="113" t="s">
        <v>203</v>
      </c>
      <c r="AI209" s="113" t="s">
        <v>213</v>
      </c>
      <c r="AJ209" s="134" t="s">
        <v>3262</v>
      </c>
      <c r="AK209" s="8"/>
      <c r="AL209" s="42">
        <f t="shared" si="593"/>
        <v>0</v>
      </c>
      <c r="AM209" s="42">
        <f t="shared" si="547"/>
        <v>0</v>
      </c>
      <c r="AN209" s="42">
        <f t="shared" si="548"/>
        <v>0</v>
      </c>
      <c r="AO209" s="42">
        <f t="shared" si="586"/>
        <v>0</v>
      </c>
      <c r="AP209" s="42">
        <f t="shared" si="549"/>
        <v>0</v>
      </c>
      <c r="AQ209" s="42">
        <f t="shared" si="550"/>
        <v>0</v>
      </c>
      <c r="AR209" s="42">
        <f t="shared" si="594"/>
        <v>0</v>
      </c>
      <c r="AS209" s="42">
        <f t="shared" si="551"/>
        <v>0</v>
      </c>
      <c r="AT209" s="42">
        <f t="shared" si="552"/>
        <v>0</v>
      </c>
      <c r="AU209" s="42">
        <f t="shared" si="553"/>
        <v>0</v>
      </c>
      <c r="AV209" s="42">
        <f>IF(M209="ПП",РПП*AA209*(U209/1.5),IF(M209="ВП",ВПр*AA209*(U209/1.5),IF(M209="РПА",РПА*AA209*(U209/1.5),IF(M209="КПА",КПА*AA209*(U209/1.5),0))))</f>
        <v>0</v>
      </c>
      <c r="AW209" s="42">
        <f t="shared" si="554"/>
        <v>0</v>
      </c>
      <c r="AX209" s="42">
        <f t="shared" si="595"/>
        <v>0</v>
      </c>
      <c r="AY209" s="42">
        <f t="shared" si="596"/>
        <v>0</v>
      </c>
      <c r="AZ209" s="42">
        <f t="shared" si="555"/>
        <v>0</v>
      </c>
      <c r="BA209" s="42">
        <f t="shared" si="597"/>
        <v>0</v>
      </c>
      <c r="BB209" s="42">
        <f t="shared" si="598"/>
        <v>0</v>
      </c>
      <c r="BC209" s="42">
        <f t="shared" si="599"/>
        <v>0</v>
      </c>
      <c r="BD209" s="42">
        <f t="shared" si="556"/>
        <v>0</v>
      </c>
      <c r="BE209" s="43">
        <f t="shared" si="557"/>
        <v>0</v>
      </c>
      <c r="BF209" s="44"/>
      <c r="BG209" s="45">
        <f t="shared" si="558"/>
        <v>0</v>
      </c>
      <c r="BH209" s="45">
        <f t="shared" si="559"/>
        <v>0</v>
      </c>
      <c r="BI209" s="45">
        <f t="shared" si="560"/>
        <v>0</v>
      </c>
      <c r="BJ209" s="46">
        <f t="shared" si="587"/>
        <v>0</v>
      </c>
      <c r="BK209" s="46">
        <f t="shared" si="588"/>
        <v>0</v>
      </c>
      <c r="BL209" s="46">
        <f t="shared" si="589"/>
        <v>0</v>
      </c>
    </row>
    <row r="210" spans="1:64" ht="30" customHeight="1" x14ac:dyDescent="0.25">
      <c r="A210" s="84" t="str">
        <f t="shared" si="590"/>
        <v>Д</v>
      </c>
      <c r="B210" s="84" t="str">
        <f t="shared" si="32"/>
        <v>Б</v>
      </c>
      <c r="C210" s="101" t="s">
        <v>1463</v>
      </c>
      <c r="D210" s="16" t="str">
        <f t="shared" si="561"/>
        <v>'02.03.01</v>
      </c>
      <c r="E210" s="17" t="str">
        <f t="shared" si="621"/>
        <v>Математика и компьютерные науки</v>
      </c>
      <c r="F210" s="9" t="s">
        <v>413</v>
      </c>
      <c r="G210" s="9" t="s">
        <v>22</v>
      </c>
      <c r="H210" s="10"/>
      <c r="I210" s="10"/>
      <c r="J210" s="24" t="s">
        <v>3291</v>
      </c>
      <c r="K210" s="11">
        <v>5</v>
      </c>
      <c r="L210" s="11">
        <v>18</v>
      </c>
      <c r="M210" s="8" t="s">
        <v>23</v>
      </c>
      <c r="N210" s="11">
        <v>1</v>
      </c>
      <c r="O210" s="11"/>
      <c r="P210" s="11"/>
      <c r="Q210" s="8"/>
      <c r="R210" s="11"/>
      <c r="S210" s="11"/>
      <c r="T210" s="11"/>
      <c r="U210" s="11"/>
      <c r="V210" s="11"/>
      <c r="W210" s="83" t="str">
        <f t="shared" si="591"/>
        <v>НКНбд</v>
      </c>
      <c r="X210" s="114" t="s">
        <v>3241</v>
      </c>
      <c r="Y210" s="109">
        <v>2</v>
      </c>
      <c r="Z210" s="109">
        <v>1</v>
      </c>
      <c r="AA210" s="83">
        <f t="shared" si="562"/>
        <v>21</v>
      </c>
      <c r="AB210" s="11">
        <v>14</v>
      </c>
      <c r="AC210" s="11">
        <v>7</v>
      </c>
      <c r="AD210" s="81">
        <f t="shared" si="592"/>
        <v>21</v>
      </c>
      <c r="AE210" s="82">
        <f t="shared" si="563"/>
        <v>1</v>
      </c>
      <c r="AF210" s="82">
        <f t="shared" si="564"/>
        <v>1</v>
      </c>
      <c r="AG210" s="102" t="s">
        <v>3250</v>
      </c>
      <c r="AH210" s="113" t="s">
        <v>204</v>
      </c>
      <c r="AI210" s="113" t="s">
        <v>212</v>
      </c>
      <c r="AJ210" s="121" t="s">
        <v>3254</v>
      </c>
      <c r="AK210" s="8"/>
      <c r="AL210" s="42">
        <f t="shared" si="593"/>
        <v>18</v>
      </c>
      <c r="AM210" s="42">
        <f t="shared" si="547"/>
        <v>0</v>
      </c>
      <c r="AN210" s="42">
        <f t="shared" si="548"/>
        <v>0</v>
      </c>
      <c r="AO210" s="42">
        <f t="shared" si="586"/>
        <v>0</v>
      </c>
      <c r="AP210" s="42">
        <f t="shared" si="549"/>
        <v>0</v>
      </c>
      <c r="AQ210" s="42">
        <f t="shared" si="550"/>
        <v>0</v>
      </c>
      <c r="AR210" s="42">
        <f t="shared" si="594"/>
        <v>0.9</v>
      </c>
      <c r="AS210" s="42">
        <f t="shared" si="551"/>
        <v>0</v>
      </c>
      <c r="AT210" s="42">
        <f t="shared" si="552"/>
        <v>0</v>
      </c>
      <c r="AU210" s="42">
        <f t="shared" si="553"/>
        <v>0</v>
      </c>
      <c r="AV210" s="42">
        <f>IF(M210="ПП",РПП*AA210*(U210/1.5),IF(M210="ВП",ВПр*AA210*(U210/1.5),IF(M210="РПА",РПА*AA210*(U210/1.5),IF(M210="КПА",КПА*AA210*(U210/1.5),0))))</f>
        <v>0</v>
      </c>
      <c r="AW210" s="42">
        <f t="shared" si="554"/>
        <v>0</v>
      </c>
      <c r="AX210" s="42">
        <f t="shared" si="595"/>
        <v>0</v>
      </c>
      <c r="AY210" s="42">
        <f t="shared" si="596"/>
        <v>0</v>
      </c>
      <c r="AZ210" s="42">
        <f t="shared" si="555"/>
        <v>0</v>
      </c>
      <c r="BA210" s="42">
        <f t="shared" si="597"/>
        <v>0</v>
      </c>
      <c r="BB210" s="42">
        <f t="shared" si="598"/>
        <v>0</v>
      </c>
      <c r="BC210" s="42">
        <f t="shared" si="599"/>
        <v>0</v>
      </c>
      <c r="BD210" s="42">
        <f t="shared" si="556"/>
        <v>0</v>
      </c>
      <c r="BE210" s="43">
        <f t="shared" si="557"/>
        <v>18.899999999999999</v>
      </c>
      <c r="BF210" s="44"/>
      <c r="BG210" s="45">
        <f t="shared" si="558"/>
        <v>18</v>
      </c>
      <c r="BH210" s="45">
        <f t="shared" si="559"/>
        <v>0.5</v>
      </c>
      <c r="BI210" s="45">
        <f t="shared" si="560"/>
        <v>0.9</v>
      </c>
      <c r="BJ210" s="46">
        <f t="shared" si="587"/>
        <v>0</v>
      </c>
      <c r="BK210" s="46">
        <f t="shared" si="588"/>
        <v>0</v>
      </c>
      <c r="BL210" s="46">
        <f t="shared" si="589"/>
        <v>0</v>
      </c>
    </row>
    <row r="211" spans="1:64" ht="30" customHeight="1" x14ac:dyDescent="0.25">
      <c r="A211" s="84" t="str">
        <f t="shared" si="590"/>
        <v>Д</v>
      </c>
      <c r="B211" s="84" t="str">
        <f t="shared" si="32"/>
        <v>Б</v>
      </c>
      <c r="C211" s="101" t="s">
        <v>1463</v>
      </c>
      <c r="D211" s="16" t="str">
        <f t="shared" si="561"/>
        <v>'02.03.01</v>
      </c>
      <c r="E211" s="17" t="str">
        <f t="shared" si="621"/>
        <v>Математика и компьютерные науки</v>
      </c>
      <c r="F211" s="9" t="s">
        <v>413</v>
      </c>
      <c r="G211" s="9" t="s">
        <v>22</v>
      </c>
      <c r="H211" s="10"/>
      <c r="I211" s="10"/>
      <c r="J211" s="24" t="s">
        <v>3291</v>
      </c>
      <c r="K211" s="11">
        <v>5</v>
      </c>
      <c r="L211" s="11">
        <v>18</v>
      </c>
      <c r="M211" s="8" t="s">
        <v>94</v>
      </c>
      <c r="N211" s="11"/>
      <c r="O211" s="11">
        <v>2</v>
      </c>
      <c r="P211" s="11"/>
      <c r="Q211" s="8" t="s">
        <v>102</v>
      </c>
      <c r="R211" s="11"/>
      <c r="S211" s="11"/>
      <c r="T211" s="11"/>
      <c r="U211" s="11"/>
      <c r="V211" s="11"/>
      <c r="W211" s="83" t="str">
        <f t="shared" si="591"/>
        <v>НКНбд</v>
      </c>
      <c r="X211" s="114" t="s">
        <v>3241</v>
      </c>
      <c r="Y211" s="109">
        <v>1</v>
      </c>
      <c r="Z211" s="109">
        <v>1</v>
      </c>
      <c r="AA211" s="83">
        <f t="shared" si="562"/>
        <v>11</v>
      </c>
      <c r="AB211" s="11">
        <v>7</v>
      </c>
      <c r="AC211" s="11">
        <v>4</v>
      </c>
      <c r="AD211" s="81">
        <f t="shared" si="592"/>
        <v>12</v>
      </c>
      <c r="AE211" s="82">
        <f t="shared" si="563"/>
        <v>0.91666666666666663</v>
      </c>
      <c r="AF211" s="82">
        <f t="shared" si="564"/>
        <v>0.91666666666666663</v>
      </c>
      <c r="AG211" s="102" t="s">
        <v>3250</v>
      </c>
      <c r="AH211" s="113" t="s">
        <v>204</v>
      </c>
      <c r="AI211" s="113" t="s">
        <v>212</v>
      </c>
      <c r="AJ211" s="119" t="s">
        <v>3254</v>
      </c>
      <c r="AK211" s="8"/>
      <c r="AL211" s="42">
        <f t="shared" si="593"/>
        <v>0</v>
      </c>
      <c r="AM211" s="42">
        <f t="shared" si="547"/>
        <v>0</v>
      </c>
      <c r="AN211" s="42">
        <f t="shared" si="548"/>
        <v>33</v>
      </c>
      <c r="AO211" s="42">
        <f t="shared" si="586"/>
        <v>3.6300000000000003</v>
      </c>
      <c r="AP211" s="42">
        <f t="shared" si="549"/>
        <v>5.5</v>
      </c>
      <c r="AQ211" s="42">
        <f t="shared" si="550"/>
        <v>1</v>
      </c>
      <c r="AR211" s="42">
        <f t="shared" si="594"/>
        <v>0</v>
      </c>
      <c r="AS211" s="42">
        <f t="shared" si="551"/>
        <v>0</v>
      </c>
      <c r="AT211" s="42">
        <f t="shared" si="552"/>
        <v>0</v>
      </c>
      <c r="AU211" s="42">
        <f t="shared" si="553"/>
        <v>0</v>
      </c>
      <c r="AV211" s="42">
        <f>IF(M211="ПП",РПП*AA211*(U211/1.5),IF(M211="ВП",ВПр*AA211*(U211/1.5),IF(M211="РПА",РПА*AA211*(U211/1.5),IF(M211="КПА",КПА*AA211*(U211/1.5),0))))</f>
        <v>0</v>
      </c>
      <c r="AW211" s="42">
        <f t="shared" si="554"/>
        <v>0</v>
      </c>
      <c r="AX211" s="42">
        <f t="shared" si="595"/>
        <v>0</v>
      </c>
      <c r="AY211" s="42">
        <f t="shared" si="596"/>
        <v>0</v>
      </c>
      <c r="AZ211" s="42">
        <f t="shared" si="555"/>
        <v>0</v>
      </c>
      <c r="BA211" s="42">
        <f t="shared" si="597"/>
        <v>0</v>
      </c>
      <c r="BB211" s="42">
        <f t="shared" si="598"/>
        <v>0</v>
      </c>
      <c r="BC211" s="42">
        <f t="shared" si="599"/>
        <v>0</v>
      </c>
      <c r="BD211" s="42">
        <f t="shared" si="556"/>
        <v>0</v>
      </c>
      <c r="BE211" s="43">
        <f t="shared" si="557"/>
        <v>43.13</v>
      </c>
      <c r="BF211" s="44"/>
      <c r="BG211" s="45">
        <f t="shared" si="558"/>
        <v>33</v>
      </c>
      <c r="BH211" s="45">
        <f t="shared" si="559"/>
        <v>1</v>
      </c>
      <c r="BI211" s="45">
        <f t="shared" si="560"/>
        <v>10.130000000000001</v>
      </c>
      <c r="BJ211" s="46">
        <f t="shared" si="587"/>
        <v>0</v>
      </c>
      <c r="BK211" s="46">
        <f t="shared" si="588"/>
        <v>0</v>
      </c>
      <c r="BL211" s="46">
        <f t="shared" si="589"/>
        <v>0</v>
      </c>
    </row>
    <row r="212" spans="1:64" ht="30" customHeight="1" x14ac:dyDescent="0.25">
      <c r="A212" s="84" t="str">
        <f t="shared" si="590"/>
        <v>Д</v>
      </c>
      <c r="B212" s="84" t="str">
        <f t="shared" ref="B212" si="622">IF(C212&gt;0, VLOOKUP(C212,Код_ООП,11,FALSE),0)</f>
        <v>Б</v>
      </c>
      <c r="C212" s="101" t="s">
        <v>1463</v>
      </c>
      <c r="D212" s="16" t="str">
        <f t="shared" ref="D212" si="623">IF(C212&gt;0, VLOOKUP(C212,Код_ООП,2,FALSE),0)</f>
        <v>'02.03.01</v>
      </c>
      <c r="E212" s="17" t="str">
        <f t="shared" ref="E212" si="624">IF(C212&gt;0, VLOOKUP(C212,Код_ООП,13,FALSE),0)</f>
        <v>Математика и компьютерные науки</v>
      </c>
      <c r="F212" s="9" t="s">
        <v>413</v>
      </c>
      <c r="G212" s="9" t="s">
        <v>22</v>
      </c>
      <c r="H212" s="10"/>
      <c r="I212" s="10"/>
      <c r="J212" s="24" t="s">
        <v>3291</v>
      </c>
      <c r="K212" s="11">
        <v>5</v>
      </c>
      <c r="L212" s="11">
        <v>18</v>
      </c>
      <c r="M212" s="8" t="s">
        <v>94</v>
      </c>
      <c r="N212" s="11"/>
      <c r="O212" s="11">
        <v>2</v>
      </c>
      <c r="P212" s="11"/>
      <c r="Q212" s="8" t="s">
        <v>102</v>
      </c>
      <c r="R212" s="11"/>
      <c r="S212" s="11"/>
      <c r="T212" s="11"/>
      <c r="U212" s="11"/>
      <c r="V212" s="11"/>
      <c r="W212" s="83" t="str">
        <f t="shared" si="591"/>
        <v>НКНбд</v>
      </c>
      <c r="X212" s="114" t="s">
        <v>3241</v>
      </c>
      <c r="Y212" s="109">
        <v>1</v>
      </c>
      <c r="Z212" s="109"/>
      <c r="AA212" s="83">
        <f t="shared" ref="AA212" si="625">AB212+AC212</f>
        <v>10</v>
      </c>
      <c r="AB212" s="11">
        <v>7</v>
      </c>
      <c r="AC212" s="11">
        <v>3</v>
      </c>
      <c r="AD212" s="81">
        <f t="shared" si="592"/>
        <v>12</v>
      </c>
      <c r="AE212" s="82">
        <f t="shared" ref="AE212" si="626">IF(AF212&gt;1,1,AF212)</f>
        <v>0.83333333333333337</v>
      </c>
      <c r="AF212" s="82">
        <f t="shared" ref="AF212" si="627">AA212/AD212</f>
        <v>0.83333333333333337</v>
      </c>
      <c r="AG212" s="102" t="s">
        <v>3250</v>
      </c>
      <c r="AH212" s="113" t="s">
        <v>204</v>
      </c>
      <c r="AI212" s="113" t="s">
        <v>212</v>
      </c>
      <c r="AJ212" s="120" t="s">
        <v>3254</v>
      </c>
      <c r="AK212" s="8"/>
      <c r="AL212" s="42">
        <f t="shared" si="593"/>
        <v>0</v>
      </c>
      <c r="AM212" s="42">
        <f t="shared" ref="AM212" si="628">IF(OR(M212="пр",M212="ия",M212="сп"),P212*AE212*L212,0)</f>
        <v>0</v>
      </c>
      <c r="AN212" s="42">
        <f t="shared" ref="AN212" si="629">IF(OR(M212="лаб",M212="клн"),O212*AE212*L212,0)</f>
        <v>30</v>
      </c>
      <c r="AO212" s="42">
        <f t="shared" ref="AO212" si="630">(IF((AND(OR(K212=1,K212=2,K212=3,K212=4,K212=5,K212=6,K212=7,K212=8,K212=9,K212=10,K212=11,K212=12),OR(Q212="Зач",Q212="Экз"))),ТКиРА*AA212,0)+IF(SUM(N212:P212)&lt;&gt;0,IF(Q212="ТК",ТКиРА*AA212,0),0))*(IF(F212="ФТД",0,1))</f>
        <v>3.3000000000000003</v>
      </c>
      <c r="AP212" s="42">
        <f t="shared" ref="AP212" si="631">IF(SUM(O212:P212)&lt;&gt;0,IF(Q212="Зач",ПАБРС*AA212,0),0)+IF(N212&lt;&gt;0,IF(Q212="Экз",ПАБРС*AA212,0),0)</f>
        <v>5</v>
      </c>
      <c r="AQ212" s="42">
        <f t="shared" ref="AQ212" si="632">(IF(AP212&lt;&gt;0,ОфВед*(IF(OR(M212="лек",M212="лаб"),Z212,AE212)),0))*(IF(F212="ФТД",0,1))</f>
        <v>0</v>
      </c>
      <c r="AR212" s="42">
        <f t="shared" si="594"/>
        <v>0</v>
      </c>
      <c r="AS212" s="42">
        <f t="shared" ref="AS212" si="633">IF(OR(M212="лаб",M212="пр"),IF(R212="К",AA212*ВПКР,IF(R212="М",AA212*ВПИБ,0)),0)</f>
        <v>0</v>
      </c>
      <c r="AT212" s="42">
        <f t="shared" ref="AT212" si="634">IF(OR(M212="лаб",M212="пр"),IF(S212="К",AA212*ВПКП,0),0)</f>
        <v>0</v>
      </c>
      <c r="AU212" s="42">
        <f t="shared" ref="AU212" si="635">IF(M212="УП",T212/1.5*AA212*РУП,IF(M212="УПМ",T212/1.5*AA212*РУПЛеч,0))</f>
        <v>0</v>
      </c>
      <c r="AV212" s="42">
        <f>IF(M212="ПП",РПП*AA212*(U212/1.5),IF(M212="ВП",ВПр*AA212*(U212/1.5),IF(M212="РПА",РПА*AA212*(U212/1.5),IF(M212="КПА",КПА*AA212*(U212/1.5),0))))</f>
        <v>0</v>
      </c>
      <c r="AW212" s="42">
        <f t="shared" ref="AW212" si="636">IF(M212="НР",(AB212*НИРМ+AC212*НИРМИн)*(V212/1.5),IF(M212="НИ",(AB212*НИРА+AC212*НИРАИ)*(V212/1.5),0))</f>
        <v>0</v>
      </c>
      <c r="AX212" s="42">
        <f t="shared" si="595"/>
        <v>0</v>
      </c>
      <c r="AY212" s="42">
        <f t="shared" si="596"/>
        <v>0</v>
      </c>
      <c r="AZ212" s="42">
        <f t="shared" ref="AZ212" si="637">IF(AND(Q212="КЭ",M212="ЧК"),AA212*КдЭк,0)</f>
        <v>0</v>
      </c>
      <c r="BA212" s="42">
        <f t="shared" si="597"/>
        <v>0</v>
      </c>
      <c r="BB212" s="42">
        <f t="shared" si="598"/>
        <v>0</v>
      </c>
      <c r="BC212" s="42">
        <f t="shared" si="599"/>
        <v>0</v>
      </c>
      <c r="BD212" s="42">
        <f t="shared" ref="BD212" si="638">IF(M212="ЧГ",AA212*ЧГ,IF(M212="ПГ",AA212*ПГ,IF(M212="ТЕСТ",ТГИЭ*AE212,IF(M212="СГ",AA212*СГ,0))))</f>
        <v>0</v>
      </c>
      <c r="BE212" s="43">
        <f t="shared" ref="BE212" si="639">SUM(AL212:BD212)</f>
        <v>38.299999999999997</v>
      </c>
      <c r="BF212" s="44"/>
      <c r="BG212" s="45">
        <f t="shared" ref="BG212" si="640">IF(OR(K212="1;1",K212="1;2",K212=1,K212="3;1",K212="3;2",K212=3,K212="5;1",K212="5;2",K212=5,K212="7;1",K212="7;2",K212=7,K212="9;1",K212="9;2",K212=9,K212=11),SUM(AL212:AN212),0)</f>
        <v>30</v>
      </c>
      <c r="BH212" s="45">
        <f t="shared" ref="BH212" si="641">IF(BG212&lt;&gt;0,SUM(N212:P212)/2,0)</f>
        <v>1</v>
      </c>
      <c r="BI212" s="45">
        <f t="shared" ref="BI212" si="642">IF(OR(K212="1;1",K212="1;2",K212=1,K212="3;1",K212="3;2",K212=3,K212="5;1",K212="5;2",K212=5,K212="7;1",K212="7;2",K212=7,K212="9;1",K212="9;2",K212=9,K212=11),SUM(AO212:BD212),0)</f>
        <v>8.3000000000000007</v>
      </c>
      <c r="BJ212" s="46">
        <f t="shared" si="587"/>
        <v>0</v>
      </c>
      <c r="BK212" s="46">
        <f t="shared" si="588"/>
        <v>0</v>
      </c>
      <c r="BL212" s="46">
        <f t="shared" si="589"/>
        <v>0</v>
      </c>
    </row>
    <row r="213" spans="1:64" ht="30" customHeight="1" x14ac:dyDescent="0.25">
      <c r="A213" s="84" t="str">
        <f t="shared" si="590"/>
        <v>Д</v>
      </c>
      <c r="B213" s="84" t="str">
        <f t="shared" si="32"/>
        <v>Б</v>
      </c>
      <c r="C213" s="101" t="s">
        <v>1463</v>
      </c>
      <c r="D213" s="16" t="str">
        <f t="shared" si="561"/>
        <v>'02.03.01</v>
      </c>
      <c r="E213" s="17" t="str">
        <f t="shared" si="621"/>
        <v>Математика и компьютерные науки</v>
      </c>
      <c r="F213" s="9" t="s">
        <v>413</v>
      </c>
      <c r="G213" s="9" t="s">
        <v>22</v>
      </c>
      <c r="H213" s="10"/>
      <c r="I213" s="10"/>
      <c r="J213" s="24" t="s">
        <v>3291</v>
      </c>
      <c r="K213" s="11">
        <v>5</v>
      </c>
      <c r="L213" s="11">
        <v>18</v>
      </c>
      <c r="M213" s="8" t="s">
        <v>94</v>
      </c>
      <c r="N213" s="11"/>
      <c r="O213" s="11">
        <v>2</v>
      </c>
      <c r="P213" s="11"/>
      <c r="Q213" s="8" t="s">
        <v>102</v>
      </c>
      <c r="R213" s="11"/>
      <c r="S213" s="11"/>
      <c r="T213" s="11"/>
      <c r="U213" s="11"/>
      <c r="V213" s="11"/>
      <c r="W213" s="83" t="str">
        <f t="shared" si="591"/>
        <v>НКНбд</v>
      </c>
      <c r="X213" s="114" t="s">
        <v>3242</v>
      </c>
      <c r="Y213" s="109"/>
      <c r="Z213" s="109"/>
      <c r="AA213" s="83">
        <f t="shared" si="562"/>
        <v>0</v>
      </c>
      <c r="AB213" s="11"/>
      <c r="AC213" s="11"/>
      <c r="AD213" s="81">
        <f t="shared" si="592"/>
        <v>12</v>
      </c>
      <c r="AE213" s="82">
        <f t="shared" si="563"/>
        <v>0</v>
      </c>
      <c r="AF213" s="82">
        <f t="shared" si="564"/>
        <v>0</v>
      </c>
      <c r="AG213" s="102" t="s">
        <v>3250</v>
      </c>
      <c r="AH213" s="113" t="s">
        <v>204</v>
      </c>
      <c r="AI213" s="113" t="s">
        <v>212</v>
      </c>
      <c r="AJ213" s="120" t="s">
        <v>3254</v>
      </c>
      <c r="AK213" s="8"/>
      <c r="AL213" s="42">
        <f t="shared" si="593"/>
        <v>0</v>
      </c>
      <c r="AM213" s="42">
        <f t="shared" si="547"/>
        <v>0</v>
      </c>
      <c r="AN213" s="42">
        <f t="shared" si="548"/>
        <v>0</v>
      </c>
      <c r="AO213" s="42">
        <f t="shared" si="586"/>
        <v>0</v>
      </c>
      <c r="AP213" s="42">
        <f t="shared" si="549"/>
        <v>0</v>
      </c>
      <c r="AQ213" s="42">
        <f t="shared" si="550"/>
        <v>0</v>
      </c>
      <c r="AR213" s="42">
        <f t="shared" si="594"/>
        <v>0</v>
      </c>
      <c r="AS213" s="42">
        <f t="shared" si="551"/>
        <v>0</v>
      </c>
      <c r="AT213" s="42">
        <f t="shared" si="552"/>
        <v>0</v>
      </c>
      <c r="AU213" s="42">
        <f t="shared" si="553"/>
        <v>0</v>
      </c>
      <c r="AV213" s="42">
        <f>IF(M213="ПП",РПП*AA213*(U213/1.5),IF(M213="ВП",ВПр*AA213*(U213/1.5),IF(M213="РПА",РПА*AA213*(U213/1.5),IF(M213="КПА",КПА*AA213*(U213/1.5),0))))</f>
        <v>0</v>
      </c>
      <c r="AW213" s="42">
        <f t="shared" si="554"/>
        <v>0</v>
      </c>
      <c r="AX213" s="42">
        <f t="shared" si="595"/>
        <v>0</v>
      </c>
      <c r="AY213" s="42">
        <f t="shared" si="596"/>
        <v>0</v>
      </c>
      <c r="AZ213" s="42">
        <f t="shared" si="555"/>
        <v>0</v>
      </c>
      <c r="BA213" s="42">
        <f t="shared" si="597"/>
        <v>0</v>
      </c>
      <c r="BB213" s="42">
        <f t="shared" si="598"/>
        <v>0</v>
      </c>
      <c r="BC213" s="42">
        <f t="shared" si="599"/>
        <v>0</v>
      </c>
      <c r="BD213" s="42">
        <f t="shared" si="556"/>
        <v>0</v>
      </c>
      <c r="BE213" s="43">
        <f t="shared" si="557"/>
        <v>0</v>
      </c>
      <c r="BF213" s="44"/>
      <c r="BG213" s="45">
        <f t="shared" si="558"/>
        <v>0</v>
      </c>
      <c r="BH213" s="45">
        <f t="shared" si="559"/>
        <v>0</v>
      </c>
      <c r="BI213" s="45">
        <f t="shared" si="560"/>
        <v>0</v>
      </c>
      <c r="BJ213" s="46">
        <f t="shared" si="587"/>
        <v>0</v>
      </c>
      <c r="BK213" s="46">
        <f t="shared" si="588"/>
        <v>0</v>
      </c>
      <c r="BL213" s="46">
        <f t="shared" si="589"/>
        <v>0</v>
      </c>
    </row>
    <row r="214" spans="1:64" ht="30" customHeight="1" x14ac:dyDescent="0.25">
      <c r="A214" s="84" t="str">
        <f t="shared" si="590"/>
        <v>Д</v>
      </c>
      <c r="B214" s="84" t="str">
        <f t="shared" si="32"/>
        <v>Б</v>
      </c>
      <c r="C214" s="101" t="s">
        <v>1463</v>
      </c>
      <c r="D214" s="16" t="str">
        <f t="shared" si="561"/>
        <v>'02.03.01</v>
      </c>
      <c r="E214" s="17" t="str">
        <f t="shared" si="621"/>
        <v>Математика и компьютерные науки</v>
      </c>
      <c r="F214" s="9" t="s">
        <v>413</v>
      </c>
      <c r="G214" s="9" t="s">
        <v>503</v>
      </c>
      <c r="H214" s="10"/>
      <c r="I214" s="10" t="s">
        <v>3232</v>
      </c>
      <c r="J214" s="24" t="s">
        <v>3297</v>
      </c>
      <c r="K214" s="11">
        <v>5</v>
      </c>
      <c r="L214" s="11">
        <v>18</v>
      </c>
      <c r="M214" s="8" t="s">
        <v>23</v>
      </c>
      <c r="N214" s="11">
        <v>1</v>
      </c>
      <c r="O214" s="11"/>
      <c r="P214" s="11"/>
      <c r="Q214" s="8"/>
      <c r="R214" s="12"/>
      <c r="S214" s="12"/>
      <c r="T214" s="12"/>
      <c r="U214" s="12"/>
      <c r="V214" s="12"/>
      <c r="W214" s="83" t="str">
        <f t="shared" si="591"/>
        <v>НКНбд</v>
      </c>
      <c r="X214" s="114" t="s">
        <v>3241</v>
      </c>
      <c r="Y214" s="109">
        <v>2</v>
      </c>
      <c r="Z214" s="109">
        <v>1</v>
      </c>
      <c r="AA214" s="83">
        <f t="shared" si="562"/>
        <v>0</v>
      </c>
      <c r="AB214" s="11">
        <v>0</v>
      </c>
      <c r="AC214" s="12">
        <v>0</v>
      </c>
      <c r="AD214" s="81">
        <f t="shared" si="592"/>
        <v>0</v>
      </c>
      <c r="AE214" s="82" t="e">
        <f t="shared" si="563"/>
        <v>#DIV/0!</v>
      </c>
      <c r="AF214" s="82" t="e">
        <f t="shared" si="564"/>
        <v>#DIV/0!</v>
      </c>
      <c r="AG214" s="102" t="s">
        <v>3250</v>
      </c>
      <c r="AH214" s="113" t="s">
        <v>204</v>
      </c>
      <c r="AI214" s="113" t="s">
        <v>212</v>
      </c>
      <c r="AJ214" s="121" t="s">
        <v>3294</v>
      </c>
      <c r="AK214" s="8"/>
      <c r="AL214" s="42">
        <f t="shared" si="593"/>
        <v>18</v>
      </c>
      <c r="AM214" s="42">
        <f t="shared" si="547"/>
        <v>0</v>
      </c>
      <c r="AN214" s="42">
        <f t="shared" si="548"/>
        <v>0</v>
      </c>
      <c r="AO214" s="42">
        <f t="shared" si="586"/>
        <v>0</v>
      </c>
      <c r="AP214" s="42">
        <f t="shared" si="549"/>
        <v>0</v>
      </c>
      <c r="AQ214" s="42">
        <f t="shared" si="550"/>
        <v>0</v>
      </c>
      <c r="AR214" s="42">
        <f t="shared" si="594"/>
        <v>0.9</v>
      </c>
      <c r="AS214" s="42">
        <f t="shared" si="551"/>
        <v>0</v>
      </c>
      <c r="AT214" s="42">
        <f t="shared" si="552"/>
        <v>0</v>
      </c>
      <c r="AU214" s="42">
        <f t="shared" si="553"/>
        <v>0</v>
      </c>
      <c r="AV214" s="42">
        <f>IF(M214="ПП",РПП*AA214*(U214/1.5),IF(M214="ВП",ВПр*AA214*(U214/1.5),IF(M214="РПА",РПА*AA214*(U214/1.5),IF(M214="КПА",КПА*AA214*(U214/1.5),0))))</f>
        <v>0</v>
      </c>
      <c r="AW214" s="42">
        <f t="shared" si="554"/>
        <v>0</v>
      </c>
      <c r="AX214" s="42">
        <f t="shared" si="595"/>
        <v>0</v>
      </c>
      <c r="AY214" s="42">
        <f t="shared" si="596"/>
        <v>0</v>
      </c>
      <c r="AZ214" s="42">
        <f t="shared" si="555"/>
        <v>0</v>
      </c>
      <c r="BA214" s="42">
        <f t="shared" si="597"/>
        <v>0</v>
      </c>
      <c r="BB214" s="42">
        <f t="shared" si="598"/>
        <v>0</v>
      </c>
      <c r="BC214" s="42">
        <f t="shared" si="599"/>
        <v>0</v>
      </c>
      <c r="BD214" s="42">
        <f t="shared" si="556"/>
        <v>0</v>
      </c>
      <c r="BE214" s="43">
        <f t="shared" si="557"/>
        <v>18.899999999999999</v>
      </c>
      <c r="BF214" s="44"/>
      <c r="BG214" s="45">
        <f t="shared" si="558"/>
        <v>18</v>
      </c>
      <c r="BH214" s="45">
        <f t="shared" si="559"/>
        <v>0.5</v>
      </c>
      <c r="BI214" s="45">
        <f t="shared" si="560"/>
        <v>0.9</v>
      </c>
      <c r="BJ214" s="46">
        <f t="shared" si="587"/>
        <v>0</v>
      </c>
      <c r="BK214" s="46">
        <f t="shared" si="588"/>
        <v>0</v>
      </c>
      <c r="BL214" s="46">
        <f t="shared" si="589"/>
        <v>0</v>
      </c>
    </row>
    <row r="215" spans="1:64" ht="30" customHeight="1" x14ac:dyDescent="0.25">
      <c r="A215" s="84" t="str">
        <f t="shared" si="590"/>
        <v>Д</v>
      </c>
      <c r="B215" s="84" t="str">
        <f t="shared" si="32"/>
        <v>Б</v>
      </c>
      <c r="C215" s="101" t="s">
        <v>1463</v>
      </c>
      <c r="D215" s="16" t="str">
        <f t="shared" si="561"/>
        <v>'02.03.01</v>
      </c>
      <c r="E215" s="17" t="str">
        <f t="shared" si="621"/>
        <v>Математика и компьютерные науки</v>
      </c>
      <c r="F215" s="9" t="s">
        <v>413</v>
      </c>
      <c r="G215" s="9" t="s">
        <v>503</v>
      </c>
      <c r="H215" s="10"/>
      <c r="I215" s="10" t="s">
        <v>3232</v>
      </c>
      <c r="J215" s="24" t="s">
        <v>3297</v>
      </c>
      <c r="K215" s="11">
        <v>5</v>
      </c>
      <c r="L215" s="11">
        <v>18</v>
      </c>
      <c r="M215" s="8" t="s">
        <v>24</v>
      </c>
      <c r="N215" s="11"/>
      <c r="O215" s="11"/>
      <c r="P215" s="11">
        <v>1</v>
      </c>
      <c r="Q215" s="8" t="s">
        <v>102</v>
      </c>
      <c r="R215" s="11"/>
      <c r="S215" s="11"/>
      <c r="T215" s="23"/>
      <c r="U215" s="11"/>
      <c r="V215" s="11"/>
      <c r="W215" s="83" t="str">
        <f t="shared" si="591"/>
        <v>НКНбд</v>
      </c>
      <c r="X215" s="114" t="s">
        <v>3241</v>
      </c>
      <c r="Y215" s="109">
        <v>2</v>
      </c>
      <c r="Z215" s="109">
        <v>1</v>
      </c>
      <c r="AA215" s="83">
        <f t="shared" si="562"/>
        <v>0</v>
      </c>
      <c r="AB215" s="11">
        <v>0</v>
      </c>
      <c r="AC215" s="12">
        <v>0</v>
      </c>
      <c r="AD215" s="81">
        <f t="shared" si="592"/>
        <v>24</v>
      </c>
      <c r="AE215" s="82">
        <f t="shared" si="563"/>
        <v>0</v>
      </c>
      <c r="AF215" s="82">
        <f t="shared" si="564"/>
        <v>0</v>
      </c>
      <c r="AG215" s="102" t="s">
        <v>3250</v>
      </c>
      <c r="AH215" s="113" t="s">
        <v>204</v>
      </c>
      <c r="AI215" s="113" t="s">
        <v>212</v>
      </c>
      <c r="AJ215" s="119" t="s">
        <v>3294</v>
      </c>
      <c r="AK215" s="8"/>
      <c r="AL215" s="42">
        <f t="shared" si="593"/>
        <v>0</v>
      </c>
      <c r="AM215" s="42">
        <f t="shared" si="547"/>
        <v>0</v>
      </c>
      <c r="AN215" s="42">
        <f t="shared" si="548"/>
        <v>0</v>
      </c>
      <c r="AO215" s="42">
        <f t="shared" si="586"/>
        <v>0</v>
      </c>
      <c r="AP215" s="42">
        <f t="shared" si="549"/>
        <v>0</v>
      </c>
      <c r="AQ215" s="42">
        <f t="shared" si="550"/>
        <v>0</v>
      </c>
      <c r="AR215" s="42">
        <f t="shared" si="594"/>
        <v>0</v>
      </c>
      <c r="AS215" s="42">
        <f t="shared" si="551"/>
        <v>0</v>
      </c>
      <c r="AT215" s="42">
        <f t="shared" si="552"/>
        <v>0</v>
      </c>
      <c r="AU215" s="42">
        <f t="shared" si="553"/>
        <v>0</v>
      </c>
      <c r="AV215" s="42">
        <f>IF(M215="ПП",РПП*AA215*(U215/1.5),IF(M215="ВП",ВПр*AA215*(U215/1.5),IF(M215="РПА",РПА*AA215*(U215/1.5),IF(M215="КПА",КПА*AA215*(U215/1.5),0))))</f>
        <v>0</v>
      </c>
      <c r="AW215" s="42">
        <f t="shared" si="554"/>
        <v>0</v>
      </c>
      <c r="AX215" s="42">
        <f t="shared" si="595"/>
        <v>0</v>
      </c>
      <c r="AY215" s="42">
        <f t="shared" si="596"/>
        <v>0</v>
      </c>
      <c r="AZ215" s="42">
        <f t="shared" si="555"/>
        <v>0</v>
      </c>
      <c r="BA215" s="42">
        <f t="shared" si="597"/>
        <v>0</v>
      </c>
      <c r="BB215" s="42">
        <f t="shared" si="598"/>
        <v>0</v>
      </c>
      <c r="BC215" s="42">
        <f t="shared" si="599"/>
        <v>0</v>
      </c>
      <c r="BD215" s="42">
        <f t="shared" si="556"/>
        <v>0</v>
      </c>
      <c r="BE215" s="43">
        <f t="shared" si="557"/>
        <v>0</v>
      </c>
      <c r="BF215" s="44"/>
      <c r="BG215" s="45">
        <f t="shared" si="558"/>
        <v>0</v>
      </c>
      <c r="BH215" s="45">
        <f t="shared" si="559"/>
        <v>0</v>
      </c>
      <c r="BI215" s="45">
        <f t="shared" si="560"/>
        <v>0</v>
      </c>
      <c r="BJ215" s="46">
        <f t="shared" si="587"/>
        <v>0</v>
      </c>
      <c r="BK215" s="46">
        <f t="shared" si="588"/>
        <v>0</v>
      </c>
      <c r="BL215" s="46">
        <f t="shared" si="589"/>
        <v>0</v>
      </c>
    </row>
    <row r="216" spans="1:64" ht="30" customHeight="1" x14ac:dyDescent="0.25">
      <c r="A216" s="84" t="str">
        <f t="shared" si="590"/>
        <v>Д</v>
      </c>
      <c r="B216" s="84" t="str">
        <f t="shared" si="32"/>
        <v>Б</v>
      </c>
      <c r="C216" s="101" t="s">
        <v>1463</v>
      </c>
      <c r="D216" s="16" t="str">
        <f t="shared" si="561"/>
        <v>'02.03.01</v>
      </c>
      <c r="E216" s="17" t="str">
        <f t="shared" si="621"/>
        <v>Математика и компьютерные науки</v>
      </c>
      <c r="F216" s="9" t="s">
        <v>413</v>
      </c>
      <c r="G216" s="9" t="s">
        <v>503</v>
      </c>
      <c r="H216" s="10"/>
      <c r="I216" s="10" t="s">
        <v>3232</v>
      </c>
      <c r="J216" s="24" t="s">
        <v>3200</v>
      </c>
      <c r="K216" s="11">
        <v>5</v>
      </c>
      <c r="L216" s="11">
        <v>18</v>
      </c>
      <c r="M216" s="8" t="s">
        <v>23</v>
      </c>
      <c r="N216" s="12">
        <v>1</v>
      </c>
      <c r="O216" s="12"/>
      <c r="P216" s="12"/>
      <c r="Q216" s="8" t="s">
        <v>103</v>
      </c>
      <c r="R216" s="11"/>
      <c r="S216" s="11"/>
      <c r="T216" s="23"/>
      <c r="U216" s="11"/>
      <c r="V216" s="11"/>
      <c r="W216" s="83" t="str">
        <f t="shared" si="591"/>
        <v>НКНбд</v>
      </c>
      <c r="X216" s="114" t="s">
        <v>3241</v>
      </c>
      <c r="Y216" s="109">
        <v>2</v>
      </c>
      <c r="Z216" s="109">
        <v>1</v>
      </c>
      <c r="AA216" s="83">
        <f t="shared" si="562"/>
        <v>0</v>
      </c>
      <c r="AB216" s="11">
        <v>0</v>
      </c>
      <c r="AC216" s="12">
        <v>0</v>
      </c>
      <c r="AD216" s="81">
        <f t="shared" si="592"/>
        <v>0</v>
      </c>
      <c r="AE216" s="82" t="e">
        <f t="shared" si="563"/>
        <v>#DIV/0!</v>
      </c>
      <c r="AF216" s="82" t="e">
        <f t="shared" si="564"/>
        <v>#DIV/0!</v>
      </c>
      <c r="AG216" s="102" t="s">
        <v>3250</v>
      </c>
      <c r="AH216" s="113" t="s">
        <v>201</v>
      </c>
      <c r="AI216" s="113" t="s">
        <v>212</v>
      </c>
      <c r="AJ216" s="120" t="s">
        <v>3253</v>
      </c>
      <c r="AK216" s="8"/>
      <c r="AL216" s="42">
        <f t="shared" si="593"/>
        <v>18</v>
      </c>
      <c r="AM216" s="42">
        <f t="shared" si="547"/>
        <v>0</v>
      </c>
      <c r="AN216" s="42">
        <f t="shared" si="548"/>
        <v>0</v>
      </c>
      <c r="AO216" s="42">
        <f t="shared" si="586"/>
        <v>0</v>
      </c>
      <c r="AP216" s="42">
        <f t="shared" si="549"/>
        <v>0</v>
      </c>
      <c r="AQ216" s="42">
        <f t="shared" si="550"/>
        <v>0</v>
      </c>
      <c r="AR216" s="42">
        <f t="shared" si="594"/>
        <v>0.9</v>
      </c>
      <c r="AS216" s="42">
        <f t="shared" si="551"/>
        <v>0</v>
      </c>
      <c r="AT216" s="42">
        <f t="shared" si="552"/>
        <v>0</v>
      </c>
      <c r="AU216" s="42">
        <f t="shared" si="553"/>
        <v>0</v>
      </c>
      <c r="AV216" s="42">
        <f>IF(M216="ПП",РПП*AA216*(U216/1.5),IF(M216="ВП",ВПр*AA216*(U216/1.5),IF(M216="РПА",РПА*AA216*(U216/1.5),IF(M216="КПА",КПА*AA216*(U216/1.5),0))))</f>
        <v>0</v>
      </c>
      <c r="AW216" s="42">
        <f t="shared" si="554"/>
        <v>0</v>
      </c>
      <c r="AX216" s="42">
        <f t="shared" si="595"/>
        <v>0</v>
      </c>
      <c r="AY216" s="42">
        <f t="shared" si="596"/>
        <v>0</v>
      </c>
      <c r="AZ216" s="42">
        <f t="shared" si="555"/>
        <v>0</v>
      </c>
      <c r="BA216" s="42">
        <f t="shared" si="597"/>
        <v>0</v>
      </c>
      <c r="BB216" s="42">
        <f t="shared" si="598"/>
        <v>0</v>
      </c>
      <c r="BC216" s="42">
        <f t="shared" si="599"/>
        <v>0</v>
      </c>
      <c r="BD216" s="42">
        <f t="shared" si="556"/>
        <v>0</v>
      </c>
      <c r="BE216" s="43">
        <f t="shared" si="557"/>
        <v>18.899999999999999</v>
      </c>
      <c r="BF216" s="44"/>
      <c r="BG216" s="45">
        <f t="shared" si="558"/>
        <v>18</v>
      </c>
      <c r="BH216" s="45">
        <f t="shared" si="559"/>
        <v>0.5</v>
      </c>
      <c r="BI216" s="45">
        <f t="shared" si="560"/>
        <v>0.9</v>
      </c>
      <c r="BJ216" s="46">
        <f t="shared" si="587"/>
        <v>0</v>
      </c>
      <c r="BK216" s="46">
        <f t="shared" si="588"/>
        <v>0</v>
      </c>
      <c r="BL216" s="46">
        <f t="shared" si="589"/>
        <v>0</v>
      </c>
    </row>
    <row r="217" spans="1:64" ht="30" customHeight="1" x14ac:dyDescent="0.25">
      <c r="A217" s="84" t="str">
        <f t="shared" si="590"/>
        <v>Д</v>
      </c>
      <c r="B217" s="84" t="str">
        <f t="shared" si="32"/>
        <v>Б</v>
      </c>
      <c r="C217" s="101" t="s">
        <v>1463</v>
      </c>
      <c r="D217" s="16" t="str">
        <f t="shared" si="561"/>
        <v>'02.03.01</v>
      </c>
      <c r="E217" s="17" t="str">
        <f t="shared" si="621"/>
        <v>Математика и компьютерные науки</v>
      </c>
      <c r="F217" s="9" t="s">
        <v>413</v>
      </c>
      <c r="G217" s="9" t="s">
        <v>503</v>
      </c>
      <c r="H217" s="10"/>
      <c r="I217" s="10" t="s">
        <v>3232</v>
      </c>
      <c r="J217" s="24" t="s">
        <v>3200</v>
      </c>
      <c r="K217" s="11">
        <v>5</v>
      </c>
      <c r="L217" s="11">
        <v>18</v>
      </c>
      <c r="M217" s="8" t="s">
        <v>24</v>
      </c>
      <c r="N217" s="11"/>
      <c r="O217" s="11"/>
      <c r="P217" s="11">
        <v>2</v>
      </c>
      <c r="Q217" s="8"/>
      <c r="R217" s="11"/>
      <c r="S217" s="11"/>
      <c r="T217" s="11"/>
      <c r="U217" s="11"/>
      <c r="V217" s="11"/>
      <c r="W217" s="83" t="str">
        <f t="shared" si="591"/>
        <v>НКНбд</v>
      </c>
      <c r="X217" s="114" t="s">
        <v>3241</v>
      </c>
      <c r="Y217" s="109">
        <v>2</v>
      </c>
      <c r="Z217" s="109">
        <v>1</v>
      </c>
      <c r="AA217" s="83">
        <f t="shared" si="562"/>
        <v>0</v>
      </c>
      <c r="AB217" s="11">
        <v>0</v>
      </c>
      <c r="AC217" s="12">
        <v>0</v>
      </c>
      <c r="AD217" s="81">
        <f t="shared" si="592"/>
        <v>24</v>
      </c>
      <c r="AE217" s="82">
        <f t="shared" si="563"/>
        <v>0</v>
      </c>
      <c r="AF217" s="82">
        <f t="shared" si="564"/>
        <v>0</v>
      </c>
      <c r="AG217" s="102" t="s">
        <v>3250</v>
      </c>
      <c r="AH217" s="113" t="s">
        <v>201</v>
      </c>
      <c r="AI217" s="113" t="s">
        <v>212</v>
      </c>
      <c r="AJ217" s="119" t="s">
        <v>3253</v>
      </c>
      <c r="AK217" s="8"/>
      <c r="AL217" s="42">
        <f t="shared" si="593"/>
        <v>0</v>
      </c>
      <c r="AM217" s="42">
        <f t="shared" si="547"/>
        <v>0</v>
      </c>
      <c r="AN217" s="42">
        <f t="shared" si="548"/>
        <v>0</v>
      </c>
      <c r="AO217" s="42">
        <f t="shared" si="586"/>
        <v>0</v>
      </c>
      <c r="AP217" s="42">
        <f t="shared" si="549"/>
        <v>0</v>
      </c>
      <c r="AQ217" s="42">
        <f t="shared" si="550"/>
        <v>0</v>
      </c>
      <c r="AR217" s="42">
        <f t="shared" si="594"/>
        <v>0</v>
      </c>
      <c r="AS217" s="42">
        <f t="shared" si="551"/>
        <v>0</v>
      </c>
      <c r="AT217" s="42">
        <f t="shared" si="552"/>
        <v>0</v>
      </c>
      <c r="AU217" s="42">
        <f t="shared" si="553"/>
        <v>0</v>
      </c>
      <c r="AV217" s="42">
        <f>IF(M217="ПП",РПП*AA217*(U217/1.5),IF(M217="ВП",ВПр*AA217*(U217/1.5),IF(M217="РПА",РПА*AA217*(U217/1.5),IF(M217="КПА",КПА*AA217*(U217/1.5),0))))</f>
        <v>0</v>
      </c>
      <c r="AW217" s="42">
        <f t="shared" si="554"/>
        <v>0</v>
      </c>
      <c r="AX217" s="42">
        <f t="shared" si="595"/>
        <v>0</v>
      </c>
      <c r="AY217" s="42">
        <f t="shared" si="596"/>
        <v>0</v>
      </c>
      <c r="AZ217" s="42">
        <f t="shared" si="555"/>
        <v>0</v>
      </c>
      <c r="BA217" s="42">
        <f t="shared" si="597"/>
        <v>0</v>
      </c>
      <c r="BB217" s="42">
        <f t="shared" si="598"/>
        <v>0</v>
      </c>
      <c r="BC217" s="42">
        <f t="shared" si="599"/>
        <v>0</v>
      </c>
      <c r="BD217" s="42">
        <f t="shared" si="556"/>
        <v>0</v>
      </c>
      <c r="BE217" s="43">
        <f t="shared" si="557"/>
        <v>0</v>
      </c>
      <c r="BF217" s="44"/>
      <c r="BG217" s="45">
        <f t="shared" si="558"/>
        <v>0</v>
      </c>
      <c r="BH217" s="45">
        <f t="shared" si="559"/>
        <v>0</v>
      </c>
      <c r="BI217" s="45">
        <f t="shared" si="560"/>
        <v>0</v>
      </c>
      <c r="BJ217" s="46">
        <f t="shared" si="587"/>
        <v>0</v>
      </c>
      <c r="BK217" s="46">
        <f t="shared" si="588"/>
        <v>0</v>
      </c>
      <c r="BL217" s="46">
        <f t="shared" si="589"/>
        <v>0</v>
      </c>
    </row>
    <row r="218" spans="1:64" ht="30" customHeight="1" x14ac:dyDescent="0.25">
      <c r="A218" s="84" t="str">
        <f t="shared" si="590"/>
        <v>Д</v>
      </c>
      <c r="B218" s="84" t="str">
        <f t="shared" si="32"/>
        <v>Б</v>
      </c>
      <c r="C218" s="101" t="s">
        <v>1463</v>
      </c>
      <c r="D218" s="16" t="str">
        <f t="shared" si="561"/>
        <v>'02.03.01</v>
      </c>
      <c r="E218" s="17" t="str">
        <f t="shared" si="621"/>
        <v>Математика и компьютерные науки</v>
      </c>
      <c r="F218" s="9" t="s">
        <v>413</v>
      </c>
      <c r="G218" s="9" t="s">
        <v>503</v>
      </c>
      <c r="H218" s="10"/>
      <c r="I218" s="10" t="s">
        <v>3232</v>
      </c>
      <c r="J218" s="24" t="s">
        <v>3298</v>
      </c>
      <c r="K218" s="11">
        <v>6</v>
      </c>
      <c r="L218" s="11">
        <v>18</v>
      </c>
      <c r="M218" s="8" t="s">
        <v>23</v>
      </c>
      <c r="N218" s="11">
        <v>2</v>
      </c>
      <c r="O218" s="11"/>
      <c r="P218" s="11"/>
      <c r="Q218" s="8"/>
      <c r="R218" s="11"/>
      <c r="S218" s="11"/>
      <c r="T218" s="11"/>
      <c r="U218" s="11"/>
      <c r="V218" s="11"/>
      <c r="W218" s="83" t="str">
        <f t="shared" si="591"/>
        <v>НКНбд</v>
      </c>
      <c r="X218" s="114" t="s">
        <v>3241</v>
      </c>
      <c r="Y218" s="109">
        <v>2</v>
      </c>
      <c r="Z218" s="109">
        <v>1</v>
      </c>
      <c r="AA218" s="83">
        <f t="shared" si="562"/>
        <v>12</v>
      </c>
      <c r="AB218" s="11">
        <v>10</v>
      </c>
      <c r="AC218" s="12">
        <v>2</v>
      </c>
      <c r="AD218" s="81">
        <f t="shared" si="592"/>
        <v>12</v>
      </c>
      <c r="AE218" s="82">
        <f t="shared" si="563"/>
        <v>1</v>
      </c>
      <c r="AF218" s="82">
        <f t="shared" si="564"/>
        <v>1</v>
      </c>
      <c r="AG218" s="102" t="s">
        <v>3250</v>
      </c>
      <c r="AH218" s="113" t="s">
        <v>204</v>
      </c>
      <c r="AI218" s="113" t="s">
        <v>212</v>
      </c>
      <c r="AJ218" s="119" t="s">
        <v>3252</v>
      </c>
      <c r="AK218" s="8"/>
      <c r="AL218" s="42">
        <f t="shared" si="593"/>
        <v>36</v>
      </c>
      <c r="AM218" s="42">
        <f t="shared" si="547"/>
        <v>0</v>
      </c>
      <c r="AN218" s="42">
        <f t="shared" si="548"/>
        <v>0</v>
      </c>
      <c r="AO218" s="42">
        <f t="shared" si="586"/>
        <v>0</v>
      </c>
      <c r="AP218" s="42">
        <f t="shared" si="549"/>
        <v>0</v>
      </c>
      <c r="AQ218" s="42">
        <f t="shared" si="550"/>
        <v>0</v>
      </c>
      <c r="AR218" s="42">
        <f t="shared" si="594"/>
        <v>1.8</v>
      </c>
      <c r="AS218" s="42">
        <f t="shared" si="551"/>
        <v>0</v>
      </c>
      <c r="AT218" s="42">
        <f t="shared" si="552"/>
        <v>0</v>
      </c>
      <c r="AU218" s="42">
        <f t="shared" si="553"/>
        <v>0</v>
      </c>
      <c r="AV218" s="42">
        <f>IF(M218="ПП",РПП*AA218*(U218/1.5),IF(M218="ВП",ВПр*AA218*(U218/1.5),IF(M218="РПА",РПА*AA218*(U218/1.5),IF(M218="КПА",КПА*AA218*(U218/1.5),0))))</f>
        <v>0</v>
      </c>
      <c r="AW218" s="42">
        <f t="shared" si="554"/>
        <v>0</v>
      </c>
      <c r="AX218" s="42">
        <f t="shared" si="595"/>
        <v>0</v>
      </c>
      <c r="AY218" s="42">
        <f t="shared" si="596"/>
        <v>0</v>
      </c>
      <c r="AZ218" s="42">
        <f t="shared" si="555"/>
        <v>0</v>
      </c>
      <c r="BA218" s="42">
        <f t="shared" si="597"/>
        <v>0</v>
      </c>
      <c r="BB218" s="42">
        <f t="shared" si="598"/>
        <v>0</v>
      </c>
      <c r="BC218" s="42">
        <f t="shared" si="599"/>
        <v>0</v>
      </c>
      <c r="BD218" s="42">
        <f t="shared" si="556"/>
        <v>0</v>
      </c>
      <c r="BE218" s="43">
        <f t="shared" si="557"/>
        <v>37.799999999999997</v>
      </c>
      <c r="BF218" s="44"/>
      <c r="BG218" s="45">
        <f t="shared" si="558"/>
        <v>0</v>
      </c>
      <c r="BH218" s="45">
        <f t="shared" si="559"/>
        <v>0</v>
      </c>
      <c r="BI218" s="45">
        <f t="shared" si="560"/>
        <v>0</v>
      </c>
      <c r="BJ218" s="46">
        <f t="shared" si="587"/>
        <v>36</v>
      </c>
      <c r="BK218" s="46">
        <f t="shared" si="588"/>
        <v>1</v>
      </c>
      <c r="BL218" s="46">
        <f t="shared" si="589"/>
        <v>1.8</v>
      </c>
    </row>
    <row r="219" spans="1:64" ht="30" customHeight="1" x14ac:dyDescent="0.25">
      <c r="A219" s="84" t="str">
        <f t="shared" si="590"/>
        <v>Д</v>
      </c>
      <c r="B219" s="84" t="str">
        <f t="shared" si="32"/>
        <v>Б</v>
      </c>
      <c r="C219" s="101" t="s">
        <v>1463</v>
      </c>
      <c r="D219" s="16" t="str">
        <f t="shared" si="561"/>
        <v>'02.03.01</v>
      </c>
      <c r="E219" s="17" t="str">
        <f t="shared" si="621"/>
        <v>Математика и компьютерные науки</v>
      </c>
      <c r="F219" s="9" t="s">
        <v>413</v>
      </c>
      <c r="G219" s="9" t="s">
        <v>503</v>
      </c>
      <c r="H219" s="10"/>
      <c r="I219" s="10" t="s">
        <v>3232</v>
      </c>
      <c r="J219" s="24" t="s">
        <v>3298</v>
      </c>
      <c r="K219" s="11">
        <v>6</v>
      </c>
      <c r="L219" s="11">
        <v>18</v>
      </c>
      <c r="M219" s="8" t="s">
        <v>24</v>
      </c>
      <c r="N219" s="11"/>
      <c r="O219" s="11"/>
      <c r="P219" s="11">
        <v>4</v>
      </c>
      <c r="Q219" s="8" t="s">
        <v>102</v>
      </c>
      <c r="R219" s="11"/>
      <c r="S219" s="11"/>
      <c r="T219" s="11"/>
      <c r="U219" s="11"/>
      <c r="V219" s="11"/>
      <c r="W219" s="83" t="str">
        <f t="shared" si="591"/>
        <v>НКНбд</v>
      </c>
      <c r="X219" s="114" t="s">
        <v>3241</v>
      </c>
      <c r="Y219" s="109">
        <v>2</v>
      </c>
      <c r="Z219" s="109">
        <v>1</v>
      </c>
      <c r="AA219" s="83">
        <f t="shared" si="562"/>
        <v>12</v>
      </c>
      <c r="AB219" s="11">
        <v>10</v>
      </c>
      <c r="AC219" s="12">
        <v>2</v>
      </c>
      <c r="AD219" s="81">
        <f t="shared" si="592"/>
        <v>24</v>
      </c>
      <c r="AE219" s="82">
        <f t="shared" si="563"/>
        <v>0.5</v>
      </c>
      <c r="AF219" s="82">
        <f t="shared" si="564"/>
        <v>0.5</v>
      </c>
      <c r="AG219" s="102" t="s">
        <v>3250</v>
      </c>
      <c r="AH219" s="113" t="s">
        <v>204</v>
      </c>
      <c r="AI219" s="113" t="s">
        <v>212</v>
      </c>
      <c r="AJ219" s="119" t="s">
        <v>3252</v>
      </c>
      <c r="AK219" s="8"/>
      <c r="AL219" s="42">
        <f t="shared" si="593"/>
        <v>0</v>
      </c>
      <c r="AM219" s="42">
        <f t="shared" si="547"/>
        <v>36</v>
      </c>
      <c r="AN219" s="42">
        <f t="shared" si="548"/>
        <v>0</v>
      </c>
      <c r="AO219" s="42">
        <f t="shared" si="586"/>
        <v>3.96</v>
      </c>
      <c r="AP219" s="42">
        <f t="shared" si="549"/>
        <v>6</v>
      </c>
      <c r="AQ219" s="42">
        <f t="shared" si="550"/>
        <v>0.5</v>
      </c>
      <c r="AR219" s="42">
        <f t="shared" si="594"/>
        <v>0</v>
      </c>
      <c r="AS219" s="42">
        <f t="shared" si="551"/>
        <v>0</v>
      </c>
      <c r="AT219" s="42">
        <f t="shared" si="552"/>
        <v>0</v>
      </c>
      <c r="AU219" s="42">
        <f t="shared" si="553"/>
        <v>0</v>
      </c>
      <c r="AV219" s="42">
        <f>IF(M219="ПП",РПП*AA219*(U219/1.5),IF(M219="ВП",ВПр*AA219*(U219/1.5),IF(M219="РПА",РПА*AA219*(U219/1.5),IF(M219="КПА",КПА*AA219*(U219/1.5),0))))</f>
        <v>0</v>
      </c>
      <c r="AW219" s="42">
        <f t="shared" si="554"/>
        <v>0</v>
      </c>
      <c r="AX219" s="42">
        <f t="shared" si="595"/>
        <v>0</v>
      </c>
      <c r="AY219" s="42">
        <f t="shared" si="596"/>
        <v>0</v>
      </c>
      <c r="AZ219" s="42">
        <f t="shared" si="555"/>
        <v>0</v>
      </c>
      <c r="BA219" s="42">
        <f t="shared" si="597"/>
        <v>0</v>
      </c>
      <c r="BB219" s="42">
        <f t="shared" si="598"/>
        <v>0</v>
      </c>
      <c r="BC219" s="42">
        <f t="shared" si="599"/>
        <v>0</v>
      </c>
      <c r="BD219" s="42">
        <f t="shared" si="556"/>
        <v>0</v>
      </c>
      <c r="BE219" s="43">
        <f t="shared" si="557"/>
        <v>46.46</v>
      </c>
      <c r="BF219" s="44"/>
      <c r="BG219" s="45">
        <f t="shared" si="558"/>
        <v>0</v>
      </c>
      <c r="BH219" s="45">
        <f t="shared" si="559"/>
        <v>0</v>
      </c>
      <c r="BI219" s="45">
        <f t="shared" si="560"/>
        <v>0</v>
      </c>
      <c r="BJ219" s="46">
        <f t="shared" si="587"/>
        <v>36</v>
      </c>
      <c r="BK219" s="46">
        <f t="shared" si="588"/>
        <v>2</v>
      </c>
      <c r="BL219" s="46">
        <f t="shared" si="589"/>
        <v>10.46</v>
      </c>
    </row>
    <row r="220" spans="1:64" ht="30" customHeight="1" x14ac:dyDescent="0.25">
      <c r="A220" s="84" t="str">
        <f t="shared" si="590"/>
        <v>Д</v>
      </c>
      <c r="B220" s="84" t="str">
        <f t="shared" ref="B220:B245" si="643">IF(C220&gt;0, VLOOKUP(C220,Код_ООП,11,FALSE),0)</f>
        <v>Б</v>
      </c>
      <c r="C220" s="101" t="s">
        <v>1463</v>
      </c>
      <c r="D220" s="16" t="str">
        <f t="shared" si="561"/>
        <v>'02.03.01</v>
      </c>
      <c r="E220" s="17" t="str">
        <f t="shared" si="621"/>
        <v>Математика и компьютерные науки</v>
      </c>
      <c r="F220" s="9" t="s">
        <v>413</v>
      </c>
      <c r="G220" s="9" t="s">
        <v>503</v>
      </c>
      <c r="H220" s="10"/>
      <c r="I220" s="10" t="s">
        <v>3276</v>
      </c>
      <c r="J220" s="24" t="s">
        <v>3292</v>
      </c>
      <c r="K220" s="11" t="s">
        <v>3227</v>
      </c>
      <c r="L220" s="11">
        <v>9</v>
      </c>
      <c r="M220" s="8" t="s">
        <v>23</v>
      </c>
      <c r="N220" s="11">
        <v>2</v>
      </c>
      <c r="O220" s="11"/>
      <c r="P220" s="11"/>
      <c r="Q220" s="8" t="s">
        <v>103</v>
      </c>
      <c r="R220" s="12"/>
      <c r="S220" s="12"/>
      <c r="T220" s="12"/>
      <c r="U220" s="12"/>
      <c r="V220" s="12"/>
      <c r="W220" s="83" t="str">
        <f t="shared" si="591"/>
        <v>НКНбд</v>
      </c>
      <c r="X220" s="114" t="s">
        <v>3244</v>
      </c>
      <c r="Y220" s="109">
        <v>2</v>
      </c>
      <c r="Z220" s="109">
        <v>1</v>
      </c>
      <c r="AA220" s="83">
        <f t="shared" si="562"/>
        <v>9</v>
      </c>
      <c r="AB220" s="11">
        <v>6</v>
      </c>
      <c r="AC220" s="12">
        <v>3</v>
      </c>
      <c r="AD220" s="81">
        <f t="shared" si="592"/>
        <v>9</v>
      </c>
      <c r="AE220" s="82">
        <f t="shared" si="563"/>
        <v>1</v>
      </c>
      <c r="AF220" s="82">
        <f t="shared" si="564"/>
        <v>1</v>
      </c>
      <c r="AG220" s="102" t="s">
        <v>3250</v>
      </c>
      <c r="AH220" s="113" t="s">
        <v>205</v>
      </c>
      <c r="AI220" s="113" t="s">
        <v>212</v>
      </c>
      <c r="AJ220" s="119" t="s">
        <v>3295</v>
      </c>
      <c r="AK220" s="8"/>
      <c r="AL220" s="42">
        <f t="shared" si="593"/>
        <v>18</v>
      </c>
      <c r="AM220" s="42">
        <f t="shared" si="547"/>
        <v>0</v>
      </c>
      <c r="AN220" s="42">
        <f t="shared" si="548"/>
        <v>0</v>
      </c>
      <c r="AO220" s="42">
        <f t="shared" si="586"/>
        <v>0</v>
      </c>
      <c r="AP220" s="42">
        <f t="shared" si="549"/>
        <v>4.5</v>
      </c>
      <c r="AQ220" s="42">
        <f t="shared" si="550"/>
        <v>1</v>
      </c>
      <c r="AR220" s="42">
        <f t="shared" si="594"/>
        <v>0.9</v>
      </c>
      <c r="AS220" s="42">
        <f t="shared" si="551"/>
        <v>0</v>
      </c>
      <c r="AT220" s="42">
        <f t="shared" si="552"/>
        <v>0</v>
      </c>
      <c r="AU220" s="42">
        <f t="shared" si="553"/>
        <v>0</v>
      </c>
      <c r="AV220" s="42">
        <f>IF(M220="ПП",РПП*AA220*(U220/1.5),IF(M220="ВП",ВПр*AA220*(U220/1.5),IF(M220="РПА",РПА*AA220*(U220/1.5),IF(M220="КПА",КПА*AA220*(U220/1.5),0))))</f>
        <v>0</v>
      </c>
      <c r="AW220" s="42">
        <f t="shared" si="554"/>
        <v>0</v>
      </c>
      <c r="AX220" s="42">
        <f t="shared" si="595"/>
        <v>0</v>
      </c>
      <c r="AY220" s="42">
        <f t="shared" si="596"/>
        <v>0</v>
      </c>
      <c r="AZ220" s="42">
        <f t="shared" si="555"/>
        <v>0</v>
      </c>
      <c r="BA220" s="42">
        <f t="shared" si="597"/>
        <v>0</v>
      </c>
      <c r="BB220" s="42">
        <f t="shared" si="598"/>
        <v>0</v>
      </c>
      <c r="BC220" s="42">
        <f t="shared" si="599"/>
        <v>0</v>
      </c>
      <c r="BD220" s="42">
        <f t="shared" si="556"/>
        <v>0</v>
      </c>
      <c r="BE220" s="43">
        <f t="shared" si="557"/>
        <v>24.4</v>
      </c>
      <c r="BF220" s="44"/>
      <c r="BG220" s="45">
        <f t="shared" si="558"/>
        <v>18</v>
      </c>
      <c r="BH220" s="45">
        <f t="shared" si="559"/>
        <v>1</v>
      </c>
      <c r="BI220" s="45">
        <f t="shared" si="560"/>
        <v>6.4</v>
      </c>
      <c r="BJ220" s="46">
        <f t="shared" si="587"/>
        <v>0</v>
      </c>
      <c r="BK220" s="46">
        <f t="shared" si="588"/>
        <v>0</v>
      </c>
      <c r="BL220" s="46">
        <f t="shared" si="589"/>
        <v>0</v>
      </c>
    </row>
    <row r="221" spans="1:64" ht="30" customHeight="1" x14ac:dyDescent="0.25">
      <c r="A221" s="84" t="str">
        <f t="shared" si="590"/>
        <v>Д</v>
      </c>
      <c r="B221" s="84" t="str">
        <f t="shared" si="643"/>
        <v>Б</v>
      </c>
      <c r="C221" s="101" t="s">
        <v>1463</v>
      </c>
      <c r="D221" s="16" t="str">
        <f t="shared" si="561"/>
        <v>'02.03.01</v>
      </c>
      <c r="E221" s="17" t="str">
        <f t="shared" si="621"/>
        <v>Математика и компьютерные науки</v>
      </c>
      <c r="F221" s="9" t="s">
        <v>413</v>
      </c>
      <c r="G221" s="9" t="s">
        <v>503</v>
      </c>
      <c r="H221" s="10"/>
      <c r="I221" s="10" t="s">
        <v>3276</v>
      </c>
      <c r="J221" s="24" t="s">
        <v>3292</v>
      </c>
      <c r="K221" s="11" t="s">
        <v>3227</v>
      </c>
      <c r="L221" s="11">
        <v>9</v>
      </c>
      <c r="M221" s="8" t="s">
        <v>24</v>
      </c>
      <c r="N221" s="11"/>
      <c r="O221" s="11"/>
      <c r="P221" s="11">
        <v>4</v>
      </c>
      <c r="Q221" s="8"/>
      <c r="R221" s="11"/>
      <c r="S221" s="11"/>
      <c r="T221" s="23"/>
      <c r="U221" s="11"/>
      <c r="V221" s="11"/>
      <c r="W221" s="83" t="str">
        <f t="shared" si="591"/>
        <v>НКНбд</v>
      </c>
      <c r="X221" s="114" t="s">
        <v>3244</v>
      </c>
      <c r="Y221" s="109">
        <v>2</v>
      </c>
      <c r="Z221" s="109">
        <v>1</v>
      </c>
      <c r="AA221" s="83">
        <f t="shared" si="562"/>
        <v>9</v>
      </c>
      <c r="AB221" s="11">
        <v>6</v>
      </c>
      <c r="AC221" s="12">
        <v>3</v>
      </c>
      <c r="AD221" s="81">
        <f t="shared" si="592"/>
        <v>24</v>
      </c>
      <c r="AE221" s="82">
        <f t="shared" si="563"/>
        <v>0.375</v>
      </c>
      <c r="AF221" s="82">
        <f t="shared" si="564"/>
        <v>0.375</v>
      </c>
      <c r="AG221" s="102" t="s">
        <v>3250</v>
      </c>
      <c r="AH221" s="113" t="s">
        <v>204</v>
      </c>
      <c r="AI221" s="113" t="s">
        <v>212</v>
      </c>
      <c r="AJ221" s="119" t="s">
        <v>3254</v>
      </c>
      <c r="AK221" s="8"/>
      <c r="AL221" s="42">
        <f t="shared" si="593"/>
        <v>0</v>
      </c>
      <c r="AM221" s="42">
        <f t="shared" si="547"/>
        <v>13.5</v>
      </c>
      <c r="AN221" s="42">
        <f t="shared" si="548"/>
        <v>0</v>
      </c>
      <c r="AO221" s="42">
        <f t="shared" si="586"/>
        <v>0</v>
      </c>
      <c r="AP221" s="42">
        <f t="shared" si="549"/>
        <v>0</v>
      </c>
      <c r="AQ221" s="42">
        <f t="shared" si="550"/>
        <v>0</v>
      </c>
      <c r="AR221" s="42">
        <f t="shared" si="594"/>
        <v>0</v>
      </c>
      <c r="AS221" s="42">
        <f t="shared" si="551"/>
        <v>0</v>
      </c>
      <c r="AT221" s="42">
        <f t="shared" si="552"/>
        <v>0</v>
      </c>
      <c r="AU221" s="42">
        <f t="shared" si="553"/>
        <v>0</v>
      </c>
      <c r="AV221" s="42">
        <f>IF(M221="ПП",РПП*AA221*(U221/1.5),IF(M221="ВП",ВПр*AA221*(U221/1.5),IF(M221="РПА",РПА*AA221*(U221/1.5),IF(M221="КПА",КПА*AA221*(U221/1.5),0))))</f>
        <v>0</v>
      </c>
      <c r="AW221" s="42">
        <f t="shared" si="554"/>
        <v>0</v>
      </c>
      <c r="AX221" s="42">
        <f t="shared" si="595"/>
        <v>0</v>
      </c>
      <c r="AY221" s="42">
        <f t="shared" si="596"/>
        <v>0</v>
      </c>
      <c r="AZ221" s="42">
        <f t="shared" si="555"/>
        <v>0</v>
      </c>
      <c r="BA221" s="42">
        <f t="shared" si="597"/>
        <v>0</v>
      </c>
      <c r="BB221" s="42">
        <f t="shared" si="598"/>
        <v>0</v>
      </c>
      <c r="BC221" s="42">
        <f t="shared" si="599"/>
        <v>0</v>
      </c>
      <c r="BD221" s="42">
        <f t="shared" si="556"/>
        <v>0</v>
      </c>
      <c r="BE221" s="43">
        <f t="shared" si="557"/>
        <v>13.5</v>
      </c>
      <c r="BF221" s="44"/>
      <c r="BG221" s="45">
        <f t="shared" si="558"/>
        <v>13.5</v>
      </c>
      <c r="BH221" s="45">
        <f t="shared" si="559"/>
        <v>2</v>
      </c>
      <c r="BI221" s="45">
        <f t="shared" si="560"/>
        <v>0</v>
      </c>
      <c r="BJ221" s="46">
        <f t="shared" si="587"/>
        <v>0</v>
      </c>
      <c r="BK221" s="46">
        <f t="shared" si="588"/>
        <v>0</v>
      </c>
      <c r="BL221" s="46">
        <f t="shared" si="589"/>
        <v>0</v>
      </c>
    </row>
    <row r="222" spans="1:64" ht="30" customHeight="1" x14ac:dyDescent="0.25">
      <c r="A222" s="84" t="str">
        <f t="shared" si="590"/>
        <v>Д</v>
      </c>
      <c r="B222" s="84" t="str">
        <f t="shared" si="643"/>
        <v>Б</v>
      </c>
      <c r="C222" s="101" t="s">
        <v>1463</v>
      </c>
      <c r="D222" s="16" t="str">
        <f t="shared" si="561"/>
        <v>'02.03.01</v>
      </c>
      <c r="E222" s="17" t="str">
        <f t="shared" si="621"/>
        <v>Математика и компьютерные науки</v>
      </c>
      <c r="F222" s="9" t="s">
        <v>498</v>
      </c>
      <c r="G222" s="9" t="s">
        <v>42</v>
      </c>
      <c r="H222" s="10"/>
      <c r="I222" s="10"/>
      <c r="J222" s="24" t="s">
        <v>3203</v>
      </c>
      <c r="K222" s="11" t="s">
        <v>3229</v>
      </c>
      <c r="L222" s="11">
        <v>9</v>
      </c>
      <c r="M222" s="8" t="s">
        <v>96</v>
      </c>
      <c r="N222" s="11"/>
      <c r="O222" s="11"/>
      <c r="P222" s="11"/>
      <c r="Q222" s="8" t="s">
        <v>99</v>
      </c>
      <c r="R222" s="11"/>
      <c r="S222" s="11"/>
      <c r="T222" s="11"/>
      <c r="U222" s="11"/>
      <c r="V222" s="11"/>
      <c r="W222" s="83" t="str">
        <f t="shared" si="591"/>
        <v>НКНбд</v>
      </c>
      <c r="X222" s="114" t="s">
        <v>3244</v>
      </c>
      <c r="Y222" s="109">
        <v>2</v>
      </c>
      <c r="Z222" s="109">
        <v>1</v>
      </c>
      <c r="AA222" s="83">
        <f t="shared" si="562"/>
        <v>13</v>
      </c>
      <c r="AB222" s="11">
        <v>7</v>
      </c>
      <c r="AC222" s="11">
        <v>6</v>
      </c>
      <c r="AD222" s="81">
        <f t="shared" si="592"/>
        <v>1</v>
      </c>
      <c r="AE222" s="82">
        <f t="shared" si="563"/>
        <v>1</v>
      </c>
      <c r="AF222" s="82">
        <f t="shared" si="564"/>
        <v>13</v>
      </c>
      <c r="AG222" s="102" t="s">
        <v>3250</v>
      </c>
      <c r="AH222" s="113" t="s">
        <v>204</v>
      </c>
      <c r="AI222" s="113" t="s">
        <v>212</v>
      </c>
      <c r="AJ222" s="119" t="s">
        <v>3254</v>
      </c>
      <c r="AK222" s="8"/>
      <c r="AL222" s="42">
        <f t="shared" si="593"/>
        <v>0</v>
      </c>
      <c r="AM222" s="42">
        <f t="shared" ref="AM222:AM263" si="644">IF(OR(M222="пр",M222="ия",M222="сп"),P222*AE222*L222,0)</f>
        <v>0</v>
      </c>
      <c r="AN222" s="42">
        <f t="shared" ref="AN222:AN263" si="645">IF(OR(M222="лаб",M222="клн"),O222*AE222*L222,0)</f>
        <v>0</v>
      </c>
      <c r="AO222" s="42">
        <f t="shared" si="586"/>
        <v>0</v>
      </c>
      <c r="AP222" s="42">
        <f t="shared" ref="AP222:AP263" si="646">IF(SUM(O222:P222)&lt;&gt;0,IF(Q222="Зач",ПАБРС*AA222,0),0)+IF(N222&lt;&gt;0,IF(Q222="Экз",ПАБРС*AA222,0),0)</f>
        <v>0</v>
      </c>
      <c r="AQ222" s="42">
        <f t="shared" ref="AQ222:AQ263" si="647">(IF(AP222&lt;&gt;0,ОфВед*(IF(OR(M222="лек",M222="лаб"),Z222,AE222)),0))*(IF(F222="ФТД",0,1))</f>
        <v>0</v>
      </c>
      <c r="AR222" s="42">
        <f t="shared" si="594"/>
        <v>0</v>
      </c>
      <c r="AS222" s="42">
        <f t="shared" ref="AS222:AS263" si="648">IF(OR(M222="лаб",M222="пр"),IF(R222="К",AA222*ВПКР,IF(R222="М",AA222*ВПИБ,0)),0)</f>
        <v>0</v>
      </c>
      <c r="AT222" s="42">
        <f t="shared" ref="AT222:AT263" si="649">IF(OR(M222="лаб",M222="пр"),IF(S222="К",AA222*ВПКП,0),0)</f>
        <v>0</v>
      </c>
      <c r="AU222" s="42">
        <f t="shared" ref="AU222:AU263" si="650">IF(M222="УП",T222/1.5*AA222*РУП,IF(M222="УПМ",T222/1.5*AA222*РУПЛеч,0))</f>
        <v>0</v>
      </c>
      <c r="AV222" s="42">
        <f>IF(M222="ПП",РПП*AA222*(U222/1.5),IF(M222="ВП",ВПр*AA222*(U222/1.5),IF(M222="РПА",РПА*AA222*(U222/1.5),IF(M222="КПА",КПА*AA222*(U222/1.5),0))))</f>
        <v>0</v>
      </c>
      <c r="AW222" s="42">
        <f t="shared" ref="AW222:AW263" si="651">IF(M222="НР",(AB222*НИРМ+AC222*НИРМИн)*(V222/1.5),IF(M222="НИ",(AB222*НИРА+AC222*НИРАИ)*(V222/1.5),0))</f>
        <v>0</v>
      </c>
      <c r="AX222" s="42">
        <f t="shared" si="595"/>
        <v>0</v>
      </c>
      <c r="AY222" s="42">
        <f t="shared" si="596"/>
        <v>0</v>
      </c>
      <c r="AZ222" s="42">
        <f t="shared" ref="AZ222:AZ263" si="652">IF(AND(Q222="КЭ",M222="ЧК"),AA222*КдЭк,0)</f>
        <v>0</v>
      </c>
      <c r="BA222" s="42">
        <f t="shared" si="597"/>
        <v>0</v>
      </c>
      <c r="BB222" s="42">
        <f t="shared" si="598"/>
        <v>320</v>
      </c>
      <c r="BC222" s="42">
        <f t="shared" si="599"/>
        <v>0</v>
      </c>
      <c r="BD222" s="42">
        <f t="shared" ref="BD222:BD263" si="653">IF(M222="ЧГ",AA222*ЧГ,IF(M222="ПГ",AA222*ПГ,IF(M222="ТЕСТ",ТГИЭ*AE222,IF(M222="СГ",AA222*СГ,0))))</f>
        <v>0</v>
      </c>
      <c r="BE222" s="43">
        <f t="shared" ref="BE222:BE263" si="654">SUM(AL222:BD222)</f>
        <v>320</v>
      </c>
      <c r="BF222" s="44"/>
      <c r="BG222" s="45">
        <f t="shared" ref="BG222:BG263" si="655">IF(OR(K222="1;1",K222="1;2",K222=1,K222="3;1",K222="3;2",K222=3,K222="5;1",K222="5;2",K222=5,K222="7;1",K222="7;2",K222=7,K222="9;1",K222="9;2",K222=9,K222=11),SUM(AL222:AN222),0)</f>
        <v>0</v>
      </c>
      <c r="BH222" s="45">
        <f t="shared" ref="BH222:BH263" si="656">IF(BG222&lt;&gt;0,SUM(N222:P222)/2,0)</f>
        <v>0</v>
      </c>
      <c r="BI222" s="45">
        <f t="shared" ref="BI222:BI263" si="657">IF(OR(K222="1;1",K222="1;2",K222=1,K222="3;1",K222="3;2",K222=3,K222="5;1",K222="5;2",K222=5,K222="7;1",K222="7;2",K222=7,K222="9;1",K222="9;2",K222=9,K222=11),SUM(AO222:BD222),0)</f>
        <v>0</v>
      </c>
      <c r="BJ222" s="46">
        <f t="shared" si="587"/>
        <v>0</v>
      </c>
      <c r="BK222" s="46">
        <f t="shared" si="588"/>
        <v>0</v>
      </c>
      <c r="BL222" s="46">
        <f t="shared" si="589"/>
        <v>320</v>
      </c>
    </row>
    <row r="223" spans="1:64" ht="30" customHeight="1" x14ac:dyDescent="0.25">
      <c r="A223" s="84" t="str">
        <f t="shared" si="590"/>
        <v>Д</v>
      </c>
      <c r="B223" s="84" t="str">
        <f t="shared" si="643"/>
        <v>Б</v>
      </c>
      <c r="C223" s="101" t="s">
        <v>1463</v>
      </c>
      <c r="D223" s="16" t="str">
        <f t="shared" si="561"/>
        <v>'02.03.01</v>
      </c>
      <c r="E223" s="17" t="str">
        <f t="shared" si="621"/>
        <v>Математика и компьютерные науки</v>
      </c>
      <c r="F223" s="9" t="s">
        <v>498</v>
      </c>
      <c r="G223" s="9" t="s">
        <v>42</v>
      </c>
      <c r="H223" s="10"/>
      <c r="I223" s="10"/>
      <c r="J223" s="24" t="s">
        <v>73</v>
      </c>
      <c r="K223" s="11" t="s">
        <v>3229</v>
      </c>
      <c r="L223" s="11">
        <v>9</v>
      </c>
      <c r="M223" s="8" t="s">
        <v>27</v>
      </c>
      <c r="N223" s="11"/>
      <c r="O223" s="11"/>
      <c r="P223" s="11"/>
      <c r="Q223" s="8" t="s">
        <v>99</v>
      </c>
      <c r="R223" s="12"/>
      <c r="S223" s="12"/>
      <c r="T223" s="12"/>
      <c r="U223" s="12"/>
      <c r="V223" s="12"/>
      <c r="W223" s="83" t="str">
        <f t="shared" si="591"/>
        <v>НКНбд</v>
      </c>
      <c r="X223" s="114" t="s">
        <v>3244</v>
      </c>
      <c r="Y223" s="109">
        <v>2</v>
      </c>
      <c r="Z223" s="109">
        <v>1</v>
      </c>
      <c r="AA223" s="83">
        <f t="shared" si="562"/>
        <v>13</v>
      </c>
      <c r="AB223" s="11">
        <v>7</v>
      </c>
      <c r="AC223" s="11">
        <v>6</v>
      </c>
      <c r="AD223" s="81">
        <f t="shared" si="592"/>
        <v>1</v>
      </c>
      <c r="AE223" s="82">
        <f t="shared" si="563"/>
        <v>1</v>
      </c>
      <c r="AF223" s="82">
        <f t="shared" si="564"/>
        <v>13</v>
      </c>
      <c r="AG223" s="102" t="s">
        <v>3250</v>
      </c>
      <c r="AH223" s="113" t="s">
        <v>204</v>
      </c>
      <c r="AI223" s="113" t="s">
        <v>212</v>
      </c>
      <c r="AJ223" s="119" t="s">
        <v>3254</v>
      </c>
      <c r="AK223" s="8"/>
      <c r="AL223" s="42">
        <f t="shared" si="593"/>
        <v>0</v>
      </c>
      <c r="AM223" s="42">
        <f t="shared" si="644"/>
        <v>0</v>
      </c>
      <c r="AN223" s="42">
        <f t="shared" si="645"/>
        <v>0</v>
      </c>
      <c r="AO223" s="42">
        <f t="shared" si="586"/>
        <v>0</v>
      </c>
      <c r="AP223" s="42">
        <f t="shared" si="646"/>
        <v>0</v>
      </c>
      <c r="AQ223" s="42">
        <f t="shared" si="647"/>
        <v>0</v>
      </c>
      <c r="AR223" s="42">
        <f t="shared" si="594"/>
        <v>0</v>
      </c>
      <c r="AS223" s="42">
        <f t="shared" si="648"/>
        <v>0</v>
      </c>
      <c r="AT223" s="42">
        <f t="shared" si="649"/>
        <v>0</v>
      </c>
      <c r="AU223" s="42">
        <f t="shared" si="650"/>
        <v>0</v>
      </c>
      <c r="AV223" s="42">
        <f>IF(M223="ПП",РПП*AA223*(U223/1.5),IF(M223="ВП",ВПр*AA223*(U223/1.5),IF(M223="РПА",РПА*AA223*(U223/1.5),IF(M223="КПА",КПА*AA223*(U223/1.5),0))))</f>
        <v>0</v>
      </c>
      <c r="AW223" s="42">
        <f t="shared" si="651"/>
        <v>0</v>
      </c>
      <c r="AX223" s="42">
        <f t="shared" si="595"/>
        <v>0</v>
      </c>
      <c r="AY223" s="42">
        <f t="shared" si="596"/>
        <v>0</v>
      </c>
      <c r="AZ223" s="42">
        <f t="shared" si="652"/>
        <v>0</v>
      </c>
      <c r="BA223" s="42">
        <f t="shared" si="597"/>
        <v>0</v>
      </c>
      <c r="BB223" s="42">
        <f t="shared" si="598"/>
        <v>0</v>
      </c>
      <c r="BC223" s="42">
        <f t="shared" si="599"/>
        <v>26</v>
      </c>
      <c r="BD223" s="42">
        <f t="shared" si="653"/>
        <v>0</v>
      </c>
      <c r="BE223" s="43">
        <f t="shared" si="654"/>
        <v>26</v>
      </c>
      <c r="BF223" s="44"/>
      <c r="BG223" s="45">
        <f t="shared" si="655"/>
        <v>0</v>
      </c>
      <c r="BH223" s="45">
        <f t="shared" si="656"/>
        <v>0</v>
      </c>
      <c r="BI223" s="45">
        <f t="shared" si="657"/>
        <v>0</v>
      </c>
      <c r="BJ223" s="46">
        <f t="shared" si="587"/>
        <v>0</v>
      </c>
      <c r="BK223" s="46">
        <f t="shared" si="588"/>
        <v>0</v>
      </c>
      <c r="BL223" s="46">
        <f t="shared" si="589"/>
        <v>26</v>
      </c>
    </row>
    <row r="224" spans="1:64" ht="30" customHeight="1" x14ac:dyDescent="0.25">
      <c r="A224" s="84" t="str">
        <f t="shared" si="590"/>
        <v>Д</v>
      </c>
      <c r="B224" s="84" t="str">
        <f t="shared" si="643"/>
        <v>Б</v>
      </c>
      <c r="C224" s="101" t="s">
        <v>1463</v>
      </c>
      <c r="D224" s="16" t="str">
        <f t="shared" si="561"/>
        <v>'02.03.01</v>
      </c>
      <c r="E224" s="17" t="str">
        <f t="shared" si="621"/>
        <v>Математика и компьютерные науки</v>
      </c>
      <c r="F224" s="9" t="s">
        <v>498</v>
      </c>
      <c r="G224" s="9" t="s">
        <v>42</v>
      </c>
      <c r="H224" s="10"/>
      <c r="I224" s="10"/>
      <c r="J224" s="24" t="s">
        <v>20</v>
      </c>
      <c r="K224" s="12" t="s">
        <v>3229</v>
      </c>
      <c r="L224" s="11">
        <v>9</v>
      </c>
      <c r="M224" s="8" t="s">
        <v>1738</v>
      </c>
      <c r="N224" s="12"/>
      <c r="O224" s="12"/>
      <c r="P224" s="12"/>
      <c r="Q224" s="8" t="s">
        <v>97</v>
      </c>
      <c r="R224" s="11"/>
      <c r="S224" s="11"/>
      <c r="T224" s="23"/>
      <c r="U224" s="11"/>
      <c r="V224" s="11"/>
      <c r="W224" s="83" t="str">
        <f t="shared" si="591"/>
        <v>НКНбд</v>
      </c>
      <c r="X224" s="114" t="s">
        <v>3244</v>
      </c>
      <c r="Y224" s="109">
        <v>2</v>
      </c>
      <c r="Z224" s="109">
        <v>1</v>
      </c>
      <c r="AA224" s="83">
        <f t="shared" si="562"/>
        <v>13</v>
      </c>
      <c r="AB224" s="11">
        <v>7</v>
      </c>
      <c r="AC224" s="11">
        <v>6</v>
      </c>
      <c r="AD224" s="81">
        <f t="shared" si="592"/>
        <v>1</v>
      </c>
      <c r="AE224" s="82">
        <f t="shared" si="563"/>
        <v>1</v>
      </c>
      <c r="AF224" s="82">
        <f t="shared" si="564"/>
        <v>13</v>
      </c>
      <c r="AG224" s="102" t="s">
        <v>3250</v>
      </c>
      <c r="AH224" s="113" t="s">
        <v>447</v>
      </c>
      <c r="AI224" s="113"/>
      <c r="AJ224" s="123" t="s">
        <v>412</v>
      </c>
      <c r="AK224" s="8"/>
      <c r="AL224" s="42">
        <f t="shared" si="593"/>
        <v>0</v>
      </c>
      <c r="AM224" s="42">
        <f t="shared" si="644"/>
        <v>0</v>
      </c>
      <c r="AN224" s="42">
        <f t="shared" si="645"/>
        <v>0</v>
      </c>
      <c r="AO224" s="42">
        <f t="shared" si="586"/>
        <v>0</v>
      </c>
      <c r="AP224" s="42">
        <f t="shared" si="646"/>
        <v>0</v>
      </c>
      <c r="AQ224" s="42">
        <f t="shared" si="647"/>
        <v>0</v>
      </c>
      <c r="AR224" s="42">
        <f t="shared" si="594"/>
        <v>0</v>
      </c>
      <c r="AS224" s="42">
        <f t="shared" si="648"/>
        <v>0</v>
      </c>
      <c r="AT224" s="42">
        <f t="shared" si="649"/>
        <v>0</v>
      </c>
      <c r="AU224" s="42">
        <f t="shared" si="650"/>
        <v>0</v>
      </c>
      <c r="AV224" s="42">
        <f>IF(M224="ПП",РПП*AA224*(U224/1.5),IF(M224="ВП",ВПр*AA224*(U224/1.5),IF(M224="РПА",РПА*AA224*(U224/1.5),IF(M224="КПА",КПА*AA224*(U224/1.5),0))))</f>
        <v>0</v>
      </c>
      <c r="AW224" s="42">
        <f t="shared" si="651"/>
        <v>0</v>
      </c>
      <c r="AX224" s="42">
        <f t="shared" si="595"/>
        <v>0</v>
      </c>
      <c r="AY224" s="42">
        <f t="shared" si="596"/>
        <v>0</v>
      </c>
      <c r="AZ224" s="42">
        <f t="shared" si="652"/>
        <v>0</v>
      </c>
      <c r="BA224" s="42">
        <f t="shared" si="597"/>
        <v>0</v>
      </c>
      <c r="BB224" s="42">
        <f t="shared" si="598"/>
        <v>0</v>
      </c>
      <c r="BC224" s="42">
        <f t="shared" si="599"/>
        <v>0</v>
      </c>
      <c r="BD224" s="42">
        <f t="shared" si="653"/>
        <v>6.5</v>
      </c>
      <c r="BE224" s="43">
        <f t="shared" si="654"/>
        <v>6.5</v>
      </c>
      <c r="BF224" s="44"/>
      <c r="BG224" s="45">
        <f t="shared" si="655"/>
        <v>0</v>
      </c>
      <c r="BH224" s="45">
        <f t="shared" si="656"/>
        <v>0</v>
      </c>
      <c r="BI224" s="45">
        <f t="shared" si="657"/>
        <v>0</v>
      </c>
      <c r="BJ224" s="46">
        <f t="shared" si="587"/>
        <v>0</v>
      </c>
      <c r="BK224" s="46">
        <f t="shared" si="588"/>
        <v>0</v>
      </c>
      <c r="BL224" s="46">
        <f t="shared" si="589"/>
        <v>6.5</v>
      </c>
    </row>
    <row r="225" spans="1:64" ht="30" customHeight="1" x14ac:dyDescent="0.25">
      <c r="A225" s="84" t="str">
        <f t="shared" si="590"/>
        <v>Д</v>
      </c>
      <c r="B225" s="84" t="str">
        <f t="shared" si="643"/>
        <v>Б</v>
      </c>
      <c r="C225" s="101" t="s">
        <v>1463</v>
      </c>
      <c r="D225" s="16" t="str">
        <f t="shared" si="561"/>
        <v>'02.03.01</v>
      </c>
      <c r="E225" s="17" t="str">
        <f t="shared" si="621"/>
        <v>Математика и компьютерные науки</v>
      </c>
      <c r="F225" s="9" t="s">
        <v>498</v>
      </c>
      <c r="G225" s="9" t="s">
        <v>42</v>
      </c>
      <c r="H225" s="10"/>
      <c r="I225" s="10"/>
      <c r="J225" s="24" t="s">
        <v>20</v>
      </c>
      <c r="K225" s="11" t="s">
        <v>3229</v>
      </c>
      <c r="L225" s="11">
        <v>9</v>
      </c>
      <c r="M225" s="8" t="s">
        <v>98</v>
      </c>
      <c r="N225" s="11"/>
      <c r="O225" s="11"/>
      <c r="P225" s="11"/>
      <c r="Q225" s="8" t="s">
        <v>97</v>
      </c>
      <c r="R225" s="11"/>
      <c r="S225" s="11"/>
      <c r="T225" s="11"/>
      <c r="U225" s="11"/>
      <c r="V225" s="11"/>
      <c r="W225" s="83" t="str">
        <f t="shared" si="591"/>
        <v>НКНбд</v>
      </c>
      <c r="X225" s="114" t="s">
        <v>3244</v>
      </c>
      <c r="Y225" s="109">
        <v>2</v>
      </c>
      <c r="Z225" s="109">
        <v>1</v>
      </c>
      <c r="AA225" s="83">
        <f t="shared" si="562"/>
        <v>13</v>
      </c>
      <c r="AB225" s="11">
        <v>7</v>
      </c>
      <c r="AC225" s="11">
        <v>6</v>
      </c>
      <c r="AD225" s="81">
        <f t="shared" si="592"/>
        <v>24</v>
      </c>
      <c r="AE225" s="82">
        <f t="shared" si="563"/>
        <v>0.54166666666666663</v>
      </c>
      <c r="AF225" s="82">
        <f t="shared" si="564"/>
        <v>0.54166666666666663</v>
      </c>
      <c r="AG225" s="102" t="s">
        <v>3250</v>
      </c>
      <c r="AH225" s="113" t="s">
        <v>447</v>
      </c>
      <c r="AI225" s="113"/>
      <c r="AJ225" s="123" t="s">
        <v>412</v>
      </c>
      <c r="AK225" s="8"/>
      <c r="AL225" s="42">
        <f t="shared" si="593"/>
        <v>0</v>
      </c>
      <c r="AM225" s="42">
        <f t="shared" si="644"/>
        <v>0</v>
      </c>
      <c r="AN225" s="42">
        <f t="shared" si="645"/>
        <v>0</v>
      </c>
      <c r="AO225" s="42">
        <f t="shared" si="586"/>
        <v>0</v>
      </c>
      <c r="AP225" s="42">
        <f t="shared" si="646"/>
        <v>0</v>
      </c>
      <c r="AQ225" s="42">
        <f t="shared" si="647"/>
        <v>0</v>
      </c>
      <c r="AR225" s="42">
        <f t="shared" si="594"/>
        <v>0</v>
      </c>
      <c r="AS225" s="42">
        <f t="shared" si="648"/>
        <v>0</v>
      </c>
      <c r="AT225" s="42">
        <f t="shared" si="649"/>
        <v>0</v>
      </c>
      <c r="AU225" s="42">
        <f t="shared" si="650"/>
        <v>0</v>
      </c>
      <c r="AV225" s="42">
        <f>IF(M225="ПП",РПП*AA225*(U225/1.5),IF(M225="ВП",ВПр*AA225*(U225/1.5),IF(M225="РПА",РПА*AA225*(U225/1.5),IF(M225="КПА",КПА*AA225*(U225/1.5),0))))</f>
        <v>0</v>
      </c>
      <c r="AW225" s="42">
        <f t="shared" si="651"/>
        <v>0</v>
      </c>
      <c r="AX225" s="42">
        <f t="shared" si="595"/>
        <v>0</v>
      </c>
      <c r="AY225" s="42">
        <f t="shared" si="596"/>
        <v>0</v>
      </c>
      <c r="AZ225" s="42">
        <f t="shared" si="652"/>
        <v>0</v>
      </c>
      <c r="BA225" s="42">
        <f t="shared" si="597"/>
        <v>0</v>
      </c>
      <c r="BB225" s="42">
        <f t="shared" si="598"/>
        <v>0</v>
      </c>
      <c r="BC225" s="42">
        <f t="shared" si="599"/>
        <v>0</v>
      </c>
      <c r="BD225" s="42">
        <f t="shared" si="653"/>
        <v>1.0833333333333333</v>
      </c>
      <c r="BE225" s="43">
        <f t="shared" si="654"/>
        <v>1.0833333333333333</v>
      </c>
      <c r="BF225" s="44"/>
      <c r="BG225" s="45">
        <f t="shared" si="655"/>
        <v>0</v>
      </c>
      <c r="BH225" s="45">
        <f t="shared" si="656"/>
        <v>0</v>
      </c>
      <c r="BI225" s="45">
        <f t="shared" si="657"/>
        <v>0</v>
      </c>
      <c r="BJ225" s="46">
        <f t="shared" si="587"/>
        <v>0</v>
      </c>
      <c r="BK225" s="46">
        <f t="shared" si="588"/>
        <v>0</v>
      </c>
      <c r="BL225" s="46">
        <f t="shared" si="589"/>
        <v>1.0833333333333333</v>
      </c>
    </row>
    <row r="226" spans="1:64" ht="30" customHeight="1" x14ac:dyDescent="0.25">
      <c r="A226" s="84" t="str">
        <f t="shared" si="590"/>
        <v>Д</v>
      </c>
      <c r="B226" s="84" t="str">
        <f t="shared" ref="B226:B229" si="658">IF(C226&gt;0, VLOOKUP(C226,Код_ООП,11,FALSE),0)</f>
        <v>Б</v>
      </c>
      <c r="C226" s="101" t="s">
        <v>1463</v>
      </c>
      <c r="D226" s="16" t="str">
        <f t="shared" ref="D226:D229" si="659">IF(C226&gt;0, VLOOKUP(C226,Код_ООП,2,FALSE),0)</f>
        <v>'02.03.01</v>
      </c>
      <c r="E226" s="17" t="str">
        <f t="shared" ref="E226:E229" si="660">IF(C226&gt;0, VLOOKUP(C226,Код_ООП,13,FALSE),0)</f>
        <v>Математика и компьютерные науки</v>
      </c>
      <c r="F226" s="9" t="s">
        <v>413</v>
      </c>
      <c r="G226" s="9" t="s">
        <v>42</v>
      </c>
      <c r="H226" s="10" t="s">
        <v>3233</v>
      </c>
      <c r="I226" s="10"/>
      <c r="J226" s="24" t="s">
        <v>3208</v>
      </c>
      <c r="K226" s="11">
        <v>5</v>
      </c>
      <c r="L226" s="11">
        <v>18</v>
      </c>
      <c r="M226" s="8" t="s">
        <v>23</v>
      </c>
      <c r="N226" s="11">
        <v>1</v>
      </c>
      <c r="O226" s="11"/>
      <c r="P226" s="11"/>
      <c r="Q226" s="8" t="s">
        <v>103</v>
      </c>
      <c r="R226" s="12"/>
      <c r="S226" s="12"/>
      <c r="T226" s="12"/>
      <c r="U226" s="12"/>
      <c r="V226" s="12"/>
      <c r="W226" s="83" t="str">
        <f t="shared" si="591"/>
        <v>НКНбд</v>
      </c>
      <c r="X226" s="114" t="s">
        <v>3241</v>
      </c>
      <c r="Y226" s="109">
        <v>2</v>
      </c>
      <c r="Z226" s="109">
        <v>1</v>
      </c>
      <c r="AA226" s="83">
        <f t="shared" ref="AA226:AA229" si="661">AB226+AC226</f>
        <v>21</v>
      </c>
      <c r="AB226" s="11">
        <v>14</v>
      </c>
      <c r="AC226" s="11">
        <v>7</v>
      </c>
      <c r="AD226" s="81">
        <f t="shared" si="592"/>
        <v>21</v>
      </c>
      <c r="AE226" s="82">
        <f t="shared" ref="AE226:AE229" si="662">IF(AF226&gt;1,1,AF226)</f>
        <v>1</v>
      </c>
      <c r="AF226" s="82">
        <f t="shared" ref="AF226:AF229" si="663">AA226/AD226</f>
        <v>1</v>
      </c>
      <c r="AG226" s="102" t="s">
        <v>3250</v>
      </c>
      <c r="AH226" s="113" t="s">
        <v>204</v>
      </c>
      <c r="AI226" s="113" t="s">
        <v>212</v>
      </c>
      <c r="AJ226" s="120" t="s">
        <v>3256</v>
      </c>
      <c r="AK226" s="8"/>
      <c r="AL226" s="42">
        <f t="shared" si="593"/>
        <v>18</v>
      </c>
      <c r="AM226" s="42">
        <f t="shared" ref="AM226:AM229" si="664">IF(OR(M226="пр",M226="ия",M226="сп"),P226*AE226*L226,0)</f>
        <v>0</v>
      </c>
      <c r="AN226" s="42">
        <f t="shared" ref="AN226:AN229" si="665">IF(OR(M226="лаб",M226="клн"),O226*AE226*L226,0)</f>
        <v>0</v>
      </c>
      <c r="AO226" s="42">
        <f t="shared" ref="AO226:AO229" si="666">(IF((AND(OR(K226=1,K226=2,K226=3,K226=4,K226=5,K226=6,K226=7,K226=8,K226=9,K226=10,K226=11,K226=12),OR(Q226="Зач",Q226="Экз"))),ТКиРА*AA226,0)+IF(SUM(N226:P226)&lt;&gt;0,IF(Q226="ТК",ТКиРА*AA226,0),0))*(IF(F226="ФТД",0,1))</f>
        <v>6.9300000000000006</v>
      </c>
      <c r="AP226" s="42">
        <f t="shared" ref="AP226:AP229" si="667">IF(SUM(O226:P226)&lt;&gt;0,IF(Q226="Зач",ПАБРС*AA226,0),0)+IF(N226&lt;&gt;0,IF(Q226="Экз",ПАБРС*AA226,0),0)</f>
        <v>10.5</v>
      </c>
      <c r="AQ226" s="42">
        <f t="shared" ref="AQ226:AQ229" si="668">(IF(AP226&lt;&gt;0,ОфВед*(IF(OR(M226="лек",M226="лаб"),Z226,AE226)),0))*(IF(F226="ФТД",0,1))</f>
        <v>1</v>
      </c>
      <c r="AR226" s="42">
        <f t="shared" si="594"/>
        <v>0.9</v>
      </c>
      <c r="AS226" s="42">
        <f t="shared" ref="AS226:AS229" si="669">IF(OR(M226="лаб",M226="пр"),IF(R226="К",AA226*ВПКР,IF(R226="М",AA226*ВПИБ,0)),0)</f>
        <v>0</v>
      </c>
      <c r="AT226" s="42">
        <f t="shared" ref="AT226:AT229" si="670">IF(OR(M226="лаб",M226="пр"),IF(S226="К",AA226*ВПКП,0),0)</f>
        <v>0</v>
      </c>
      <c r="AU226" s="42">
        <f t="shared" ref="AU226:AU229" si="671">IF(M226="УП",T226/1.5*AA226*РУП,IF(M226="УПМ",T226/1.5*AA226*РУПЛеч,0))</f>
        <v>0</v>
      </c>
      <c r="AV226" s="42">
        <f>IF(M226="ПП",РПП*AA226*(U226/1.5),IF(M226="ВП",ВПр*AA226*(U226/1.5),IF(M226="РПА",РПА*AA226*(U226/1.5),IF(M226="КПА",КПА*AA226*(U226/1.5),0))))</f>
        <v>0</v>
      </c>
      <c r="AW226" s="42">
        <f t="shared" ref="AW226:AW229" si="672">IF(M226="НР",(AB226*НИРМ+AC226*НИРМИн)*(V226/1.5),IF(M226="НИ",(AB226*НИРА+AC226*НИРАИ)*(V226/1.5),0))</f>
        <v>0</v>
      </c>
      <c r="AX226" s="42">
        <f t="shared" si="595"/>
        <v>0</v>
      </c>
      <c r="AY226" s="42">
        <f t="shared" si="596"/>
        <v>0</v>
      </c>
      <c r="AZ226" s="42">
        <f t="shared" ref="AZ226:AZ229" si="673">IF(AND(Q226="КЭ",M226="ЧК"),AA226*КдЭк,0)</f>
        <v>0</v>
      </c>
      <c r="BA226" s="42">
        <f t="shared" si="597"/>
        <v>0</v>
      </c>
      <c r="BB226" s="42">
        <f t="shared" si="598"/>
        <v>0</v>
      </c>
      <c r="BC226" s="42">
        <f t="shared" si="599"/>
        <v>0</v>
      </c>
      <c r="BD226" s="42">
        <f t="shared" ref="BD226:BD229" si="674">IF(M226="ЧГ",AA226*ЧГ,IF(M226="ПГ",AA226*ПГ,IF(M226="ТЕСТ",ТГИЭ*AE226,IF(M226="СГ",AA226*СГ,0))))</f>
        <v>0</v>
      </c>
      <c r="BE226" s="43">
        <f t="shared" ref="BE226:BE229" si="675">SUM(AL226:BD226)</f>
        <v>37.33</v>
      </c>
      <c r="BF226" s="44"/>
      <c r="BG226" s="45">
        <f t="shared" ref="BG226:BG229" si="676">IF(OR(K226="1;1",K226="1;2",K226=1,K226="3;1",K226="3;2",K226=3,K226="5;1",K226="5;2",K226=5,K226="7;1",K226="7;2",K226=7,K226="9;1",K226="9;2",K226=9,K226=11),SUM(AL226:AN226),0)</f>
        <v>18</v>
      </c>
      <c r="BH226" s="45">
        <f t="shared" ref="BH226:BH229" si="677">IF(BG226&lt;&gt;0,SUM(N226:P226)/2,0)</f>
        <v>0.5</v>
      </c>
      <c r="BI226" s="45">
        <f t="shared" ref="BI226:BI229" si="678">IF(OR(K226="1;1",K226="1;2",K226=1,K226="3;1",K226="3;2",K226=3,K226="5;1",K226="5;2",K226=5,K226="7;1",K226="7;2",K226=7,K226="9;1",K226="9;2",K226=9,K226=11),SUM(AO226:BD226),0)</f>
        <v>19.329999999999998</v>
      </c>
      <c r="BJ226" s="46">
        <f t="shared" si="587"/>
        <v>0</v>
      </c>
      <c r="BK226" s="46">
        <f t="shared" si="588"/>
        <v>0</v>
      </c>
      <c r="BL226" s="46">
        <f t="shared" si="589"/>
        <v>0</v>
      </c>
    </row>
    <row r="227" spans="1:64" ht="30" customHeight="1" x14ac:dyDescent="0.25">
      <c r="A227" s="84" t="str">
        <f t="shared" si="590"/>
        <v>Д</v>
      </c>
      <c r="B227" s="84" t="str">
        <f t="shared" si="658"/>
        <v>Б</v>
      </c>
      <c r="C227" s="101" t="s">
        <v>1463</v>
      </c>
      <c r="D227" s="16" t="str">
        <f t="shared" si="659"/>
        <v>'02.03.01</v>
      </c>
      <c r="E227" s="17" t="str">
        <f t="shared" si="660"/>
        <v>Математика и компьютерные науки</v>
      </c>
      <c r="F227" s="9" t="s">
        <v>413</v>
      </c>
      <c r="G227" s="9" t="s">
        <v>42</v>
      </c>
      <c r="H227" s="10" t="s">
        <v>3233</v>
      </c>
      <c r="I227" s="10"/>
      <c r="J227" s="24" t="s">
        <v>3208</v>
      </c>
      <c r="K227" s="11">
        <v>5</v>
      </c>
      <c r="L227" s="11">
        <v>18</v>
      </c>
      <c r="M227" s="8" t="s">
        <v>94</v>
      </c>
      <c r="N227" s="11"/>
      <c r="O227" s="11">
        <v>2</v>
      </c>
      <c r="P227" s="11"/>
      <c r="Q227" s="8"/>
      <c r="R227" s="11"/>
      <c r="S227" s="11"/>
      <c r="T227" s="23"/>
      <c r="U227" s="11"/>
      <c r="V227" s="11"/>
      <c r="W227" s="83" t="str">
        <f t="shared" si="591"/>
        <v>НКНбд</v>
      </c>
      <c r="X227" s="114" t="s">
        <v>3241</v>
      </c>
      <c r="Y227" s="109">
        <v>1</v>
      </c>
      <c r="Z227" s="109">
        <v>1</v>
      </c>
      <c r="AA227" s="83">
        <f t="shared" si="661"/>
        <v>11</v>
      </c>
      <c r="AB227" s="11">
        <v>7</v>
      </c>
      <c r="AC227" s="11">
        <v>4</v>
      </c>
      <c r="AD227" s="81">
        <f t="shared" si="592"/>
        <v>12</v>
      </c>
      <c r="AE227" s="82">
        <f t="shared" si="662"/>
        <v>0.91666666666666663</v>
      </c>
      <c r="AF227" s="82">
        <f t="shared" si="663"/>
        <v>0.91666666666666663</v>
      </c>
      <c r="AG227" s="102" t="s">
        <v>3250</v>
      </c>
      <c r="AH227" s="113" t="s">
        <v>204</v>
      </c>
      <c r="AI227" s="113" t="s">
        <v>212</v>
      </c>
      <c r="AJ227" s="119" t="s">
        <v>3256</v>
      </c>
      <c r="AK227" s="8"/>
      <c r="AL227" s="42">
        <f t="shared" si="593"/>
        <v>0</v>
      </c>
      <c r="AM227" s="42">
        <f t="shared" si="664"/>
        <v>0</v>
      </c>
      <c r="AN227" s="42">
        <f t="shared" si="665"/>
        <v>33</v>
      </c>
      <c r="AO227" s="42">
        <f t="shared" si="666"/>
        <v>0</v>
      </c>
      <c r="AP227" s="42">
        <f t="shared" si="667"/>
        <v>0</v>
      </c>
      <c r="AQ227" s="42">
        <f t="shared" si="668"/>
        <v>0</v>
      </c>
      <c r="AR227" s="42">
        <f t="shared" si="594"/>
        <v>0</v>
      </c>
      <c r="AS227" s="42">
        <f t="shared" si="669"/>
        <v>0</v>
      </c>
      <c r="AT227" s="42">
        <f t="shared" si="670"/>
        <v>0</v>
      </c>
      <c r="AU227" s="42">
        <f t="shared" si="671"/>
        <v>0</v>
      </c>
      <c r="AV227" s="42">
        <f>IF(M227="ПП",РПП*AA227*(U227/1.5),IF(M227="ВП",ВПр*AA227*(U227/1.5),IF(M227="РПА",РПА*AA227*(U227/1.5),IF(M227="КПА",КПА*AA227*(U227/1.5),0))))</f>
        <v>0</v>
      </c>
      <c r="AW227" s="42">
        <f t="shared" si="672"/>
        <v>0</v>
      </c>
      <c r="AX227" s="42">
        <f t="shared" si="595"/>
        <v>0</v>
      </c>
      <c r="AY227" s="42">
        <f t="shared" si="596"/>
        <v>0</v>
      </c>
      <c r="AZ227" s="42">
        <f t="shared" si="673"/>
        <v>0</v>
      </c>
      <c r="BA227" s="42">
        <f t="shared" si="597"/>
        <v>0</v>
      </c>
      <c r="BB227" s="42">
        <f t="shared" si="598"/>
        <v>0</v>
      </c>
      <c r="BC227" s="42">
        <f t="shared" si="599"/>
        <v>0</v>
      </c>
      <c r="BD227" s="42">
        <f t="shared" si="674"/>
        <v>0</v>
      </c>
      <c r="BE227" s="43">
        <f t="shared" si="675"/>
        <v>33</v>
      </c>
      <c r="BF227" s="44"/>
      <c r="BG227" s="45">
        <f t="shared" si="676"/>
        <v>33</v>
      </c>
      <c r="BH227" s="45">
        <f t="shared" si="677"/>
        <v>1</v>
      </c>
      <c r="BI227" s="45">
        <f t="shared" si="678"/>
        <v>0</v>
      </c>
      <c r="BJ227" s="46">
        <f t="shared" si="587"/>
        <v>0</v>
      </c>
      <c r="BK227" s="46">
        <f t="shared" si="588"/>
        <v>0</v>
      </c>
      <c r="BL227" s="46">
        <f t="shared" si="589"/>
        <v>0</v>
      </c>
    </row>
    <row r="228" spans="1:64" ht="30" customHeight="1" x14ac:dyDescent="0.25">
      <c r="A228" s="84" t="str">
        <f t="shared" si="590"/>
        <v>Д</v>
      </c>
      <c r="B228" s="84" t="str">
        <f t="shared" ref="B228" si="679">IF(C228&gt;0, VLOOKUP(C228,Код_ООП,11,FALSE),0)</f>
        <v>Б</v>
      </c>
      <c r="C228" s="101" t="s">
        <v>1463</v>
      </c>
      <c r="D228" s="16" t="str">
        <f t="shared" ref="D228" si="680">IF(C228&gt;0, VLOOKUP(C228,Код_ООП,2,FALSE),0)</f>
        <v>'02.03.01</v>
      </c>
      <c r="E228" s="17" t="str">
        <f t="shared" ref="E228" si="681">IF(C228&gt;0, VLOOKUP(C228,Код_ООП,13,FALSE),0)</f>
        <v>Математика и компьютерные науки</v>
      </c>
      <c r="F228" s="9" t="s">
        <v>413</v>
      </c>
      <c r="G228" s="9" t="s">
        <v>42</v>
      </c>
      <c r="H228" s="10" t="s">
        <v>3233</v>
      </c>
      <c r="I228" s="10"/>
      <c r="J228" s="24" t="s">
        <v>3208</v>
      </c>
      <c r="K228" s="11">
        <v>5</v>
      </c>
      <c r="L228" s="11">
        <v>18</v>
      </c>
      <c r="M228" s="8" t="s">
        <v>94</v>
      </c>
      <c r="N228" s="12"/>
      <c r="O228" s="12">
        <v>2</v>
      </c>
      <c r="P228" s="12"/>
      <c r="Q228" s="8"/>
      <c r="R228" s="11"/>
      <c r="S228" s="11"/>
      <c r="T228" s="23"/>
      <c r="U228" s="11"/>
      <c r="V228" s="11"/>
      <c r="W228" s="83" t="str">
        <f t="shared" si="591"/>
        <v>НКНбд</v>
      </c>
      <c r="X228" s="114" t="s">
        <v>3241</v>
      </c>
      <c r="Y228" s="109">
        <v>1</v>
      </c>
      <c r="Z228" s="109"/>
      <c r="AA228" s="83">
        <f t="shared" ref="AA228" si="682">AB228+AC228</f>
        <v>10</v>
      </c>
      <c r="AB228" s="11">
        <v>7</v>
      </c>
      <c r="AC228" s="11">
        <v>3</v>
      </c>
      <c r="AD228" s="81">
        <f t="shared" si="592"/>
        <v>12</v>
      </c>
      <c r="AE228" s="82">
        <f t="shared" ref="AE228" si="683">IF(AF228&gt;1,1,AF228)</f>
        <v>0.83333333333333337</v>
      </c>
      <c r="AF228" s="82">
        <f t="shared" ref="AF228" si="684">AA228/AD228</f>
        <v>0.83333333333333337</v>
      </c>
      <c r="AG228" s="102" t="s">
        <v>3250</v>
      </c>
      <c r="AH228" s="113" t="s">
        <v>204</v>
      </c>
      <c r="AI228" s="113" t="s">
        <v>212</v>
      </c>
      <c r="AJ228" s="119" t="s">
        <v>3256</v>
      </c>
      <c r="AK228" s="8"/>
      <c r="AL228" s="42">
        <f t="shared" si="593"/>
        <v>0</v>
      </c>
      <c r="AM228" s="42">
        <f t="shared" ref="AM228" si="685">IF(OR(M228="пр",M228="ия",M228="сп"),P228*AE228*L228,0)</f>
        <v>0</v>
      </c>
      <c r="AN228" s="42">
        <f t="shared" ref="AN228" si="686">IF(OR(M228="лаб",M228="клн"),O228*AE228*L228,0)</f>
        <v>30</v>
      </c>
      <c r="AO228" s="42">
        <f t="shared" ref="AO228" si="687">(IF((AND(OR(K228=1,K228=2,K228=3,K228=4,K228=5,K228=6,K228=7,K228=8,K228=9,K228=10,K228=11,K228=12),OR(Q228="Зач",Q228="Экз"))),ТКиРА*AA228,0)+IF(SUM(N228:P228)&lt;&gt;0,IF(Q228="ТК",ТКиРА*AA228,0),0))*(IF(F228="ФТД",0,1))</f>
        <v>0</v>
      </c>
      <c r="AP228" s="42">
        <f t="shared" ref="AP228" si="688">IF(SUM(O228:P228)&lt;&gt;0,IF(Q228="Зач",ПАБРС*AA228,0),0)+IF(N228&lt;&gt;0,IF(Q228="Экз",ПАБРС*AA228,0),0)</f>
        <v>0</v>
      </c>
      <c r="AQ228" s="42">
        <f t="shared" ref="AQ228" si="689">(IF(AP228&lt;&gt;0,ОфВед*(IF(OR(M228="лек",M228="лаб"),Z228,AE228)),0))*(IF(F228="ФТД",0,1))</f>
        <v>0</v>
      </c>
      <c r="AR228" s="42">
        <f t="shared" si="594"/>
        <v>0</v>
      </c>
      <c r="AS228" s="42">
        <f t="shared" ref="AS228" si="690">IF(OR(M228="лаб",M228="пр"),IF(R228="К",AA228*ВПКР,IF(R228="М",AA228*ВПИБ,0)),0)</f>
        <v>0</v>
      </c>
      <c r="AT228" s="42">
        <f t="shared" ref="AT228" si="691">IF(OR(M228="лаб",M228="пр"),IF(S228="К",AA228*ВПКП,0),0)</f>
        <v>0</v>
      </c>
      <c r="AU228" s="42">
        <f t="shared" ref="AU228" si="692">IF(M228="УП",T228/1.5*AA228*РУП,IF(M228="УПМ",T228/1.5*AA228*РУПЛеч,0))</f>
        <v>0</v>
      </c>
      <c r="AV228" s="42">
        <f>IF(M228="ПП",РПП*AA228*(U228/1.5),IF(M228="ВП",ВПр*AA228*(U228/1.5),IF(M228="РПА",РПА*AA228*(U228/1.5),IF(M228="КПА",КПА*AA228*(U228/1.5),0))))</f>
        <v>0</v>
      </c>
      <c r="AW228" s="42">
        <f t="shared" ref="AW228" si="693">IF(M228="НР",(AB228*НИРМ+AC228*НИРМИн)*(V228/1.5),IF(M228="НИ",(AB228*НИРА+AC228*НИРАИ)*(V228/1.5),0))</f>
        <v>0</v>
      </c>
      <c r="AX228" s="42">
        <f t="shared" si="595"/>
        <v>0</v>
      </c>
      <c r="AY228" s="42">
        <f t="shared" si="596"/>
        <v>0</v>
      </c>
      <c r="AZ228" s="42">
        <f t="shared" ref="AZ228" si="694">IF(AND(Q228="КЭ",M228="ЧК"),AA228*КдЭк,0)</f>
        <v>0</v>
      </c>
      <c r="BA228" s="42">
        <f t="shared" si="597"/>
        <v>0</v>
      </c>
      <c r="BB228" s="42">
        <f t="shared" si="598"/>
        <v>0</v>
      </c>
      <c r="BC228" s="42">
        <f t="shared" si="599"/>
        <v>0</v>
      </c>
      <c r="BD228" s="42">
        <f t="shared" ref="BD228" si="695">IF(M228="ЧГ",AA228*ЧГ,IF(M228="ПГ",AA228*ПГ,IF(M228="ТЕСТ",ТГИЭ*AE228,IF(M228="СГ",AA228*СГ,0))))</f>
        <v>0</v>
      </c>
      <c r="BE228" s="43">
        <f t="shared" ref="BE228" si="696">SUM(AL228:BD228)</f>
        <v>30</v>
      </c>
      <c r="BF228" s="44"/>
      <c r="BG228" s="45">
        <f t="shared" ref="BG228" si="697">IF(OR(K228="1;1",K228="1;2",K228=1,K228="3;1",K228="3;2",K228=3,K228="5;1",K228="5;2",K228=5,K228="7;1",K228="7;2",K228=7,K228="9;1",K228="9;2",K228=9,K228=11),SUM(AL228:AN228),0)</f>
        <v>30</v>
      </c>
      <c r="BH228" s="45">
        <f t="shared" ref="BH228" si="698">IF(BG228&lt;&gt;0,SUM(N228:P228)/2,0)</f>
        <v>1</v>
      </c>
      <c r="BI228" s="45">
        <f t="shared" ref="BI228" si="699">IF(OR(K228="1;1",K228="1;2",K228=1,K228="3;1",K228="3;2",K228=3,K228="5;1",K228="5;2",K228=5,K228="7;1",K228="7;2",K228=7,K228="9;1",K228="9;2",K228=9,K228=11),SUM(AO228:BD228),0)</f>
        <v>0</v>
      </c>
      <c r="BJ228" s="46">
        <f t="shared" si="587"/>
        <v>0</v>
      </c>
      <c r="BK228" s="46">
        <f t="shared" si="588"/>
        <v>0</v>
      </c>
      <c r="BL228" s="46">
        <f t="shared" si="589"/>
        <v>0</v>
      </c>
    </row>
    <row r="229" spans="1:64" ht="30" customHeight="1" x14ac:dyDescent="0.25">
      <c r="A229" s="84" t="str">
        <f t="shared" si="590"/>
        <v>Д</v>
      </c>
      <c r="B229" s="84" t="str">
        <f t="shared" si="658"/>
        <v>Б</v>
      </c>
      <c r="C229" s="101" t="s">
        <v>1463</v>
      </c>
      <c r="D229" s="16" t="str">
        <f t="shared" si="659"/>
        <v>'02.03.01</v>
      </c>
      <c r="E229" s="17" t="str">
        <f t="shared" si="660"/>
        <v>Математика и компьютерные науки</v>
      </c>
      <c r="F229" s="9" t="s">
        <v>413</v>
      </c>
      <c r="G229" s="9" t="s">
        <v>42</v>
      </c>
      <c r="H229" s="10" t="s">
        <v>3233</v>
      </c>
      <c r="I229" s="10"/>
      <c r="J229" s="24" t="s">
        <v>3208</v>
      </c>
      <c r="K229" s="11">
        <v>5</v>
      </c>
      <c r="L229" s="11">
        <v>18</v>
      </c>
      <c r="M229" s="8" t="s">
        <v>94</v>
      </c>
      <c r="N229" s="12"/>
      <c r="O229" s="12">
        <v>2</v>
      </c>
      <c r="P229" s="12"/>
      <c r="Q229" s="8"/>
      <c r="R229" s="11"/>
      <c r="S229" s="11"/>
      <c r="T229" s="23"/>
      <c r="U229" s="11"/>
      <c r="V229" s="11"/>
      <c r="W229" s="83" t="str">
        <f t="shared" si="591"/>
        <v>НКНбд</v>
      </c>
      <c r="X229" s="114" t="s">
        <v>3242</v>
      </c>
      <c r="Y229" s="109"/>
      <c r="Z229" s="109"/>
      <c r="AA229" s="83">
        <f t="shared" si="661"/>
        <v>0</v>
      </c>
      <c r="AB229" s="11"/>
      <c r="AC229" s="11"/>
      <c r="AD229" s="81">
        <f t="shared" si="592"/>
        <v>12</v>
      </c>
      <c r="AE229" s="82">
        <f t="shared" si="662"/>
        <v>0</v>
      </c>
      <c r="AF229" s="82">
        <f t="shared" si="663"/>
        <v>0</v>
      </c>
      <c r="AG229" s="102" t="s">
        <v>3250</v>
      </c>
      <c r="AH229" s="113" t="s">
        <v>204</v>
      </c>
      <c r="AI229" s="113" t="s">
        <v>212</v>
      </c>
      <c r="AJ229" s="119" t="s">
        <v>3256</v>
      </c>
      <c r="AK229" s="8"/>
      <c r="AL229" s="42">
        <f t="shared" si="593"/>
        <v>0</v>
      </c>
      <c r="AM229" s="42">
        <f t="shared" si="664"/>
        <v>0</v>
      </c>
      <c r="AN229" s="42">
        <f t="shared" si="665"/>
        <v>0</v>
      </c>
      <c r="AO229" s="42">
        <f t="shared" si="666"/>
        <v>0</v>
      </c>
      <c r="AP229" s="42">
        <f t="shared" si="667"/>
        <v>0</v>
      </c>
      <c r="AQ229" s="42">
        <f t="shared" si="668"/>
        <v>0</v>
      </c>
      <c r="AR229" s="42">
        <f t="shared" si="594"/>
        <v>0</v>
      </c>
      <c r="AS229" s="42">
        <f t="shared" si="669"/>
        <v>0</v>
      </c>
      <c r="AT229" s="42">
        <f t="shared" si="670"/>
        <v>0</v>
      </c>
      <c r="AU229" s="42">
        <f t="shared" si="671"/>
        <v>0</v>
      </c>
      <c r="AV229" s="42">
        <f>IF(M229="ПП",РПП*AA229*(U229/1.5),IF(M229="ВП",ВПр*AA229*(U229/1.5),IF(M229="РПА",РПА*AA229*(U229/1.5),IF(M229="КПА",КПА*AA229*(U229/1.5),0))))</f>
        <v>0</v>
      </c>
      <c r="AW229" s="42">
        <f t="shared" si="672"/>
        <v>0</v>
      </c>
      <c r="AX229" s="42">
        <f t="shared" si="595"/>
        <v>0</v>
      </c>
      <c r="AY229" s="42">
        <f t="shared" si="596"/>
        <v>0</v>
      </c>
      <c r="AZ229" s="42">
        <f t="shared" si="673"/>
        <v>0</v>
      </c>
      <c r="BA229" s="42">
        <f t="shared" si="597"/>
        <v>0</v>
      </c>
      <c r="BB229" s="42">
        <f t="shared" si="598"/>
        <v>0</v>
      </c>
      <c r="BC229" s="42">
        <f t="shared" si="599"/>
        <v>0</v>
      </c>
      <c r="BD229" s="42">
        <f t="shared" si="674"/>
        <v>0</v>
      </c>
      <c r="BE229" s="43">
        <f t="shared" si="675"/>
        <v>0</v>
      </c>
      <c r="BF229" s="44"/>
      <c r="BG229" s="45">
        <f t="shared" si="676"/>
        <v>0</v>
      </c>
      <c r="BH229" s="45">
        <f t="shared" si="677"/>
        <v>0</v>
      </c>
      <c r="BI229" s="45">
        <f t="shared" si="678"/>
        <v>0</v>
      </c>
      <c r="BJ229" s="46">
        <f t="shared" si="587"/>
        <v>0</v>
      </c>
      <c r="BK229" s="46">
        <f t="shared" si="588"/>
        <v>0</v>
      </c>
      <c r="BL229" s="46">
        <f t="shared" si="589"/>
        <v>0</v>
      </c>
    </row>
    <row r="230" spans="1:64" ht="30" customHeight="1" x14ac:dyDescent="0.25">
      <c r="A230" s="84" t="str">
        <f t="shared" si="590"/>
        <v>Д</v>
      </c>
      <c r="B230" s="84" t="str">
        <f t="shared" si="643"/>
        <v>Б</v>
      </c>
      <c r="C230" s="101" t="s">
        <v>1463</v>
      </c>
      <c r="D230" s="16" t="str">
        <f t="shared" si="561"/>
        <v>'02.03.01</v>
      </c>
      <c r="E230" s="17" t="str">
        <f t="shared" si="621"/>
        <v>Математика и компьютерные науки</v>
      </c>
      <c r="F230" s="9" t="s">
        <v>413</v>
      </c>
      <c r="G230" s="9" t="s">
        <v>42</v>
      </c>
      <c r="H230" s="10" t="s">
        <v>3233</v>
      </c>
      <c r="I230" s="10"/>
      <c r="J230" s="24" t="s">
        <v>3267</v>
      </c>
      <c r="K230" s="11">
        <v>5</v>
      </c>
      <c r="L230" s="11">
        <v>18</v>
      </c>
      <c r="M230" s="8" t="s">
        <v>23</v>
      </c>
      <c r="N230" s="11">
        <v>1</v>
      </c>
      <c r="O230" s="11"/>
      <c r="P230" s="11"/>
      <c r="Q230" s="8" t="s">
        <v>103</v>
      </c>
      <c r="R230" s="12"/>
      <c r="S230" s="12"/>
      <c r="T230" s="12"/>
      <c r="U230" s="12"/>
      <c r="V230" s="12"/>
      <c r="W230" s="83" t="str">
        <f t="shared" si="591"/>
        <v>НКНбд</v>
      </c>
      <c r="X230" s="114" t="s">
        <v>3241</v>
      </c>
      <c r="Y230" s="109">
        <v>2</v>
      </c>
      <c r="Z230" s="109">
        <v>1</v>
      </c>
      <c r="AA230" s="83">
        <f t="shared" si="562"/>
        <v>21</v>
      </c>
      <c r="AB230" s="11">
        <v>14</v>
      </c>
      <c r="AC230" s="11">
        <v>7</v>
      </c>
      <c r="AD230" s="81">
        <f t="shared" si="592"/>
        <v>21</v>
      </c>
      <c r="AE230" s="82">
        <f t="shared" si="563"/>
        <v>1</v>
      </c>
      <c r="AF230" s="82">
        <f t="shared" si="564"/>
        <v>1</v>
      </c>
      <c r="AG230" s="102" t="s">
        <v>3250</v>
      </c>
      <c r="AH230" s="113" t="s">
        <v>204</v>
      </c>
      <c r="AI230" s="113" t="s">
        <v>212</v>
      </c>
      <c r="AJ230" s="119" t="s">
        <v>3261</v>
      </c>
      <c r="AK230" s="8"/>
      <c r="AL230" s="42">
        <f t="shared" si="593"/>
        <v>18</v>
      </c>
      <c r="AM230" s="42">
        <f t="shared" si="644"/>
        <v>0</v>
      </c>
      <c r="AN230" s="42">
        <f t="shared" si="645"/>
        <v>0</v>
      </c>
      <c r="AO230" s="42">
        <f t="shared" si="586"/>
        <v>6.9300000000000006</v>
      </c>
      <c r="AP230" s="42">
        <f t="shared" si="646"/>
        <v>10.5</v>
      </c>
      <c r="AQ230" s="42">
        <f t="shared" si="647"/>
        <v>1</v>
      </c>
      <c r="AR230" s="42">
        <f t="shared" si="594"/>
        <v>0.9</v>
      </c>
      <c r="AS230" s="42">
        <f t="shared" si="648"/>
        <v>0</v>
      </c>
      <c r="AT230" s="42">
        <f t="shared" si="649"/>
        <v>0</v>
      </c>
      <c r="AU230" s="42">
        <f t="shared" si="650"/>
        <v>0</v>
      </c>
      <c r="AV230" s="42">
        <f>IF(M230="ПП",РПП*AA230*(U230/1.5),IF(M230="ВП",ВПр*AA230*(U230/1.5),IF(M230="РПА",РПА*AA230*(U230/1.5),IF(M230="КПА",КПА*AA230*(U230/1.5),0))))</f>
        <v>0</v>
      </c>
      <c r="AW230" s="42">
        <f t="shared" si="651"/>
        <v>0</v>
      </c>
      <c r="AX230" s="42">
        <f t="shared" si="595"/>
        <v>0</v>
      </c>
      <c r="AY230" s="42">
        <f t="shared" si="596"/>
        <v>0</v>
      </c>
      <c r="AZ230" s="42">
        <f t="shared" si="652"/>
        <v>0</v>
      </c>
      <c r="BA230" s="42">
        <f t="shared" si="597"/>
        <v>0</v>
      </c>
      <c r="BB230" s="42">
        <f t="shared" si="598"/>
        <v>0</v>
      </c>
      <c r="BC230" s="42">
        <f t="shared" si="599"/>
        <v>0</v>
      </c>
      <c r="BD230" s="42">
        <f t="shared" si="653"/>
        <v>0</v>
      </c>
      <c r="BE230" s="43">
        <f t="shared" si="654"/>
        <v>37.33</v>
      </c>
      <c r="BF230" s="44"/>
      <c r="BG230" s="45">
        <f t="shared" si="655"/>
        <v>18</v>
      </c>
      <c r="BH230" s="45">
        <f t="shared" si="656"/>
        <v>0.5</v>
      </c>
      <c r="BI230" s="45">
        <f t="shared" si="657"/>
        <v>19.329999999999998</v>
      </c>
      <c r="BJ230" s="46">
        <f t="shared" si="587"/>
        <v>0</v>
      </c>
      <c r="BK230" s="46">
        <f t="shared" si="588"/>
        <v>0</v>
      </c>
      <c r="BL230" s="46">
        <f t="shared" si="589"/>
        <v>0</v>
      </c>
    </row>
    <row r="231" spans="1:64" ht="30" customHeight="1" x14ac:dyDescent="0.25">
      <c r="A231" s="84" t="str">
        <f t="shared" si="590"/>
        <v>Д</v>
      </c>
      <c r="B231" s="84" t="str">
        <f t="shared" si="643"/>
        <v>Б</v>
      </c>
      <c r="C231" s="101" t="s">
        <v>1463</v>
      </c>
      <c r="D231" s="16" t="str">
        <f t="shared" si="561"/>
        <v>'02.03.01</v>
      </c>
      <c r="E231" s="17" t="str">
        <f t="shared" si="621"/>
        <v>Математика и компьютерные науки</v>
      </c>
      <c r="F231" s="9" t="s">
        <v>413</v>
      </c>
      <c r="G231" s="9" t="s">
        <v>42</v>
      </c>
      <c r="H231" s="10" t="s">
        <v>3233</v>
      </c>
      <c r="I231" s="10"/>
      <c r="J231" s="24" t="s">
        <v>3267</v>
      </c>
      <c r="K231" s="11">
        <v>5</v>
      </c>
      <c r="L231" s="11">
        <v>18</v>
      </c>
      <c r="M231" s="8" t="s">
        <v>94</v>
      </c>
      <c r="N231" s="11"/>
      <c r="O231" s="11">
        <v>2</v>
      </c>
      <c r="P231" s="11"/>
      <c r="Q231" s="8"/>
      <c r="R231" s="11"/>
      <c r="S231" s="11"/>
      <c r="T231" s="23"/>
      <c r="U231" s="11"/>
      <c r="V231" s="11"/>
      <c r="W231" s="83" t="str">
        <f t="shared" si="591"/>
        <v>НКНбд</v>
      </c>
      <c r="X231" s="114" t="s">
        <v>3241</v>
      </c>
      <c r="Y231" s="109">
        <v>1</v>
      </c>
      <c r="Z231" s="109">
        <v>1</v>
      </c>
      <c r="AA231" s="83">
        <f t="shared" si="562"/>
        <v>11</v>
      </c>
      <c r="AB231" s="11">
        <v>7</v>
      </c>
      <c r="AC231" s="11">
        <v>4</v>
      </c>
      <c r="AD231" s="81">
        <f t="shared" si="592"/>
        <v>12</v>
      </c>
      <c r="AE231" s="82">
        <f t="shared" si="563"/>
        <v>0.91666666666666663</v>
      </c>
      <c r="AF231" s="82">
        <f t="shared" si="564"/>
        <v>0.91666666666666663</v>
      </c>
      <c r="AG231" s="102" t="s">
        <v>3250</v>
      </c>
      <c r="AH231" s="113" t="s">
        <v>204</v>
      </c>
      <c r="AI231" s="113" t="s">
        <v>212</v>
      </c>
      <c r="AJ231" s="119" t="s">
        <v>3261</v>
      </c>
      <c r="AK231" s="8"/>
      <c r="AL231" s="42">
        <f t="shared" si="593"/>
        <v>0</v>
      </c>
      <c r="AM231" s="42">
        <f t="shared" si="644"/>
        <v>0</v>
      </c>
      <c r="AN231" s="42">
        <f t="shared" si="645"/>
        <v>33</v>
      </c>
      <c r="AO231" s="42">
        <f t="shared" si="586"/>
        <v>0</v>
      </c>
      <c r="AP231" s="42">
        <f t="shared" si="646"/>
        <v>0</v>
      </c>
      <c r="AQ231" s="42">
        <f t="shared" si="647"/>
        <v>0</v>
      </c>
      <c r="AR231" s="42">
        <f t="shared" si="594"/>
        <v>0</v>
      </c>
      <c r="AS231" s="42">
        <f t="shared" si="648"/>
        <v>0</v>
      </c>
      <c r="AT231" s="42">
        <f t="shared" si="649"/>
        <v>0</v>
      </c>
      <c r="AU231" s="42">
        <f t="shared" si="650"/>
        <v>0</v>
      </c>
      <c r="AV231" s="42">
        <f>IF(M231="ПП",РПП*AA231*(U231/1.5),IF(M231="ВП",ВПр*AA231*(U231/1.5),IF(M231="РПА",РПА*AA231*(U231/1.5),IF(M231="КПА",КПА*AA231*(U231/1.5),0))))</f>
        <v>0</v>
      </c>
      <c r="AW231" s="42">
        <f t="shared" si="651"/>
        <v>0</v>
      </c>
      <c r="AX231" s="42">
        <f t="shared" si="595"/>
        <v>0</v>
      </c>
      <c r="AY231" s="42">
        <f t="shared" si="596"/>
        <v>0</v>
      </c>
      <c r="AZ231" s="42">
        <f t="shared" si="652"/>
        <v>0</v>
      </c>
      <c r="BA231" s="42">
        <f t="shared" si="597"/>
        <v>0</v>
      </c>
      <c r="BB231" s="42">
        <f t="shared" si="598"/>
        <v>0</v>
      </c>
      <c r="BC231" s="42">
        <f t="shared" si="599"/>
        <v>0</v>
      </c>
      <c r="BD231" s="42">
        <f t="shared" si="653"/>
        <v>0</v>
      </c>
      <c r="BE231" s="43">
        <f t="shared" si="654"/>
        <v>33</v>
      </c>
      <c r="BF231" s="44"/>
      <c r="BG231" s="45">
        <f t="shared" si="655"/>
        <v>33</v>
      </c>
      <c r="BH231" s="45">
        <f t="shared" si="656"/>
        <v>1</v>
      </c>
      <c r="BI231" s="45">
        <f t="shared" si="657"/>
        <v>0</v>
      </c>
      <c r="BJ231" s="46">
        <f t="shared" si="587"/>
        <v>0</v>
      </c>
      <c r="BK231" s="46">
        <f t="shared" si="588"/>
        <v>0</v>
      </c>
      <c r="BL231" s="46">
        <f t="shared" si="589"/>
        <v>0</v>
      </c>
    </row>
    <row r="232" spans="1:64" ht="30" customHeight="1" x14ac:dyDescent="0.25">
      <c r="A232" s="84" t="str">
        <f t="shared" si="590"/>
        <v>Д</v>
      </c>
      <c r="B232" s="84" t="str">
        <f t="shared" ref="B232" si="700">IF(C232&gt;0, VLOOKUP(C232,Код_ООП,11,FALSE),0)</f>
        <v>Б</v>
      </c>
      <c r="C232" s="101" t="s">
        <v>1463</v>
      </c>
      <c r="D232" s="16" t="str">
        <f t="shared" ref="D232" si="701">IF(C232&gt;0, VLOOKUP(C232,Код_ООП,2,FALSE),0)</f>
        <v>'02.03.01</v>
      </c>
      <c r="E232" s="17" t="str">
        <f t="shared" ref="E232" si="702">IF(C232&gt;0, VLOOKUP(C232,Код_ООП,13,FALSE),0)</f>
        <v>Математика и компьютерные науки</v>
      </c>
      <c r="F232" s="9" t="s">
        <v>413</v>
      </c>
      <c r="G232" s="9" t="s">
        <v>42</v>
      </c>
      <c r="H232" s="10" t="s">
        <v>3233</v>
      </c>
      <c r="I232" s="10"/>
      <c r="J232" s="24" t="s">
        <v>3267</v>
      </c>
      <c r="K232" s="11">
        <v>5</v>
      </c>
      <c r="L232" s="11">
        <v>18</v>
      </c>
      <c r="M232" s="8" t="s">
        <v>94</v>
      </c>
      <c r="N232" s="12"/>
      <c r="O232" s="12">
        <v>2</v>
      </c>
      <c r="P232" s="12"/>
      <c r="Q232" s="8"/>
      <c r="R232" s="11"/>
      <c r="S232" s="11"/>
      <c r="T232" s="23"/>
      <c r="U232" s="11"/>
      <c r="V232" s="11"/>
      <c r="W232" s="83" t="str">
        <f t="shared" si="591"/>
        <v>НКНбд</v>
      </c>
      <c r="X232" s="114" t="s">
        <v>3241</v>
      </c>
      <c r="Y232" s="109">
        <v>1</v>
      </c>
      <c r="Z232" s="109"/>
      <c r="AA232" s="83">
        <f t="shared" ref="AA232" si="703">AB232+AC232</f>
        <v>10</v>
      </c>
      <c r="AB232" s="11">
        <v>7</v>
      </c>
      <c r="AC232" s="11">
        <v>3</v>
      </c>
      <c r="AD232" s="81">
        <f t="shared" si="592"/>
        <v>12</v>
      </c>
      <c r="AE232" s="82">
        <f t="shared" ref="AE232" si="704">IF(AF232&gt;1,1,AF232)</f>
        <v>0.83333333333333337</v>
      </c>
      <c r="AF232" s="82">
        <f t="shared" ref="AF232" si="705">AA232/AD232</f>
        <v>0.83333333333333337</v>
      </c>
      <c r="AG232" s="102" t="s">
        <v>3250</v>
      </c>
      <c r="AH232" s="113" t="s">
        <v>204</v>
      </c>
      <c r="AI232" s="113" t="s">
        <v>212</v>
      </c>
      <c r="AJ232" s="119" t="s">
        <v>3261</v>
      </c>
      <c r="AK232" s="8"/>
      <c r="AL232" s="42">
        <f t="shared" si="593"/>
        <v>0</v>
      </c>
      <c r="AM232" s="42">
        <f t="shared" ref="AM232" si="706">IF(OR(M232="пр",M232="ия",M232="сп"),P232*AE232*L232,0)</f>
        <v>0</v>
      </c>
      <c r="AN232" s="42">
        <f t="shared" ref="AN232" si="707">IF(OR(M232="лаб",M232="клн"),O232*AE232*L232,0)</f>
        <v>30</v>
      </c>
      <c r="AO232" s="42">
        <f t="shared" ref="AO232" si="708">(IF((AND(OR(K232=1,K232=2,K232=3,K232=4,K232=5,K232=6,K232=7,K232=8,K232=9,K232=10,K232=11,K232=12),OR(Q232="Зач",Q232="Экз"))),ТКиРА*AA232,0)+IF(SUM(N232:P232)&lt;&gt;0,IF(Q232="ТК",ТКиРА*AA232,0),0))*(IF(F232="ФТД",0,1))</f>
        <v>0</v>
      </c>
      <c r="AP232" s="42">
        <f t="shared" ref="AP232" si="709">IF(SUM(O232:P232)&lt;&gt;0,IF(Q232="Зач",ПАБРС*AA232,0),0)+IF(N232&lt;&gt;0,IF(Q232="Экз",ПАБРС*AA232,0),0)</f>
        <v>0</v>
      </c>
      <c r="AQ232" s="42">
        <f t="shared" ref="AQ232" si="710">(IF(AP232&lt;&gt;0,ОфВед*(IF(OR(M232="лек",M232="лаб"),Z232,AE232)),0))*(IF(F232="ФТД",0,1))</f>
        <v>0</v>
      </c>
      <c r="AR232" s="42">
        <f t="shared" si="594"/>
        <v>0</v>
      </c>
      <c r="AS232" s="42">
        <f t="shared" ref="AS232" si="711">IF(OR(M232="лаб",M232="пр"),IF(R232="К",AA232*ВПКР,IF(R232="М",AA232*ВПИБ,0)),0)</f>
        <v>0</v>
      </c>
      <c r="AT232" s="42">
        <f t="shared" ref="AT232" si="712">IF(OR(M232="лаб",M232="пр"),IF(S232="К",AA232*ВПКП,0),0)</f>
        <v>0</v>
      </c>
      <c r="AU232" s="42">
        <f t="shared" ref="AU232" si="713">IF(M232="УП",T232/1.5*AA232*РУП,IF(M232="УПМ",T232/1.5*AA232*РУПЛеч,0))</f>
        <v>0</v>
      </c>
      <c r="AV232" s="42">
        <f>IF(M232="ПП",РПП*AA232*(U232/1.5),IF(M232="ВП",ВПр*AA232*(U232/1.5),IF(M232="РПА",РПА*AA232*(U232/1.5),IF(M232="КПА",КПА*AA232*(U232/1.5),0))))</f>
        <v>0</v>
      </c>
      <c r="AW232" s="42">
        <f t="shared" ref="AW232" si="714">IF(M232="НР",(AB232*НИРМ+AC232*НИРМИн)*(V232/1.5),IF(M232="НИ",(AB232*НИРА+AC232*НИРАИ)*(V232/1.5),0))</f>
        <v>0</v>
      </c>
      <c r="AX232" s="42">
        <f t="shared" si="595"/>
        <v>0</v>
      </c>
      <c r="AY232" s="42">
        <f t="shared" si="596"/>
        <v>0</v>
      </c>
      <c r="AZ232" s="42">
        <f t="shared" ref="AZ232" si="715">IF(AND(Q232="КЭ",M232="ЧК"),AA232*КдЭк,0)</f>
        <v>0</v>
      </c>
      <c r="BA232" s="42">
        <f t="shared" si="597"/>
        <v>0</v>
      </c>
      <c r="BB232" s="42">
        <f t="shared" si="598"/>
        <v>0</v>
      </c>
      <c r="BC232" s="42">
        <f t="shared" si="599"/>
        <v>0</v>
      </c>
      <c r="BD232" s="42">
        <f t="shared" ref="BD232" si="716">IF(M232="ЧГ",AA232*ЧГ,IF(M232="ПГ",AA232*ПГ,IF(M232="ТЕСТ",ТГИЭ*AE232,IF(M232="СГ",AA232*СГ,0))))</f>
        <v>0</v>
      </c>
      <c r="BE232" s="43">
        <f t="shared" ref="BE232" si="717">SUM(AL232:BD232)</f>
        <v>30</v>
      </c>
      <c r="BF232" s="44"/>
      <c r="BG232" s="45">
        <f t="shared" ref="BG232" si="718">IF(OR(K232="1;1",K232="1;2",K232=1,K232="3;1",K232="3;2",K232=3,K232="5;1",K232="5;2",K232=5,K232="7;1",K232="7;2",K232=7,K232="9;1",K232="9;2",K232=9,K232=11),SUM(AL232:AN232),0)</f>
        <v>30</v>
      </c>
      <c r="BH232" s="45">
        <f t="shared" ref="BH232" si="719">IF(BG232&lt;&gt;0,SUM(N232:P232)/2,0)</f>
        <v>1</v>
      </c>
      <c r="BI232" s="45">
        <f t="shared" ref="BI232" si="720">IF(OR(K232="1;1",K232="1;2",K232=1,K232="3;1",K232="3;2",K232=3,K232="5;1",K232="5;2",K232=5,K232="7;1",K232="7;2",K232=7,K232="9;1",K232="9;2",K232=9,K232=11),SUM(AO232:BD232),0)</f>
        <v>0</v>
      </c>
      <c r="BJ232" s="46">
        <f t="shared" si="587"/>
        <v>0</v>
      </c>
      <c r="BK232" s="46">
        <f t="shared" si="588"/>
        <v>0</v>
      </c>
      <c r="BL232" s="46">
        <f t="shared" si="589"/>
        <v>0</v>
      </c>
    </row>
    <row r="233" spans="1:64" ht="30" customHeight="1" x14ac:dyDescent="0.25">
      <c r="A233" s="84" t="str">
        <f t="shared" si="590"/>
        <v>Д</v>
      </c>
      <c r="B233" s="84" t="str">
        <f t="shared" si="643"/>
        <v>Б</v>
      </c>
      <c r="C233" s="101" t="s">
        <v>1463</v>
      </c>
      <c r="D233" s="16" t="str">
        <f t="shared" si="561"/>
        <v>'02.03.01</v>
      </c>
      <c r="E233" s="17" t="str">
        <f t="shared" si="621"/>
        <v>Математика и компьютерные науки</v>
      </c>
      <c r="F233" s="9" t="s">
        <v>413</v>
      </c>
      <c r="G233" s="9" t="s">
        <v>42</v>
      </c>
      <c r="H233" s="10" t="s">
        <v>3233</v>
      </c>
      <c r="I233" s="10"/>
      <c r="J233" s="24" t="s">
        <v>3267</v>
      </c>
      <c r="K233" s="11">
        <v>5</v>
      </c>
      <c r="L233" s="11">
        <v>18</v>
      </c>
      <c r="M233" s="8" t="s">
        <v>94</v>
      </c>
      <c r="N233" s="12"/>
      <c r="O233" s="12">
        <v>2</v>
      </c>
      <c r="P233" s="12"/>
      <c r="Q233" s="8"/>
      <c r="R233" s="11"/>
      <c r="S233" s="11"/>
      <c r="T233" s="23"/>
      <c r="U233" s="11"/>
      <c r="V233" s="11"/>
      <c r="W233" s="83" t="str">
        <f t="shared" si="591"/>
        <v>НКНбд</v>
      </c>
      <c r="X233" s="114" t="s">
        <v>3242</v>
      </c>
      <c r="Y233" s="109"/>
      <c r="Z233" s="109"/>
      <c r="AA233" s="83">
        <f t="shared" si="562"/>
        <v>0</v>
      </c>
      <c r="AB233" s="11"/>
      <c r="AC233" s="11"/>
      <c r="AD233" s="81">
        <f t="shared" si="592"/>
        <v>12</v>
      </c>
      <c r="AE233" s="82">
        <f t="shared" si="563"/>
        <v>0</v>
      </c>
      <c r="AF233" s="82">
        <f t="shared" si="564"/>
        <v>0</v>
      </c>
      <c r="AG233" s="102" t="s">
        <v>3250</v>
      </c>
      <c r="AH233" s="113" t="s">
        <v>204</v>
      </c>
      <c r="AI233" s="113" t="s">
        <v>212</v>
      </c>
      <c r="AJ233" s="119" t="s">
        <v>3261</v>
      </c>
      <c r="AK233" s="8"/>
      <c r="AL233" s="42">
        <f t="shared" si="593"/>
        <v>0</v>
      </c>
      <c r="AM233" s="42">
        <f t="shared" si="644"/>
        <v>0</v>
      </c>
      <c r="AN233" s="42">
        <f t="shared" si="645"/>
        <v>0</v>
      </c>
      <c r="AO233" s="42">
        <f t="shared" si="586"/>
        <v>0</v>
      </c>
      <c r="AP233" s="42">
        <f t="shared" si="646"/>
        <v>0</v>
      </c>
      <c r="AQ233" s="42">
        <f t="shared" si="647"/>
        <v>0</v>
      </c>
      <c r="AR233" s="42">
        <f t="shared" si="594"/>
        <v>0</v>
      </c>
      <c r="AS233" s="42">
        <f t="shared" si="648"/>
        <v>0</v>
      </c>
      <c r="AT233" s="42">
        <f t="shared" si="649"/>
        <v>0</v>
      </c>
      <c r="AU233" s="42">
        <f t="shared" si="650"/>
        <v>0</v>
      </c>
      <c r="AV233" s="42">
        <f>IF(M233="ПП",РПП*AA233*(U233/1.5),IF(M233="ВП",ВПр*AA233*(U233/1.5),IF(M233="РПА",РПА*AA233*(U233/1.5),IF(M233="КПА",КПА*AA233*(U233/1.5),0))))</f>
        <v>0</v>
      </c>
      <c r="AW233" s="42">
        <f t="shared" si="651"/>
        <v>0</v>
      </c>
      <c r="AX233" s="42">
        <f t="shared" si="595"/>
        <v>0</v>
      </c>
      <c r="AY233" s="42">
        <f t="shared" si="596"/>
        <v>0</v>
      </c>
      <c r="AZ233" s="42">
        <f t="shared" si="652"/>
        <v>0</v>
      </c>
      <c r="BA233" s="42">
        <f t="shared" si="597"/>
        <v>0</v>
      </c>
      <c r="BB233" s="42">
        <f t="shared" si="598"/>
        <v>0</v>
      </c>
      <c r="BC233" s="42">
        <f t="shared" si="599"/>
        <v>0</v>
      </c>
      <c r="BD233" s="42">
        <f t="shared" si="653"/>
        <v>0</v>
      </c>
      <c r="BE233" s="43">
        <f t="shared" si="654"/>
        <v>0</v>
      </c>
      <c r="BF233" s="44"/>
      <c r="BG233" s="45">
        <f t="shared" si="655"/>
        <v>0</v>
      </c>
      <c r="BH233" s="45">
        <f t="shared" si="656"/>
        <v>0</v>
      </c>
      <c r="BI233" s="45">
        <f t="shared" si="657"/>
        <v>0</v>
      </c>
      <c r="BJ233" s="46">
        <f t="shared" si="587"/>
        <v>0</v>
      </c>
      <c r="BK233" s="46">
        <f t="shared" si="588"/>
        <v>0</v>
      </c>
      <c r="BL233" s="46">
        <f t="shared" si="589"/>
        <v>0</v>
      </c>
    </row>
    <row r="234" spans="1:64" ht="30" customHeight="1" x14ac:dyDescent="0.25">
      <c r="A234" s="84" t="str">
        <f t="shared" si="590"/>
        <v>Д</v>
      </c>
      <c r="B234" s="84" t="str">
        <f t="shared" si="643"/>
        <v>Б</v>
      </c>
      <c r="C234" s="101" t="s">
        <v>1463</v>
      </c>
      <c r="D234" s="16" t="str">
        <f t="shared" si="561"/>
        <v>'02.03.01</v>
      </c>
      <c r="E234" s="17" t="str">
        <f t="shared" si="621"/>
        <v>Математика и компьютерные науки</v>
      </c>
      <c r="F234" s="9" t="s">
        <v>413</v>
      </c>
      <c r="G234" s="9" t="s">
        <v>42</v>
      </c>
      <c r="H234" s="10" t="s">
        <v>3233</v>
      </c>
      <c r="I234" s="10"/>
      <c r="J234" s="24" t="s">
        <v>3215</v>
      </c>
      <c r="K234" s="11" t="s">
        <v>3227</v>
      </c>
      <c r="L234" s="11">
        <v>9</v>
      </c>
      <c r="M234" s="8" t="s">
        <v>23</v>
      </c>
      <c r="N234" s="11">
        <v>2</v>
      </c>
      <c r="O234" s="11"/>
      <c r="P234" s="11"/>
      <c r="Q234" s="8"/>
      <c r="R234" s="11"/>
      <c r="S234" s="11"/>
      <c r="T234" s="11"/>
      <c r="U234" s="11"/>
      <c r="V234" s="11"/>
      <c r="W234" s="83" t="str">
        <f t="shared" si="591"/>
        <v>НКНбд</v>
      </c>
      <c r="X234" s="114" t="s">
        <v>3244</v>
      </c>
      <c r="Y234" s="109">
        <v>2</v>
      </c>
      <c r="Z234" s="109">
        <v>1</v>
      </c>
      <c r="AA234" s="83">
        <f t="shared" si="562"/>
        <v>24</v>
      </c>
      <c r="AB234" s="11">
        <v>16</v>
      </c>
      <c r="AC234" s="11">
        <v>8</v>
      </c>
      <c r="AD234" s="81">
        <f t="shared" si="592"/>
        <v>24</v>
      </c>
      <c r="AE234" s="82">
        <f t="shared" si="563"/>
        <v>1</v>
      </c>
      <c r="AF234" s="82">
        <f t="shared" si="564"/>
        <v>1</v>
      </c>
      <c r="AG234" s="102" t="s">
        <v>3250</v>
      </c>
      <c r="AH234" s="113" t="s">
        <v>204</v>
      </c>
      <c r="AI234" s="113" t="s">
        <v>212</v>
      </c>
      <c r="AJ234" s="121" t="s">
        <v>3256</v>
      </c>
      <c r="AK234" s="8"/>
      <c r="AL234" s="42">
        <f t="shared" si="593"/>
        <v>18</v>
      </c>
      <c r="AM234" s="42">
        <f t="shared" si="644"/>
        <v>0</v>
      </c>
      <c r="AN234" s="42">
        <f t="shared" si="645"/>
        <v>0</v>
      </c>
      <c r="AO234" s="42">
        <f t="shared" si="586"/>
        <v>0</v>
      </c>
      <c r="AP234" s="42">
        <f t="shared" si="646"/>
        <v>0</v>
      </c>
      <c r="AQ234" s="42">
        <f t="shared" si="647"/>
        <v>0</v>
      </c>
      <c r="AR234" s="42">
        <f t="shared" si="594"/>
        <v>0.9</v>
      </c>
      <c r="AS234" s="42">
        <f t="shared" si="648"/>
        <v>0</v>
      </c>
      <c r="AT234" s="42">
        <f t="shared" si="649"/>
        <v>0</v>
      </c>
      <c r="AU234" s="42">
        <f t="shared" si="650"/>
        <v>0</v>
      </c>
      <c r="AV234" s="42">
        <f>IF(M234="ПП",РПП*AA234*(U234/1.5),IF(M234="ВП",ВПр*AA234*(U234/1.5),IF(M234="РПА",РПА*AA234*(U234/1.5),IF(M234="КПА",КПА*AA234*(U234/1.5),0))))</f>
        <v>0</v>
      </c>
      <c r="AW234" s="42">
        <f t="shared" si="651"/>
        <v>0</v>
      </c>
      <c r="AX234" s="42">
        <f t="shared" si="595"/>
        <v>0</v>
      </c>
      <c r="AY234" s="42">
        <f t="shared" si="596"/>
        <v>0</v>
      </c>
      <c r="AZ234" s="42">
        <f t="shared" si="652"/>
        <v>0</v>
      </c>
      <c r="BA234" s="42">
        <f t="shared" si="597"/>
        <v>0</v>
      </c>
      <c r="BB234" s="42">
        <f t="shared" si="598"/>
        <v>0</v>
      </c>
      <c r="BC234" s="42">
        <f t="shared" si="599"/>
        <v>0</v>
      </c>
      <c r="BD234" s="42">
        <f t="shared" si="653"/>
        <v>0</v>
      </c>
      <c r="BE234" s="43">
        <f t="shared" si="654"/>
        <v>18.899999999999999</v>
      </c>
      <c r="BF234" s="44"/>
      <c r="BG234" s="45">
        <f t="shared" si="655"/>
        <v>18</v>
      </c>
      <c r="BH234" s="45">
        <f t="shared" si="656"/>
        <v>1</v>
      </c>
      <c r="BI234" s="45">
        <f t="shared" si="657"/>
        <v>0.9</v>
      </c>
      <c r="BJ234" s="46">
        <f t="shared" si="587"/>
        <v>0</v>
      </c>
      <c r="BK234" s="46">
        <f t="shared" si="588"/>
        <v>0</v>
      </c>
      <c r="BL234" s="46">
        <f t="shared" si="589"/>
        <v>0</v>
      </c>
    </row>
    <row r="235" spans="1:64" ht="30" customHeight="1" x14ac:dyDescent="0.25">
      <c r="A235" s="84" t="str">
        <f t="shared" si="590"/>
        <v>Д</v>
      </c>
      <c r="B235" s="84" t="str">
        <f t="shared" ref="B235" si="721">IF(C235&gt;0, VLOOKUP(C235,Код_ООП,11,FALSE),0)</f>
        <v>Б</v>
      </c>
      <c r="C235" s="101" t="s">
        <v>1463</v>
      </c>
      <c r="D235" s="16" t="str">
        <f t="shared" ref="D235" si="722">IF(C235&gt;0, VLOOKUP(C235,Код_ООП,2,FALSE),0)</f>
        <v>'02.03.01</v>
      </c>
      <c r="E235" s="17" t="str">
        <f t="shared" ref="E235" si="723">IF(C235&gt;0, VLOOKUP(C235,Код_ООП,13,FALSE),0)</f>
        <v>Математика и компьютерные науки</v>
      </c>
      <c r="F235" s="9" t="s">
        <v>413</v>
      </c>
      <c r="G235" s="9" t="s">
        <v>42</v>
      </c>
      <c r="H235" s="10" t="s">
        <v>3233</v>
      </c>
      <c r="I235" s="10"/>
      <c r="J235" s="24" t="s">
        <v>3215</v>
      </c>
      <c r="K235" s="11" t="s">
        <v>3227</v>
      </c>
      <c r="L235" s="11">
        <v>9</v>
      </c>
      <c r="M235" s="8" t="s">
        <v>94</v>
      </c>
      <c r="N235" s="11"/>
      <c r="O235" s="11">
        <v>4</v>
      </c>
      <c r="P235" s="11"/>
      <c r="Q235" s="8" t="s">
        <v>102</v>
      </c>
      <c r="R235" s="11"/>
      <c r="S235" s="11"/>
      <c r="T235" s="11"/>
      <c r="U235" s="11"/>
      <c r="V235" s="11"/>
      <c r="W235" s="83" t="str">
        <f t="shared" si="591"/>
        <v>НКНбд</v>
      </c>
      <c r="X235" s="114" t="s">
        <v>3244</v>
      </c>
      <c r="Y235" s="109">
        <v>1</v>
      </c>
      <c r="Z235" s="109">
        <v>1</v>
      </c>
      <c r="AA235" s="83">
        <f t="shared" ref="AA235" si="724">AB235+AC235</f>
        <v>12</v>
      </c>
      <c r="AB235" s="11">
        <v>8</v>
      </c>
      <c r="AC235" s="11">
        <v>4</v>
      </c>
      <c r="AD235" s="81">
        <f t="shared" si="592"/>
        <v>12</v>
      </c>
      <c r="AE235" s="82">
        <f t="shared" ref="AE235" si="725">IF(AF235&gt;1,1,AF235)</f>
        <v>1</v>
      </c>
      <c r="AF235" s="82">
        <f t="shared" ref="AF235" si="726">AA235/AD235</f>
        <v>1</v>
      </c>
      <c r="AG235" s="102" t="s">
        <v>3250</v>
      </c>
      <c r="AH235" s="113" t="s">
        <v>204</v>
      </c>
      <c r="AI235" s="113" t="s">
        <v>212</v>
      </c>
      <c r="AJ235" s="121" t="s">
        <v>3256</v>
      </c>
      <c r="AK235" s="8"/>
      <c r="AL235" s="42">
        <f t="shared" si="593"/>
        <v>0</v>
      </c>
      <c r="AM235" s="42">
        <f t="shared" ref="AM235" si="727">IF(OR(M235="пр",M235="ия",M235="сп"),P235*AE235*L235,0)</f>
        <v>0</v>
      </c>
      <c r="AN235" s="42">
        <f t="shared" ref="AN235" si="728">IF(OR(M235="лаб",M235="клн"),O235*AE235*L235,0)</f>
        <v>36</v>
      </c>
      <c r="AO235" s="42">
        <f t="shared" ref="AO235" si="729">(IF((AND(OR(K235=1,K235=2,K235=3,K235=4,K235=5,K235=6,K235=7,K235=8,K235=9,K235=10,K235=11,K235=12),OR(Q235="Зач",Q235="Экз"))),ТКиРА*AA235,0)+IF(SUM(N235:P235)&lt;&gt;0,IF(Q235="ТК",ТКиРА*AA235,0),0))*(IF(F235="ФТД",0,1))</f>
        <v>0</v>
      </c>
      <c r="AP235" s="42">
        <f t="shared" ref="AP235" si="730">IF(SUM(O235:P235)&lt;&gt;0,IF(Q235="Зач",ПАБРС*AA235,0),0)+IF(N235&lt;&gt;0,IF(Q235="Экз",ПАБРС*AA235,0),0)</f>
        <v>6</v>
      </c>
      <c r="AQ235" s="42">
        <f t="shared" ref="AQ235" si="731">(IF(AP235&lt;&gt;0,ОфВед*(IF(OR(M235="лек",M235="лаб"),Z235,AE235)),0))*(IF(F235="ФТД",0,1))</f>
        <v>1</v>
      </c>
      <c r="AR235" s="42">
        <f t="shared" si="594"/>
        <v>0</v>
      </c>
      <c r="AS235" s="42">
        <f t="shared" ref="AS235" si="732">IF(OR(M235="лаб",M235="пр"),IF(R235="К",AA235*ВПКР,IF(R235="М",AA235*ВПИБ,0)),0)</f>
        <v>0</v>
      </c>
      <c r="AT235" s="42">
        <f t="shared" ref="AT235" si="733">IF(OR(M235="лаб",M235="пр"),IF(S235="К",AA235*ВПКП,0),0)</f>
        <v>0</v>
      </c>
      <c r="AU235" s="42">
        <f t="shared" ref="AU235" si="734">IF(M235="УП",T235/1.5*AA235*РУП,IF(M235="УПМ",T235/1.5*AA235*РУПЛеч,0))</f>
        <v>0</v>
      </c>
      <c r="AV235" s="42">
        <f>IF(M235="ПП",РПП*AA235*(U235/1.5),IF(M235="ВП",ВПр*AA235*(U235/1.5),IF(M235="РПА",РПА*AA235*(U235/1.5),IF(M235="КПА",КПА*AA235*(U235/1.5),0))))</f>
        <v>0</v>
      </c>
      <c r="AW235" s="42">
        <f t="shared" ref="AW235" si="735">IF(M235="НР",(AB235*НИРМ+AC235*НИРМИн)*(V235/1.5),IF(M235="НИ",(AB235*НИРА+AC235*НИРАИ)*(V235/1.5),0))</f>
        <v>0</v>
      </c>
      <c r="AX235" s="42">
        <f t="shared" si="595"/>
        <v>0</v>
      </c>
      <c r="AY235" s="42">
        <f t="shared" si="596"/>
        <v>0</v>
      </c>
      <c r="AZ235" s="42">
        <f t="shared" ref="AZ235" si="736">IF(AND(Q235="КЭ",M235="ЧК"),AA235*КдЭк,0)</f>
        <v>0</v>
      </c>
      <c r="BA235" s="42">
        <f t="shared" si="597"/>
        <v>0</v>
      </c>
      <c r="BB235" s="42">
        <f t="shared" si="598"/>
        <v>0</v>
      </c>
      <c r="BC235" s="42">
        <f t="shared" si="599"/>
        <v>0</v>
      </c>
      <c r="BD235" s="42">
        <f t="shared" ref="BD235" si="737">IF(M235="ЧГ",AA235*ЧГ,IF(M235="ПГ",AA235*ПГ,IF(M235="ТЕСТ",ТГИЭ*AE235,IF(M235="СГ",AA235*СГ,0))))</f>
        <v>0</v>
      </c>
      <c r="BE235" s="43">
        <f t="shared" ref="BE235" si="738">SUM(AL235:BD235)</f>
        <v>43</v>
      </c>
      <c r="BF235" s="44"/>
      <c r="BG235" s="45">
        <f t="shared" ref="BG235" si="739">IF(OR(K235="1;1",K235="1;2",K235=1,K235="3;1",K235="3;2",K235=3,K235="5;1",K235="5;2",K235=5,K235="7;1",K235="7;2",K235=7,K235="9;1",K235="9;2",K235=9,K235=11),SUM(AL235:AN235),0)</f>
        <v>36</v>
      </c>
      <c r="BH235" s="45">
        <f t="shared" ref="BH235" si="740">IF(BG235&lt;&gt;0,SUM(N235:P235)/2,0)</f>
        <v>2</v>
      </c>
      <c r="BI235" s="45">
        <f t="shared" ref="BI235" si="741">IF(OR(K235="1;1",K235="1;2",K235=1,K235="3;1",K235="3;2",K235=3,K235="5;1",K235="5;2",K235=5,K235="7;1",K235="7;2",K235=7,K235="9;1",K235="9;2",K235=9,K235=11),SUM(AO235:BD235),0)</f>
        <v>7</v>
      </c>
      <c r="BJ235" s="46">
        <f t="shared" si="587"/>
        <v>0</v>
      </c>
      <c r="BK235" s="46">
        <f t="shared" si="588"/>
        <v>0</v>
      </c>
      <c r="BL235" s="46">
        <f t="shared" si="589"/>
        <v>0</v>
      </c>
    </row>
    <row r="236" spans="1:64" ht="30" customHeight="1" x14ac:dyDescent="0.25">
      <c r="A236" s="84" t="str">
        <f t="shared" si="590"/>
        <v>Д</v>
      </c>
      <c r="B236" s="84" t="str">
        <f t="shared" si="643"/>
        <v>Б</v>
      </c>
      <c r="C236" s="101" t="s">
        <v>1463</v>
      </c>
      <c r="D236" s="16" t="str">
        <f t="shared" si="561"/>
        <v>'02.03.01</v>
      </c>
      <c r="E236" s="17" t="str">
        <f t="shared" si="621"/>
        <v>Математика и компьютерные науки</v>
      </c>
      <c r="F236" s="9" t="s">
        <v>413</v>
      </c>
      <c r="G236" s="9" t="s">
        <v>42</v>
      </c>
      <c r="H236" s="10" t="s">
        <v>3233</v>
      </c>
      <c r="I236" s="10"/>
      <c r="J236" s="24" t="s">
        <v>3215</v>
      </c>
      <c r="K236" s="11" t="s">
        <v>3227</v>
      </c>
      <c r="L236" s="11">
        <v>9</v>
      </c>
      <c r="M236" s="8" t="s">
        <v>94</v>
      </c>
      <c r="N236" s="11"/>
      <c r="O236" s="11">
        <v>4</v>
      </c>
      <c r="P236" s="11"/>
      <c r="Q236" s="8" t="s">
        <v>102</v>
      </c>
      <c r="R236" s="11"/>
      <c r="S236" s="11"/>
      <c r="T236" s="11"/>
      <c r="U236" s="11"/>
      <c r="V236" s="11"/>
      <c r="W236" s="83" t="str">
        <f t="shared" si="591"/>
        <v>НКНбд</v>
      </c>
      <c r="X236" s="114" t="s">
        <v>3244</v>
      </c>
      <c r="Y236" s="109">
        <v>1</v>
      </c>
      <c r="Z236" s="109"/>
      <c r="AA236" s="83">
        <f t="shared" si="562"/>
        <v>12</v>
      </c>
      <c r="AB236" s="11">
        <v>8</v>
      </c>
      <c r="AC236" s="11">
        <v>4</v>
      </c>
      <c r="AD236" s="81">
        <f t="shared" si="592"/>
        <v>12</v>
      </c>
      <c r="AE236" s="82">
        <f t="shared" si="563"/>
        <v>1</v>
      </c>
      <c r="AF236" s="82">
        <f t="shared" si="564"/>
        <v>1</v>
      </c>
      <c r="AG236" s="102" t="s">
        <v>3250</v>
      </c>
      <c r="AH236" s="113" t="s">
        <v>204</v>
      </c>
      <c r="AI236" s="113" t="s">
        <v>212</v>
      </c>
      <c r="AJ236" s="121" t="s">
        <v>3256</v>
      </c>
      <c r="AK236" s="8"/>
      <c r="AL236" s="42">
        <f t="shared" si="593"/>
        <v>0</v>
      </c>
      <c r="AM236" s="42">
        <f t="shared" si="644"/>
        <v>0</v>
      </c>
      <c r="AN236" s="42">
        <f t="shared" si="645"/>
        <v>36</v>
      </c>
      <c r="AO236" s="42">
        <f t="shared" si="586"/>
        <v>0</v>
      </c>
      <c r="AP236" s="42">
        <f t="shared" si="646"/>
        <v>6</v>
      </c>
      <c r="AQ236" s="42">
        <f t="shared" si="647"/>
        <v>0</v>
      </c>
      <c r="AR236" s="42">
        <f t="shared" si="594"/>
        <v>0</v>
      </c>
      <c r="AS236" s="42">
        <f t="shared" si="648"/>
        <v>0</v>
      </c>
      <c r="AT236" s="42">
        <f t="shared" si="649"/>
        <v>0</v>
      </c>
      <c r="AU236" s="42">
        <f t="shared" si="650"/>
        <v>0</v>
      </c>
      <c r="AV236" s="42">
        <f>IF(M236="ПП",РПП*AA236*(U236/1.5),IF(M236="ВП",ВПр*AA236*(U236/1.5),IF(M236="РПА",РПА*AA236*(U236/1.5),IF(M236="КПА",КПА*AA236*(U236/1.5),0))))</f>
        <v>0</v>
      </c>
      <c r="AW236" s="42">
        <f t="shared" si="651"/>
        <v>0</v>
      </c>
      <c r="AX236" s="42">
        <f t="shared" si="595"/>
        <v>0</v>
      </c>
      <c r="AY236" s="42">
        <f t="shared" si="596"/>
        <v>0</v>
      </c>
      <c r="AZ236" s="42">
        <f t="shared" si="652"/>
        <v>0</v>
      </c>
      <c r="BA236" s="42">
        <f t="shared" si="597"/>
        <v>0</v>
      </c>
      <c r="BB236" s="42">
        <f t="shared" si="598"/>
        <v>0</v>
      </c>
      <c r="BC236" s="42">
        <f t="shared" si="599"/>
        <v>0</v>
      </c>
      <c r="BD236" s="42">
        <f t="shared" si="653"/>
        <v>0</v>
      </c>
      <c r="BE236" s="43">
        <f t="shared" si="654"/>
        <v>42</v>
      </c>
      <c r="BF236" s="44"/>
      <c r="BG236" s="45">
        <f t="shared" si="655"/>
        <v>36</v>
      </c>
      <c r="BH236" s="45">
        <f t="shared" si="656"/>
        <v>2</v>
      </c>
      <c r="BI236" s="45">
        <f t="shared" si="657"/>
        <v>6</v>
      </c>
      <c r="BJ236" s="46">
        <f t="shared" si="587"/>
        <v>0</v>
      </c>
      <c r="BK236" s="46">
        <f t="shared" si="588"/>
        <v>0</v>
      </c>
      <c r="BL236" s="46">
        <f t="shared" si="589"/>
        <v>0</v>
      </c>
    </row>
    <row r="237" spans="1:64" ht="30" customHeight="1" x14ac:dyDescent="0.25">
      <c r="A237" s="84" t="str">
        <f t="shared" si="590"/>
        <v>Д</v>
      </c>
      <c r="B237" s="84" t="str">
        <f t="shared" si="643"/>
        <v>Б</v>
      </c>
      <c r="C237" s="101" t="s">
        <v>1463</v>
      </c>
      <c r="D237" s="16" t="str">
        <f t="shared" si="561"/>
        <v>'02.03.01</v>
      </c>
      <c r="E237" s="17" t="str">
        <f t="shared" si="621"/>
        <v>Математика и компьютерные науки</v>
      </c>
      <c r="F237" s="9" t="s">
        <v>413</v>
      </c>
      <c r="G237" s="9" t="s">
        <v>503</v>
      </c>
      <c r="H237" s="10" t="s">
        <v>3233</v>
      </c>
      <c r="I237" s="10" t="s">
        <v>3232</v>
      </c>
      <c r="J237" s="24" t="s">
        <v>3217</v>
      </c>
      <c r="K237" s="11">
        <v>5</v>
      </c>
      <c r="L237" s="11">
        <v>18</v>
      </c>
      <c r="M237" s="8" t="s">
        <v>23</v>
      </c>
      <c r="N237" s="11">
        <v>1</v>
      </c>
      <c r="O237" s="11"/>
      <c r="P237" s="11"/>
      <c r="Q237" s="8"/>
      <c r="R237" s="12"/>
      <c r="S237" s="12"/>
      <c r="T237" s="12"/>
      <c r="U237" s="12"/>
      <c r="V237" s="12"/>
      <c r="W237" s="83" t="str">
        <f t="shared" si="591"/>
        <v>НКНбд</v>
      </c>
      <c r="X237" s="114" t="s">
        <v>3241</v>
      </c>
      <c r="Y237" s="109">
        <v>2</v>
      </c>
      <c r="Z237" s="109">
        <v>1</v>
      </c>
      <c r="AA237" s="83">
        <f t="shared" si="562"/>
        <v>12</v>
      </c>
      <c r="AB237" s="11">
        <v>8</v>
      </c>
      <c r="AC237" s="11">
        <v>4</v>
      </c>
      <c r="AD237" s="81">
        <f t="shared" si="592"/>
        <v>12</v>
      </c>
      <c r="AE237" s="82">
        <f t="shared" si="563"/>
        <v>1</v>
      </c>
      <c r="AF237" s="82">
        <f t="shared" si="564"/>
        <v>1</v>
      </c>
      <c r="AG237" s="102" t="s">
        <v>3250</v>
      </c>
      <c r="AH237" s="113" t="s">
        <v>201</v>
      </c>
      <c r="AI237" s="113" t="s">
        <v>213</v>
      </c>
      <c r="AJ237" s="121" t="s">
        <v>3260</v>
      </c>
      <c r="AK237" s="8"/>
      <c r="AL237" s="42">
        <f t="shared" si="593"/>
        <v>18</v>
      </c>
      <c r="AM237" s="42">
        <f t="shared" si="644"/>
        <v>0</v>
      </c>
      <c r="AN237" s="42">
        <f t="shared" si="645"/>
        <v>0</v>
      </c>
      <c r="AO237" s="42">
        <f t="shared" si="586"/>
        <v>0</v>
      </c>
      <c r="AP237" s="42">
        <f t="shared" si="646"/>
        <v>0</v>
      </c>
      <c r="AQ237" s="42">
        <f t="shared" si="647"/>
        <v>0</v>
      </c>
      <c r="AR237" s="42">
        <f t="shared" si="594"/>
        <v>0.9</v>
      </c>
      <c r="AS237" s="42">
        <f t="shared" si="648"/>
        <v>0</v>
      </c>
      <c r="AT237" s="42">
        <f t="shared" si="649"/>
        <v>0</v>
      </c>
      <c r="AU237" s="42">
        <f t="shared" si="650"/>
        <v>0</v>
      </c>
      <c r="AV237" s="42">
        <f>IF(M237="ПП",РПП*AA237*(U237/1.5),IF(M237="ВП",ВПр*AA237*(U237/1.5),IF(M237="РПА",РПА*AA237*(U237/1.5),IF(M237="КПА",КПА*AA237*(U237/1.5),0))))</f>
        <v>0</v>
      </c>
      <c r="AW237" s="42">
        <f t="shared" si="651"/>
        <v>0</v>
      </c>
      <c r="AX237" s="42">
        <f t="shared" si="595"/>
        <v>0</v>
      </c>
      <c r="AY237" s="42">
        <f t="shared" si="596"/>
        <v>0</v>
      </c>
      <c r="AZ237" s="42">
        <f t="shared" si="652"/>
        <v>0</v>
      </c>
      <c r="BA237" s="42">
        <f t="shared" si="597"/>
        <v>0</v>
      </c>
      <c r="BB237" s="42">
        <f t="shared" si="598"/>
        <v>0</v>
      </c>
      <c r="BC237" s="42">
        <f t="shared" si="599"/>
        <v>0</v>
      </c>
      <c r="BD237" s="42">
        <f t="shared" si="653"/>
        <v>0</v>
      </c>
      <c r="BE237" s="43">
        <f t="shared" si="654"/>
        <v>18.899999999999999</v>
      </c>
      <c r="BF237" s="44"/>
      <c r="BG237" s="45">
        <f t="shared" si="655"/>
        <v>18</v>
      </c>
      <c r="BH237" s="45">
        <f t="shared" si="656"/>
        <v>0.5</v>
      </c>
      <c r="BI237" s="45">
        <f t="shared" si="657"/>
        <v>0.9</v>
      </c>
      <c r="BJ237" s="46">
        <f t="shared" si="587"/>
        <v>0</v>
      </c>
      <c r="BK237" s="46">
        <f t="shared" si="588"/>
        <v>0</v>
      </c>
      <c r="BL237" s="46">
        <f t="shared" si="589"/>
        <v>0</v>
      </c>
    </row>
    <row r="238" spans="1:64" ht="30" customHeight="1" x14ac:dyDescent="0.25">
      <c r="A238" s="84" t="str">
        <f t="shared" si="590"/>
        <v>Д</v>
      </c>
      <c r="B238" s="84" t="str">
        <f t="shared" si="643"/>
        <v>Б</v>
      </c>
      <c r="C238" s="101" t="s">
        <v>1463</v>
      </c>
      <c r="D238" s="16" t="str">
        <f t="shared" si="561"/>
        <v>'02.03.01</v>
      </c>
      <c r="E238" s="17" t="str">
        <f t="shared" si="621"/>
        <v>Математика и компьютерные науки</v>
      </c>
      <c r="F238" s="9" t="s">
        <v>413</v>
      </c>
      <c r="G238" s="9" t="s">
        <v>503</v>
      </c>
      <c r="H238" s="10" t="s">
        <v>3233</v>
      </c>
      <c r="I238" s="10" t="s">
        <v>3232</v>
      </c>
      <c r="J238" s="24" t="s">
        <v>3217</v>
      </c>
      <c r="K238" s="11">
        <v>5</v>
      </c>
      <c r="L238" s="11">
        <v>18</v>
      </c>
      <c r="M238" s="8" t="s">
        <v>24</v>
      </c>
      <c r="N238" s="11"/>
      <c r="O238" s="11"/>
      <c r="P238" s="11">
        <v>1</v>
      </c>
      <c r="Q238" s="8" t="s">
        <v>102</v>
      </c>
      <c r="R238" s="11"/>
      <c r="S238" s="11"/>
      <c r="T238" s="23"/>
      <c r="U238" s="11"/>
      <c r="V238" s="11"/>
      <c r="W238" s="83" t="str">
        <f t="shared" si="591"/>
        <v>НКНбд</v>
      </c>
      <c r="X238" s="114" t="s">
        <v>3241</v>
      </c>
      <c r="Y238" s="109">
        <v>2</v>
      </c>
      <c r="Z238" s="109">
        <v>1</v>
      </c>
      <c r="AA238" s="83">
        <f t="shared" si="562"/>
        <v>12</v>
      </c>
      <c r="AB238" s="11">
        <v>8</v>
      </c>
      <c r="AC238" s="11">
        <v>4</v>
      </c>
      <c r="AD238" s="81">
        <f t="shared" si="592"/>
        <v>24</v>
      </c>
      <c r="AE238" s="82">
        <f t="shared" si="563"/>
        <v>0.5</v>
      </c>
      <c r="AF238" s="82">
        <f t="shared" si="564"/>
        <v>0.5</v>
      </c>
      <c r="AG238" s="102" t="s">
        <v>3250</v>
      </c>
      <c r="AH238" s="113" t="s">
        <v>201</v>
      </c>
      <c r="AI238" s="113" t="s">
        <v>213</v>
      </c>
      <c r="AJ238" s="121" t="s">
        <v>3260</v>
      </c>
      <c r="AK238" s="8"/>
      <c r="AL238" s="42">
        <f t="shared" si="593"/>
        <v>0</v>
      </c>
      <c r="AM238" s="42">
        <f t="shared" si="644"/>
        <v>9</v>
      </c>
      <c r="AN238" s="42">
        <f t="shared" si="645"/>
        <v>0</v>
      </c>
      <c r="AO238" s="42">
        <f t="shared" si="586"/>
        <v>3.96</v>
      </c>
      <c r="AP238" s="42">
        <f t="shared" si="646"/>
        <v>6</v>
      </c>
      <c r="AQ238" s="42">
        <f t="shared" si="647"/>
        <v>0.5</v>
      </c>
      <c r="AR238" s="42">
        <f t="shared" si="594"/>
        <v>0</v>
      </c>
      <c r="AS238" s="42">
        <f t="shared" si="648"/>
        <v>0</v>
      </c>
      <c r="AT238" s="42">
        <f t="shared" si="649"/>
        <v>0</v>
      </c>
      <c r="AU238" s="42">
        <f t="shared" si="650"/>
        <v>0</v>
      </c>
      <c r="AV238" s="42">
        <f>IF(M238="ПП",РПП*AA238*(U238/1.5),IF(M238="ВП",ВПр*AA238*(U238/1.5),IF(M238="РПА",РПА*AA238*(U238/1.5),IF(M238="КПА",КПА*AA238*(U238/1.5),0))))</f>
        <v>0</v>
      </c>
      <c r="AW238" s="42">
        <f t="shared" si="651"/>
        <v>0</v>
      </c>
      <c r="AX238" s="42">
        <f t="shared" si="595"/>
        <v>0</v>
      </c>
      <c r="AY238" s="42">
        <f t="shared" si="596"/>
        <v>0</v>
      </c>
      <c r="AZ238" s="42">
        <f t="shared" si="652"/>
        <v>0</v>
      </c>
      <c r="BA238" s="42">
        <f t="shared" si="597"/>
        <v>0</v>
      </c>
      <c r="BB238" s="42">
        <f t="shared" si="598"/>
        <v>0</v>
      </c>
      <c r="BC238" s="42">
        <f t="shared" si="599"/>
        <v>0</v>
      </c>
      <c r="BD238" s="42">
        <f t="shared" si="653"/>
        <v>0</v>
      </c>
      <c r="BE238" s="43">
        <f t="shared" si="654"/>
        <v>19.46</v>
      </c>
      <c r="BF238" s="44"/>
      <c r="BG238" s="45">
        <f t="shared" si="655"/>
        <v>9</v>
      </c>
      <c r="BH238" s="45">
        <f t="shared" si="656"/>
        <v>0.5</v>
      </c>
      <c r="BI238" s="45">
        <f t="shared" si="657"/>
        <v>10.46</v>
      </c>
      <c r="BJ238" s="46">
        <f t="shared" si="587"/>
        <v>0</v>
      </c>
      <c r="BK238" s="46">
        <f t="shared" si="588"/>
        <v>0</v>
      </c>
      <c r="BL238" s="46">
        <f t="shared" si="589"/>
        <v>0</v>
      </c>
    </row>
    <row r="239" spans="1:64" ht="30" customHeight="1" x14ac:dyDescent="0.25">
      <c r="A239" s="84" t="str">
        <f t="shared" si="590"/>
        <v>Д</v>
      </c>
      <c r="B239" s="84" t="str">
        <f t="shared" si="643"/>
        <v>Б</v>
      </c>
      <c r="C239" s="101" t="s">
        <v>1463</v>
      </c>
      <c r="D239" s="16" t="str">
        <f t="shared" si="561"/>
        <v>'02.03.01</v>
      </c>
      <c r="E239" s="17" t="str">
        <f t="shared" si="621"/>
        <v>Математика и компьютерные науки</v>
      </c>
      <c r="F239" s="9" t="s">
        <v>413</v>
      </c>
      <c r="G239" s="9" t="s">
        <v>503</v>
      </c>
      <c r="H239" s="10" t="s">
        <v>3233</v>
      </c>
      <c r="I239" s="10" t="s">
        <v>3232</v>
      </c>
      <c r="J239" s="24" t="s">
        <v>3218</v>
      </c>
      <c r="K239" s="11">
        <v>5</v>
      </c>
      <c r="L239" s="11">
        <v>18</v>
      </c>
      <c r="M239" s="8" t="s">
        <v>23</v>
      </c>
      <c r="N239" s="12">
        <v>1</v>
      </c>
      <c r="O239" s="12"/>
      <c r="P239" s="12"/>
      <c r="Q239" s="8"/>
      <c r="R239" s="11"/>
      <c r="S239" s="11"/>
      <c r="T239" s="23"/>
      <c r="U239" s="11"/>
      <c r="V239" s="11"/>
      <c r="W239" s="83" t="str">
        <f t="shared" si="591"/>
        <v>НКНбд</v>
      </c>
      <c r="X239" s="114" t="s">
        <v>3241</v>
      </c>
      <c r="Y239" s="109">
        <v>2</v>
      </c>
      <c r="Z239" s="109">
        <v>1</v>
      </c>
      <c r="AA239" s="83">
        <f t="shared" si="562"/>
        <v>12</v>
      </c>
      <c r="AB239" s="11">
        <v>8</v>
      </c>
      <c r="AC239" s="11">
        <v>4</v>
      </c>
      <c r="AD239" s="81">
        <f t="shared" si="592"/>
        <v>12</v>
      </c>
      <c r="AE239" s="82">
        <f t="shared" si="563"/>
        <v>1</v>
      </c>
      <c r="AF239" s="82">
        <f t="shared" si="564"/>
        <v>1</v>
      </c>
      <c r="AG239" s="102" t="s">
        <v>3250</v>
      </c>
      <c r="AH239" s="113" t="s">
        <v>204</v>
      </c>
      <c r="AI239" s="113" t="s">
        <v>213</v>
      </c>
      <c r="AJ239" s="119" t="s">
        <v>3266</v>
      </c>
      <c r="AK239" s="8"/>
      <c r="AL239" s="42">
        <f t="shared" si="593"/>
        <v>18</v>
      </c>
      <c r="AM239" s="42">
        <f t="shared" si="644"/>
        <v>0</v>
      </c>
      <c r="AN239" s="42">
        <f t="shared" si="645"/>
        <v>0</v>
      </c>
      <c r="AO239" s="42">
        <f t="shared" si="586"/>
        <v>0</v>
      </c>
      <c r="AP239" s="42">
        <f t="shared" si="646"/>
        <v>0</v>
      </c>
      <c r="AQ239" s="42">
        <f t="shared" si="647"/>
        <v>0</v>
      </c>
      <c r="AR239" s="42">
        <f t="shared" si="594"/>
        <v>0.9</v>
      </c>
      <c r="AS239" s="42">
        <f t="shared" si="648"/>
        <v>0</v>
      </c>
      <c r="AT239" s="42">
        <f t="shared" si="649"/>
        <v>0</v>
      </c>
      <c r="AU239" s="42">
        <f t="shared" si="650"/>
        <v>0</v>
      </c>
      <c r="AV239" s="42">
        <f>IF(M239="ПП",РПП*AA239*(U239/1.5),IF(M239="ВП",ВПр*AA239*(U239/1.5),IF(M239="РПА",РПА*AA239*(U239/1.5),IF(M239="КПА",КПА*AA239*(U239/1.5),0))))</f>
        <v>0</v>
      </c>
      <c r="AW239" s="42">
        <f t="shared" si="651"/>
        <v>0</v>
      </c>
      <c r="AX239" s="42">
        <f t="shared" si="595"/>
        <v>0</v>
      </c>
      <c r="AY239" s="42">
        <f t="shared" si="596"/>
        <v>0</v>
      </c>
      <c r="AZ239" s="42">
        <f t="shared" si="652"/>
        <v>0</v>
      </c>
      <c r="BA239" s="42">
        <f t="shared" si="597"/>
        <v>0</v>
      </c>
      <c r="BB239" s="42">
        <f t="shared" si="598"/>
        <v>0</v>
      </c>
      <c r="BC239" s="42">
        <f t="shared" si="599"/>
        <v>0</v>
      </c>
      <c r="BD239" s="42">
        <f t="shared" si="653"/>
        <v>0</v>
      </c>
      <c r="BE239" s="43">
        <f t="shared" si="654"/>
        <v>18.899999999999999</v>
      </c>
      <c r="BF239" s="44"/>
      <c r="BG239" s="45">
        <f t="shared" si="655"/>
        <v>18</v>
      </c>
      <c r="BH239" s="45">
        <f t="shared" si="656"/>
        <v>0.5</v>
      </c>
      <c r="BI239" s="45">
        <f t="shared" si="657"/>
        <v>0.9</v>
      </c>
      <c r="BJ239" s="46">
        <f t="shared" si="587"/>
        <v>0</v>
      </c>
      <c r="BK239" s="46">
        <f t="shared" si="588"/>
        <v>0</v>
      </c>
      <c r="BL239" s="46">
        <f t="shared" si="589"/>
        <v>0</v>
      </c>
    </row>
    <row r="240" spans="1:64" ht="30" customHeight="1" x14ac:dyDescent="0.25">
      <c r="A240" s="84" t="str">
        <f t="shared" si="590"/>
        <v>Д</v>
      </c>
      <c r="B240" s="84" t="str">
        <f t="shared" si="643"/>
        <v>Б</v>
      </c>
      <c r="C240" s="101" t="s">
        <v>1463</v>
      </c>
      <c r="D240" s="16" t="str">
        <f t="shared" si="561"/>
        <v>'02.03.01</v>
      </c>
      <c r="E240" s="17" t="str">
        <f t="shared" si="621"/>
        <v>Математика и компьютерные науки</v>
      </c>
      <c r="F240" s="9" t="s">
        <v>413</v>
      </c>
      <c r="G240" s="9" t="s">
        <v>503</v>
      </c>
      <c r="H240" s="10" t="s">
        <v>3233</v>
      </c>
      <c r="I240" s="10" t="s">
        <v>3232</v>
      </c>
      <c r="J240" s="24" t="s">
        <v>3218</v>
      </c>
      <c r="K240" s="11">
        <v>5</v>
      </c>
      <c r="L240" s="11">
        <v>18</v>
      </c>
      <c r="M240" s="8" t="s">
        <v>24</v>
      </c>
      <c r="N240" s="11"/>
      <c r="O240" s="11"/>
      <c r="P240" s="11">
        <v>2</v>
      </c>
      <c r="Q240" s="8" t="s">
        <v>102</v>
      </c>
      <c r="R240" s="11"/>
      <c r="S240" s="11"/>
      <c r="T240" s="11"/>
      <c r="U240" s="11"/>
      <c r="V240" s="11"/>
      <c r="W240" s="83" t="str">
        <f t="shared" si="591"/>
        <v>НКНбд</v>
      </c>
      <c r="X240" s="114" t="s">
        <v>3241</v>
      </c>
      <c r="Y240" s="109">
        <v>2</v>
      </c>
      <c r="Z240" s="109">
        <v>1</v>
      </c>
      <c r="AA240" s="83">
        <f t="shared" si="562"/>
        <v>12</v>
      </c>
      <c r="AB240" s="11">
        <v>8</v>
      </c>
      <c r="AC240" s="11">
        <v>4</v>
      </c>
      <c r="AD240" s="81">
        <f t="shared" si="592"/>
        <v>24</v>
      </c>
      <c r="AE240" s="82">
        <f t="shared" si="563"/>
        <v>0.5</v>
      </c>
      <c r="AF240" s="82">
        <f t="shared" si="564"/>
        <v>0.5</v>
      </c>
      <c r="AG240" s="102" t="s">
        <v>3250</v>
      </c>
      <c r="AH240" s="113" t="s">
        <v>204</v>
      </c>
      <c r="AI240" s="113" t="s">
        <v>213</v>
      </c>
      <c r="AJ240" s="119" t="s">
        <v>3266</v>
      </c>
      <c r="AK240" s="8"/>
      <c r="AL240" s="42">
        <f t="shared" si="593"/>
        <v>0</v>
      </c>
      <c r="AM240" s="42">
        <f t="shared" si="644"/>
        <v>18</v>
      </c>
      <c r="AN240" s="42">
        <f t="shared" si="645"/>
        <v>0</v>
      </c>
      <c r="AO240" s="42">
        <f t="shared" si="586"/>
        <v>3.96</v>
      </c>
      <c r="AP240" s="42">
        <f t="shared" si="646"/>
        <v>6</v>
      </c>
      <c r="AQ240" s="42">
        <f t="shared" si="647"/>
        <v>0.5</v>
      </c>
      <c r="AR240" s="42">
        <f t="shared" si="594"/>
        <v>0</v>
      </c>
      <c r="AS240" s="42">
        <f t="shared" si="648"/>
        <v>0</v>
      </c>
      <c r="AT240" s="42">
        <f t="shared" si="649"/>
        <v>0</v>
      </c>
      <c r="AU240" s="42">
        <f t="shared" si="650"/>
        <v>0</v>
      </c>
      <c r="AV240" s="42">
        <f>IF(M240="ПП",РПП*AA240*(U240/1.5),IF(M240="ВП",ВПр*AA240*(U240/1.5),IF(M240="РПА",РПА*AA240*(U240/1.5),IF(M240="КПА",КПА*AA240*(U240/1.5),0))))</f>
        <v>0</v>
      </c>
      <c r="AW240" s="42">
        <f t="shared" si="651"/>
        <v>0</v>
      </c>
      <c r="AX240" s="42">
        <f t="shared" si="595"/>
        <v>0</v>
      </c>
      <c r="AY240" s="42">
        <f t="shared" si="596"/>
        <v>0</v>
      </c>
      <c r="AZ240" s="42">
        <f t="shared" si="652"/>
        <v>0</v>
      </c>
      <c r="BA240" s="42">
        <f t="shared" si="597"/>
        <v>0</v>
      </c>
      <c r="BB240" s="42">
        <f t="shared" si="598"/>
        <v>0</v>
      </c>
      <c r="BC240" s="42">
        <f t="shared" si="599"/>
        <v>0</v>
      </c>
      <c r="BD240" s="42">
        <f t="shared" si="653"/>
        <v>0</v>
      </c>
      <c r="BE240" s="43">
        <f t="shared" si="654"/>
        <v>28.46</v>
      </c>
      <c r="BF240" s="44"/>
      <c r="BG240" s="45">
        <f t="shared" si="655"/>
        <v>18</v>
      </c>
      <c r="BH240" s="45">
        <f t="shared" si="656"/>
        <v>1</v>
      </c>
      <c r="BI240" s="45">
        <f t="shared" si="657"/>
        <v>10.46</v>
      </c>
      <c r="BJ240" s="46">
        <f t="shared" si="587"/>
        <v>0</v>
      </c>
      <c r="BK240" s="46">
        <f t="shared" si="588"/>
        <v>0</v>
      </c>
      <c r="BL240" s="46">
        <f t="shared" si="589"/>
        <v>0</v>
      </c>
    </row>
    <row r="241" spans="1:64" ht="30" customHeight="1" x14ac:dyDescent="0.25">
      <c r="A241" s="84" t="str">
        <f t="shared" si="590"/>
        <v>Д</v>
      </c>
      <c r="B241" s="84" t="str">
        <f t="shared" si="643"/>
        <v>Б</v>
      </c>
      <c r="C241" s="101" t="s">
        <v>1463</v>
      </c>
      <c r="D241" s="16" t="str">
        <f t="shared" si="561"/>
        <v>'02.03.01</v>
      </c>
      <c r="E241" s="17" t="str">
        <f t="shared" si="621"/>
        <v>Математика и компьютерные науки</v>
      </c>
      <c r="F241" s="9" t="s">
        <v>413</v>
      </c>
      <c r="G241" s="9" t="s">
        <v>503</v>
      </c>
      <c r="H241" s="10" t="s">
        <v>3233</v>
      </c>
      <c r="I241" s="10" t="s">
        <v>3232</v>
      </c>
      <c r="J241" s="24" t="s">
        <v>3219</v>
      </c>
      <c r="K241" s="11">
        <v>6</v>
      </c>
      <c r="L241" s="11">
        <v>18</v>
      </c>
      <c r="M241" s="8" t="s">
        <v>23</v>
      </c>
      <c r="N241" s="11">
        <v>2</v>
      </c>
      <c r="O241" s="11"/>
      <c r="P241" s="11"/>
      <c r="Q241" s="8"/>
      <c r="R241" s="11"/>
      <c r="S241" s="11"/>
      <c r="T241" s="11"/>
      <c r="U241" s="11"/>
      <c r="V241" s="11"/>
      <c r="W241" s="83" t="str">
        <f t="shared" si="591"/>
        <v>НКНбд</v>
      </c>
      <c r="X241" s="114" t="s">
        <v>3241</v>
      </c>
      <c r="Y241" s="109">
        <v>2</v>
      </c>
      <c r="Z241" s="109">
        <v>1</v>
      </c>
      <c r="AA241" s="83">
        <f t="shared" si="562"/>
        <v>12</v>
      </c>
      <c r="AB241" s="11">
        <v>8</v>
      </c>
      <c r="AC241" s="11">
        <v>4</v>
      </c>
      <c r="AD241" s="81">
        <f t="shared" si="592"/>
        <v>12</v>
      </c>
      <c r="AE241" s="82">
        <f t="shared" si="563"/>
        <v>1</v>
      </c>
      <c r="AF241" s="82">
        <f t="shared" si="564"/>
        <v>1</v>
      </c>
      <c r="AG241" s="102" t="s">
        <v>3250</v>
      </c>
      <c r="AH241" s="113" t="s">
        <v>204</v>
      </c>
      <c r="AI241" s="113" t="s">
        <v>212</v>
      </c>
      <c r="AJ241" s="119" t="s">
        <v>3265</v>
      </c>
      <c r="AK241" s="8"/>
      <c r="AL241" s="42">
        <f t="shared" si="593"/>
        <v>36</v>
      </c>
      <c r="AM241" s="42">
        <f t="shared" si="644"/>
        <v>0</v>
      </c>
      <c r="AN241" s="42">
        <f t="shared" si="645"/>
        <v>0</v>
      </c>
      <c r="AO241" s="42">
        <f t="shared" si="586"/>
        <v>0</v>
      </c>
      <c r="AP241" s="42">
        <f t="shared" si="646"/>
        <v>0</v>
      </c>
      <c r="AQ241" s="42">
        <f t="shared" si="647"/>
        <v>0</v>
      </c>
      <c r="AR241" s="42">
        <f t="shared" si="594"/>
        <v>1.8</v>
      </c>
      <c r="AS241" s="42">
        <f t="shared" si="648"/>
        <v>0</v>
      </c>
      <c r="AT241" s="42">
        <f t="shared" si="649"/>
        <v>0</v>
      </c>
      <c r="AU241" s="42">
        <f t="shared" si="650"/>
        <v>0</v>
      </c>
      <c r="AV241" s="42">
        <f>IF(M241="ПП",РПП*AA241*(U241/1.5),IF(M241="ВП",ВПр*AA241*(U241/1.5),IF(M241="РПА",РПА*AA241*(U241/1.5),IF(M241="КПА",КПА*AA241*(U241/1.5),0))))</f>
        <v>0</v>
      </c>
      <c r="AW241" s="42">
        <f t="shared" si="651"/>
        <v>0</v>
      </c>
      <c r="AX241" s="42">
        <f t="shared" si="595"/>
        <v>0</v>
      </c>
      <c r="AY241" s="42">
        <f t="shared" si="596"/>
        <v>0</v>
      </c>
      <c r="AZ241" s="42">
        <f t="shared" si="652"/>
        <v>0</v>
      </c>
      <c r="BA241" s="42">
        <f t="shared" si="597"/>
        <v>0</v>
      </c>
      <c r="BB241" s="42">
        <f t="shared" si="598"/>
        <v>0</v>
      </c>
      <c r="BC241" s="42">
        <f t="shared" si="599"/>
        <v>0</v>
      </c>
      <c r="BD241" s="42">
        <f t="shared" si="653"/>
        <v>0</v>
      </c>
      <c r="BE241" s="43">
        <f t="shared" si="654"/>
        <v>37.799999999999997</v>
      </c>
      <c r="BF241" s="44"/>
      <c r="BG241" s="45">
        <f t="shared" si="655"/>
        <v>0</v>
      </c>
      <c r="BH241" s="45">
        <f t="shared" si="656"/>
        <v>0</v>
      </c>
      <c r="BI241" s="45">
        <f t="shared" si="657"/>
        <v>0</v>
      </c>
      <c r="BJ241" s="46">
        <f t="shared" si="587"/>
        <v>36</v>
      </c>
      <c r="BK241" s="46">
        <f t="shared" si="588"/>
        <v>1</v>
      </c>
      <c r="BL241" s="46">
        <f t="shared" si="589"/>
        <v>1.8</v>
      </c>
    </row>
    <row r="242" spans="1:64" ht="30" customHeight="1" x14ac:dyDescent="0.25">
      <c r="A242" s="84" t="str">
        <f t="shared" si="590"/>
        <v>Д</v>
      </c>
      <c r="B242" s="84" t="str">
        <f t="shared" ref="B242" si="742">IF(C242&gt;0, VLOOKUP(C242,Код_ООП,11,FALSE),0)</f>
        <v>Б</v>
      </c>
      <c r="C242" s="101" t="s">
        <v>1463</v>
      </c>
      <c r="D242" s="16" t="str">
        <f t="shared" ref="D242" si="743">IF(C242&gt;0, VLOOKUP(C242,Код_ООП,2,FALSE),0)</f>
        <v>'02.03.01</v>
      </c>
      <c r="E242" s="17" t="str">
        <f t="shared" ref="E242" si="744">IF(C242&gt;0, VLOOKUP(C242,Код_ООП,13,FALSE),0)</f>
        <v>Математика и компьютерные науки</v>
      </c>
      <c r="F242" s="9" t="s">
        <v>413</v>
      </c>
      <c r="G242" s="9" t="s">
        <v>503</v>
      </c>
      <c r="H242" s="10" t="s">
        <v>3233</v>
      </c>
      <c r="I242" s="10" t="s">
        <v>3232</v>
      </c>
      <c r="J242" s="24" t="s">
        <v>3219</v>
      </c>
      <c r="K242" s="11">
        <v>6</v>
      </c>
      <c r="L242" s="11">
        <v>18</v>
      </c>
      <c r="M242" s="8" t="s">
        <v>94</v>
      </c>
      <c r="N242" s="11"/>
      <c r="O242" s="11"/>
      <c r="P242" s="11">
        <v>4</v>
      </c>
      <c r="Q242" s="8" t="s">
        <v>102</v>
      </c>
      <c r="R242" s="11"/>
      <c r="S242" s="11"/>
      <c r="T242" s="11"/>
      <c r="U242" s="11"/>
      <c r="V242" s="11"/>
      <c r="W242" s="83" t="str">
        <f t="shared" si="591"/>
        <v>НКНбд</v>
      </c>
      <c r="X242" s="114" t="s">
        <v>3241</v>
      </c>
      <c r="Y242" s="109">
        <v>2</v>
      </c>
      <c r="Z242" s="109">
        <v>1</v>
      </c>
      <c r="AA242" s="83">
        <f t="shared" ref="AA242" si="745">AB242+AC242</f>
        <v>12</v>
      </c>
      <c r="AB242" s="11">
        <v>8</v>
      </c>
      <c r="AC242" s="11">
        <v>4</v>
      </c>
      <c r="AD242" s="81">
        <f t="shared" si="592"/>
        <v>12</v>
      </c>
      <c r="AE242" s="82">
        <f t="shared" ref="AE242" si="746">IF(AF242&gt;1,1,AF242)</f>
        <v>1</v>
      </c>
      <c r="AF242" s="82">
        <f t="shared" ref="AF242" si="747">AA242/AD242</f>
        <v>1</v>
      </c>
      <c r="AG242" s="102" t="s">
        <v>3250</v>
      </c>
      <c r="AH242" s="113" t="s">
        <v>204</v>
      </c>
      <c r="AI242" s="113" t="s">
        <v>212</v>
      </c>
      <c r="AJ242" s="120" t="s">
        <v>3265</v>
      </c>
      <c r="AK242" s="8"/>
      <c r="AL242" s="42">
        <f t="shared" si="593"/>
        <v>0</v>
      </c>
      <c r="AM242" s="42">
        <f t="shared" ref="AM242" si="748">IF(OR(M242="пр",M242="ия",M242="сп"),P242*AE242*L242,0)</f>
        <v>0</v>
      </c>
      <c r="AN242" s="42">
        <f t="shared" ref="AN242" si="749">IF(OR(M242="лаб",M242="клн"),O242*AE242*L242,0)</f>
        <v>0</v>
      </c>
      <c r="AO242" s="42">
        <f t="shared" ref="AO242" si="750">(IF((AND(OR(K242=1,K242=2,K242=3,K242=4,K242=5,K242=6,K242=7,K242=8,K242=9,K242=10,K242=11,K242=12),OR(Q242="Зач",Q242="Экз"))),ТКиРА*AA242,0)+IF(SUM(N242:P242)&lt;&gt;0,IF(Q242="ТК",ТКиРА*AA242,0),0))*(IF(F242="ФТД",0,1))</f>
        <v>3.96</v>
      </c>
      <c r="AP242" s="42">
        <f t="shared" ref="AP242" si="751">IF(SUM(O242:P242)&lt;&gt;0,IF(Q242="Зач",ПАБРС*AA242,0),0)+IF(N242&lt;&gt;0,IF(Q242="Экз",ПАБРС*AA242,0),0)</f>
        <v>6</v>
      </c>
      <c r="AQ242" s="42">
        <f t="shared" ref="AQ242" si="752">(IF(AP242&lt;&gt;0,ОфВед*(IF(OR(M242="лек",M242="лаб"),Z242,AE242)),0))*(IF(F242="ФТД",0,1))</f>
        <v>1</v>
      </c>
      <c r="AR242" s="42">
        <f t="shared" si="594"/>
        <v>0</v>
      </c>
      <c r="AS242" s="42">
        <f t="shared" ref="AS242" si="753">IF(OR(M242="лаб",M242="пр"),IF(R242="К",AA242*ВПКР,IF(R242="М",AA242*ВПИБ,0)),0)</f>
        <v>0</v>
      </c>
      <c r="AT242" s="42">
        <f t="shared" ref="AT242" si="754">IF(OR(M242="лаб",M242="пр"),IF(S242="К",AA242*ВПКП,0),0)</f>
        <v>0</v>
      </c>
      <c r="AU242" s="42">
        <f t="shared" ref="AU242" si="755">IF(M242="УП",T242/1.5*AA242*РУП,IF(M242="УПМ",T242/1.5*AA242*РУПЛеч,0))</f>
        <v>0</v>
      </c>
      <c r="AV242" s="42">
        <f>IF(M242="ПП",РПП*AA242*(U242/1.5),IF(M242="ВП",ВПр*AA242*(U242/1.5),IF(M242="РПА",РПА*AA242*(U242/1.5),IF(M242="КПА",КПА*AA242*(U242/1.5),0))))</f>
        <v>0</v>
      </c>
      <c r="AW242" s="42">
        <f t="shared" ref="AW242" si="756">IF(M242="НР",(AB242*НИРМ+AC242*НИРМИн)*(V242/1.5),IF(M242="НИ",(AB242*НИРА+AC242*НИРАИ)*(V242/1.5),0))</f>
        <v>0</v>
      </c>
      <c r="AX242" s="42">
        <f t="shared" si="595"/>
        <v>0</v>
      </c>
      <c r="AY242" s="42">
        <f t="shared" si="596"/>
        <v>0</v>
      </c>
      <c r="AZ242" s="42">
        <f t="shared" ref="AZ242" si="757">IF(AND(Q242="КЭ",M242="ЧК"),AA242*КдЭк,0)</f>
        <v>0</v>
      </c>
      <c r="BA242" s="42">
        <f t="shared" si="597"/>
        <v>0</v>
      </c>
      <c r="BB242" s="42">
        <f t="shared" si="598"/>
        <v>0</v>
      </c>
      <c r="BC242" s="42">
        <f t="shared" si="599"/>
        <v>0</v>
      </c>
      <c r="BD242" s="42">
        <f t="shared" ref="BD242" si="758">IF(M242="ЧГ",AA242*ЧГ,IF(M242="ПГ",AA242*ПГ,IF(M242="ТЕСТ",ТГИЭ*AE242,IF(M242="СГ",AA242*СГ,0))))</f>
        <v>0</v>
      </c>
      <c r="BE242" s="43">
        <f t="shared" ref="BE242" si="759">SUM(AL242:BD242)</f>
        <v>10.96</v>
      </c>
      <c r="BF242" s="44"/>
      <c r="BG242" s="45">
        <f t="shared" ref="BG242" si="760">IF(OR(K242="1;1",K242="1;2",K242=1,K242="3;1",K242="3;2",K242=3,K242="5;1",K242="5;2",K242=5,K242="7;1",K242="7;2",K242=7,K242="9;1",K242="9;2",K242=9,K242=11),SUM(AL242:AN242),0)</f>
        <v>0</v>
      </c>
      <c r="BH242" s="45">
        <f t="shared" ref="BH242" si="761">IF(BG242&lt;&gt;0,SUM(N242:P242)/2,0)</f>
        <v>0</v>
      </c>
      <c r="BI242" s="45">
        <f t="shared" ref="BI242" si="762">IF(OR(K242="1;1",K242="1;2",K242=1,K242="3;1",K242="3;2",K242=3,K242="5;1",K242="5;2",K242=5,K242="7;1",K242="7;2",K242=7,K242="9;1",K242="9;2",K242=9,K242=11),SUM(AO242:BD242),0)</f>
        <v>0</v>
      </c>
      <c r="BJ242" s="46">
        <f t="shared" si="587"/>
        <v>0</v>
      </c>
      <c r="BK242" s="46">
        <f t="shared" si="588"/>
        <v>0</v>
      </c>
      <c r="BL242" s="46">
        <f t="shared" si="589"/>
        <v>10.96</v>
      </c>
    </row>
    <row r="243" spans="1:64" ht="30" customHeight="1" x14ac:dyDescent="0.25">
      <c r="A243" s="84" t="str">
        <f t="shared" si="590"/>
        <v>Д</v>
      </c>
      <c r="B243" s="84" t="str">
        <f t="shared" si="643"/>
        <v>Б</v>
      </c>
      <c r="C243" s="101" t="s">
        <v>1463</v>
      </c>
      <c r="D243" s="16" t="str">
        <f t="shared" si="561"/>
        <v>'02.03.01</v>
      </c>
      <c r="E243" s="17" t="str">
        <f t="shared" si="621"/>
        <v>Математика и компьютерные науки</v>
      </c>
      <c r="F243" s="9" t="s">
        <v>413</v>
      </c>
      <c r="G243" s="9" t="s">
        <v>503</v>
      </c>
      <c r="H243" s="10" t="s">
        <v>3233</v>
      </c>
      <c r="I243" s="10" t="s">
        <v>3276</v>
      </c>
      <c r="J243" s="24" t="s">
        <v>3293</v>
      </c>
      <c r="K243" s="11" t="s">
        <v>3227</v>
      </c>
      <c r="L243" s="11">
        <v>9</v>
      </c>
      <c r="M243" s="8" t="s">
        <v>23</v>
      </c>
      <c r="N243" s="11">
        <v>2</v>
      </c>
      <c r="O243" s="11"/>
      <c r="P243" s="11"/>
      <c r="Q243" s="8"/>
      <c r="R243" s="12"/>
      <c r="S243" s="12"/>
      <c r="T243" s="12"/>
      <c r="U243" s="12"/>
      <c r="V243" s="12"/>
      <c r="W243" s="83" t="str">
        <f t="shared" si="591"/>
        <v>НКНбд</v>
      </c>
      <c r="X243" s="114" t="s">
        <v>3244</v>
      </c>
      <c r="Y243" s="109">
        <v>2</v>
      </c>
      <c r="Z243" s="109">
        <v>1</v>
      </c>
      <c r="AA243" s="83">
        <f t="shared" si="562"/>
        <v>15</v>
      </c>
      <c r="AB243" s="11">
        <v>10</v>
      </c>
      <c r="AC243" s="12">
        <v>5</v>
      </c>
      <c r="AD243" s="81">
        <f t="shared" si="592"/>
        <v>15</v>
      </c>
      <c r="AE243" s="82">
        <f t="shared" si="563"/>
        <v>1</v>
      </c>
      <c r="AF243" s="82">
        <f t="shared" si="564"/>
        <v>1</v>
      </c>
      <c r="AG243" s="102" t="s">
        <v>3250</v>
      </c>
      <c r="AH243" s="113" t="s">
        <v>205</v>
      </c>
      <c r="AI243" s="113" t="s">
        <v>213</v>
      </c>
      <c r="AJ243" s="119" t="s">
        <v>3296</v>
      </c>
      <c r="AK243" s="8"/>
      <c r="AL243" s="42">
        <f t="shared" si="593"/>
        <v>18</v>
      </c>
      <c r="AM243" s="42">
        <f t="shared" si="644"/>
        <v>0</v>
      </c>
      <c r="AN243" s="42">
        <f t="shared" si="645"/>
        <v>0</v>
      </c>
      <c r="AO243" s="42">
        <f t="shared" si="586"/>
        <v>0</v>
      </c>
      <c r="AP243" s="42">
        <f t="shared" si="646"/>
        <v>0</v>
      </c>
      <c r="AQ243" s="42">
        <f t="shared" si="647"/>
        <v>0</v>
      </c>
      <c r="AR243" s="42">
        <f t="shared" si="594"/>
        <v>0.9</v>
      </c>
      <c r="AS243" s="42">
        <f t="shared" si="648"/>
        <v>0</v>
      </c>
      <c r="AT243" s="42">
        <f t="shared" si="649"/>
        <v>0</v>
      </c>
      <c r="AU243" s="42">
        <f t="shared" si="650"/>
        <v>0</v>
      </c>
      <c r="AV243" s="42">
        <f>IF(M243="ПП",РПП*AA243*(U243/1.5),IF(M243="ВП",ВПр*AA243*(U243/1.5),IF(M243="РПА",РПА*AA243*(U243/1.5),IF(M243="КПА",КПА*AA243*(U243/1.5),0))))</f>
        <v>0</v>
      </c>
      <c r="AW243" s="42">
        <f t="shared" si="651"/>
        <v>0</v>
      </c>
      <c r="AX243" s="42">
        <f t="shared" si="595"/>
        <v>0</v>
      </c>
      <c r="AY243" s="42">
        <f t="shared" si="596"/>
        <v>0</v>
      </c>
      <c r="AZ243" s="42">
        <f t="shared" si="652"/>
        <v>0</v>
      </c>
      <c r="BA243" s="42">
        <f t="shared" si="597"/>
        <v>0</v>
      </c>
      <c r="BB243" s="42">
        <f t="shared" si="598"/>
        <v>0</v>
      </c>
      <c r="BC243" s="42">
        <f t="shared" si="599"/>
        <v>0</v>
      </c>
      <c r="BD243" s="42">
        <f t="shared" si="653"/>
        <v>0</v>
      </c>
      <c r="BE243" s="43">
        <f t="shared" si="654"/>
        <v>18.899999999999999</v>
      </c>
      <c r="BF243" s="44"/>
      <c r="BG243" s="45">
        <f t="shared" si="655"/>
        <v>18</v>
      </c>
      <c r="BH243" s="45">
        <f t="shared" si="656"/>
        <v>1</v>
      </c>
      <c r="BI243" s="45">
        <f t="shared" si="657"/>
        <v>0.9</v>
      </c>
      <c r="BJ243" s="46">
        <f t="shared" si="587"/>
        <v>0</v>
      </c>
      <c r="BK243" s="46">
        <f t="shared" si="588"/>
        <v>0</v>
      </c>
      <c r="BL243" s="46">
        <f t="shared" si="589"/>
        <v>0</v>
      </c>
    </row>
    <row r="244" spans="1:64" ht="30" customHeight="1" x14ac:dyDescent="0.25">
      <c r="A244" s="84" t="str">
        <f t="shared" si="590"/>
        <v>Д</v>
      </c>
      <c r="B244" s="84" t="str">
        <f t="shared" si="643"/>
        <v>Б</v>
      </c>
      <c r="C244" s="101" t="s">
        <v>1463</v>
      </c>
      <c r="D244" s="16" t="str">
        <f t="shared" si="561"/>
        <v>'02.03.01</v>
      </c>
      <c r="E244" s="17" t="str">
        <f t="shared" si="621"/>
        <v>Математика и компьютерные науки</v>
      </c>
      <c r="F244" s="9" t="s">
        <v>413</v>
      </c>
      <c r="G244" s="9" t="s">
        <v>503</v>
      </c>
      <c r="H244" s="10" t="s">
        <v>3233</v>
      </c>
      <c r="I244" s="10" t="s">
        <v>3276</v>
      </c>
      <c r="J244" s="24" t="s">
        <v>3293</v>
      </c>
      <c r="K244" s="11" t="s">
        <v>3227</v>
      </c>
      <c r="L244" s="11">
        <v>9</v>
      </c>
      <c r="M244" s="8" t="s">
        <v>24</v>
      </c>
      <c r="N244" s="11"/>
      <c r="O244" s="11"/>
      <c r="P244" s="11">
        <v>4</v>
      </c>
      <c r="Q244" s="8" t="s">
        <v>102</v>
      </c>
      <c r="R244" s="13"/>
      <c r="S244" s="13"/>
      <c r="T244" s="13"/>
      <c r="U244" s="13"/>
      <c r="V244" s="13"/>
      <c r="W244" s="83" t="str">
        <f t="shared" si="591"/>
        <v>НКНбд</v>
      </c>
      <c r="X244" s="114" t="s">
        <v>3244</v>
      </c>
      <c r="Y244" s="109">
        <v>2</v>
      </c>
      <c r="Z244" s="109">
        <v>1</v>
      </c>
      <c r="AA244" s="83">
        <f t="shared" si="562"/>
        <v>15</v>
      </c>
      <c r="AB244" s="11">
        <v>10</v>
      </c>
      <c r="AC244" s="12">
        <v>5</v>
      </c>
      <c r="AD244" s="81">
        <f t="shared" si="592"/>
        <v>24</v>
      </c>
      <c r="AE244" s="82">
        <f t="shared" si="563"/>
        <v>0.625</v>
      </c>
      <c r="AF244" s="82">
        <f t="shared" si="564"/>
        <v>0.625</v>
      </c>
      <c r="AG244" s="102" t="s">
        <v>3250</v>
      </c>
      <c r="AH244" s="113" t="s">
        <v>205</v>
      </c>
      <c r="AI244" s="113" t="s">
        <v>213</v>
      </c>
      <c r="AJ244" s="120" t="s">
        <v>3296</v>
      </c>
      <c r="AK244" s="8"/>
      <c r="AL244" s="42">
        <f t="shared" si="593"/>
        <v>0</v>
      </c>
      <c r="AM244" s="42">
        <f t="shared" si="644"/>
        <v>22.5</v>
      </c>
      <c r="AN244" s="42">
        <f t="shared" si="645"/>
        <v>0</v>
      </c>
      <c r="AO244" s="42">
        <f t="shared" si="586"/>
        <v>0</v>
      </c>
      <c r="AP244" s="42">
        <f t="shared" si="646"/>
        <v>7.5</v>
      </c>
      <c r="AQ244" s="42">
        <f t="shared" si="647"/>
        <v>0.625</v>
      </c>
      <c r="AR244" s="42">
        <f t="shared" si="594"/>
        <v>0</v>
      </c>
      <c r="AS244" s="42">
        <f t="shared" si="648"/>
        <v>0</v>
      </c>
      <c r="AT244" s="42">
        <f t="shared" si="649"/>
        <v>0</v>
      </c>
      <c r="AU244" s="42">
        <f t="shared" si="650"/>
        <v>0</v>
      </c>
      <c r="AV244" s="42">
        <f>IF(M244="ПП",РПП*AA244*(U244/1.5),IF(M244="ВП",ВПр*AA244*(U244/1.5),IF(M244="РПА",РПА*AA244*(U244/1.5),IF(M244="КПА",КПА*AA244*(U244/1.5),0))))</f>
        <v>0</v>
      </c>
      <c r="AW244" s="42">
        <f t="shared" si="651"/>
        <v>0</v>
      </c>
      <c r="AX244" s="42">
        <f t="shared" si="595"/>
        <v>0</v>
      </c>
      <c r="AY244" s="42">
        <f t="shared" si="596"/>
        <v>0</v>
      </c>
      <c r="AZ244" s="42">
        <f t="shared" si="652"/>
        <v>0</v>
      </c>
      <c r="BA244" s="42">
        <f t="shared" si="597"/>
        <v>0</v>
      </c>
      <c r="BB244" s="42">
        <f t="shared" si="598"/>
        <v>0</v>
      </c>
      <c r="BC244" s="42">
        <f t="shared" si="599"/>
        <v>0</v>
      </c>
      <c r="BD244" s="42">
        <f t="shared" si="653"/>
        <v>0</v>
      </c>
      <c r="BE244" s="43">
        <f t="shared" si="654"/>
        <v>30.625</v>
      </c>
      <c r="BF244" s="44"/>
      <c r="BG244" s="45">
        <f t="shared" si="655"/>
        <v>22.5</v>
      </c>
      <c r="BH244" s="45">
        <f t="shared" si="656"/>
        <v>2</v>
      </c>
      <c r="BI244" s="45">
        <f t="shared" si="657"/>
        <v>8.125</v>
      </c>
      <c r="BJ244" s="46">
        <f t="shared" si="587"/>
        <v>0</v>
      </c>
      <c r="BK244" s="46">
        <f t="shared" si="588"/>
        <v>0</v>
      </c>
      <c r="BL244" s="46">
        <f t="shared" si="589"/>
        <v>0</v>
      </c>
    </row>
    <row r="245" spans="1:64" ht="30" customHeight="1" x14ac:dyDescent="0.25">
      <c r="A245" s="84" t="str">
        <f t="shared" si="590"/>
        <v>Д</v>
      </c>
      <c r="B245" s="84" t="str">
        <f t="shared" si="643"/>
        <v>Б</v>
      </c>
      <c r="C245" s="101" t="s">
        <v>1463</v>
      </c>
      <c r="D245" s="16" t="str">
        <f t="shared" si="561"/>
        <v>'02.03.01</v>
      </c>
      <c r="E245" s="17" t="str">
        <f t="shared" si="621"/>
        <v>Математика и компьютерные науки</v>
      </c>
      <c r="F245" s="9" t="s">
        <v>413</v>
      </c>
      <c r="G245" s="9" t="s">
        <v>503</v>
      </c>
      <c r="H245" s="10" t="s">
        <v>3233</v>
      </c>
      <c r="I245" s="10" t="s">
        <v>3231</v>
      </c>
      <c r="J245" s="24" t="s">
        <v>3268</v>
      </c>
      <c r="K245" s="12">
        <v>5</v>
      </c>
      <c r="L245" s="11">
        <v>18</v>
      </c>
      <c r="M245" s="8" t="s">
        <v>23</v>
      </c>
      <c r="N245" s="12">
        <v>1</v>
      </c>
      <c r="O245" s="12"/>
      <c r="P245" s="12"/>
      <c r="Q245" s="8"/>
      <c r="R245" s="13"/>
      <c r="S245" s="13"/>
      <c r="T245" s="13"/>
      <c r="U245" s="13"/>
      <c r="V245" s="13"/>
      <c r="W245" s="83" t="str">
        <f t="shared" si="591"/>
        <v>НКНбд</v>
      </c>
      <c r="X245" s="114" t="s">
        <v>3241</v>
      </c>
      <c r="Y245" s="109">
        <v>2</v>
      </c>
      <c r="Z245" s="109">
        <v>1</v>
      </c>
      <c r="AA245" s="83">
        <f t="shared" si="562"/>
        <v>13</v>
      </c>
      <c r="AB245" s="11">
        <v>9</v>
      </c>
      <c r="AC245" s="12">
        <v>4</v>
      </c>
      <c r="AD245" s="81">
        <f t="shared" si="592"/>
        <v>13</v>
      </c>
      <c r="AE245" s="82">
        <f t="shared" si="563"/>
        <v>1</v>
      </c>
      <c r="AF245" s="82">
        <f t="shared" si="564"/>
        <v>1</v>
      </c>
      <c r="AG245" s="102" t="s">
        <v>3250</v>
      </c>
      <c r="AH245" s="113" t="s">
        <v>204</v>
      </c>
      <c r="AI245" s="113" t="s">
        <v>212</v>
      </c>
      <c r="AJ245" s="121" t="s">
        <v>3346</v>
      </c>
      <c r="AK245" s="8" t="s">
        <v>949</v>
      </c>
      <c r="AL245" s="42">
        <f t="shared" si="593"/>
        <v>18</v>
      </c>
      <c r="AM245" s="42">
        <f t="shared" si="644"/>
        <v>0</v>
      </c>
      <c r="AN245" s="42">
        <f t="shared" si="645"/>
        <v>0</v>
      </c>
      <c r="AO245" s="42">
        <f t="shared" si="586"/>
        <v>0</v>
      </c>
      <c r="AP245" s="42">
        <f t="shared" si="646"/>
        <v>0</v>
      </c>
      <c r="AQ245" s="42">
        <f t="shared" si="647"/>
        <v>0</v>
      </c>
      <c r="AR245" s="42">
        <f t="shared" si="594"/>
        <v>0.9</v>
      </c>
      <c r="AS245" s="42">
        <f t="shared" si="648"/>
        <v>0</v>
      </c>
      <c r="AT245" s="42">
        <f t="shared" si="649"/>
        <v>0</v>
      </c>
      <c r="AU245" s="42">
        <f t="shared" si="650"/>
        <v>0</v>
      </c>
      <c r="AV245" s="42">
        <f>IF(M245="ПП",РПП*AA245*(U245/1.5),IF(M245="ВП",ВПр*AA245*(U245/1.5),IF(M245="РПА",РПА*AA245*(U245/1.5),IF(M245="КПА",КПА*AA245*(U245/1.5),0))))</f>
        <v>0</v>
      </c>
      <c r="AW245" s="42">
        <f t="shared" si="651"/>
        <v>0</v>
      </c>
      <c r="AX245" s="42">
        <f t="shared" si="595"/>
        <v>0</v>
      </c>
      <c r="AY245" s="42">
        <f t="shared" si="596"/>
        <v>0</v>
      </c>
      <c r="AZ245" s="42">
        <f t="shared" si="652"/>
        <v>0</v>
      </c>
      <c r="BA245" s="42">
        <f t="shared" si="597"/>
        <v>0</v>
      </c>
      <c r="BB245" s="42">
        <f t="shared" si="598"/>
        <v>0</v>
      </c>
      <c r="BC245" s="42">
        <f t="shared" si="599"/>
        <v>0</v>
      </c>
      <c r="BD245" s="42">
        <f t="shared" si="653"/>
        <v>0</v>
      </c>
      <c r="BE245" s="43">
        <f t="shared" si="654"/>
        <v>18.899999999999999</v>
      </c>
      <c r="BF245" s="44"/>
      <c r="BG245" s="45">
        <f t="shared" si="655"/>
        <v>18</v>
      </c>
      <c r="BH245" s="45">
        <f t="shared" si="656"/>
        <v>0.5</v>
      </c>
      <c r="BI245" s="45">
        <f t="shared" si="657"/>
        <v>0.9</v>
      </c>
      <c r="BJ245" s="46">
        <f t="shared" si="587"/>
        <v>0</v>
      </c>
      <c r="BK245" s="46">
        <f t="shared" si="588"/>
        <v>0</v>
      </c>
      <c r="BL245" s="46">
        <f t="shared" si="589"/>
        <v>0</v>
      </c>
    </row>
    <row r="246" spans="1:64" ht="30" customHeight="1" x14ac:dyDescent="0.25">
      <c r="A246" s="84" t="str">
        <f t="shared" si="590"/>
        <v>Д</v>
      </c>
      <c r="B246" s="84" t="str">
        <f t="shared" ref="B246:B295" si="763">IF(C246&gt;0, VLOOKUP(C246,Код_ООП,11,FALSE),0)</f>
        <v>Б</v>
      </c>
      <c r="C246" s="101" t="s">
        <v>1463</v>
      </c>
      <c r="D246" s="16" t="str">
        <f t="shared" ref="D246:D295" si="764">IF(C246&gt;0, VLOOKUP(C246,Код_ООП,2,FALSE),0)</f>
        <v>'02.03.01</v>
      </c>
      <c r="E246" s="17" t="str">
        <f t="shared" ref="E246:E295" si="765">IF(C246&gt;0, VLOOKUP(C246,Код_ООП,13,FALSE),0)</f>
        <v>Математика и компьютерные науки</v>
      </c>
      <c r="F246" s="9" t="s">
        <v>413</v>
      </c>
      <c r="G246" s="9" t="s">
        <v>503</v>
      </c>
      <c r="H246" s="10" t="s">
        <v>3233</v>
      </c>
      <c r="I246" s="10" t="s">
        <v>3231</v>
      </c>
      <c r="J246" s="24" t="s">
        <v>3268</v>
      </c>
      <c r="K246" s="12">
        <v>5</v>
      </c>
      <c r="L246" s="11">
        <v>18</v>
      </c>
      <c r="M246" s="8" t="s">
        <v>24</v>
      </c>
      <c r="N246" s="13"/>
      <c r="O246" s="13"/>
      <c r="P246" s="13">
        <v>1</v>
      </c>
      <c r="Q246" s="8" t="s">
        <v>102</v>
      </c>
      <c r="R246" s="11"/>
      <c r="S246" s="11"/>
      <c r="T246" s="23"/>
      <c r="U246" s="11"/>
      <c r="V246" s="11"/>
      <c r="W246" s="83" t="str">
        <f t="shared" si="591"/>
        <v>НКНбд</v>
      </c>
      <c r="X246" s="114" t="s">
        <v>3241</v>
      </c>
      <c r="Y246" s="109">
        <v>2</v>
      </c>
      <c r="Z246" s="109">
        <v>1</v>
      </c>
      <c r="AA246" s="83">
        <f t="shared" ref="AA246:AA295" si="766">AB246+AC246</f>
        <v>13</v>
      </c>
      <c r="AB246" s="11">
        <v>9</v>
      </c>
      <c r="AC246" s="12">
        <v>4</v>
      </c>
      <c r="AD246" s="81">
        <f t="shared" si="592"/>
        <v>24</v>
      </c>
      <c r="AE246" s="82">
        <f t="shared" ref="AE246:AE295" si="767">IF(AF246&gt;1,1,AF246)</f>
        <v>0.54166666666666663</v>
      </c>
      <c r="AF246" s="82">
        <f t="shared" ref="AF246:AF295" si="768">AA246/AD246</f>
        <v>0.54166666666666663</v>
      </c>
      <c r="AG246" s="102" t="s">
        <v>3250</v>
      </c>
      <c r="AH246" s="113" t="s">
        <v>203</v>
      </c>
      <c r="AI246" s="113" t="s">
        <v>212</v>
      </c>
      <c r="AJ246" s="119" t="s">
        <v>3347</v>
      </c>
      <c r="AK246" s="8"/>
      <c r="AL246" s="42">
        <f t="shared" si="593"/>
        <v>0</v>
      </c>
      <c r="AM246" s="42">
        <f t="shared" si="644"/>
        <v>9.75</v>
      </c>
      <c r="AN246" s="42">
        <f t="shared" si="645"/>
        <v>0</v>
      </c>
      <c r="AO246" s="42">
        <f t="shared" si="586"/>
        <v>4.29</v>
      </c>
      <c r="AP246" s="42">
        <f t="shared" si="646"/>
        <v>6.5</v>
      </c>
      <c r="AQ246" s="42">
        <f t="shared" si="647"/>
        <v>0.54166666666666663</v>
      </c>
      <c r="AR246" s="42">
        <f t="shared" si="594"/>
        <v>0</v>
      </c>
      <c r="AS246" s="42">
        <f t="shared" si="648"/>
        <v>0</v>
      </c>
      <c r="AT246" s="42">
        <f t="shared" si="649"/>
        <v>0</v>
      </c>
      <c r="AU246" s="42">
        <f t="shared" si="650"/>
        <v>0</v>
      </c>
      <c r="AV246" s="42">
        <f>IF(M246="ПП",РПП*AA246*(U246/1.5),IF(M246="ВП",ВПр*AA246*(U246/1.5),IF(M246="РПА",РПА*AA246*(U246/1.5),IF(M246="КПА",КПА*AA246*(U246/1.5),0))))</f>
        <v>0</v>
      </c>
      <c r="AW246" s="42">
        <f t="shared" si="651"/>
        <v>0</v>
      </c>
      <c r="AX246" s="42">
        <f t="shared" si="595"/>
        <v>0</v>
      </c>
      <c r="AY246" s="42">
        <f t="shared" si="596"/>
        <v>0</v>
      </c>
      <c r="AZ246" s="42">
        <f t="shared" si="652"/>
        <v>0</v>
      </c>
      <c r="BA246" s="42">
        <f t="shared" si="597"/>
        <v>0</v>
      </c>
      <c r="BB246" s="42">
        <f t="shared" si="598"/>
        <v>0</v>
      </c>
      <c r="BC246" s="42">
        <f t="shared" si="599"/>
        <v>0</v>
      </c>
      <c r="BD246" s="42">
        <f t="shared" si="653"/>
        <v>0</v>
      </c>
      <c r="BE246" s="43">
        <f t="shared" si="654"/>
        <v>21.081666666666667</v>
      </c>
      <c r="BF246" s="44"/>
      <c r="BG246" s="45">
        <f t="shared" si="655"/>
        <v>9.75</v>
      </c>
      <c r="BH246" s="45">
        <f t="shared" si="656"/>
        <v>0.5</v>
      </c>
      <c r="BI246" s="45">
        <f t="shared" si="657"/>
        <v>11.331666666666665</v>
      </c>
      <c r="BJ246" s="46">
        <f t="shared" si="587"/>
        <v>0</v>
      </c>
      <c r="BK246" s="46">
        <f t="shared" si="588"/>
        <v>0</v>
      </c>
      <c r="BL246" s="46">
        <f t="shared" si="589"/>
        <v>0</v>
      </c>
    </row>
    <row r="247" spans="1:64" ht="30" customHeight="1" x14ac:dyDescent="0.25">
      <c r="A247" s="84" t="str">
        <f t="shared" si="590"/>
        <v>Д</v>
      </c>
      <c r="B247" s="84" t="str">
        <f t="shared" si="763"/>
        <v>Б</v>
      </c>
      <c r="C247" s="101" t="s">
        <v>1463</v>
      </c>
      <c r="D247" s="16" t="str">
        <f t="shared" si="764"/>
        <v>'02.03.01</v>
      </c>
      <c r="E247" s="17" t="str">
        <f t="shared" si="765"/>
        <v>Математика и компьютерные науки</v>
      </c>
      <c r="F247" s="9" t="s">
        <v>413</v>
      </c>
      <c r="G247" s="9" t="s">
        <v>503</v>
      </c>
      <c r="H247" s="10" t="s">
        <v>3233</v>
      </c>
      <c r="I247" s="10" t="s">
        <v>3231</v>
      </c>
      <c r="J247" s="24" t="s">
        <v>3269</v>
      </c>
      <c r="K247" s="13">
        <v>6</v>
      </c>
      <c r="L247" s="11">
        <v>18</v>
      </c>
      <c r="M247" s="8" t="s">
        <v>23</v>
      </c>
      <c r="N247" s="13">
        <v>1</v>
      </c>
      <c r="O247" s="13"/>
      <c r="P247" s="13"/>
      <c r="Q247" s="8"/>
      <c r="R247" s="11"/>
      <c r="S247" s="11"/>
      <c r="T247" s="23"/>
      <c r="U247" s="11"/>
      <c r="V247" s="11"/>
      <c r="W247" s="83" t="str">
        <f t="shared" si="591"/>
        <v>НКНбд</v>
      </c>
      <c r="X247" s="114" t="s">
        <v>3241</v>
      </c>
      <c r="Y247" s="109">
        <v>2</v>
      </c>
      <c r="Z247" s="109">
        <v>1</v>
      </c>
      <c r="AA247" s="83">
        <f t="shared" si="766"/>
        <v>13</v>
      </c>
      <c r="AB247" s="11">
        <v>9</v>
      </c>
      <c r="AC247" s="12">
        <v>4</v>
      </c>
      <c r="AD247" s="81">
        <f t="shared" si="592"/>
        <v>13</v>
      </c>
      <c r="AE247" s="82">
        <f t="shared" si="767"/>
        <v>1</v>
      </c>
      <c r="AF247" s="82">
        <f t="shared" si="768"/>
        <v>1</v>
      </c>
      <c r="AG247" s="102" t="s">
        <v>3250</v>
      </c>
      <c r="AH247" s="113" t="s">
        <v>204</v>
      </c>
      <c r="AI247" s="113" t="s">
        <v>212</v>
      </c>
      <c r="AJ247" s="124" t="s">
        <v>3372</v>
      </c>
      <c r="AK247" s="8" t="s">
        <v>949</v>
      </c>
      <c r="AL247" s="42">
        <f t="shared" si="593"/>
        <v>18</v>
      </c>
      <c r="AM247" s="42">
        <f t="shared" si="644"/>
        <v>0</v>
      </c>
      <c r="AN247" s="42">
        <f t="shared" si="645"/>
        <v>0</v>
      </c>
      <c r="AO247" s="42">
        <f t="shared" si="586"/>
        <v>0</v>
      </c>
      <c r="AP247" s="42">
        <f t="shared" si="646"/>
        <v>0</v>
      </c>
      <c r="AQ247" s="42">
        <f t="shared" si="647"/>
        <v>0</v>
      </c>
      <c r="AR247" s="42">
        <f t="shared" si="594"/>
        <v>0.9</v>
      </c>
      <c r="AS247" s="42">
        <f t="shared" si="648"/>
        <v>0</v>
      </c>
      <c r="AT247" s="42">
        <f t="shared" si="649"/>
        <v>0</v>
      </c>
      <c r="AU247" s="42">
        <f t="shared" si="650"/>
        <v>0</v>
      </c>
      <c r="AV247" s="42">
        <f>IF(M247="ПП",РПП*AA247*(U247/1.5),IF(M247="ВП",ВПр*AA247*(U247/1.5),IF(M247="РПА",РПА*AA247*(U247/1.5),IF(M247="КПА",КПА*AA247*(U247/1.5),0))))</f>
        <v>0</v>
      </c>
      <c r="AW247" s="42">
        <f t="shared" si="651"/>
        <v>0</v>
      </c>
      <c r="AX247" s="42">
        <f t="shared" si="595"/>
        <v>0</v>
      </c>
      <c r="AY247" s="42">
        <f t="shared" si="596"/>
        <v>0</v>
      </c>
      <c r="AZ247" s="42">
        <f t="shared" si="652"/>
        <v>0</v>
      </c>
      <c r="BA247" s="42">
        <f t="shared" si="597"/>
        <v>0</v>
      </c>
      <c r="BB247" s="42">
        <f t="shared" si="598"/>
        <v>0</v>
      </c>
      <c r="BC247" s="42">
        <f t="shared" si="599"/>
        <v>0</v>
      </c>
      <c r="BD247" s="42">
        <f t="shared" si="653"/>
        <v>0</v>
      </c>
      <c r="BE247" s="43">
        <f t="shared" si="654"/>
        <v>18.899999999999999</v>
      </c>
      <c r="BF247" s="44"/>
      <c r="BG247" s="45">
        <f t="shared" si="655"/>
        <v>0</v>
      </c>
      <c r="BH247" s="45">
        <f t="shared" si="656"/>
        <v>0</v>
      </c>
      <c r="BI247" s="45">
        <f t="shared" si="657"/>
        <v>0</v>
      </c>
      <c r="BJ247" s="46">
        <f t="shared" si="587"/>
        <v>18</v>
      </c>
      <c r="BK247" s="46">
        <f t="shared" si="588"/>
        <v>0.5</v>
      </c>
      <c r="BL247" s="46">
        <f t="shared" si="589"/>
        <v>0.9</v>
      </c>
    </row>
    <row r="248" spans="1:64" ht="30" customHeight="1" x14ac:dyDescent="0.25">
      <c r="A248" s="84" t="str">
        <f t="shared" si="590"/>
        <v>Д</v>
      </c>
      <c r="B248" s="84" t="str">
        <f t="shared" si="763"/>
        <v>Б</v>
      </c>
      <c r="C248" s="101" t="s">
        <v>1463</v>
      </c>
      <c r="D248" s="16" t="str">
        <f t="shared" si="764"/>
        <v>'02.03.01</v>
      </c>
      <c r="E248" s="17" t="str">
        <f t="shared" si="765"/>
        <v>Математика и компьютерные науки</v>
      </c>
      <c r="F248" s="9" t="s">
        <v>413</v>
      </c>
      <c r="G248" s="9" t="s">
        <v>503</v>
      </c>
      <c r="H248" s="10" t="s">
        <v>3233</v>
      </c>
      <c r="I248" s="10" t="s">
        <v>3231</v>
      </c>
      <c r="J248" s="24" t="s">
        <v>3269</v>
      </c>
      <c r="K248" s="13">
        <v>6</v>
      </c>
      <c r="L248" s="11">
        <v>18</v>
      </c>
      <c r="M248" s="8" t="s">
        <v>24</v>
      </c>
      <c r="N248" s="11"/>
      <c r="O248" s="11"/>
      <c r="P248" s="11">
        <v>2</v>
      </c>
      <c r="Q248" s="8" t="s">
        <v>102</v>
      </c>
      <c r="R248" s="11"/>
      <c r="S248" s="11"/>
      <c r="T248" s="23"/>
      <c r="U248" s="11"/>
      <c r="V248" s="11"/>
      <c r="W248" s="83" t="str">
        <f t="shared" si="591"/>
        <v>НКНбд</v>
      </c>
      <c r="X248" s="114" t="s">
        <v>3241</v>
      </c>
      <c r="Y248" s="109">
        <v>2</v>
      </c>
      <c r="Z248" s="109">
        <v>1</v>
      </c>
      <c r="AA248" s="83">
        <f t="shared" si="766"/>
        <v>13</v>
      </c>
      <c r="AB248" s="11">
        <v>9</v>
      </c>
      <c r="AC248" s="12">
        <v>4</v>
      </c>
      <c r="AD248" s="81">
        <f t="shared" si="592"/>
        <v>24</v>
      </c>
      <c r="AE248" s="82">
        <f t="shared" si="767"/>
        <v>0.54166666666666663</v>
      </c>
      <c r="AF248" s="82">
        <f t="shared" si="768"/>
        <v>0.54166666666666663</v>
      </c>
      <c r="AG248" s="102" t="s">
        <v>3250</v>
      </c>
      <c r="AH248" s="113" t="s">
        <v>203</v>
      </c>
      <c r="AI248" s="113" t="s">
        <v>212</v>
      </c>
      <c r="AJ248" s="124" t="s">
        <v>3372</v>
      </c>
      <c r="AK248" s="8"/>
      <c r="AL248" s="42">
        <f t="shared" si="593"/>
        <v>0</v>
      </c>
      <c r="AM248" s="42">
        <f t="shared" si="644"/>
        <v>19.5</v>
      </c>
      <c r="AN248" s="42">
        <f t="shared" si="645"/>
        <v>0</v>
      </c>
      <c r="AO248" s="42">
        <f t="shared" si="586"/>
        <v>4.29</v>
      </c>
      <c r="AP248" s="42">
        <f t="shared" si="646"/>
        <v>6.5</v>
      </c>
      <c r="AQ248" s="42">
        <f t="shared" si="647"/>
        <v>0.54166666666666663</v>
      </c>
      <c r="AR248" s="42">
        <f t="shared" si="594"/>
        <v>0</v>
      </c>
      <c r="AS248" s="42">
        <f t="shared" si="648"/>
        <v>0</v>
      </c>
      <c r="AT248" s="42">
        <f t="shared" si="649"/>
        <v>0</v>
      </c>
      <c r="AU248" s="42">
        <f t="shared" si="650"/>
        <v>0</v>
      </c>
      <c r="AV248" s="42">
        <f>IF(M248="ПП",РПП*AA248*(U248/1.5),IF(M248="ВП",ВПр*AA248*(U248/1.5),IF(M248="РПА",РПА*AA248*(U248/1.5),IF(M248="КПА",КПА*AA248*(U248/1.5),0))))</f>
        <v>0</v>
      </c>
      <c r="AW248" s="42">
        <f t="shared" si="651"/>
        <v>0</v>
      </c>
      <c r="AX248" s="42">
        <f t="shared" si="595"/>
        <v>0</v>
      </c>
      <c r="AY248" s="42">
        <f t="shared" si="596"/>
        <v>0</v>
      </c>
      <c r="AZ248" s="42">
        <f t="shared" si="652"/>
        <v>0</v>
      </c>
      <c r="BA248" s="42">
        <f t="shared" si="597"/>
        <v>0</v>
      </c>
      <c r="BB248" s="42">
        <f t="shared" si="598"/>
        <v>0</v>
      </c>
      <c r="BC248" s="42">
        <f t="shared" si="599"/>
        <v>0</v>
      </c>
      <c r="BD248" s="42">
        <f t="shared" si="653"/>
        <v>0</v>
      </c>
      <c r="BE248" s="43">
        <f t="shared" si="654"/>
        <v>30.831666666666667</v>
      </c>
      <c r="BF248" s="44"/>
      <c r="BG248" s="45">
        <f t="shared" si="655"/>
        <v>0</v>
      </c>
      <c r="BH248" s="45">
        <f t="shared" si="656"/>
        <v>0</v>
      </c>
      <c r="BI248" s="45">
        <f t="shared" si="657"/>
        <v>0</v>
      </c>
      <c r="BJ248" s="46">
        <f t="shared" si="587"/>
        <v>19.5</v>
      </c>
      <c r="BK248" s="46">
        <f t="shared" si="588"/>
        <v>1</v>
      </c>
      <c r="BL248" s="46">
        <f t="shared" si="589"/>
        <v>11.331666666666665</v>
      </c>
    </row>
    <row r="249" spans="1:64" ht="30" customHeight="1" x14ac:dyDescent="0.25">
      <c r="A249" s="84" t="str">
        <f t="shared" si="590"/>
        <v>Д</v>
      </c>
      <c r="B249" s="84" t="str">
        <f t="shared" si="763"/>
        <v>Б</v>
      </c>
      <c r="C249" s="101" t="s">
        <v>1463</v>
      </c>
      <c r="D249" s="16" t="str">
        <f t="shared" si="764"/>
        <v>'02.03.01</v>
      </c>
      <c r="E249" s="17" t="str">
        <f t="shared" si="765"/>
        <v>Математика и компьютерные науки</v>
      </c>
      <c r="F249" s="9" t="s">
        <v>413</v>
      </c>
      <c r="G249" s="9" t="s">
        <v>503</v>
      </c>
      <c r="H249" s="10" t="s">
        <v>3233</v>
      </c>
      <c r="I249" s="10" t="s">
        <v>3231</v>
      </c>
      <c r="J249" s="24" t="s">
        <v>3220</v>
      </c>
      <c r="K249" s="11" t="s">
        <v>3230</v>
      </c>
      <c r="L249" s="11">
        <v>9</v>
      </c>
      <c r="M249" s="8" t="s">
        <v>23</v>
      </c>
      <c r="N249" s="11">
        <v>2</v>
      </c>
      <c r="O249" s="11"/>
      <c r="P249" s="11"/>
      <c r="Q249" s="8" t="s">
        <v>103</v>
      </c>
      <c r="R249" s="11"/>
      <c r="S249" s="11"/>
      <c r="T249" s="23"/>
      <c r="U249" s="11"/>
      <c r="V249" s="11"/>
      <c r="W249" s="83" t="str">
        <f t="shared" si="591"/>
        <v>НКНбд</v>
      </c>
      <c r="X249" s="114" t="s">
        <v>3245</v>
      </c>
      <c r="Y249" s="109">
        <v>2</v>
      </c>
      <c r="Z249" s="109">
        <v>1</v>
      </c>
      <c r="AA249" s="83">
        <f t="shared" si="766"/>
        <v>10</v>
      </c>
      <c r="AB249" s="11">
        <v>7</v>
      </c>
      <c r="AC249" s="11">
        <v>3</v>
      </c>
      <c r="AD249" s="81">
        <f t="shared" si="592"/>
        <v>10</v>
      </c>
      <c r="AE249" s="82">
        <f t="shared" si="767"/>
        <v>1</v>
      </c>
      <c r="AF249" s="82">
        <f t="shared" si="768"/>
        <v>1</v>
      </c>
      <c r="AG249" s="102" t="s">
        <v>3250</v>
      </c>
      <c r="AH249" s="113" t="s">
        <v>204</v>
      </c>
      <c r="AI249" s="113" t="s">
        <v>212</v>
      </c>
      <c r="AJ249" s="120" t="s">
        <v>3255</v>
      </c>
      <c r="AK249" s="8"/>
      <c r="AL249" s="42">
        <f t="shared" si="593"/>
        <v>18</v>
      </c>
      <c r="AM249" s="42">
        <f t="shared" si="644"/>
        <v>0</v>
      </c>
      <c r="AN249" s="42">
        <f t="shared" si="645"/>
        <v>0</v>
      </c>
      <c r="AO249" s="42">
        <f t="shared" si="586"/>
        <v>0</v>
      </c>
      <c r="AP249" s="42">
        <f t="shared" si="646"/>
        <v>5</v>
      </c>
      <c r="AQ249" s="42">
        <f t="shared" si="647"/>
        <v>1</v>
      </c>
      <c r="AR249" s="42">
        <f t="shared" si="594"/>
        <v>0.9</v>
      </c>
      <c r="AS249" s="42">
        <f t="shared" si="648"/>
        <v>0</v>
      </c>
      <c r="AT249" s="42">
        <f t="shared" si="649"/>
        <v>0</v>
      </c>
      <c r="AU249" s="42">
        <f t="shared" si="650"/>
        <v>0</v>
      </c>
      <c r="AV249" s="42">
        <f>IF(M249="ПП",РПП*AA249*(U249/1.5),IF(M249="ВП",ВПр*AA249*(U249/1.5),IF(M249="РПА",РПА*AA249*(U249/1.5),IF(M249="КПА",КПА*AA249*(U249/1.5),0))))</f>
        <v>0</v>
      </c>
      <c r="AW249" s="42">
        <f t="shared" si="651"/>
        <v>0</v>
      </c>
      <c r="AX249" s="42">
        <f t="shared" si="595"/>
        <v>0</v>
      </c>
      <c r="AY249" s="42">
        <f t="shared" si="596"/>
        <v>0</v>
      </c>
      <c r="AZ249" s="42">
        <f t="shared" si="652"/>
        <v>0</v>
      </c>
      <c r="BA249" s="42">
        <f t="shared" si="597"/>
        <v>0</v>
      </c>
      <c r="BB249" s="42">
        <f t="shared" si="598"/>
        <v>0</v>
      </c>
      <c r="BC249" s="42">
        <f t="shared" si="599"/>
        <v>0</v>
      </c>
      <c r="BD249" s="42">
        <f t="shared" si="653"/>
        <v>0</v>
      </c>
      <c r="BE249" s="43">
        <f t="shared" si="654"/>
        <v>24.9</v>
      </c>
      <c r="BF249" s="44"/>
      <c r="BG249" s="45">
        <f t="shared" si="655"/>
        <v>18</v>
      </c>
      <c r="BH249" s="45">
        <f t="shared" si="656"/>
        <v>1</v>
      </c>
      <c r="BI249" s="45">
        <f t="shared" si="657"/>
        <v>6.9</v>
      </c>
      <c r="BJ249" s="46">
        <f t="shared" si="587"/>
        <v>0</v>
      </c>
      <c r="BK249" s="46">
        <f t="shared" si="588"/>
        <v>0</v>
      </c>
      <c r="BL249" s="46">
        <f t="shared" si="589"/>
        <v>0</v>
      </c>
    </row>
    <row r="250" spans="1:64" ht="30" customHeight="1" x14ac:dyDescent="0.25">
      <c r="A250" s="84" t="str">
        <f t="shared" si="590"/>
        <v>Д</v>
      </c>
      <c r="B250" s="84" t="str">
        <f t="shared" si="763"/>
        <v>Б</v>
      </c>
      <c r="C250" s="101" t="s">
        <v>1463</v>
      </c>
      <c r="D250" s="16" t="str">
        <f t="shared" si="764"/>
        <v>'02.03.01</v>
      </c>
      <c r="E250" s="17" t="str">
        <f t="shared" si="765"/>
        <v>Математика и компьютерные науки</v>
      </c>
      <c r="F250" s="9" t="s">
        <v>413</v>
      </c>
      <c r="G250" s="9" t="s">
        <v>503</v>
      </c>
      <c r="H250" s="10" t="s">
        <v>3233</v>
      </c>
      <c r="I250" s="10" t="s">
        <v>3231</v>
      </c>
      <c r="J250" s="24" t="s">
        <v>3220</v>
      </c>
      <c r="K250" s="11" t="s">
        <v>3230</v>
      </c>
      <c r="L250" s="11">
        <v>9</v>
      </c>
      <c r="M250" s="8" t="s">
        <v>94</v>
      </c>
      <c r="N250" s="11"/>
      <c r="O250" s="11">
        <v>4</v>
      </c>
      <c r="P250" s="11"/>
      <c r="Q250" s="8"/>
      <c r="R250" s="11"/>
      <c r="S250" s="11"/>
      <c r="T250" s="23"/>
      <c r="U250" s="11"/>
      <c r="V250" s="11"/>
      <c r="W250" s="83" t="str">
        <f t="shared" si="591"/>
        <v>НКНбд</v>
      </c>
      <c r="X250" s="114" t="s">
        <v>3245</v>
      </c>
      <c r="Y250" s="109">
        <v>2</v>
      </c>
      <c r="Z250" s="109">
        <v>1</v>
      </c>
      <c r="AA250" s="83">
        <f t="shared" si="766"/>
        <v>10</v>
      </c>
      <c r="AB250" s="11">
        <v>7</v>
      </c>
      <c r="AC250" s="11">
        <v>3</v>
      </c>
      <c r="AD250" s="81">
        <f t="shared" si="592"/>
        <v>12</v>
      </c>
      <c r="AE250" s="82">
        <f t="shared" si="767"/>
        <v>0.83333333333333337</v>
      </c>
      <c r="AF250" s="82">
        <f t="shared" si="768"/>
        <v>0.83333333333333337</v>
      </c>
      <c r="AG250" s="102" t="s">
        <v>3250</v>
      </c>
      <c r="AH250" s="113" t="s">
        <v>204</v>
      </c>
      <c r="AI250" s="113" t="s">
        <v>212</v>
      </c>
      <c r="AJ250" s="121" t="s">
        <v>3255</v>
      </c>
      <c r="AK250" s="8"/>
      <c r="AL250" s="42">
        <f t="shared" si="593"/>
        <v>0</v>
      </c>
      <c r="AM250" s="42">
        <f t="shared" si="644"/>
        <v>0</v>
      </c>
      <c r="AN250" s="42">
        <f t="shared" si="645"/>
        <v>30</v>
      </c>
      <c r="AO250" s="42">
        <f t="shared" ref="AO250:AO291" si="769">(IF((AND(OR(K250=1,K250=2,K250=3,K250=4,K250=5,K250=6,K250=7,K250=8,K250=9,K250=10,K250=11,K250=12),OR(Q250="Зач",Q250="Экз"))),ТКиРА*AA250,0)+IF(SUM(N250:P250)&lt;&gt;0,IF(Q250="ТК",ТКиРА*AA250,0),0))*(IF(F250="ФТД",0,1))</f>
        <v>0</v>
      </c>
      <c r="AP250" s="42">
        <f t="shared" si="646"/>
        <v>0</v>
      </c>
      <c r="AQ250" s="42">
        <f t="shared" si="647"/>
        <v>0</v>
      </c>
      <c r="AR250" s="42">
        <f t="shared" si="594"/>
        <v>0</v>
      </c>
      <c r="AS250" s="42">
        <f t="shared" si="648"/>
        <v>0</v>
      </c>
      <c r="AT250" s="42">
        <f t="shared" si="649"/>
        <v>0</v>
      </c>
      <c r="AU250" s="42">
        <f t="shared" si="650"/>
        <v>0</v>
      </c>
      <c r="AV250" s="42">
        <f>IF(M250="ПП",РПП*AA250*(U250/1.5),IF(M250="ВП",ВПр*AA250*(U250/1.5),IF(M250="РПА",РПА*AA250*(U250/1.5),IF(M250="КПА",КПА*AA250*(U250/1.5),0))))</f>
        <v>0</v>
      </c>
      <c r="AW250" s="42">
        <f t="shared" si="651"/>
        <v>0</v>
      </c>
      <c r="AX250" s="42">
        <f t="shared" si="595"/>
        <v>0</v>
      </c>
      <c r="AY250" s="42">
        <f t="shared" si="596"/>
        <v>0</v>
      </c>
      <c r="AZ250" s="42">
        <f t="shared" si="652"/>
        <v>0</v>
      </c>
      <c r="BA250" s="42">
        <f t="shared" si="597"/>
        <v>0</v>
      </c>
      <c r="BB250" s="42">
        <f t="shared" si="598"/>
        <v>0</v>
      </c>
      <c r="BC250" s="42">
        <f t="shared" si="599"/>
        <v>0</v>
      </c>
      <c r="BD250" s="42">
        <f t="shared" si="653"/>
        <v>0</v>
      </c>
      <c r="BE250" s="43">
        <f t="shared" si="654"/>
        <v>30</v>
      </c>
      <c r="BF250" s="44"/>
      <c r="BG250" s="45">
        <f t="shared" si="655"/>
        <v>30</v>
      </c>
      <c r="BH250" s="45">
        <f t="shared" si="656"/>
        <v>2</v>
      </c>
      <c r="BI250" s="45">
        <f t="shared" si="657"/>
        <v>0</v>
      </c>
      <c r="BJ250" s="46">
        <f t="shared" si="587"/>
        <v>0</v>
      </c>
      <c r="BK250" s="46">
        <f t="shared" si="588"/>
        <v>0</v>
      </c>
      <c r="BL250" s="46">
        <f t="shared" si="589"/>
        <v>0</v>
      </c>
    </row>
    <row r="251" spans="1:64" ht="30" customHeight="1" x14ac:dyDescent="0.25">
      <c r="A251" s="84" t="str">
        <f t="shared" si="590"/>
        <v>Д</v>
      </c>
      <c r="B251" s="84" t="str">
        <f t="shared" si="763"/>
        <v>Б</v>
      </c>
      <c r="C251" s="101" t="s">
        <v>1463</v>
      </c>
      <c r="D251" s="16" t="str">
        <f t="shared" si="764"/>
        <v>'02.03.01</v>
      </c>
      <c r="E251" s="17" t="str">
        <f t="shared" si="765"/>
        <v>Математика и компьютерные науки</v>
      </c>
      <c r="F251" s="9" t="s">
        <v>413</v>
      </c>
      <c r="G251" s="9" t="s">
        <v>503</v>
      </c>
      <c r="H251" s="10" t="s">
        <v>3233</v>
      </c>
      <c r="I251" s="10" t="s">
        <v>3231</v>
      </c>
      <c r="J251" s="24" t="s">
        <v>3221</v>
      </c>
      <c r="K251" s="11" t="s">
        <v>3227</v>
      </c>
      <c r="L251" s="11">
        <v>9</v>
      </c>
      <c r="M251" s="8" t="s">
        <v>94</v>
      </c>
      <c r="N251" s="11"/>
      <c r="O251" s="11">
        <v>4</v>
      </c>
      <c r="P251" s="11"/>
      <c r="Q251" s="8" t="s">
        <v>102</v>
      </c>
      <c r="R251" s="11"/>
      <c r="S251" s="11"/>
      <c r="T251" s="23"/>
      <c r="U251" s="11"/>
      <c r="V251" s="11"/>
      <c r="W251" s="83" t="str">
        <f t="shared" si="591"/>
        <v>НКНбд</v>
      </c>
      <c r="X251" s="114" t="s">
        <v>3244</v>
      </c>
      <c r="Y251" s="109">
        <v>2</v>
      </c>
      <c r="Z251" s="109">
        <v>1</v>
      </c>
      <c r="AA251" s="83">
        <f t="shared" si="766"/>
        <v>15</v>
      </c>
      <c r="AB251" s="11">
        <v>10</v>
      </c>
      <c r="AC251" s="11">
        <v>5</v>
      </c>
      <c r="AD251" s="81">
        <f t="shared" si="592"/>
        <v>12</v>
      </c>
      <c r="AE251" s="82">
        <f t="shared" si="767"/>
        <v>1</v>
      </c>
      <c r="AF251" s="82">
        <f t="shared" si="768"/>
        <v>1.25</v>
      </c>
      <c r="AG251" s="102" t="s">
        <v>3250</v>
      </c>
      <c r="AH251" s="113" t="s">
        <v>204</v>
      </c>
      <c r="AI251" s="113" t="s">
        <v>213</v>
      </c>
      <c r="AJ251" s="119" t="s">
        <v>3266</v>
      </c>
      <c r="AK251" s="8"/>
      <c r="AL251" s="42">
        <f t="shared" si="593"/>
        <v>0</v>
      </c>
      <c r="AM251" s="42">
        <f t="shared" si="644"/>
        <v>0</v>
      </c>
      <c r="AN251" s="42">
        <f t="shared" si="645"/>
        <v>36</v>
      </c>
      <c r="AO251" s="42">
        <f t="shared" si="769"/>
        <v>0</v>
      </c>
      <c r="AP251" s="42">
        <f t="shared" si="646"/>
        <v>7.5</v>
      </c>
      <c r="AQ251" s="42">
        <f t="shared" si="647"/>
        <v>1</v>
      </c>
      <c r="AR251" s="42">
        <f t="shared" si="594"/>
        <v>0</v>
      </c>
      <c r="AS251" s="42">
        <f t="shared" si="648"/>
        <v>0</v>
      </c>
      <c r="AT251" s="42">
        <f t="shared" si="649"/>
        <v>0</v>
      </c>
      <c r="AU251" s="42">
        <f t="shared" si="650"/>
        <v>0</v>
      </c>
      <c r="AV251" s="42">
        <f>IF(M251="ПП",РПП*AA251*(U251/1.5),IF(M251="ВП",ВПр*AA251*(U251/1.5),IF(M251="РПА",РПА*AA251*(U251/1.5),IF(M251="КПА",КПА*AA251*(U251/1.5),0))))</f>
        <v>0</v>
      </c>
      <c r="AW251" s="42">
        <f t="shared" si="651"/>
        <v>0</v>
      </c>
      <c r="AX251" s="42">
        <f t="shared" si="595"/>
        <v>0</v>
      </c>
      <c r="AY251" s="42">
        <f t="shared" si="596"/>
        <v>0</v>
      </c>
      <c r="AZ251" s="42">
        <f t="shared" si="652"/>
        <v>0</v>
      </c>
      <c r="BA251" s="42">
        <f t="shared" si="597"/>
        <v>0</v>
      </c>
      <c r="BB251" s="42">
        <f t="shared" si="598"/>
        <v>0</v>
      </c>
      <c r="BC251" s="42">
        <f t="shared" si="599"/>
        <v>0</v>
      </c>
      <c r="BD251" s="42">
        <f t="shared" si="653"/>
        <v>0</v>
      </c>
      <c r="BE251" s="43">
        <f t="shared" si="654"/>
        <v>44.5</v>
      </c>
      <c r="BF251" s="44"/>
      <c r="BG251" s="45">
        <f t="shared" si="655"/>
        <v>36</v>
      </c>
      <c r="BH251" s="45">
        <f t="shared" si="656"/>
        <v>2</v>
      </c>
      <c r="BI251" s="45">
        <f t="shared" si="657"/>
        <v>8.5</v>
      </c>
      <c r="BJ251" s="46">
        <f t="shared" ref="BJ251:BJ295" si="770">IF(OR(K251="2;3",K251="2;4",K251=2,K251="4;3",K251="4;4",K251=4,K251="6;3",K251="6;4",K251=6,K251="8;3",K251="8;4",K251=8,K251="10;3",K251="10;4",K251=10,K251=12),SUM(AL251:AN251),0)</f>
        <v>0</v>
      </c>
      <c r="BK251" s="46">
        <f t="shared" ref="BK251:BK295" si="771">IF(BJ251&lt;&gt;0,SUM(N251:P251)/2,0)</f>
        <v>0</v>
      </c>
      <c r="BL251" s="46">
        <f t="shared" ref="BL251:BL295" si="772">IF(OR(K251="2;3",K251="2;4",K251=2,K251="4;3",K251="4;4",K251=4,K251="6;3",K251="6;4",K251=6,K251="8;3",K251="8;4",K251=8,K251="10;3",K251="10;4",K251=10,K251=12),SUM(AO251:BD251),0)</f>
        <v>0</v>
      </c>
    </row>
    <row r="252" spans="1:64" ht="30" customHeight="1" x14ac:dyDescent="0.25">
      <c r="A252" s="84" t="str">
        <f t="shared" si="590"/>
        <v>Д</v>
      </c>
      <c r="B252" s="84" t="str">
        <f t="shared" si="763"/>
        <v>Б</v>
      </c>
      <c r="C252" s="101" t="s">
        <v>1463</v>
      </c>
      <c r="D252" s="16" t="str">
        <f t="shared" si="764"/>
        <v>'02.03.01</v>
      </c>
      <c r="E252" s="17" t="str">
        <f t="shared" si="765"/>
        <v>Математика и компьютерные науки</v>
      </c>
      <c r="F252" s="9" t="s">
        <v>414</v>
      </c>
      <c r="G252" s="9" t="s">
        <v>42</v>
      </c>
      <c r="H252" s="10" t="s">
        <v>3233</v>
      </c>
      <c r="I252" s="10"/>
      <c r="J252" s="24" t="s">
        <v>3223</v>
      </c>
      <c r="K252" s="11">
        <v>6</v>
      </c>
      <c r="L252" s="11"/>
      <c r="M252" s="8" t="s">
        <v>95</v>
      </c>
      <c r="N252" s="11"/>
      <c r="O252" s="11"/>
      <c r="P252" s="11"/>
      <c r="Q252" s="8"/>
      <c r="R252" s="11"/>
      <c r="S252" s="11"/>
      <c r="T252" s="23">
        <v>3</v>
      </c>
      <c r="U252" s="11"/>
      <c r="V252" s="11"/>
      <c r="W252" s="83" t="str">
        <f t="shared" si="591"/>
        <v>НКНбд</v>
      </c>
      <c r="X252" s="114" t="s">
        <v>3241</v>
      </c>
      <c r="Y252" s="109">
        <v>2</v>
      </c>
      <c r="Z252" s="109">
        <v>1</v>
      </c>
      <c r="AA252" s="83">
        <f t="shared" si="766"/>
        <v>11</v>
      </c>
      <c r="AB252" s="11">
        <v>10</v>
      </c>
      <c r="AC252" s="11">
        <v>1</v>
      </c>
      <c r="AD252" s="81">
        <f t="shared" si="592"/>
        <v>1</v>
      </c>
      <c r="AE252" s="82">
        <f t="shared" si="767"/>
        <v>1</v>
      </c>
      <c r="AF252" s="82">
        <f t="shared" si="768"/>
        <v>11</v>
      </c>
      <c r="AG252" s="102" t="s">
        <v>3250</v>
      </c>
      <c r="AH252" s="113" t="s">
        <v>204</v>
      </c>
      <c r="AI252" s="113" t="s">
        <v>212</v>
      </c>
      <c r="AJ252" s="119" t="s">
        <v>3261</v>
      </c>
      <c r="AK252" s="8"/>
      <c r="AL252" s="42">
        <f t="shared" si="593"/>
        <v>0</v>
      </c>
      <c r="AM252" s="42">
        <f t="shared" si="644"/>
        <v>0</v>
      </c>
      <c r="AN252" s="42">
        <f t="shared" si="645"/>
        <v>0</v>
      </c>
      <c r="AO252" s="42">
        <f t="shared" si="769"/>
        <v>0</v>
      </c>
      <c r="AP252" s="42">
        <f t="shared" si="646"/>
        <v>0</v>
      </c>
      <c r="AQ252" s="42">
        <f t="shared" si="647"/>
        <v>0</v>
      </c>
      <c r="AR252" s="42">
        <f t="shared" si="594"/>
        <v>0</v>
      </c>
      <c r="AS252" s="42">
        <f t="shared" si="648"/>
        <v>0</v>
      </c>
      <c r="AT252" s="42">
        <f t="shared" si="649"/>
        <v>0</v>
      </c>
      <c r="AU252" s="42">
        <f t="shared" si="650"/>
        <v>33</v>
      </c>
      <c r="AV252" s="42">
        <f>IF(M252="ПП",РПП*AA252*(U252/1.5),IF(M252="ВП",ВПр*AA252*(U252/1.5),IF(M252="РПА",РПА*AA252*(U252/1.5),IF(M252="КПА",КПА*AA252*(U252/1.5),0))))</f>
        <v>0</v>
      </c>
      <c r="AW252" s="42">
        <f t="shared" si="651"/>
        <v>0</v>
      </c>
      <c r="AX252" s="42">
        <f t="shared" si="595"/>
        <v>0</v>
      </c>
      <c r="AY252" s="42">
        <f t="shared" si="596"/>
        <v>0</v>
      </c>
      <c r="AZ252" s="42">
        <f t="shared" si="652"/>
        <v>0</v>
      </c>
      <c r="BA252" s="42">
        <f t="shared" si="597"/>
        <v>0</v>
      </c>
      <c r="BB252" s="42">
        <f t="shared" si="598"/>
        <v>0</v>
      </c>
      <c r="BC252" s="42">
        <f t="shared" si="599"/>
        <v>0</v>
      </c>
      <c r="BD252" s="42">
        <f t="shared" si="653"/>
        <v>0</v>
      </c>
      <c r="BE252" s="43">
        <f t="shared" si="654"/>
        <v>33</v>
      </c>
      <c r="BF252" s="44"/>
      <c r="BG252" s="45">
        <f t="shared" si="655"/>
        <v>0</v>
      </c>
      <c r="BH252" s="45">
        <f t="shared" si="656"/>
        <v>0</v>
      </c>
      <c r="BI252" s="45">
        <f t="shared" si="657"/>
        <v>0</v>
      </c>
      <c r="BJ252" s="46">
        <f t="shared" si="770"/>
        <v>0</v>
      </c>
      <c r="BK252" s="46">
        <f t="shared" si="771"/>
        <v>0</v>
      </c>
      <c r="BL252" s="46">
        <f t="shared" si="772"/>
        <v>33</v>
      </c>
    </row>
    <row r="253" spans="1:64" ht="30" customHeight="1" x14ac:dyDescent="0.25">
      <c r="A253" s="84" t="str">
        <f t="shared" si="590"/>
        <v>Д</v>
      </c>
      <c r="B253" s="84" t="str">
        <f t="shared" si="763"/>
        <v>Б</v>
      </c>
      <c r="C253" s="101" t="s">
        <v>1463</v>
      </c>
      <c r="D253" s="16" t="str">
        <f t="shared" si="764"/>
        <v>'02.03.01</v>
      </c>
      <c r="E253" s="17" t="str">
        <f t="shared" si="765"/>
        <v>Математика и компьютерные науки</v>
      </c>
      <c r="F253" s="9" t="s">
        <v>414</v>
      </c>
      <c r="G253" s="9" t="s">
        <v>42</v>
      </c>
      <c r="H253" s="10" t="s">
        <v>3233</v>
      </c>
      <c r="I253" s="10"/>
      <c r="J253" s="24" t="s">
        <v>3201</v>
      </c>
      <c r="K253" s="11" t="s">
        <v>3228</v>
      </c>
      <c r="L253" s="11"/>
      <c r="M253" s="8" t="s">
        <v>188</v>
      </c>
      <c r="N253" s="11"/>
      <c r="O253" s="11"/>
      <c r="P253" s="11"/>
      <c r="Q253" s="8"/>
      <c r="R253" s="11"/>
      <c r="S253" s="11"/>
      <c r="T253" s="23"/>
      <c r="U253" s="11"/>
      <c r="V253" s="11">
        <v>15</v>
      </c>
      <c r="W253" s="83" t="str">
        <f t="shared" si="591"/>
        <v>НКНбд</v>
      </c>
      <c r="X253" s="114" t="s">
        <v>3244</v>
      </c>
      <c r="Y253" s="109">
        <v>2</v>
      </c>
      <c r="Z253" s="109">
        <v>1</v>
      </c>
      <c r="AA253" s="83">
        <f t="shared" si="766"/>
        <v>13</v>
      </c>
      <c r="AB253" s="11">
        <v>7</v>
      </c>
      <c r="AC253" s="11">
        <v>6</v>
      </c>
      <c r="AD253" s="81">
        <f t="shared" si="592"/>
        <v>1</v>
      </c>
      <c r="AE253" s="82">
        <f t="shared" si="767"/>
        <v>1</v>
      </c>
      <c r="AF253" s="82">
        <f t="shared" si="768"/>
        <v>13</v>
      </c>
      <c r="AG253" s="102" t="s">
        <v>3250</v>
      </c>
      <c r="AH253" s="113" t="s">
        <v>204</v>
      </c>
      <c r="AI253" s="113" t="s">
        <v>212</v>
      </c>
      <c r="AJ253" s="119" t="s">
        <v>3261</v>
      </c>
      <c r="AK253" s="8"/>
      <c r="AL253" s="42">
        <f t="shared" si="593"/>
        <v>0</v>
      </c>
      <c r="AM253" s="42">
        <f t="shared" si="644"/>
        <v>0</v>
      </c>
      <c r="AN253" s="42">
        <f t="shared" si="645"/>
        <v>0</v>
      </c>
      <c r="AO253" s="42">
        <f t="shared" si="769"/>
        <v>0</v>
      </c>
      <c r="AP253" s="42">
        <f t="shared" si="646"/>
        <v>0</v>
      </c>
      <c r="AQ253" s="42">
        <f t="shared" si="647"/>
        <v>0</v>
      </c>
      <c r="AR253" s="42">
        <f t="shared" si="594"/>
        <v>0</v>
      </c>
      <c r="AS253" s="42">
        <f t="shared" si="648"/>
        <v>0</v>
      </c>
      <c r="AT253" s="42">
        <f t="shared" si="649"/>
        <v>0</v>
      </c>
      <c r="AU253" s="42">
        <f t="shared" si="650"/>
        <v>0</v>
      </c>
      <c r="AV253" s="42">
        <f>IF(M253="ПП",РПП*AA253*(U253/1.5),IF(M253="ВП",ВПр*AA253*(U253/1.5),IF(M253="РПА",РПА*AA253*(U253/1.5),IF(M253="КПА",КПА*AA253*(U253/1.5),0))))</f>
        <v>0</v>
      </c>
      <c r="AW253" s="42">
        <f t="shared" si="651"/>
        <v>160</v>
      </c>
      <c r="AX253" s="42">
        <f t="shared" si="595"/>
        <v>0</v>
      </c>
      <c r="AY253" s="42">
        <f t="shared" si="596"/>
        <v>0</v>
      </c>
      <c r="AZ253" s="42">
        <f t="shared" si="652"/>
        <v>0</v>
      </c>
      <c r="BA253" s="42">
        <f t="shared" si="597"/>
        <v>0</v>
      </c>
      <c r="BB253" s="42">
        <f t="shared" si="598"/>
        <v>0</v>
      </c>
      <c r="BC253" s="42">
        <f t="shared" si="599"/>
        <v>0</v>
      </c>
      <c r="BD253" s="42">
        <f t="shared" si="653"/>
        <v>0</v>
      </c>
      <c r="BE253" s="43">
        <f t="shared" si="654"/>
        <v>160</v>
      </c>
      <c r="BF253" s="44"/>
      <c r="BG253" s="45">
        <f t="shared" si="655"/>
        <v>0</v>
      </c>
      <c r="BH253" s="45">
        <f t="shared" si="656"/>
        <v>0</v>
      </c>
      <c r="BI253" s="45">
        <f t="shared" si="657"/>
        <v>0</v>
      </c>
      <c r="BJ253" s="46">
        <f t="shared" si="770"/>
        <v>0</v>
      </c>
      <c r="BK253" s="46">
        <f t="shared" si="771"/>
        <v>0</v>
      </c>
      <c r="BL253" s="46">
        <f t="shared" si="772"/>
        <v>160</v>
      </c>
    </row>
    <row r="254" spans="1:64" ht="30" customHeight="1" x14ac:dyDescent="0.25">
      <c r="A254" s="84" t="str">
        <f t="shared" si="590"/>
        <v>Д</v>
      </c>
      <c r="B254" s="84" t="str">
        <f t="shared" si="763"/>
        <v>Б</v>
      </c>
      <c r="C254" s="101" t="s">
        <v>1463</v>
      </c>
      <c r="D254" s="16" t="str">
        <f t="shared" si="764"/>
        <v>'02.03.01</v>
      </c>
      <c r="E254" s="17" t="str">
        <f t="shared" si="765"/>
        <v>Математика и компьютерные науки</v>
      </c>
      <c r="F254" s="9" t="s">
        <v>414</v>
      </c>
      <c r="G254" s="9" t="s">
        <v>42</v>
      </c>
      <c r="H254" s="10" t="s">
        <v>3233</v>
      </c>
      <c r="I254" s="10"/>
      <c r="J254" s="24" t="s">
        <v>3202</v>
      </c>
      <c r="K254" s="11" t="s">
        <v>3229</v>
      </c>
      <c r="L254" s="11"/>
      <c r="M254" s="8" t="s">
        <v>187</v>
      </c>
      <c r="N254" s="11"/>
      <c r="O254" s="11"/>
      <c r="P254" s="11"/>
      <c r="Q254" s="8"/>
      <c r="R254" s="11"/>
      <c r="S254" s="11"/>
      <c r="T254" s="11"/>
      <c r="U254" s="11">
        <v>3</v>
      </c>
      <c r="V254" s="11"/>
      <c r="W254" s="83" t="str">
        <f t="shared" si="591"/>
        <v>НКНбд</v>
      </c>
      <c r="X254" s="114" t="s">
        <v>3244</v>
      </c>
      <c r="Y254" s="109">
        <v>2</v>
      </c>
      <c r="Z254" s="109">
        <v>1</v>
      </c>
      <c r="AA254" s="83">
        <f t="shared" si="766"/>
        <v>13</v>
      </c>
      <c r="AB254" s="11">
        <v>7</v>
      </c>
      <c r="AC254" s="11">
        <v>6</v>
      </c>
      <c r="AD254" s="81">
        <f t="shared" si="592"/>
        <v>1</v>
      </c>
      <c r="AE254" s="82">
        <f t="shared" si="767"/>
        <v>1</v>
      </c>
      <c r="AF254" s="82">
        <f t="shared" si="768"/>
        <v>13</v>
      </c>
      <c r="AG254" s="102" t="s">
        <v>3250</v>
      </c>
      <c r="AH254" s="113" t="s">
        <v>203</v>
      </c>
      <c r="AI254" s="113" t="s">
        <v>214</v>
      </c>
      <c r="AJ254" s="119" t="s">
        <v>3285</v>
      </c>
      <c r="AK254" s="8"/>
      <c r="AL254" s="42">
        <f t="shared" si="593"/>
        <v>0</v>
      </c>
      <c r="AM254" s="42">
        <f t="shared" si="644"/>
        <v>0</v>
      </c>
      <c r="AN254" s="42">
        <f t="shared" si="645"/>
        <v>0</v>
      </c>
      <c r="AO254" s="42">
        <f t="shared" si="769"/>
        <v>0</v>
      </c>
      <c r="AP254" s="42">
        <f t="shared" si="646"/>
        <v>0</v>
      </c>
      <c r="AQ254" s="42">
        <f t="shared" si="647"/>
        <v>0</v>
      </c>
      <c r="AR254" s="42">
        <f t="shared" si="594"/>
        <v>0</v>
      </c>
      <c r="AS254" s="42">
        <f t="shared" si="648"/>
        <v>0</v>
      </c>
      <c r="AT254" s="42">
        <f t="shared" si="649"/>
        <v>0</v>
      </c>
      <c r="AU254" s="42">
        <f t="shared" si="650"/>
        <v>0</v>
      </c>
      <c r="AV254" s="42">
        <f>IF(M254="ПП",РПП*AA254*(U254/1.5),IF(M254="ВП",ВПр*AA254*(U254/1.5),IF(M254="РПА",РПА*AA254*(U254/1.5),IF(M254="КПА",КПА*AA254*(U254/1.5),0))))</f>
        <v>39</v>
      </c>
      <c r="AW254" s="42">
        <f t="shared" si="651"/>
        <v>0</v>
      </c>
      <c r="AX254" s="42">
        <f t="shared" si="595"/>
        <v>0</v>
      </c>
      <c r="AY254" s="42">
        <f t="shared" si="596"/>
        <v>0</v>
      </c>
      <c r="AZ254" s="42">
        <f t="shared" si="652"/>
        <v>0</v>
      </c>
      <c r="BA254" s="42">
        <f t="shared" si="597"/>
        <v>0</v>
      </c>
      <c r="BB254" s="42">
        <f t="shared" si="598"/>
        <v>0</v>
      </c>
      <c r="BC254" s="42">
        <f t="shared" si="599"/>
        <v>0</v>
      </c>
      <c r="BD254" s="42">
        <f t="shared" si="653"/>
        <v>0</v>
      </c>
      <c r="BE254" s="43">
        <f t="shared" si="654"/>
        <v>39</v>
      </c>
      <c r="BF254" s="44"/>
      <c r="BG254" s="45">
        <f t="shared" si="655"/>
        <v>0</v>
      </c>
      <c r="BH254" s="45">
        <f t="shared" si="656"/>
        <v>0</v>
      </c>
      <c r="BI254" s="45">
        <f t="shared" si="657"/>
        <v>0</v>
      </c>
      <c r="BJ254" s="46">
        <f t="shared" si="770"/>
        <v>0</v>
      </c>
      <c r="BK254" s="46">
        <f t="shared" si="771"/>
        <v>0</v>
      </c>
      <c r="BL254" s="46">
        <f t="shared" si="772"/>
        <v>39</v>
      </c>
    </row>
    <row r="255" spans="1:64" ht="30" customHeight="1" x14ac:dyDescent="0.25">
      <c r="A255" s="84" t="str">
        <f t="shared" si="590"/>
        <v>Д</v>
      </c>
      <c r="B255" s="84" t="str">
        <f t="shared" si="763"/>
        <v>Б</v>
      </c>
      <c r="C255" s="101" t="s">
        <v>1463</v>
      </c>
      <c r="D255" s="16" t="str">
        <f t="shared" si="764"/>
        <v>'02.03.01</v>
      </c>
      <c r="E255" s="17" t="str">
        <f t="shared" si="765"/>
        <v>Математика и компьютерные науки</v>
      </c>
      <c r="F255" s="9" t="s">
        <v>498</v>
      </c>
      <c r="G255" s="9" t="s">
        <v>42</v>
      </c>
      <c r="H255" s="10" t="s">
        <v>3233</v>
      </c>
      <c r="I255" s="10"/>
      <c r="J255" s="24" t="s">
        <v>3224</v>
      </c>
      <c r="K255" s="11" t="s">
        <v>3229</v>
      </c>
      <c r="L255" s="11"/>
      <c r="M255" s="8" t="s">
        <v>98</v>
      </c>
      <c r="N255" s="11"/>
      <c r="O255" s="11"/>
      <c r="P255" s="11"/>
      <c r="Q255" s="8" t="s">
        <v>97</v>
      </c>
      <c r="R255" s="11"/>
      <c r="S255" s="11"/>
      <c r="T255" s="11"/>
      <c r="U255" s="11"/>
      <c r="V255" s="11"/>
      <c r="W255" s="83" t="str">
        <f t="shared" si="591"/>
        <v>НКНбд</v>
      </c>
      <c r="X255" s="114" t="s">
        <v>3244</v>
      </c>
      <c r="Y255" s="109">
        <v>2</v>
      </c>
      <c r="Z255" s="109">
        <v>1</v>
      </c>
      <c r="AA255" s="83">
        <f t="shared" si="766"/>
        <v>0</v>
      </c>
      <c r="AB255" s="11"/>
      <c r="AC255" s="11"/>
      <c r="AD255" s="81">
        <f t="shared" si="592"/>
        <v>24</v>
      </c>
      <c r="AE255" s="82">
        <f t="shared" si="767"/>
        <v>0</v>
      </c>
      <c r="AF255" s="82">
        <f t="shared" si="768"/>
        <v>0</v>
      </c>
      <c r="AG255" s="102" t="s">
        <v>3250</v>
      </c>
      <c r="AH255" s="113" t="s">
        <v>204</v>
      </c>
      <c r="AI255" s="113" t="s">
        <v>212</v>
      </c>
      <c r="AJ255" s="121" t="s">
        <v>3255</v>
      </c>
      <c r="AK255" s="8"/>
      <c r="AL255" s="42">
        <f t="shared" si="593"/>
        <v>0</v>
      </c>
      <c r="AM255" s="42">
        <f t="shared" si="644"/>
        <v>0</v>
      </c>
      <c r="AN255" s="42">
        <f t="shared" si="645"/>
        <v>0</v>
      </c>
      <c r="AO255" s="42">
        <f t="shared" si="769"/>
        <v>0</v>
      </c>
      <c r="AP255" s="42">
        <f t="shared" si="646"/>
        <v>0</v>
      </c>
      <c r="AQ255" s="42">
        <f t="shared" si="647"/>
        <v>0</v>
      </c>
      <c r="AR255" s="42">
        <f t="shared" si="594"/>
        <v>0</v>
      </c>
      <c r="AS255" s="42">
        <f t="shared" si="648"/>
        <v>0</v>
      </c>
      <c r="AT255" s="42">
        <f t="shared" si="649"/>
        <v>0</v>
      </c>
      <c r="AU255" s="42">
        <f t="shared" si="650"/>
        <v>0</v>
      </c>
      <c r="AV255" s="42">
        <f>IF(M255="ПП",РПП*AA255*(U255/1.5),IF(M255="ВП",ВПр*AA255*(U255/1.5),IF(M255="РПА",РПА*AA255*(U255/1.5),IF(M255="КПА",КПА*AA255*(U255/1.5),0))))</f>
        <v>0</v>
      </c>
      <c r="AW255" s="42">
        <f t="shared" si="651"/>
        <v>0</v>
      </c>
      <c r="AX255" s="42">
        <f t="shared" si="595"/>
        <v>0</v>
      </c>
      <c r="AY255" s="42">
        <f t="shared" si="596"/>
        <v>0</v>
      </c>
      <c r="AZ255" s="42">
        <f t="shared" si="652"/>
        <v>0</v>
      </c>
      <c r="BA255" s="42">
        <f t="shared" si="597"/>
        <v>0</v>
      </c>
      <c r="BB255" s="42">
        <f t="shared" si="598"/>
        <v>0</v>
      </c>
      <c r="BC255" s="42">
        <f t="shared" si="599"/>
        <v>0</v>
      </c>
      <c r="BD255" s="42">
        <f t="shared" si="653"/>
        <v>0</v>
      </c>
      <c r="BE255" s="43">
        <f t="shared" si="654"/>
        <v>0</v>
      </c>
      <c r="BF255" s="44"/>
      <c r="BG255" s="45">
        <f t="shared" si="655"/>
        <v>0</v>
      </c>
      <c r="BH255" s="45">
        <f t="shared" si="656"/>
        <v>0</v>
      </c>
      <c r="BI255" s="45">
        <f t="shared" si="657"/>
        <v>0</v>
      </c>
      <c r="BJ255" s="46">
        <f t="shared" si="770"/>
        <v>0</v>
      </c>
      <c r="BK255" s="46">
        <f t="shared" si="771"/>
        <v>0</v>
      </c>
      <c r="BL255" s="46">
        <f t="shared" si="772"/>
        <v>0</v>
      </c>
    </row>
    <row r="256" spans="1:64" ht="30" customHeight="1" x14ac:dyDescent="0.25">
      <c r="A256" s="84" t="str">
        <f t="shared" si="590"/>
        <v>Д</v>
      </c>
      <c r="B256" s="84" t="str">
        <f t="shared" si="763"/>
        <v>Б</v>
      </c>
      <c r="C256" s="101" t="s">
        <v>1463</v>
      </c>
      <c r="D256" s="16" t="str">
        <f t="shared" si="764"/>
        <v>'02.03.01</v>
      </c>
      <c r="E256" s="17" t="str">
        <f t="shared" si="765"/>
        <v>Математика и компьютерные науки</v>
      </c>
      <c r="F256" s="9" t="s">
        <v>498</v>
      </c>
      <c r="G256" s="9" t="s">
        <v>42</v>
      </c>
      <c r="H256" s="10" t="s">
        <v>3233</v>
      </c>
      <c r="I256" s="10"/>
      <c r="J256" s="24" t="s">
        <v>3224</v>
      </c>
      <c r="K256" s="11" t="s">
        <v>3229</v>
      </c>
      <c r="L256" s="11"/>
      <c r="M256" s="8" t="s">
        <v>1738</v>
      </c>
      <c r="N256" s="11"/>
      <c r="O256" s="11"/>
      <c r="P256" s="11"/>
      <c r="Q256" s="8" t="s">
        <v>97</v>
      </c>
      <c r="R256" s="11"/>
      <c r="S256" s="11"/>
      <c r="T256" s="11"/>
      <c r="U256" s="11"/>
      <c r="V256" s="11"/>
      <c r="W256" s="83" t="str">
        <f t="shared" si="591"/>
        <v>НКНбд</v>
      </c>
      <c r="X256" s="114" t="s">
        <v>3244</v>
      </c>
      <c r="Y256" s="109">
        <v>2</v>
      </c>
      <c r="Z256" s="109">
        <v>1</v>
      </c>
      <c r="AA256" s="83">
        <f t="shared" si="766"/>
        <v>13</v>
      </c>
      <c r="AB256" s="11">
        <v>7</v>
      </c>
      <c r="AC256" s="11">
        <v>6</v>
      </c>
      <c r="AD256" s="81">
        <f t="shared" si="592"/>
        <v>1</v>
      </c>
      <c r="AE256" s="82">
        <f t="shared" si="767"/>
        <v>1</v>
      </c>
      <c r="AF256" s="82">
        <f t="shared" si="768"/>
        <v>13</v>
      </c>
      <c r="AG256" s="102" t="s">
        <v>3250</v>
      </c>
      <c r="AH256" s="113" t="s">
        <v>447</v>
      </c>
      <c r="AI256" s="113"/>
      <c r="AJ256" s="123" t="s">
        <v>412</v>
      </c>
      <c r="AK256" s="8"/>
      <c r="AL256" s="42">
        <f t="shared" si="593"/>
        <v>0</v>
      </c>
      <c r="AM256" s="42">
        <f t="shared" si="644"/>
        <v>0</v>
      </c>
      <c r="AN256" s="42">
        <f t="shared" si="645"/>
        <v>0</v>
      </c>
      <c r="AO256" s="42">
        <f t="shared" si="769"/>
        <v>0</v>
      </c>
      <c r="AP256" s="42">
        <f t="shared" si="646"/>
        <v>0</v>
      </c>
      <c r="AQ256" s="42">
        <f t="shared" si="647"/>
        <v>0</v>
      </c>
      <c r="AR256" s="42">
        <f t="shared" si="594"/>
        <v>0</v>
      </c>
      <c r="AS256" s="42">
        <f t="shared" si="648"/>
        <v>0</v>
      </c>
      <c r="AT256" s="42">
        <f t="shared" si="649"/>
        <v>0</v>
      </c>
      <c r="AU256" s="42">
        <f t="shared" si="650"/>
        <v>0</v>
      </c>
      <c r="AV256" s="42">
        <f>IF(M256="ПП",РПП*AA256*(U256/1.5),IF(M256="ВП",ВПр*AA256*(U256/1.5),IF(M256="РПА",РПА*AA256*(U256/1.5),IF(M256="КПА",КПА*AA256*(U256/1.5),0))))</f>
        <v>0</v>
      </c>
      <c r="AW256" s="42">
        <f t="shared" si="651"/>
        <v>0</v>
      </c>
      <c r="AX256" s="42">
        <f t="shared" si="595"/>
        <v>0</v>
      </c>
      <c r="AY256" s="42">
        <f t="shared" si="596"/>
        <v>0</v>
      </c>
      <c r="AZ256" s="42">
        <f t="shared" si="652"/>
        <v>0</v>
      </c>
      <c r="BA256" s="42">
        <f t="shared" si="597"/>
        <v>0</v>
      </c>
      <c r="BB256" s="42">
        <f t="shared" si="598"/>
        <v>0</v>
      </c>
      <c r="BC256" s="42">
        <f t="shared" si="599"/>
        <v>0</v>
      </c>
      <c r="BD256" s="42">
        <f t="shared" si="653"/>
        <v>6.5</v>
      </c>
      <c r="BE256" s="43">
        <f t="shared" si="654"/>
        <v>6.5</v>
      </c>
      <c r="BF256" s="44"/>
      <c r="BG256" s="45">
        <f t="shared" si="655"/>
        <v>0</v>
      </c>
      <c r="BH256" s="45">
        <f t="shared" si="656"/>
        <v>0</v>
      </c>
      <c r="BI256" s="45">
        <f t="shared" si="657"/>
        <v>0</v>
      </c>
      <c r="BJ256" s="46">
        <f t="shared" si="770"/>
        <v>0</v>
      </c>
      <c r="BK256" s="46">
        <f t="shared" si="771"/>
        <v>0</v>
      </c>
      <c r="BL256" s="46">
        <f t="shared" si="772"/>
        <v>6.5</v>
      </c>
    </row>
    <row r="257" spans="1:64" ht="30" customHeight="1" x14ac:dyDescent="0.25">
      <c r="A257" s="84" t="str">
        <f t="shared" si="590"/>
        <v>Д</v>
      </c>
      <c r="B257" s="84" t="str">
        <f t="shared" si="763"/>
        <v>Б</v>
      </c>
      <c r="C257" s="101" t="s">
        <v>1465</v>
      </c>
      <c r="D257" s="16" t="str">
        <f t="shared" si="764"/>
        <v>'02.03.02</v>
      </c>
      <c r="E257" s="17" t="str">
        <f t="shared" si="765"/>
        <v>Фундаментальная информатика и информационные технологии</v>
      </c>
      <c r="F257" s="9" t="s">
        <v>413</v>
      </c>
      <c r="G257" s="9" t="s">
        <v>22</v>
      </c>
      <c r="H257" s="10"/>
      <c r="I257" s="10"/>
      <c r="J257" s="24" t="s">
        <v>3291</v>
      </c>
      <c r="K257" s="11">
        <v>5</v>
      </c>
      <c r="L257" s="11">
        <v>18</v>
      </c>
      <c r="M257" s="8" t="s">
        <v>23</v>
      </c>
      <c r="N257" s="11">
        <v>1</v>
      </c>
      <c r="O257" s="11"/>
      <c r="P257" s="11"/>
      <c r="Q257" s="8"/>
      <c r="R257" s="11"/>
      <c r="S257" s="11"/>
      <c r="T257" s="11"/>
      <c r="U257" s="11"/>
      <c r="V257" s="11"/>
      <c r="W257" s="83" t="str">
        <f t="shared" si="591"/>
        <v>НФИбд</v>
      </c>
      <c r="X257" s="110" t="s">
        <v>3272</v>
      </c>
      <c r="Y257" s="11">
        <v>4</v>
      </c>
      <c r="Z257" s="11">
        <v>2</v>
      </c>
      <c r="AA257" s="83">
        <f t="shared" si="766"/>
        <v>60</v>
      </c>
      <c r="AB257" s="11">
        <v>39</v>
      </c>
      <c r="AC257" s="11">
        <v>21</v>
      </c>
      <c r="AD257" s="81">
        <f t="shared" si="592"/>
        <v>60</v>
      </c>
      <c r="AE257" s="82">
        <f t="shared" si="767"/>
        <v>1</v>
      </c>
      <c r="AF257" s="82">
        <f t="shared" si="768"/>
        <v>1</v>
      </c>
      <c r="AG257" s="102" t="s">
        <v>3250</v>
      </c>
      <c r="AH257" s="113" t="s">
        <v>204</v>
      </c>
      <c r="AI257" s="113" t="s">
        <v>212</v>
      </c>
      <c r="AJ257" s="126" t="s">
        <v>3254</v>
      </c>
      <c r="AK257" s="8"/>
      <c r="AL257" s="42">
        <f t="shared" si="593"/>
        <v>18</v>
      </c>
      <c r="AM257" s="42">
        <f t="shared" si="644"/>
        <v>0</v>
      </c>
      <c r="AN257" s="42">
        <f t="shared" si="645"/>
        <v>0</v>
      </c>
      <c r="AO257" s="42">
        <f t="shared" si="769"/>
        <v>0</v>
      </c>
      <c r="AP257" s="42">
        <f t="shared" si="646"/>
        <v>0</v>
      </c>
      <c r="AQ257" s="42">
        <f t="shared" si="647"/>
        <v>0</v>
      </c>
      <c r="AR257" s="42">
        <f t="shared" si="594"/>
        <v>1.8</v>
      </c>
      <c r="AS257" s="42">
        <f t="shared" si="648"/>
        <v>0</v>
      </c>
      <c r="AT257" s="42">
        <f t="shared" si="649"/>
        <v>0</v>
      </c>
      <c r="AU257" s="42">
        <f t="shared" si="650"/>
        <v>0</v>
      </c>
      <c r="AV257" s="42">
        <f>IF(M257="ПП",РПП*AA257*(U257/1.5),IF(M257="ВП",ВПр*AA257*(U257/1.5),IF(M257="РПА",РПА*AA257*(U257/1.5),IF(M257="КПА",КПА*AA257*(U257/1.5),0))))</f>
        <v>0</v>
      </c>
      <c r="AW257" s="42">
        <f t="shared" si="651"/>
        <v>0</v>
      </c>
      <c r="AX257" s="42">
        <f t="shared" si="595"/>
        <v>0</v>
      </c>
      <c r="AY257" s="42">
        <f t="shared" si="596"/>
        <v>0</v>
      </c>
      <c r="AZ257" s="42">
        <f t="shared" si="652"/>
        <v>0</v>
      </c>
      <c r="BA257" s="42">
        <f t="shared" si="597"/>
        <v>0</v>
      </c>
      <c r="BB257" s="42">
        <f t="shared" si="598"/>
        <v>0</v>
      </c>
      <c r="BC257" s="42">
        <f t="shared" si="599"/>
        <v>0</v>
      </c>
      <c r="BD257" s="42">
        <f t="shared" si="653"/>
        <v>0</v>
      </c>
      <c r="BE257" s="43">
        <f t="shared" si="654"/>
        <v>19.8</v>
      </c>
      <c r="BF257" s="44"/>
      <c r="BG257" s="45">
        <f t="shared" si="655"/>
        <v>18</v>
      </c>
      <c r="BH257" s="45">
        <f t="shared" si="656"/>
        <v>0.5</v>
      </c>
      <c r="BI257" s="45">
        <f t="shared" si="657"/>
        <v>1.8</v>
      </c>
      <c r="BJ257" s="46">
        <f t="shared" si="770"/>
        <v>0</v>
      </c>
      <c r="BK257" s="46">
        <f t="shared" si="771"/>
        <v>0</v>
      </c>
      <c r="BL257" s="46">
        <f t="shared" si="772"/>
        <v>0</v>
      </c>
    </row>
    <row r="258" spans="1:64" ht="30" customHeight="1" x14ac:dyDescent="0.25">
      <c r="A258" s="84" t="str">
        <f t="shared" si="590"/>
        <v>Д</v>
      </c>
      <c r="B258" s="84" t="str">
        <f t="shared" si="763"/>
        <v>Б</v>
      </c>
      <c r="C258" s="101" t="s">
        <v>1465</v>
      </c>
      <c r="D258" s="16" t="str">
        <f t="shared" si="764"/>
        <v>'02.03.02</v>
      </c>
      <c r="E258" s="17" t="str">
        <f t="shared" si="765"/>
        <v>Фундаментальная информатика и информационные технологии</v>
      </c>
      <c r="F258" s="9" t="s">
        <v>413</v>
      </c>
      <c r="G258" s="9" t="s">
        <v>22</v>
      </c>
      <c r="H258" s="10"/>
      <c r="I258" s="10"/>
      <c r="J258" s="24" t="s">
        <v>3291</v>
      </c>
      <c r="K258" s="11">
        <v>5</v>
      </c>
      <c r="L258" s="11">
        <v>18</v>
      </c>
      <c r="M258" s="8" t="s">
        <v>94</v>
      </c>
      <c r="N258" s="11"/>
      <c r="O258" s="11">
        <v>2</v>
      </c>
      <c r="P258" s="11"/>
      <c r="Q258" s="8" t="s">
        <v>102</v>
      </c>
      <c r="R258" s="11"/>
      <c r="S258" s="11"/>
      <c r="T258" s="11"/>
      <c r="U258" s="11"/>
      <c r="V258" s="11"/>
      <c r="W258" s="83" t="str">
        <f t="shared" si="591"/>
        <v>НФИбд</v>
      </c>
      <c r="X258" s="110" t="s">
        <v>3241</v>
      </c>
      <c r="Y258" s="11">
        <v>1</v>
      </c>
      <c r="Z258" s="11">
        <v>1</v>
      </c>
      <c r="AA258" s="83">
        <f t="shared" si="766"/>
        <v>16</v>
      </c>
      <c r="AB258" s="11">
        <v>10</v>
      </c>
      <c r="AC258" s="11">
        <v>6</v>
      </c>
      <c r="AD258" s="81">
        <f t="shared" si="592"/>
        <v>12</v>
      </c>
      <c r="AE258" s="82">
        <f t="shared" si="767"/>
        <v>1</v>
      </c>
      <c r="AF258" s="82">
        <f t="shared" si="768"/>
        <v>1.3333333333333333</v>
      </c>
      <c r="AG258" s="102" t="s">
        <v>3250</v>
      </c>
      <c r="AH258" s="113" t="s">
        <v>204</v>
      </c>
      <c r="AI258" s="113" t="s">
        <v>212</v>
      </c>
      <c r="AJ258" s="119" t="s">
        <v>3254</v>
      </c>
      <c r="AK258" s="8"/>
      <c r="AL258" s="42">
        <f t="shared" si="593"/>
        <v>0</v>
      </c>
      <c r="AM258" s="42">
        <f t="shared" si="644"/>
        <v>0</v>
      </c>
      <c r="AN258" s="42">
        <f t="shared" si="645"/>
        <v>36</v>
      </c>
      <c r="AO258" s="42">
        <f t="shared" si="769"/>
        <v>5.28</v>
      </c>
      <c r="AP258" s="42">
        <f t="shared" si="646"/>
        <v>8</v>
      </c>
      <c r="AQ258" s="42">
        <f t="shared" si="647"/>
        <v>1</v>
      </c>
      <c r="AR258" s="42">
        <f t="shared" si="594"/>
        <v>0</v>
      </c>
      <c r="AS258" s="42">
        <f t="shared" si="648"/>
        <v>0</v>
      </c>
      <c r="AT258" s="42">
        <f t="shared" si="649"/>
        <v>0</v>
      </c>
      <c r="AU258" s="42">
        <f t="shared" si="650"/>
        <v>0</v>
      </c>
      <c r="AV258" s="42">
        <f>IF(M258="ПП",РПП*AA258*(U258/1.5),IF(M258="ВП",ВПр*AA258*(U258/1.5),IF(M258="РПА",РПА*AA258*(U258/1.5),IF(M258="КПА",КПА*AA258*(U258/1.5),0))))</f>
        <v>0</v>
      </c>
      <c r="AW258" s="42">
        <f t="shared" si="651"/>
        <v>0</v>
      </c>
      <c r="AX258" s="42">
        <f t="shared" si="595"/>
        <v>0</v>
      </c>
      <c r="AY258" s="42">
        <f t="shared" si="596"/>
        <v>0</v>
      </c>
      <c r="AZ258" s="42">
        <f t="shared" si="652"/>
        <v>0</v>
      </c>
      <c r="BA258" s="42">
        <f t="shared" si="597"/>
        <v>0</v>
      </c>
      <c r="BB258" s="42">
        <f t="shared" si="598"/>
        <v>0</v>
      </c>
      <c r="BC258" s="42">
        <f t="shared" si="599"/>
        <v>0</v>
      </c>
      <c r="BD258" s="42">
        <f t="shared" si="653"/>
        <v>0</v>
      </c>
      <c r="BE258" s="43">
        <f t="shared" si="654"/>
        <v>50.28</v>
      </c>
      <c r="BF258" s="44"/>
      <c r="BG258" s="45">
        <f t="shared" si="655"/>
        <v>36</v>
      </c>
      <c r="BH258" s="45">
        <f t="shared" si="656"/>
        <v>1</v>
      </c>
      <c r="BI258" s="45">
        <f t="shared" si="657"/>
        <v>14.280000000000001</v>
      </c>
      <c r="BJ258" s="46">
        <f t="shared" si="770"/>
        <v>0</v>
      </c>
      <c r="BK258" s="46">
        <f t="shared" si="771"/>
        <v>0</v>
      </c>
      <c r="BL258" s="46">
        <f t="shared" si="772"/>
        <v>0</v>
      </c>
    </row>
    <row r="259" spans="1:64" ht="30" customHeight="1" x14ac:dyDescent="0.25">
      <c r="A259" s="84" t="str">
        <f t="shared" si="590"/>
        <v>Д</v>
      </c>
      <c r="B259" s="84" t="str">
        <f t="shared" si="763"/>
        <v>Б</v>
      </c>
      <c r="C259" s="101" t="s">
        <v>1465</v>
      </c>
      <c r="D259" s="16" t="str">
        <f t="shared" si="764"/>
        <v>'02.03.02</v>
      </c>
      <c r="E259" s="17" t="str">
        <f t="shared" si="765"/>
        <v>Фундаментальная информатика и информационные технологии</v>
      </c>
      <c r="F259" s="9" t="s">
        <v>413</v>
      </c>
      <c r="G259" s="9" t="s">
        <v>22</v>
      </c>
      <c r="H259" s="10"/>
      <c r="I259" s="10"/>
      <c r="J259" s="24" t="s">
        <v>3291</v>
      </c>
      <c r="K259" s="11">
        <v>5</v>
      </c>
      <c r="L259" s="11">
        <v>18</v>
      </c>
      <c r="M259" s="8" t="s">
        <v>94</v>
      </c>
      <c r="N259" s="11"/>
      <c r="O259" s="11">
        <v>2</v>
      </c>
      <c r="P259" s="11"/>
      <c r="Q259" s="8" t="s">
        <v>102</v>
      </c>
      <c r="R259" s="11"/>
      <c r="S259" s="11"/>
      <c r="T259" s="11"/>
      <c r="U259" s="11"/>
      <c r="V259" s="11"/>
      <c r="W259" s="83" t="str">
        <f t="shared" si="591"/>
        <v>НФИбд</v>
      </c>
      <c r="X259" s="110" t="s">
        <v>3241</v>
      </c>
      <c r="Y259" s="11">
        <v>1</v>
      </c>
      <c r="Z259" s="11"/>
      <c r="AA259" s="83">
        <f t="shared" si="766"/>
        <v>15</v>
      </c>
      <c r="AB259" s="11">
        <v>10</v>
      </c>
      <c r="AC259" s="11">
        <v>5</v>
      </c>
      <c r="AD259" s="81">
        <f t="shared" si="592"/>
        <v>12</v>
      </c>
      <c r="AE259" s="82">
        <f t="shared" si="767"/>
        <v>1</v>
      </c>
      <c r="AF259" s="82">
        <f t="shared" si="768"/>
        <v>1.25</v>
      </c>
      <c r="AG259" s="102" t="s">
        <v>3250</v>
      </c>
      <c r="AH259" s="113" t="s">
        <v>204</v>
      </c>
      <c r="AI259" s="113" t="s">
        <v>212</v>
      </c>
      <c r="AJ259" s="120" t="s">
        <v>3254</v>
      </c>
      <c r="AK259" s="8"/>
      <c r="AL259" s="42">
        <f t="shared" si="593"/>
        <v>0</v>
      </c>
      <c r="AM259" s="42">
        <f t="shared" si="644"/>
        <v>0</v>
      </c>
      <c r="AN259" s="42">
        <f t="shared" si="645"/>
        <v>36</v>
      </c>
      <c r="AO259" s="42">
        <f t="shared" si="769"/>
        <v>4.95</v>
      </c>
      <c r="AP259" s="42">
        <f t="shared" si="646"/>
        <v>7.5</v>
      </c>
      <c r="AQ259" s="42">
        <f t="shared" si="647"/>
        <v>0</v>
      </c>
      <c r="AR259" s="42">
        <f t="shared" si="594"/>
        <v>0</v>
      </c>
      <c r="AS259" s="42">
        <f t="shared" si="648"/>
        <v>0</v>
      </c>
      <c r="AT259" s="42">
        <f t="shared" si="649"/>
        <v>0</v>
      </c>
      <c r="AU259" s="42">
        <f t="shared" si="650"/>
        <v>0</v>
      </c>
      <c r="AV259" s="42">
        <f>IF(M259="ПП",РПП*AA259*(U259/1.5),IF(M259="ВП",ВПр*AA259*(U259/1.5),IF(M259="РПА",РПА*AA259*(U259/1.5),IF(M259="КПА",КПА*AA259*(U259/1.5),0))))</f>
        <v>0</v>
      </c>
      <c r="AW259" s="42">
        <f t="shared" si="651"/>
        <v>0</v>
      </c>
      <c r="AX259" s="42">
        <f t="shared" si="595"/>
        <v>0</v>
      </c>
      <c r="AY259" s="42">
        <f t="shared" si="596"/>
        <v>0</v>
      </c>
      <c r="AZ259" s="42">
        <f t="shared" si="652"/>
        <v>0</v>
      </c>
      <c r="BA259" s="42">
        <f t="shared" si="597"/>
        <v>0</v>
      </c>
      <c r="BB259" s="42">
        <f t="shared" si="598"/>
        <v>0</v>
      </c>
      <c r="BC259" s="42">
        <f t="shared" si="599"/>
        <v>0</v>
      </c>
      <c r="BD259" s="42">
        <f t="shared" si="653"/>
        <v>0</v>
      </c>
      <c r="BE259" s="43">
        <f t="shared" si="654"/>
        <v>48.45</v>
      </c>
      <c r="BF259" s="44"/>
      <c r="BG259" s="45">
        <f t="shared" si="655"/>
        <v>36</v>
      </c>
      <c r="BH259" s="45">
        <f t="shared" si="656"/>
        <v>1</v>
      </c>
      <c r="BI259" s="45">
        <f t="shared" si="657"/>
        <v>12.45</v>
      </c>
      <c r="BJ259" s="46">
        <f t="shared" si="770"/>
        <v>0</v>
      </c>
      <c r="BK259" s="46">
        <f t="shared" si="771"/>
        <v>0</v>
      </c>
      <c r="BL259" s="46">
        <f t="shared" si="772"/>
        <v>0</v>
      </c>
    </row>
    <row r="260" spans="1:64" ht="30" customHeight="1" x14ac:dyDescent="0.25">
      <c r="A260" s="84" t="str">
        <f t="shared" si="590"/>
        <v>Д</v>
      </c>
      <c r="B260" s="84" t="str">
        <f t="shared" ref="B260:B261" si="773">IF(C260&gt;0, VLOOKUP(C260,Код_ООП,11,FALSE),0)</f>
        <v>Б</v>
      </c>
      <c r="C260" s="101" t="s">
        <v>1465</v>
      </c>
      <c r="D260" s="16" t="str">
        <f t="shared" ref="D260:D261" si="774">IF(C260&gt;0, VLOOKUP(C260,Код_ООП,2,FALSE),0)</f>
        <v>'02.03.02</v>
      </c>
      <c r="E260" s="17" t="str">
        <f t="shared" ref="E260:E261" si="775">IF(C260&gt;0, VLOOKUP(C260,Код_ООП,13,FALSE),0)</f>
        <v>Фундаментальная информатика и информационные технологии</v>
      </c>
      <c r="F260" s="9" t="s">
        <v>413</v>
      </c>
      <c r="G260" s="9" t="s">
        <v>22</v>
      </c>
      <c r="H260" s="10"/>
      <c r="I260" s="10"/>
      <c r="J260" s="24" t="s">
        <v>3291</v>
      </c>
      <c r="K260" s="11">
        <v>5</v>
      </c>
      <c r="L260" s="11">
        <v>18</v>
      </c>
      <c r="M260" s="8" t="s">
        <v>94</v>
      </c>
      <c r="N260" s="11"/>
      <c r="O260" s="11">
        <v>2</v>
      </c>
      <c r="P260" s="11"/>
      <c r="Q260" s="8" t="s">
        <v>102</v>
      </c>
      <c r="R260" s="12"/>
      <c r="S260" s="12"/>
      <c r="T260" s="12"/>
      <c r="U260" s="12"/>
      <c r="V260" s="12"/>
      <c r="W260" s="83" t="str">
        <f t="shared" si="591"/>
        <v>НФИбд</v>
      </c>
      <c r="X260" s="110" t="s">
        <v>3242</v>
      </c>
      <c r="Y260" s="11">
        <v>1</v>
      </c>
      <c r="Z260" s="11">
        <v>1</v>
      </c>
      <c r="AA260" s="83">
        <f t="shared" ref="AA260:AA261" si="776">AB260+AC260</f>
        <v>15</v>
      </c>
      <c r="AB260" s="11">
        <v>10</v>
      </c>
      <c r="AC260" s="11">
        <v>5</v>
      </c>
      <c r="AD260" s="81">
        <f t="shared" si="592"/>
        <v>12</v>
      </c>
      <c r="AE260" s="82">
        <f t="shared" ref="AE260:AE261" si="777">IF(AF260&gt;1,1,AF260)</f>
        <v>1</v>
      </c>
      <c r="AF260" s="82">
        <f t="shared" ref="AF260:AF261" si="778">AA260/AD260</f>
        <v>1.25</v>
      </c>
      <c r="AG260" s="102" t="s">
        <v>3250</v>
      </c>
      <c r="AH260" s="113" t="s">
        <v>204</v>
      </c>
      <c r="AI260" s="113" t="s">
        <v>212</v>
      </c>
      <c r="AJ260" s="119" t="s">
        <v>3254</v>
      </c>
      <c r="AK260" s="8"/>
      <c r="AL260" s="42">
        <f t="shared" si="593"/>
        <v>0</v>
      </c>
      <c r="AM260" s="42">
        <f t="shared" ref="AM260:AM261" si="779">IF(OR(M260="пр",M260="ия",M260="сп"),P260*AE260*L260,0)</f>
        <v>0</v>
      </c>
      <c r="AN260" s="42">
        <f t="shared" ref="AN260:AN261" si="780">IF(OR(M260="лаб",M260="клн"),O260*AE260*L260,0)</f>
        <v>36</v>
      </c>
      <c r="AO260" s="42">
        <f t="shared" ref="AO260:AO261" si="781">(IF((AND(OR(K260=1,K260=2,K260=3,K260=4,K260=5,K260=6,K260=7,K260=8,K260=9,K260=10,K260=11,K260=12),OR(Q260="Зач",Q260="Экз"))),ТКиРА*AA260,0)+IF(SUM(N260:P260)&lt;&gt;0,IF(Q260="ТК",ТКиРА*AA260,0),0))*(IF(F260="ФТД",0,1))</f>
        <v>4.95</v>
      </c>
      <c r="AP260" s="42">
        <f t="shared" ref="AP260:AP261" si="782">IF(SUM(O260:P260)&lt;&gt;0,IF(Q260="Зач",ПАБРС*AA260,0),0)+IF(N260&lt;&gt;0,IF(Q260="Экз",ПАБРС*AA260,0),0)</f>
        <v>7.5</v>
      </c>
      <c r="AQ260" s="42">
        <f t="shared" ref="AQ260:AQ261" si="783">(IF(AP260&lt;&gt;0,ОфВед*(IF(OR(M260="лек",M260="лаб"),Z260,AE260)),0))*(IF(F260="ФТД",0,1))</f>
        <v>1</v>
      </c>
      <c r="AR260" s="42">
        <f t="shared" si="594"/>
        <v>0</v>
      </c>
      <c r="AS260" s="42">
        <f t="shared" ref="AS260:AS261" si="784">IF(OR(M260="лаб",M260="пр"),IF(R260="К",AA260*ВПКР,IF(R260="М",AA260*ВПИБ,0)),0)</f>
        <v>0</v>
      </c>
      <c r="AT260" s="42">
        <f t="shared" ref="AT260:AT261" si="785">IF(OR(M260="лаб",M260="пр"),IF(S260="К",AA260*ВПКП,0),0)</f>
        <v>0</v>
      </c>
      <c r="AU260" s="42">
        <f t="shared" ref="AU260:AU261" si="786">IF(M260="УП",T260/1.5*AA260*РУП,IF(M260="УПМ",T260/1.5*AA260*РУПЛеч,0))</f>
        <v>0</v>
      </c>
      <c r="AV260" s="42">
        <f>IF(M260="ПП",РПП*AA260*(U260/1.5),IF(M260="ВП",ВПр*AA260*(U260/1.5),IF(M260="РПА",РПА*AA260*(U260/1.5),IF(M260="КПА",КПА*AA260*(U260/1.5),0))))</f>
        <v>0</v>
      </c>
      <c r="AW260" s="42">
        <f t="shared" ref="AW260:AW261" si="787">IF(M260="НР",(AB260*НИРМ+AC260*НИРМИн)*(V260/1.5),IF(M260="НИ",(AB260*НИРА+AC260*НИРАИ)*(V260/1.5),0))</f>
        <v>0</v>
      </c>
      <c r="AX260" s="42">
        <f t="shared" si="595"/>
        <v>0</v>
      </c>
      <c r="AY260" s="42">
        <f t="shared" si="596"/>
        <v>0</v>
      </c>
      <c r="AZ260" s="42">
        <f t="shared" ref="AZ260:AZ261" si="788">IF(AND(Q260="КЭ",M260="ЧК"),AA260*КдЭк,0)</f>
        <v>0</v>
      </c>
      <c r="BA260" s="42">
        <f t="shared" si="597"/>
        <v>0</v>
      </c>
      <c r="BB260" s="42">
        <f t="shared" si="598"/>
        <v>0</v>
      </c>
      <c r="BC260" s="42">
        <f t="shared" si="599"/>
        <v>0</v>
      </c>
      <c r="BD260" s="42">
        <f t="shared" ref="BD260:BD261" si="789">IF(M260="ЧГ",AA260*ЧГ,IF(M260="ПГ",AA260*ПГ,IF(M260="ТЕСТ",ТГИЭ*AE260,IF(M260="СГ",AA260*СГ,0))))</f>
        <v>0</v>
      </c>
      <c r="BE260" s="43">
        <f t="shared" ref="BE260:BE261" si="790">SUM(AL260:BD260)</f>
        <v>49.45</v>
      </c>
      <c r="BF260" s="44"/>
      <c r="BG260" s="45">
        <f t="shared" ref="BG260:BG261" si="791">IF(OR(K260="1;1",K260="1;2",K260=1,K260="3;1",K260="3;2",K260=3,K260="5;1",K260="5;2",K260=5,K260="7;1",K260="7;2",K260=7,K260="9;1",K260="9;2",K260=9,K260=11),SUM(AL260:AN260),0)</f>
        <v>36</v>
      </c>
      <c r="BH260" s="45">
        <f t="shared" ref="BH260:BH261" si="792">IF(BG260&lt;&gt;0,SUM(N260:P260)/2,0)</f>
        <v>1</v>
      </c>
      <c r="BI260" s="45">
        <f t="shared" ref="BI260:BI261" si="793">IF(OR(K260="1;1",K260="1;2",K260=1,K260="3;1",K260="3;2",K260=3,K260="5;1",K260="5;2",K260=5,K260="7;1",K260="7;2",K260=7,K260="9;1",K260="9;2",K260=9,K260=11),SUM(AO260:BD260),0)</f>
        <v>13.45</v>
      </c>
      <c r="BJ260" s="46">
        <f t="shared" si="770"/>
        <v>0</v>
      </c>
      <c r="BK260" s="46">
        <f t="shared" si="771"/>
        <v>0</v>
      </c>
      <c r="BL260" s="46">
        <f t="shared" si="772"/>
        <v>0</v>
      </c>
    </row>
    <row r="261" spans="1:64" ht="30" customHeight="1" x14ac:dyDescent="0.25">
      <c r="A261" s="84" t="str">
        <f t="shared" si="590"/>
        <v>Д</v>
      </c>
      <c r="B261" s="84" t="str">
        <f t="shared" si="773"/>
        <v>Б</v>
      </c>
      <c r="C261" s="101" t="s">
        <v>1465</v>
      </c>
      <c r="D261" s="16" t="str">
        <f t="shared" si="774"/>
        <v>'02.03.02</v>
      </c>
      <c r="E261" s="17" t="str">
        <f t="shared" si="775"/>
        <v>Фундаментальная информатика и информационные технологии</v>
      </c>
      <c r="F261" s="9" t="s">
        <v>413</v>
      </c>
      <c r="G261" s="9" t="s">
        <v>22</v>
      </c>
      <c r="H261" s="10"/>
      <c r="I261" s="10"/>
      <c r="J261" s="24" t="s">
        <v>3291</v>
      </c>
      <c r="K261" s="11">
        <v>5</v>
      </c>
      <c r="L261" s="11">
        <v>18</v>
      </c>
      <c r="M261" s="8" t="s">
        <v>94</v>
      </c>
      <c r="N261" s="11"/>
      <c r="O261" s="11">
        <v>2</v>
      </c>
      <c r="P261" s="11"/>
      <c r="Q261" s="8" t="s">
        <v>102</v>
      </c>
      <c r="R261" s="11"/>
      <c r="S261" s="11"/>
      <c r="T261" s="23"/>
      <c r="U261" s="11"/>
      <c r="V261" s="11"/>
      <c r="W261" s="83" t="str">
        <f t="shared" si="591"/>
        <v>НФИбд</v>
      </c>
      <c r="X261" s="110" t="s">
        <v>3242</v>
      </c>
      <c r="Y261" s="11">
        <v>1</v>
      </c>
      <c r="Z261" s="11"/>
      <c r="AA261" s="83">
        <f t="shared" si="776"/>
        <v>14</v>
      </c>
      <c r="AB261" s="11">
        <v>9</v>
      </c>
      <c r="AC261" s="11">
        <v>5</v>
      </c>
      <c r="AD261" s="81">
        <f t="shared" si="592"/>
        <v>12</v>
      </c>
      <c r="AE261" s="82">
        <f t="shared" si="777"/>
        <v>1</v>
      </c>
      <c r="AF261" s="82">
        <f t="shared" si="778"/>
        <v>1.1666666666666667</v>
      </c>
      <c r="AG261" s="102" t="s">
        <v>3250</v>
      </c>
      <c r="AH261" s="113" t="s">
        <v>204</v>
      </c>
      <c r="AI261" s="113" t="s">
        <v>212</v>
      </c>
      <c r="AJ261" s="119" t="s">
        <v>3254</v>
      </c>
      <c r="AK261" s="8"/>
      <c r="AL261" s="42">
        <f t="shared" si="593"/>
        <v>0</v>
      </c>
      <c r="AM261" s="42">
        <f t="shared" si="779"/>
        <v>0</v>
      </c>
      <c r="AN261" s="42">
        <f t="shared" si="780"/>
        <v>36</v>
      </c>
      <c r="AO261" s="42">
        <f t="shared" si="781"/>
        <v>4.62</v>
      </c>
      <c r="AP261" s="42">
        <f t="shared" si="782"/>
        <v>7</v>
      </c>
      <c r="AQ261" s="42">
        <f t="shared" si="783"/>
        <v>0</v>
      </c>
      <c r="AR261" s="42">
        <f t="shared" si="594"/>
        <v>0</v>
      </c>
      <c r="AS261" s="42">
        <f t="shared" si="784"/>
        <v>0</v>
      </c>
      <c r="AT261" s="42">
        <f t="shared" si="785"/>
        <v>0</v>
      </c>
      <c r="AU261" s="42">
        <f t="shared" si="786"/>
        <v>0</v>
      </c>
      <c r="AV261" s="42">
        <f>IF(M261="ПП",РПП*AA261*(U261/1.5),IF(M261="ВП",ВПр*AA261*(U261/1.5),IF(M261="РПА",РПА*AA261*(U261/1.5),IF(M261="КПА",КПА*AA261*(U261/1.5),0))))</f>
        <v>0</v>
      </c>
      <c r="AW261" s="42">
        <f t="shared" si="787"/>
        <v>0</v>
      </c>
      <c r="AX261" s="42">
        <f t="shared" si="595"/>
        <v>0</v>
      </c>
      <c r="AY261" s="42">
        <f t="shared" si="596"/>
        <v>0</v>
      </c>
      <c r="AZ261" s="42">
        <f t="shared" si="788"/>
        <v>0</v>
      </c>
      <c r="BA261" s="42">
        <f t="shared" si="597"/>
        <v>0</v>
      </c>
      <c r="BB261" s="42">
        <f t="shared" si="598"/>
        <v>0</v>
      </c>
      <c r="BC261" s="42">
        <f t="shared" si="599"/>
        <v>0</v>
      </c>
      <c r="BD261" s="42">
        <f t="shared" si="789"/>
        <v>0</v>
      </c>
      <c r="BE261" s="43">
        <f t="shared" si="790"/>
        <v>47.62</v>
      </c>
      <c r="BF261" s="44"/>
      <c r="BG261" s="45">
        <f t="shared" si="791"/>
        <v>36</v>
      </c>
      <c r="BH261" s="45">
        <f t="shared" si="792"/>
        <v>1</v>
      </c>
      <c r="BI261" s="45">
        <f t="shared" si="793"/>
        <v>11.620000000000001</v>
      </c>
      <c r="BJ261" s="46">
        <f t="shared" si="770"/>
        <v>0</v>
      </c>
      <c r="BK261" s="46">
        <f t="shared" si="771"/>
        <v>0</v>
      </c>
      <c r="BL261" s="46">
        <f t="shared" si="772"/>
        <v>0</v>
      </c>
    </row>
    <row r="262" spans="1:64" ht="30" customHeight="1" x14ac:dyDescent="0.25">
      <c r="A262" s="84" t="str">
        <f t="shared" ref="A262:A325" si="794">IF(C262&gt;0, VLOOKUP(C262,Код_ООП,12,FALSE),0)</f>
        <v>Д</v>
      </c>
      <c r="B262" s="84" t="str">
        <f t="shared" si="763"/>
        <v>Б</v>
      </c>
      <c r="C262" s="101" t="s">
        <v>1465</v>
      </c>
      <c r="D262" s="16" t="str">
        <f t="shared" si="764"/>
        <v>'02.03.02</v>
      </c>
      <c r="E262" s="17" t="str">
        <f t="shared" si="765"/>
        <v>Фундаментальная информатика и информационные технологии</v>
      </c>
      <c r="F262" s="9" t="s">
        <v>413</v>
      </c>
      <c r="G262" s="9" t="s">
        <v>22</v>
      </c>
      <c r="H262" s="10"/>
      <c r="I262" s="10"/>
      <c r="J262" s="24" t="s">
        <v>3291</v>
      </c>
      <c r="K262" s="11">
        <v>5</v>
      </c>
      <c r="L262" s="11">
        <v>18</v>
      </c>
      <c r="M262" s="8" t="s">
        <v>94</v>
      </c>
      <c r="N262" s="11"/>
      <c r="O262" s="11">
        <v>2</v>
      </c>
      <c r="P262" s="11"/>
      <c r="Q262" s="8" t="s">
        <v>102</v>
      </c>
      <c r="R262" s="12"/>
      <c r="S262" s="12"/>
      <c r="T262" s="12"/>
      <c r="U262" s="12"/>
      <c r="V262" s="12"/>
      <c r="W262" s="83" t="str">
        <f t="shared" ref="W262:W325" si="795">MID(C262,1,5)</f>
        <v>НФИбд</v>
      </c>
      <c r="X262" s="110" t="s">
        <v>3345</v>
      </c>
      <c r="Y262" s="11"/>
      <c r="Z262" s="11"/>
      <c r="AA262" s="83">
        <f t="shared" si="766"/>
        <v>0</v>
      </c>
      <c r="AB262" s="11"/>
      <c r="AC262" s="11"/>
      <c r="AD262" s="81">
        <f t="shared" ref="AD262:AD325" si="796">IF(M262="сп",6,IF(M262="клн",8,IF(OR(M262="лаб",M262="ия"),12,IF(OR(M262="пр",M262="ТЕСТ"),IF(OR(B262="Б",B262="С"),24,12),IF(M262="лек",AA262,1)))))</f>
        <v>12</v>
      </c>
      <c r="AE262" s="82">
        <f t="shared" si="767"/>
        <v>0</v>
      </c>
      <c r="AF262" s="82">
        <f t="shared" si="768"/>
        <v>0</v>
      </c>
      <c r="AG262" s="102" t="s">
        <v>3250</v>
      </c>
      <c r="AH262" s="113" t="s">
        <v>204</v>
      </c>
      <c r="AI262" s="113" t="s">
        <v>212</v>
      </c>
      <c r="AJ262" s="119" t="s">
        <v>3254</v>
      </c>
      <c r="AK262" s="8"/>
      <c r="AL262" s="42">
        <f t="shared" ref="AL262:AL325" si="797">IF(OR(M262="лек",M262="ТУИС"),(IF(NOT(B262="ЦМ"),N262*L262,0)),0)</f>
        <v>0</v>
      </c>
      <c r="AM262" s="42">
        <f t="shared" si="644"/>
        <v>0</v>
      </c>
      <c r="AN262" s="42">
        <f t="shared" si="645"/>
        <v>0</v>
      </c>
      <c r="AO262" s="42">
        <f t="shared" si="769"/>
        <v>0</v>
      </c>
      <c r="AP262" s="42">
        <f t="shared" si="646"/>
        <v>0</v>
      </c>
      <c r="AQ262" s="42">
        <f t="shared" si="647"/>
        <v>0</v>
      </c>
      <c r="AR262" s="42">
        <f t="shared" ref="AR262:AR325" si="798">(IF(A262="Д",ТКЛД,IF(A262="В",ТКЛВ,IF(A262="З",ТКЛЗ,0))))*(IF(F262="ФТД",0,AL262))*Z262</f>
        <v>0</v>
      </c>
      <c r="AS262" s="42">
        <f t="shared" si="648"/>
        <v>0</v>
      </c>
      <c r="AT262" s="42">
        <f t="shared" si="649"/>
        <v>0</v>
      </c>
      <c r="AU262" s="42">
        <f t="shared" si="650"/>
        <v>0</v>
      </c>
      <c r="AV262" s="42">
        <f>IF(M262="ПП",РПП*AA262*(U262/1.5),IF(M262="ВП",ВПр*AA262*(U262/1.5),IF(M262="РПА",РПА*AA262*(U262/1.5),IF(M262="КПА",КПА*AA262*(U262/1.5),0))))</f>
        <v>0</v>
      </c>
      <c r="AW262" s="42">
        <f t="shared" si="651"/>
        <v>0</v>
      </c>
      <c r="AX262" s="42">
        <f t="shared" ref="AX262:AX325" si="799">IF(AND(M262="ЦП",B262="ЦМ"),AA262*ЦП,0)</f>
        <v>0</v>
      </c>
      <c r="AY262" s="42">
        <f t="shared" ref="AY262:AY325" si="800">IF(B262="А",IF(M262="РР",AA262*РефАсп,IF(M262="РРФ",AA262*РефФил,0)),0)</f>
        <v>0</v>
      </c>
      <c r="AZ262" s="42">
        <f t="shared" si="652"/>
        <v>0</v>
      </c>
      <c r="BA262" s="42">
        <f t="shared" ref="BA262:BA325" si="801">IF(AND(M262="НКД",B262="Д"),AA262*НКД,0)+IF(AND(M262="РПЛ",B262="А"),AA262*РукПЛ,0)+IF(AND(M262="РСтж",B262="А"),AB262*РукСт+AC262*РукИСт,0)+IF(M262="ФГТ",AB262*РукРФа+AC262*РукИна,0)</f>
        <v>0</v>
      </c>
      <c r="BB262" s="42">
        <f t="shared" ref="BB262:BB325" si="802">IF(M262="РК",IF(OR(B262="С",B262="М",B262="ЦМ"),(AB262*РСМ+AC262*РСМИ),0),0)+IF(M262="РК",IF(B262="Б",(AB262*РБ+AC262*РБИ),0),0)+IF(M262="РК",IF(B262="А",(AB262*РНКР+AC262*РНКРИн),0),0)+IF(AND(Q262="ПАкр"),AA262*0.3)</f>
        <v>0</v>
      </c>
      <c r="BC262" s="42">
        <f t="shared" ref="BC262:BC325" si="803">IF(M262="РДП",IF(B262="А",AA262*РРА,IF(OR(B262="С",B262="М",B262="ЦМ"),AA262*РРСМ,IF(B262="Б",AA262*РРБ,0))),IF(M262="РДИ",AA262*РДП,0))</f>
        <v>0</v>
      </c>
      <c r="BD262" s="42">
        <f t="shared" si="653"/>
        <v>0</v>
      </c>
      <c r="BE262" s="43">
        <f t="shared" si="654"/>
        <v>0</v>
      </c>
      <c r="BF262" s="44"/>
      <c r="BG262" s="45">
        <f t="shared" si="655"/>
        <v>0</v>
      </c>
      <c r="BH262" s="45">
        <f t="shared" si="656"/>
        <v>0</v>
      </c>
      <c r="BI262" s="45">
        <f t="shared" si="657"/>
        <v>0</v>
      </c>
      <c r="BJ262" s="46">
        <f t="shared" si="770"/>
        <v>0</v>
      </c>
      <c r="BK262" s="46">
        <f t="shared" si="771"/>
        <v>0</v>
      </c>
      <c r="BL262" s="46">
        <f t="shared" si="772"/>
        <v>0</v>
      </c>
    </row>
    <row r="263" spans="1:64" ht="30" customHeight="1" x14ac:dyDescent="0.25">
      <c r="A263" s="84" t="str">
        <f t="shared" si="794"/>
        <v>Д</v>
      </c>
      <c r="B263" s="84" t="str">
        <f t="shared" si="763"/>
        <v>Б</v>
      </c>
      <c r="C263" s="101" t="s">
        <v>1465</v>
      </c>
      <c r="D263" s="16" t="str">
        <f t="shared" si="764"/>
        <v>'02.03.02</v>
      </c>
      <c r="E263" s="17" t="str">
        <f t="shared" si="765"/>
        <v>Фундаментальная информатика и информационные технологии</v>
      </c>
      <c r="F263" s="9" t="s">
        <v>413</v>
      </c>
      <c r="G263" s="9" t="s">
        <v>22</v>
      </c>
      <c r="H263" s="10"/>
      <c r="I263" s="10"/>
      <c r="J263" s="24" t="s">
        <v>3291</v>
      </c>
      <c r="K263" s="11">
        <v>5</v>
      </c>
      <c r="L263" s="11">
        <v>18</v>
      </c>
      <c r="M263" s="8" t="s">
        <v>94</v>
      </c>
      <c r="N263" s="11"/>
      <c r="O263" s="11">
        <v>2</v>
      </c>
      <c r="P263" s="11"/>
      <c r="Q263" s="8" t="s">
        <v>102</v>
      </c>
      <c r="R263" s="11"/>
      <c r="S263" s="11"/>
      <c r="T263" s="23"/>
      <c r="U263" s="11"/>
      <c r="V263" s="11"/>
      <c r="W263" s="83" t="str">
        <f t="shared" si="795"/>
        <v>НФИбд</v>
      </c>
      <c r="X263" s="110" t="s">
        <v>3345</v>
      </c>
      <c r="Y263" s="11"/>
      <c r="Z263" s="11"/>
      <c r="AA263" s="83">
        <f t="shared" si="766"/>
        <v>0</v>
      </c>
      <c r="AB263" s="11"/>
      <c r="AC263" s="11"/>
      <c r="AD263" s="81">
        <f t="shared" si="796"/>
        <v>12</v>
      </c>
      <c r="AE263" s="82">
        <f t="shared" si="767"/>
        <v>0</v>
      </c>
      <c r="AF263" s="82">
        <f t="shared" si="768"/>
        <v>0</v>
      </c>
      <c r="AG263" s="102" t="s">
        <v>3250</v>
      </c>
      <c r="AH263" s="113" t="s">
        <v>204</v>
      </c>
      <c r="AI263" s="113" t="s">
        <v>212</v>
      </c>
      <c r="AJ263" s="119" t="s">
        <v>3254</v>
      </c>
      <c r="AK263" s="8"/>
      <c r="AL263" s="42">
        <f t="shared" si="797"/>
        <v>0</v>
      </c>
      <c r="AM263" s="42">
        <f t="shared" si="644"/>
        <v>0</v>
      </c>
      <c r="AN263" s="42">
        <f t="shared" si="645"/>
        <v>0</v>
      </c>
      <c r="AO263" s="42">
        <f t="shared" si="769"/>
        <v>0</v>
      </c>
      <c r="AP263" s="42">
        <f t="shared" si="646"/>
        <v>0</v>
      </c>
      <c r="AQ263" s="42">
        <f t="shared" si="647"/>
        <v>0</v>
      </c>
      <c r="AR263" s="42">
        <f t="shared" si="798"/>
        <v>0</v>
      </c>
      <c r="AS263" s="42">
        <f t="shared" si="648"/>
        <v>0</v>
      </c>
      <c r="AT263" s="42">
        <f t="shared" si="649"/>
        <v>0</v>
      </c>
      <c r="AU263" s="42">
        <f t="shared" si="650"/>
        <v>0</v>
      </c>
      <c r="AV263" s="42">
        <f>IF(M263="ПП",РПП*AA263*(U263/1.5),IF(M263="ВП",ВПр*AA263*(U263/1.5),IF(M263="РПА",РПА*AA263*(U263/1.5),IF(M263="КПА",КПА*AA263*(U263/1.5),0))))</f>
        <v>0</v>
      </c>
      <c r="AW263" s="42">
        <f t="shared" si="651"/>
        <v>0</v>
      </c>
      <c r="AX263" s="42">
        <f t="shared" si="799"/>
        <v>0</v>
      </c>
      <c r="AY263" s="42">
        <f t="shared" si="800"/>
        <v>0</v>
      </c>
      <c r="AZ263" s="42">
        <f t="shared" si="652"/>
        <v>0</v>
      </c>
      <c r="BA263" s="42">
        <f t="shared" si="801"/>
        <v>0</v>
      </c>
      <c r="BB263" s="42">
        <f t="shared" si="802"/>
        <v>0</v>
      </c>
      <c r="BC263" s="42">
        <f t="shared" si="803"/>
        <v>0</v>
      </c>
      <c r="BD263" s="42">
        <f t="shared" si="653"/>
        <v>0</v>
      </c>
      <c r="BE263" s="43">
        <f t="shared" si="654"/>
        <v>0</v>
      </c>
      <c r="BF263" s="44"/>
      <c r="BG263" s="45">
        <f t="shared" si="655"/>
        <v>0</v>
      </c>
      <c r="BH263" s="45">
        <f t="shared" si="656"/>
        <v>0</v>
      </c>
      <c r="BI263" s="45">
        <f t="shared" si="657"/>
        <v>0</v>
      </c>
      <c r="BJ263" s="46">
        <f t="shared" si="770"/>
        <v>0</v>
      </c>
      <c r="BK263" s="46">
        <f t="shared" si="771"/>
        <v>0</v>
      </c>
      <c r="BL263" s="46">
        <f t="shared" si="772"/>
        <v>0</v>
      </c>
    </row>
    <row r="264" spans="1:64" ht="30" customHeight="1" x14ac:dyDescent="0.25">
      <c r="A264" s="84" t="str">
        <f t="shared" si="794"/>
        <v>Д</v>
      </c>
      <c r="B264" s="84" t="str">
        <f t="shared" si="763"/>
        <v>Б</v>
      </c>
      <c r="C264" s="101" t="s">
        <v>1465</v>
      </c>
      <c r="D264" s="16" t="str">
        <f t="shared" si="764"/>
        <v>'02.03.02</v>
      </c>
      <c r="E264" s="17" t="str">
        <f t="shared" si="765"/>
        <v>Фундаментальная информатика и информационные технологии</v>
      </c>
      <c r="F264" s="9" t="s">
        <v>413</v>
      </c>
      <c r="G264" s="9" t="s">
        <v>503</v>
      </c>
      <c r="H264" s="10"/>
      <c r="I264" s="10" t="s">
        <v>3276</v>
      </c>
      <c r="J264" s="24" t="s">
        <v>3292</v>
      </c>
      <c r="K264" s="11" t="s">
        <v>3227</v>
      </c>
      <c r="L264" s="11">
        <v>9</v>
      </c>
      <c r="M264" s="8" t="s">
        <v>23</v>
      </c>
      <c r="N264" s="11">
        <v>2</v>
      </c>
      <c r="O264" s="11"/>
      <c r="P264" s="11"/>
      <c r="Q264" s="8" t="s">
        <v>103</v>
      </c>
      <c r="R264" s="11"/>
      <c r="S264" s="11"/>
      <c r="T264" s="11"/>
      <c r="U264" s="11"/>
      <c r="V264" s="11"/>
      <c r="W264" s="83" t="str">
        <f t="shared" si="795"/>
        <v>НФИбд</v>
      </c>
      <c r="X264" s="110" t="s">
        <v>3238</v>
      </c>
      <c r="Y264" s="11">
        <v>3</v>
      </c>
      <c r="Z264" s="11">
        <v>2</v>
      </c>
      <c r="AA264" s="83">
        <f t="shared" si="766"/>
        <v>36</v>
      </c>
      <c r="AB264" s="11">
        <v>27</v>
      </c>
      <c r="AC264" s="11">
        <v>9</v>
      </c>
      <c r="AD264" s="81">
        <f t="shared" si="796"/>
        <v>36</v>
      </c>
      <c r="AE264" s="82">
        <f t="shared" si="767"/>
        <v>1</v>
      </c>
      <c r="AF264" s="82">
        <f t="shared" si="768"/>
        <v>1</v>
      </c>
      <c r="AG264" s="102" t="s">
        <v>3250</v>
      </c>
      <c r="AH264" s="113" t="s">
        <v>205</v>
      </c>
      <c r="AI264" s="113" t="s">
        <v>212</v>
      </c>
      <c r="AJ264" s="120" t="s">
        <v>3295</v>
      </c>
      <c r="AK264" s="8"/>
      <c r="AL264" s="42">
        <f t="shared" si="797"/>
        <v>18</v>
      </c>
      <c r="AM264" s="42">
        <f t="shared" ref="AM264:AM312" si="804">IF(OR(M264="пр",M264="ия",M264="сп"),P264*AE264*L264,0)</f>
        <v>0</v>
      </c>
      <c r="AN264" s="42">
        <f t="shared" ref="AN264:AN312" si="805">IF(OR(M264="лаб",M264="клн"),O264*AE264*L264,0)</f>
        <v>0</v>
      </c>
      <c r="AO264" s="42">
        <f t="shared" si="769"/>
        <v>0</v>
      </c>
      <c r="AP264" s="42">
        <f t="shared" ref="AP264:AP312" si="806">IF(SUM(O264:P264)&lt;&gt;0,IF(Q264="Зач",ПАБРС*AA264,0),0)+IF(N264&lt;&gt;0,IF(Q264="Экз",ПАБРС*AA264,0),0)</f>
        <v>18</v>
      </c>
      <c r="AQ264" s="42">
        <f t="shared" ref="AQ264:AQ312" si="807">(IF(AP264&lt;&gt;0,ОфВед*(IF(OR(M264="лек",M264="лаб"),Z264,AE264)),0))*(IF(F264="ФТД",0,1))</f>
        <v>2</v>
      </c>
      <c r="AR264" s="42">
        <f t="shared" si="798"/>
        <v>1.8</v>
      </c>
      <c r="AS264" s="42">
        <f t="shared" ref="AS264:AS312" si="808">IF(OR(M264="лаб",M264="пр"),IF(R264="К",AA264*ВПКР,IF(R264="М",AA264*ВПИБ,0)),0)</f>
        <v>0</v>
      </c>
      <c r="AT264" s="42">
        <f t="shared" ref="AT264:AT312" si="809">IF(OR(M264="лаб",M264="пр"),IF(S264="К",AA264*ВПКП,0),0)</f>
        <v>0</v>
      </c>
      <c r="AU264" s="42">
        <f t="shared" ref="AU264:AU312" si="810">IF(M264="УП",T264/1.5*AA264*РУП,IF(M264="УПМ",T264/1.5*AA264*РУПЛеч,0))</f>
        <v>0</v>
      </c>
      <c r="AV264" s="42">
        <f>IF(M264="ПП",РПП*AA264*(U264/1.5),IF(M264="ВП",ВПр*AA264*(U264/1.5),IF(M264="РПА",РПА*AA264*(U264/1.5),IF(M264="КПА",КПА*AA264*(U264/1.5),0))))</f>
        <v>0</v>
      </c>
      <c r="AW264" s="42">
        <f t="shared" ref="AW264:AW312" si="811">IF(M264="НР",(AB264*НИРМ+AC264*НИРМИн)*(V264/1.5),IF(M264="НИ",(AB264*НИРА+AC264*НИРАИ)*(V264/1.5),0))</f>
        <v>0</v>
      </c>
      <c r="AX264" s="42">
        <f t="shared" si="799"/>
        <v>0</v>
      </c>
      <c r="AY264" s="42">
        <f t="shared" si="800"/>
        <v>0</v>
      </c>
      <c r="AZ264" s="42">
        <f t="shared" ref="AZ264:AZ312" si="812">IF(AND(Q264="КЭ",M264="ЧК"),AA264*КдЭк,0)</f>
        <v>0</v>
      </c>
      <c r="BA264" s="42">
        <f t="shared" si="801"/>
        <v>0</v>
      </c>
      <c r="BB264" s="42">
        <f t="shared" si="802"/>
        <v>0</v>
      </c>
      <c r="BC264" s="42">
        <f t="shared" si="803"/>
        <v>0</v>
      </c>
      <c r="BD264" s="42">
        <f t="shared" ref="BD264:BD312" si="813">IF(M264="ЧГ",AA264*ЧГ,IF(M264="ПГ",AA264*ПГ,IF(M264="ТЕСТ",ТГИЭ*AE264,IF(M264="СГ",AA264*СГ,0))))</f>
        <v>0</v>
      </c>
      <c r="BE264" s="43">
        <f t="shared" ref="BE264:BE312" si="814">SUM(AL264:BD264)</f>
        <v>39.799999999999997</v>
      </c>
      <c r="BF264" s="44"/>
      <c r="BG264" s="45">
        <f t="shared" ref="BG264:BG312" si="815">IF(OR(K264="1;1",K264="1;2",K264=1,K264="3;1",K264="3;2",K264=3,K264="5;1",K264="5;2",K264=5,K264="7;1",K264="7;2",K264=7,K264="9;1",K264="9;2",K264=9,K264=11),SUM(AL264:AN264),0)</f>
        <v>18</v>
      </c>
      <c r="BH264" s="45">
        <f t="shared" ref="BH264:BH312" si="816">IF(BG264&lt;&gt;0,SUM(N264:P264)/2,0)</f>
        <v>1</v>
      </c>
      <c r="BI264" s="45">
        <f t="shared" ref="BI264:BI312" si="817">IF(OR(K264="1;1",K264="1;2",K264=1,K264="3;1",K264="3;2",K264=3,K264="5;1",K264="5;2",K264=5,K264="7;1",K264="7;2",K264=7,K264="9;1",K264="9;2",K264=9,K264=11),SUM(AO264:BD264),0)</f>
        <v>21.8</v>
      </c>
      <c r="BJ264" s="46">
        <f t="shared" si="770"/>
        <v>0</v>
      </c>
      <c r="BK264" s="46">
        <f t="shared" si="771"/>
        <v>0</v>
      </c>
      <c r="BL264" s="46">
        <f t="shared" si="772"/>
        <v>0</v>
      </c>
    </row>
    <row r="265" spans="1:64" ht="30" customHeight="1" x14ac:dyDescent="0.25">
      <c r="A265" s="84" t="str">
        <f t="shared" si="794"/>
        <v>Д</v>
      </c>
      <c r="B265" s="84" t="str">
        <f t="shared" si="763"/>
        <v>Б</v>
      </c>
      <c r="C265" s="101" t="s">
        <v>1465</v>
      </c>
      <c r="D265" s="16" t="str">
        <f t="shared" si="764"/>
        <v>'02.03.02</v>
      </c>
      <c r="E265" s="17" t="str">
        <f t="shared" si="765"/>
        <v>Фундаментальная информатика и информационные технологии</v>
      </c>
      <c r="F265" s="9" t="s">
        <v>413</v>
      </c>
      <c r="G265" s="9" t="s">
        <v>503</v>
      </c>
      <c r="H265" s="10"/>
      <c r="I265" s="10" t="s">
        <v>3276</v>
      </c>
      <c r="J265" s="24" t="s">
        <v>3292</v>
      </c>
      <c r="K265" s="11" t="s">
        <v>3227</v>
      </c>
      <c r="L265" s="11">
        <v>9</v>
      </c>
      <c r="M265" s="8" t="s">
        <v>24</v>
      </c>
      <c r="N265" s="11"/>
      <c r="O265" s="11"/>
      <c r="P265" s="11">
        <v>4</v>
      </c>
      <c r="Q265" s="8"/>
      <c r="R265" s="11"/>
      <c r="S265" s="11"/>
      <c r="T265" s="11"/>
      <c r="U265" s="11"/>
      <c r="V265" s="11"/>
      <c r="W265" s="83" t="str">
        <f t="shared" si="795"/>
        <v>НФИбд</v>
      </c>
      <c r="X265" s="110" t="s">
        <v>3238</v>
      </c>
      <c r="Y265" s="11">
        <v>3</v>
      </c>
      <c r="Z265" s="11">
        <v>2</v>
      </c>
      <c r="AA265" s="83">
        <f t="shared" si="766"/>
        <v>9</v>
      </c>
      <c r="AB265" s="11">
        <v>7</v>
      </c>
      <c r="AC265" s="11">
        <v>2</v>
      </c>
      <c r="AD265" s="81">
        <f t="shared" si="796"/>
        <v>24</v>
      </c>
      <c r="AE265" s="82">
        <f t="shared" si="767"/>
        <v>0.375</v>
      </c>
      <c r="AF265" s="82">
        <f t="shared" si="768"/>
        <v>0.375</v>
      </c>
      <c r="AG265" s="102" t="s">
        <v>3250</v>
      </c>
      <c r="AH265" s="113" t="s">
        <v>204</v>
      </c>
      <c r="AI265" s="113" t="s">
        <v>212</v>
      </c>
      <c r="AJ265" s="119" t="s">
        <v>3254</v>
      </c>
      <c r="AK265" s="8"/>
      <c r="AL265" s="42">
        <f t="shared" si="797"/>
        <v>0</v>
      </c>
      <c r="AM265" s="42">
        <f t="shared" si="804"/>
        <v>13.5</v>
      </c>
      <c r="AN265" s="42">
        <f t="shared" si="805"/>
        <v>0</v>
      </c>
      <c r="AO265" s="42">
        <f t="shared" si="769"/>
        <v>0</v>
      </c>
      <c r="AP265" s="42">
        <f t="shared" si="806"/>
        <v>0</v>
      </c>
      <c r="AQ265" s="42">
        <f t="shared" si="807"/>
        <v>0</v>
      </c>
      <c r="AR265" s="42">
        <f t="shared" si="798"/>
        <v>0</v>
      </c>
      <c r="AS265" s="42">
        <f t="shared" si="808"/>
        <v>0</v>
      </c>
      <c r="AT265" s="42">
        <f t="shared" si="809"/>
        <v>0</v>
      </c>
      <c r="AU265" s="42">
        <f t="shared" si="810"/>
        <v>0</v>
      </c>
      <c r="AV265" s="42">
        <f>IF(M265="ПП",РПП*AA265*(U265/1.5),IF(M265="ВП",ВПр*AA265*(U265/1.5),IF(M265="РПА",РПА*AA265*(U265/1.5),IF(M265="КПА",КПА*AA265*(U265/1.5),0))))</f>
        <v>0</v>
      </c>
      <c r="AW265" s="42">
        <f t="shared" si="811"/>
        <v>0</v>
      </c>
      <c r="AX265" s="42">
        <f t="shared" si="799"/>
        <v>0</v>
      </c>
      <c r="AY265" s="42">
        <f t="shared" si="800"/>
        <v>0</v>
      </c>
      <c r="AZ265" s="42">
        <f t="shared" si="812"/>
        <v>0</v>
      </c>
      <c r="BA265" s="42">
        <f t="shared" si="801"/>
        <v>0</v>
      </c>
      <c r="BB265" s="42">
        <f t="shared" si="802"/>
        <v>0</v>
      </c>
      <c r="BC265" s="42">
        <f t="shared" si="803"/>
        <v>0</v>
      </c>
      <c r="BD265" s="42">
        <f t="shared" si="813"/>
        <v>0</v>
      </c>
      <c r="BE265" s="43">
        <f t="shared" si="814"/>
        <v>13.5</v>
      </c>
      <c r="BF265" s="44"/>
      <c r="BG265" s="45">
        <f t="shared" si="815"/>
        <v>13.5</v>
      </c>
      <c r="BH265" s="45">
        <f t="shared" si="816"/>
        <v>2</v>
      </c>
      <c r="BI265" s="45">
        <f t="shared" si="817"/>
        <v>0</v>
      </c>
      <c r="BJ265" s="46">
        <f t="shared" si="770"/>
        <v>0</v>
      </c>
      <c r="BK265" s="46">
        <f t="shared" si="771"/>
        <v>0</v>
      </c>
      <c r="BL265" s="46">
        <f t="shared" si="772"/>
        <v>0</v>
      </c>
    </row>
    <row r="266" spans="1:64" ht="30" customHeight="1" x14ac:dyDescent="0.25">
      <c r="A266" s="84" t="str">
        <f t="shared" si="794"/>
        <v>Д</v>
      </c>
      <c r="B266" s="84" t="str">
        <f t="shared" si="763"/>
        <v>Б</v>
      </c>
      <c r="C266" s="101" t="s">
        <v>1465</v>
      </c>
      <c r="D266" s="16" t="str">
        <f t="shared" si="764"/>
        <v>'02.03.02</v>
      </c>
      <c r="E266" s="17" t="str">
        <f t="shared" si="765"/>
        <v>Фундаментальная информатика и информационные технологии</v>
      </c>
      <c r="F266" s="9" t="s">
        <v>414</v>
      </c>
      <c r="G266" s="9" t="s">
        <v>42</v>
      </c>
      <c r="H266" s="10"/>
      <c r="I266" s="10"/>
      <c r="J266" s="24" t="s">
        <v>3201</v>
      </c>
      <c r="K266" s="11" t="s">
        <v>3228</v>
      </c>
      <c r="L266" s="11">
        <v>9</v>
      </c>
      <c r="M266" s="8" t="s">
        <v>188</v>
      </c>
      <c r="N266" s="11"/>
      <c r="O266" s="11"/>
      <c r="P266" s="11"/>
      <c r="Q266" s="8"/>
      <c r="R266" s="11"/>
      <c r="S266" s="11"/>
      <c r="T266" s="11"/>
      <c r="U266" s="11"/>
      <c r="V266" s="11">
        <v>15</v>
      </c>
      <c r="W266" s="83" t="str">
        <f t="shared" si="795"/>
        <v>НФИбд</v>
      </c>
      <c r="X266" s="110" t="s">
        <v>3238</v>
      </c>
      <c r="Y266" s="11">
        <v>3</v>
      </c>
      <c r="Z266" s="11">
        <v>2</v>
      </c>
      <c r="AA266" s="83">
        <f t="shared" si="766"/>
        <v>19</v>
      </c>
      <c r="AB266" s="11">
        <v>12</v>
      </c>
      <c r="AC266" s="11">
        <v>7</v>
      </c>
      <c r="AD266" s="81">
        <f t="shared" si="796"/>
        <v>1</v>
      </c>
      <c r="AE266" s="82">
        <f t="shared" si="767"/>
        <v>1</v>
      </c>
      <c r="AF266" s="82">
        <f t="shared" si="768"/>
        <v>19</v>
      </c>
      <c r="AG266" s="102" t="s">
        <v>3250</v>
      </c>
      <c r="AH266" s="113" t="s">
        <v>205</v>
      </c>
      <c r="AI266" s="113" t="s">
        <v>212</v>
      </c>
      <c r="AJ266" s="119" t="s">
        <v>3295</v>
      </c>
      <c r="AK266" s="8"/>
      <c r="AL266" s="42">
        <f t="shared" si="797"/>
        <v>0</v>
      </c>
      <c r="AM266" s="42">
        <f t="shared" si="804"/>
        <v>0</v>
      </c>
      <c r="AN266" s="42">
        <f t="shared" si="805"/>
        <v>0</v>
      </c>
      <c r="AO266" s="42">
        <f t="shared" si="769"/>
        <v>0</v>
      </c>
      <c r="AP266" s="42">
        <f t="shared" si="806"/>
        <v>0</v>
      </c>
      <c r="AQ266" s="42">
        <f t="shared" si="807"/>
        <v>0</v>
      </c>
      <c r="AR266" s="42">
        <f t="shared" si="798"/>
        <v>0</v>
      </c>
      <c r="AS266" s="42">
        <f t="shared" si="808"/>
        <v>0</v>
      </c>
      <c r="AT266" s="42">
        <f t="shared" si="809"/>
        <v>0</v>
      </c>
      <c r="AU266" s="42">
        <f t="shared" si="810"/>
        <v>0</v>
      </c>
      <c r="AV266" s="42">
        <f>IF(M266="ПП",РПП*AA266*(U266/1.5),IF(M266="ВП",ВПр*AA266*(U266/1.5),IF(M266="РПА",РПА*AA266*(U266/1.5),IF(M266="КПА",КПА*AA266*(U266/1.5),0))))</f>
        <v>0</v>
      </c>
      <c r="AW266" s="42">
        <f t="shared" si="811"/>
        <v>225</v>
      </c>
      <c r="AX266" s="42">
        <f t="shared" si="799"/>
        <v>0</v>
      </c>
      <c r="AY266" s="42">
        <f t="shared" si="800"/>
        <v>0</v>
      </c>
      <c r="AZ266" s="42">
        <f t="shared" si="812"/>
        <v>0</v>
      </c>
      <c r="BA266" s="42">
        <f t="shared" si="801"/>
        <v>0</v>
      </c>
      <c r="BB266" s="42">
        <f t="shared" si="802"/>
        <v>0</v>
      </c>
      <c r="BC266" s="42">
        <f t="shared" si="803"/>
        <v>0</v>
      </c>
      <c r="BD266" s="42">
        <f t="shared" si="813"/>
        <v>0</v>
      </c>
      <c r="BE266" s="43">
        <f t="shared" si="814"/>
        <v>225</v>
      </c>
      <c r="BF266" s="44"/>
      <c r="BG266" s="45">
        <f t="shared" si="815"/>
        <v>0</v>
      </c>
      <c r="BH266" s="45">
        <f t="shared" si="816"/>
        <v>0</v>
      </c>
      <c r="BI266" s="45">
        <f t="shared" si="817"/>
        <v>0</v>
      </c>
      <c r="BJ266" s="46">
        <f t="shared" si="770"/>
        <v>0</v>
      </c>
      <c r="BK266" s="46">
        <f t="shared" si="771"/>
        <v>0</v>
      </c>
      <c r="BL266" s="46">
        <f t="shared" si="772"/>
        <v>225</v>
      </c>
    </row>
    <row r="267" spans="1:64" ht="30" customHeight="1" x14ac:dyDescent="0.25">
      <c r="A267" s="84" t="str">
        <f t="shared" si="794"/>
        <v>Д</v>
      </c>
      <c r="B267" s="84" t="str">
        <f t="shared" si="763"/>
        <v>Б</v>
      </c>
      <c r="C267" s="101" t="s">
        <v>1465</v>
      </c>
      <c r="D267" s="16" t="str">
        <f t="shared" si="764"/>
        <v>'02.03.02</v>
      </c>
      <c r="E267" s="17" t="str">
        <f t="shared" si="765"/>
        <v>Фундаментальная информатика и информационные технологии</v>
      </c>
      <c r="F267" s="9" t="s">
        <v>414</v>
      </c>
      <c r="G267" s="9" t="s">
        <v>22</v>
      </c>
      <c r="H267" s="10"/>
      <c r="I267" s="10"/>
      <c r="J267" s="24" t="s">
        <v>3202</v>
      </c>
      <c r="K267" s="11" t="s">
        <v>3229</v>
      </c>
      <c r="L267" s="11">
        <v>9</v>
      </c>
      <c r="M267" s="8" t="s">
        <v>187</v>
      </c>
      <c r="N267" s="11"/>
      <c r="O267" s="11"/>
      <c r="P267" s="11"/>
      <c r="Q267" s="8"/>
      <c r="R267" s="12"/>
      <c r="S267" s="12"/>
      <c r="T267" s="12"/>
      <c r="U267" s="12">
        <v>3</v>
      </c>
      <c r="V267" s="12"/>
      <c r="W267" s="83" t="str">
        <f t="shared" si="795"/>
        <v>НФИбд</v>
      </c>
      <c r="X267" s="110" t="s">
        <v>3238</v>
      </c>
      <c r="Y267" s="11">
        <v>3</v>
      </c>
      <c r="Z267" s="11">
        <v>2</v>
      </c>
      <c r="AA267" s="83">
        <f t="shared" si="766"/>
        <v>19</v>
      </c>
      <c r="AB267" s="11">
        <v>12</v>
      </c>
      <c r="AC267" s="11">
        <v>7</v>
      </c>
      <c r="AD267" s="81">
        <f t="shared" si="796"/>
        <v>1</v>
      </c>
      <c r="AE267" s="82">
        <f t="shared" si="767"/>
        <v>1</v>
      </c>
      <c r="AF267" s="82">
        <f t="shared" si="768"/>
        <v>19</v>
      </c>
      <c r="AG267" s="102" t="s">
        <v>3250</v>
      </c>
      <c r="AH267" s="113" t="s">
        <v>203</v>
      </c>
      <c r="AI267" s="113" t="s">
        <v>214</v>
      </c>
      <c r="AJ267" s="119" t="s">
        <v>3285</v>
      </c>
      <c r="AK267" s="8"/>
      <c r="AL267" s="42">
        <f t="shared" si="797"/>
        <v>0</v>
      </c>
      <c r="AM267" s="42">
        <f t="shared" si="804"/>
        <v>0</v>
      </c>
      <c r="AN267" s="42">
        <f t="shared" si="805"/>
        <v>0</v>
      </c>
      <c r="AO267" s="42">
        <f t="shared" si="769"/>
        <v>0</v>
      </c>
      <c r="AP267" s="42">
        <f t="shared" si="806"/>
        <v>0</v>
      </c>
      <c r="AQ267" s="42">
        <f t="shared" si="807"/>
        <v>0</v>
      </c>
      <c r="AR267" s="42">
        <f t="shared" si="798"/>
        <v>0</v>
      </c>
      <c r="AS267" s="42">
        <f t="shared" si="808"/>
        <v>0</v>
      </c>
      <c r="AT267" s="42">
        <f t="shared" si="809"/>
        <v>0</v>
      </c>
      <c r="AU267" s="42">
        <f t="shared" si="810"/>
        <v>0</v>
      </c>
      <c r="AV267" s="42">
        <f>IF(M267="ПП",РПП*AA267*(U267/1.5),IF(M267="ВП",ВПр*AA267*(U267/1.5),IF(M267="РПА",РПА*AA267*(U267/1.5),IF(M267="КПА",КПА*AA267*(U267/1.5),0))))</f>
        <v>57</v>
      </c>
      <c r="AW267" s="42">
        <f t="shared" si="811"/>
        <v>0</v>
      </c>
      <c r="AX267" s="42">
        <f t="shared" si="799"/>
        <v>0</v>
      </c>
      <c r="AY267" s="42">
        <f t="shared" si="800"/>
        <v>0</v>
      </c>
      <c r="AZ267" s="42">
        <f t="shared" si="812"/>
        <v>0</v>
      </c>
      <c r="BA267" s="42">
        <f t="shared" si="801"/>
        <v>0</v>
      </c>
      <c r="BB267" s="42">
        <f t="shared" si="802"/>
        <v>0</v>
      </c>
      <c r="BC267" s="42">
        <f t="shared" si="803"/>
        <v>0</v>
      </c>
      <c r="BD267" s="42">
        <f t="shared" si="813"/>
        <v>0</v>
      </c>
      <c r="BE267" s="43">
        <f t="shared" si="814"/>
        <v>57</v>
      </c>
      <c r="BF267" s="44"/>
      <c r="BG267" s="45">
        <f t="shared" si="815"/>
        <v>0</v>
      </c>
      <c r="BH267" s="45">
        <f t="shared" si="816"/>
        <v>0</v>
      </c>
      <c r="BI267" s="45">
        <f t="shared" si="817"/>
        <v>0</v>
      </c>
      <c r="BJ267" s="46">
        <f t="shared" si="770"/>
        <v>0</v>
      </c>
      <c r="BK267" s="46">
        <f t="shared" si="771"/>
        <v>0</v>
      </c>
      <c r="BL267" s="46">
        <f t="shared" si="772"/>
        <v>57</v>
      </c>
    </row>
    <row r="268" spans="1:64" ht="30" customHeight="1" x14ac:dyDescent="0.25">
      <c r="A268" s="84" t="str">
        <f t="shared" si="794"/>
        <v>Д</v>
      </c>
      <c r="B268" s="84" t="str">
        <f t="shared" si="763"/>
        <v>Б</v>
      </c>
      <c r="C268" s="101" t="s">
        <v>1465</v>
      </c>
      <c r="D268" s="16" t="str">
        <f t="shared" si="764"/>
        <v>'02.03.02</v>
      </c>
      <c r="E268" s="17" t="str">
        <f t="shared" si="765"/>
        <v>Фундаментальная информатика и информационные технологии</v>
      </c>
      <c r="F268" s="9" t="s">
        <v>498</v>
      </c>
      <c r="G268" s="9" t="s">
        <v>42</v>
      </c>
      <c r="H268" s="10"/>
      <c r="I268" s="10"/>
      <c r="J268" s="24" t="s">
        <v>3203</v>
      </c>
      <c r="K268" s="11" t="s">
        <v>3229</v>
      </c>
      <c r="L268" s="11">
        <v>9</v>
      </c>
      <c r="M268" s="8" t="s">
        <v>96</v>
      </c>
      <c r="N268" s="11"/>
      <c r="O268" s="11"/>
      <c r="P268" s="11"/>
      <c r="Q268" s="8" t="s">
        <v>99</v>
      </c>
      <c r="R268" s="11"/>
      <c r="S268" s="11"/>
      <c r="T268" s="23"/>
      <c r="U268" s="11"/>
      <c r="V268" s="11"/>
      <c r="W268" s="83" t="str">
        <f t="shared" si="795"/>
        <v>НФИбд</v>
      </c>
      <c r="X268" s="110" t="s">
        <v>3238</v>
      </c>
      <c r="Y268" s="11">
        <v>3</v>
      </c>
      <c r="Z268" s="11">
        <v>2</v>
      </c>
      <c r="AA268" s="83">
        <f t="shared" si="766"/>
        <v>19</v>
      </c>
      <c r="AB268" s="11">
        <v>12</v>
      </c>
      <c r="AC268" s="11">
        <v>7</v>
      </c>
      <c r="AD268" s="81">
        <f t="shared" si="796"/>
        <v>1</v>
      </c>
      <c r="AE268" s="82">
        <f t="shared" si="767"/>
        <v>1</v>
      </c>
      <c r="AF268" s="82">
        <f t="shared" si="768"/>
        <v>19</v>
      </c>
      <c r="AG268" s="102" t="s">
        <v>3250</v>
      </c>
      <c r="AH268" s="113" t="s">
        <v>204</v>
      </c>
      <c r="AI268" s="113" t="s">
        <v>212</v>
      </c>
      <c r="AJ268" s="119" t="s">
        <v>3252</v>
      </c>
      <c r="AK268" s="8"/>
      <c r="AL268" s="42">
        <f t="shared" si="797"/>
        <v>0</v>
      </c>
      <c r="AM268" s="42">
        <f t="shared" si="804"/>
        <v>0</v>
      </c>
      <c r="AN268" s="42">
        <f t="shared" si="805"/>
        <v>0</v>
      </c>
      <c r="AO268" s="42">
        <f t="shared" si="769"/>
        <v>0</v>
      </c>
      <c r="AP268" s="42">
        <f t="shared" si="806"/>
        <v>0</v>
      </c>
      <c r="AQ268" s="42">
        <f t="shared" si="807"/>
        <v>0</v>
      </c>
      <c r="AR268" s="42">
        <f t="shared" si="798"/>
        <v>0</v>
      </c>
      <c r="AS268" s="42">
        <f t="shared" si="808"/>
        <v>0</v>
      </c>
      <c r="AT268" s="42">
        <f t="shared" si="809"/>
        <v>0</v>
      </c>
      <c r="AU268" s="42">
        <f t="shared" si="810"/>
        <v>0</v>
      </c>
      <c r="AV268" s="42">
        <f>IF(M268="ПП",РПП*AA268*(U268/1.5),IF(M268="ВП",ВПр*AA268*(U268/1.5),IF(M268="РПА",РПА*AA268*(U268/1.5),IF(M268="КПА",КПА*AA268*(U268/1.5),0))))</f>
        <v>0</v>
      </c>
      <c r="AW268" s="42">
        <f t="shared" si="811"/>
        <v>0</v>
      </c>
      <c r="AX268" s="42">
        <f t="shared" si="799"/>
        <v>0</v>
      </c>
      <c r="AY268" s="42">
        <f t="shared" si="800"/>
        <v>0</v>
      </c>
      <c r="AZ268" s="42">
        <f t="shared" si="812"/>
        <v>0</v>
      </c>
      <c r="BA268" s="42">
        <f t="shared" si="801"/>
        <v>0</v>
      </c>
      <c r="BB268" s="42">
        <f t="shared" si="802"/>
        <v>450</v>
      </c>
      <c r="BC268" s="42">
        <f t="shared" si="803"/>
        <v>0</v>
      </c>
      <c r="BD268" s="42">
        <f t="shared" si="813"/>
        <v>0</v>
      </c>
      <c r="BE268" s="43">
        <f t="shared" si="814"/>
        <v>450</v>
      </c>
      <c r="BF268" s="44"/>
      <c r="BG268" s="45">
        <f t="shared" si="815"/>
        <v>0</v>
      </c>
      <c r="BH268" s="45">
        <f t="shared" si="816"/>
        <v>0</v>
      </c>
      <c r="BI268" s="45">
        <f t="shared" si="817"/>
        <v>0</v>
      </c>
      <c r="BJ268" s="46">
        <f t="shared" si="770"/>
        <v>0</v>
      </c>
      <c r="BK268" s="46">
        <f t="shared" si="771"/>
        <v>0</v>
      </c>
      <c r="BL268" s="46">
        <f t="shared" si="772"/>
        <v>450</v>
      </c>
    </row>
    <row r="269" spans="1:64" ht="30" customHeight="1" x14ac:dyDescent="0.25">
      <c r="A269" s="84" t="str">
        <f t="shared" si="794"/>
        <v>Д</v>
      </c>
      <c r="B269" s="84" t="str">
        <f t="shared" si="763"/>
        <v>Б</v>
      </c>
      <c r="C269" s="101" t="s">
        <v>1465</v>
      </c>
      <c r="D269" s="16" t="str">
        <f t="shared" si="764"/>
        <v>'02.03.02</v>
      </c>
      <c r="E269" s="17" t="str">
        <f t="shared" si="765"/>
        <v>Фундаментальная информатика и информационные технологии</v>
      </c>
      <c r="F269" s="9" t="s">
        <v>498</v>
      </c>
      <c r="G269" s="9" t="s">
        <v>42</v>
      </c>
      <c r="H269" s="10"/>
      <c r="I269" s="10"/>
      <c r="J269" s="24" t="s">
        <v>73</v>
      </c>
      <c r="K269" s="12" t="s">
        <v>3229</v>
      </c>
      <c r="L269" s="11">
        <v>9</v>
      </c>
      <c r="M269" s="8" t="s">
        <v>27</v>
      </c>
      <c r="N269" s="12"/>
      <c r="O269" s="12"/>
      <c r="P269" s="12"/>
      <c r="Q269" s="8" t="s">
        <v>99</v>
      </c>
      <c r="R269" s="11"/>
      <c r="S269" s="11"/>
      <c r="T269" s="23"/>
      <c r="U269" s="11"/>
      <c r="V269" s="11"/>
      <c r="W269" s="83" t="str">
        <f t="shared" si="795"/>
        <v>НФИбд</v>
      </c>
      <c r="X269" s="110" t="s">
        <v>3238</v>
      </c>
      <c r="Y269" s="11">
        <v>3</v>
      </c>
      <c r="Z269" s="11">
        <v>2</v>
      </c>
      <c r="AA269" s="83">
        <f t="shared" si="766"/>
        <v>19</v>
      </c>
      <c r="AB269" s="11">
        <v>12</v>
      </c>
      <c r="AC269" s="11">
        <v>7</v>
      </c>
      <c r="AD269" s="81">
        <f t="shared" si="796"/>
        <v>1</v>
      </c>
      <c r="AE269" s="82">
        <f t="shared" si="767"/>
        <v>1</v>
      </c>
      <c r="AF269" s="82">
        <f t="shared" si="768"/>
        <v>19</v>
      </c>
      <c r="AG269" s="102" t="s">
        <v>3250</v>
      </c>
      <c r="AH269" s="113" t="s">
        <v>204</v>
      </c>
      <c r="AI269" s="113" t="s">
        <v>212</v>
      </c>
      <c r="AJ269" s="119" t="s">
        <v>3254</v>
      </c>
      <c r="AK269" s="8"/>
      <c r="AL269" s="42">
        <f t="shared" si="797"/>
        <v>0</v>
      </c>
      <c r="AM269" s="42">
        <f t="shared" si="804"/>
        <v>0</v>
      </c>
      <c r="AN269" s="42">
        <f t="shared" si="805"/>
        <v>0</v>
      </c>
      <c r="AO269" s="42">
        <f t="shared" si="769"/>
        <v>0</v>
      </c>
      <c r="AP269" s="42">
        <f t="shared" si="806"/>
        <v>0</v>
      </c>
      <c r="AQ269" s="42">
        <f t="shared" si="807"/>
        <v>0</v>
      </c>
      <c r="AR269" s="42">
        <f t="shared" si="798"/>
        <v>0</v>
      </c>
      <c r="AS269" s="42">
        <f t="shared" si="808"/>
        <v>0</v>
      </c>
      <c r="AT269" s="42">
        <f t="shared" si="809"/>
        <v>0</v>
      </c>
      <c r="AU269" s="42">
        <f t="shared" si="810"/>
        <v>0</v>
      </c>
      <c r="AV269" s="42">
        <f>IF(M269="ПП",РПП*AA269*(U269/1.5),IF(M269="ВП",ВПр*AA269*(U269/1.5),IF(M269="РПА",РПА*AA269*(U269/1.5),IF(M269="КПА",КПА*AA269*(U269/1.5),0))))</f>
        <v>0</v>
      </c>
      <c r="AW269" s="42">
        <f t="shared" si="811"/>
        <v>0</v>
      </c>
      <c r="AX269" s="42">
        <f t="shared" si="799"/>
        <v>0</v>
      </c>
      <c r="AY269" s="42">
        <f t="shared" si="800"/>
        <v>0</v>
      </c>
      <c r="AZ269" s="42">
        <f t="shared" si="812"/>
        <v>0</v>
      </c>
      <c r="BA269" s="42">
        <f t="shared" si="801"/>
        <v>0</v>
      </c>
      <c r="BB269" s="42">
        <f t="shared" si="802"/>
        <v>0</v>
      </c>
      <c r="BC269" s="42">
        <f t="shared" si="803"/>
        <v>38</v>
      </c>
      <c r="BD269" s="42">
        <f t="shared" si="813"/>
        <v>0</v>
      </c>
      <c r="BE269" s="43">
        <f t="shared" si="814"/>
        <v>38</v>
      </c>
      <c r="BF269" s="44"/>
      <c r="BG269" s="45">
        <f t="shared" si="815"/>
        <v>0</v>
      </c>
      <c r="BH269" s="45">
        <f t="shared" si="816"/>
        <v>0</v>
      </c>
      <c r="BI269" s="45">
        <f t="shared" si="817"/>
        <v>0</v>
      </c>
      <c r="BJ269" s="46">
        <f t="shared" si="770"/>
        <v>0</v>
      </c>
      <c r="BK269" s="46">
        <f t="shared" si="771"/>
        <v>0</v>
      </c>
      <c r="BL269" s="46">
        <f t="shared" si="772"/>
        <v>38</v>
      </c>
    </row>
    <row r="270" spans="1:64" ht="30" customHeight="1" x14ac:dyDescent="0.25">
      <c r="A270" s="84" t="str">
        <f t="shared" si="794"/>
        <v>Д</v>
      </c>
      <c r="B270" s="84" t="str">
        <f t="shared" si="763"/>
        <v>Б</v>
      </c>
      <c r="C270" s="101" t="s">
        <v>1465</v>
      </c>
      <c r="D270" s="16" t="str">
        <f t="shared" si="764"/>
        <v>'02.03.02</v>
      </c>
      <c r="E270" s="17" t="str">
        <f t="shared" si="765"/>
        <v>Фундаментальная информатика и информационные технологии</v>
      </c>
      <c r="F270" s="9" t="s">
        <v>498</v>
      </c>
      <c r="G270" s="9" t="s">
        <v>42</v>
      </c>
      <c r="H270" s="10"/>
      <c r="I270" s="10"/>
      <c r="J270" s="24" t="s">
        <v>20</v>
      </c>
      <c r="K270" s="11" t="s">
        <v>3229</v>
      </c>
      <c r="L270" s="11">
        <v>9</v>
      </c>
      <c r="M270" s="8" t="s">
        <v>11</v>
      </c>
      <c r="N270" s="11"/>
      <c r="O270" s="11"/>
      <c r="P270" s="11"/>
      <c r="Q270" s="8" t="s">
        <v>97</v>
      </c>
      <c r="R270" s="11"/>
      <c r="S270" s="11"/>
      <c r="T270" s="11"/>
      <c r="U270" s="11"/>
      <c r="V270" s="11"/>
      <c r="W270" s="83" t="str">
        <f t="shared" si="795"/>
        <v>НФИбд</v>
      </c>
      <c r="X270" s="110" t="s">
        <v>3238</v>
      </c>
      <c r="Y270" s="11">
        <v>3</v>
      </c>
      <c r="Z270" s="11">
        <v>2</v>
      </c>
      <c r="AA270" s="83">
        <f t="shared" si="766"/>
        <v>0</v>
      </c>
      <c r="AB270" s="11"/>
      <c r="AC270" s="11"/>
      <c r="AD270" s="81">
        <f t="shared" si="796"/>
        <v>1</v>
      </c>
      <c r="AE270" s="82">
        <f t="shared" si="767"/>
        <v>0</v>
      </c>
      <c r="AF270" s="82">
        <f t="shared" si="768"/>
        <v>0</v>
      </c>
      <c r="AG270" s="102" t="s">
        <v>3250</v>
      </c>
      <c r="AH270" s="113" t="s">
        <v>447</v>
      </c>
      <c r="AI270" s="113"/>
      <c r="AJ270" s="119" t="s">
        <v>412</v>
      </c>
      <c r="AK270" s="8"/>
      <c r="AL270" s="42">
        <f t="shared" si="797"/>
        <v>0</v>
      </c>
      <c r="AM270" s="42">
        <f t="shared" si="804"/>
        <v>0</v>
      </c>
      <c r="AN270" s="42">
        <f t="shared" si="805"/>
        <v>0</v>
      </c>
      <c r="AO270" s="42">
        <f t="shared" si="769"/>
        <v>0</v>
      </c>
      <c r="AP270" s="42">
        <f t="shared" si="806"/>
        <v>0</v>
      </c>
      <c r="AQ270" s="42">
        <f t="shared" si="807"/>
        <v>0</v>
      </c>
      <c r="AR270" s="42">
        <f t="shared" si="798"/>
        <v>0</v>
      </c>
      <c r="AS270" s="42">
        <f t="shared" si="808"/>
        <v>0</v>
      </c>
      <c r="AT270" s="42">
        <f t="shared" si="809"/>
        <v>0</v>
      </c>
      <c r="AU270" s="42">
        <f t="shared" si="810"/>
        <v>0</v>
      </c>
      <c r="AV270" s="42">
        <f>IF(M270="ПП",РПП*AA270*(U270/1.5),IF(M270="ВП",ВПр*AA270*(U270/1.5),IF(M270="РПА",РПА*AA270*(U270/1.5),IF(M270="КПА",КПА*AA270*(U270/1.5),0))))</f>
        <v>0</v>
      </c>
      <c r="AW270" s="42">
        <f t="shared" si="811"/>
        <v>0</v>
      </c>
      <c r="AX270" s="42">
        <f t="shared" si="799"/>
        <v>0</v>
      </c>
      <c r="AY270" s="42">
        <f t="shared" si="800"/>
        <v>0</v>
      </c>
      <c r="AZ270" s="42">
        <f t="shared" si="812"/>
        <v>0</v>
      </c>
      <c r="BA270" s="42">
        <f t="shared" si="801"/>
        <v>0</v>
      </c>
      <c r="BB270" s="42">
        <f t="shared" si="802"/>
        <v>0</v>
      </c>
      <c r="BC270" s="42">
        <f t="shared" si="803"/>
        <v>0</v>
      </c>
      <c r="BD270" s="42">
        <f t="shared" si="813"/>
        <v>0</v>
      </c>
      <c r="BE270" s="43">
        <f t="shared" si="814"/>
        <v>0</v>
      </c>
      <c r="BF270" s="44"/>
      <c r="BG270" s="45">
        <f t="shared" si="815"/>
        <v>0</v>
      </c>
      <c r="BH270" s="45">
        <f t="shared" si="816"/>
        <v>0</v>
      </c>
      <c r="BI270" s="45">
        <f t="shared" si="817"/>
        <v>0</v>
      </c>
      <c r="BJ270" s="46">
        <f t="shared" si="770"/>
        <v>0</v>
      </c>
      <c r="BK270" s="46">
        <f t="shared" si="771"/>
        <v>0</v>
      </c>
      <c r="BL270" s="46">
        <f t="shared" si="772"/>
        <v>0</v>
      </c>
    </row>
    <row r="271" spans="1:64" ht="30" customHeight="1" x14ac:dyDescent="0.25">
      <c r="A271" s="84" t="str">
        <f t="shared" si="794"/>
        <v>Д</v>
      </c>
      <c r="B271" s="84" t="str">
        <f t="shared" si="763"/>
        <v>Б</v>
      </c>
      <c r="C271" s="101" t="s">
        <v>1465</v>
      </c>
      <c r="D271" s="16" t="str">
        <f t="shared" si="764"/>
        <v>'02.03.02</v>
      </c>
      <c r="E271" s="17" t="str">
        <f t="shared" si="765"/>
        <v>Фундаментальная информатика и информационные технологии</v>
      </c>
      <c r="F271" s="9" t="s">
        <v>498</v>
      </c>
      <c r="G271" s="9" t="s">
        <v>42</v>
      </c>
      <c r="H271" s="10"/>
      <c r="I271" s="10"/>
      <c r="J271" s="24" t="s">
        <v>20</v>
      </c>
      <c r="K271" s="11" t="s">
        <v>3229</v>
      </c>
      <c r="L271" s="11">
        <v>9</v>
      </c>
      <c r="M271" s="8" t="s">
        <v>11</v>
      </c>
      <c r="N271" s="11"/>
      <c r="O271" s="11"/>
      <c r="P271" s="11"/>
      <c r="Q271" s="8" t="s">
        <v>99</v>
      </c>
      <c r="R271" s="11"/>
      <c r="S271" s="11"/>
      <c r="T271" s="11"/>
      <c r="U271" s="11"/>
      <c r="V271" s="11"/>
      <c r="W271" s="83" t="str">
        <f t="shared" si="795"/>
        <v>НФИбд</v>
      </c>
      <c r="X271" s="110" t="s">
        <v>3238</v>
      </c>
      <c r="Y271" s="11">
        <v>3</v>
      </c>
      <c r="Z271" s="11">
        <v>2</v>
      </c>
      <c r="AA271" s="83">
        <f t="shared" si="766"/>
        <v>0</v>
      </c>
      <c r="AB271" s="11"/>
      <c r="AC271" s="11"/>
      <c r="AD271" s="81">
        <f t="shared" si="796"/>
        <v>1</v>
      </c>
      <c r="AE271" s="82">
        <f t="shared" si="767"/>
        <v>0</v>
      </c>
      <c r="AF271" s="82">
        <f t="shared" si="768"/>
        <v>0</v>
      </c>
      <c r="AG271" s="102" t="s">
        <v>3250</v>
      </c>
      <c r="AH271" s="113" t="s">
        <v>447</v>
      </c>
      <c r="AI271" s="113"/>
      <c r="AJ271" s="119" t="s">
        <v>412</v>
      </c>
      <c r="AK271" s="8"/>
      <c r="AL271" s="42">
        <f t="shared" si="797"/>
        <v>0</v>
      </c>
      <c r="AM271" s="42">
        <f t="shared" si="804"/>
        <v>0</v>
      </c>
      <c r="AN271" s="42">
        <f t="shared" si="805"/>
        <v>0</v>
      </c>
      <c r="AO271" s="42">
        <f t="shared" si="769"/>
        <v>0</v>
      </c>
      <c r="AP271" s="42">
        <f t="shared" si="806"/>
        <v>0</v>
      </c>
      <c r="AQ271" s="42">
        <f t="shared" si="807"/>
        <v>0</v>
      </c>
      <c r="AR271" s="42">
        <f t="shared" si="798"/>
        <v>0</v>
      </c>
      <c r="AS271" s="42">
        <f t="shared" si="808"/>
        <v>0</v>
      </c>
      <c r="AT271" s="42">
        <f t="shared" si="809"/>
        <v>0</v>
      </c>
      <c r="AU271" s="42">
        <f t="shared" si="810"/>
        <v>0</v>
      </c>
      <c r="AV271" s="42">
        <f>IF(M271="ПП",РПП*AA271*(U271/1.5),IF(M271="ВП",ВПр*AA271*(U271/1.5),IF(M271="РПА",РПА*AA271*(U271/1.5),IF(M271="КПА",КПА*AA271*(U271/1.5),0))))</f>
        <v>0</v>
      </c>
      <c r="AW271" s="42">
        <f t="shared" si="811"/>
        <v>0</v>
      </c>
      <c r="AX271" s="42">
        <f t="shared" si="799"/>
        <v>0</v>
      </c>
      <c r="AY271" s="42">
        <f t="shared" si="800"/>
        <v>0</v>
      </c>
      <c r="AZ271" s="42">
        <f t="shared" si="812"/>
        <v>0</v>
      </c>
      <c r="BA271" s="42">
        <f t="shared" si="801"/>
        <v>0</v>
      </c>
      <c r="BB271" s="42">
        <f t="shared" si="802"/>
        <v>0</v>
      </c>
      <c r="BC271" s="42">
        <f t="shared" si="803"/>
        <v>0</v>
      </c>
      <c r="BD271" s="42">
        <f t="shared" si="813"/>
        <v>0</v>
      </c>
      <c r="BE271" s="43">
        <f t="shared" si="814"/>
        <v>0</v>
      </c>
      <c r="BF271" s="44"/>
      <c r="BG271" s="45">
        <f t="shared" si="815"/>
        <v>0</v>
      </c>
      <c r="BH271" s="45">
        <f t="shared" si="816"/>
        <v>0</v>
      </c>
      <c r="BI271" s="45">
        <f t="shared" si="817"/>
        <v>0</v>
      </c>
      <c r="BJ271" s="46">
        <f t="shared" si="770"/>
        <v>0</v>
      </c>
      <c r="BK271" s="46">
        <f t="shared" si="771"/>
        <v>0</v>
      </c>
      <c r="BL271" s="46">
        <f t="shared" si="772"/>
        <v>0</v>
      </c>
    </row>
    <row r="272" spans="1:64" ht="30" customHeight="1" x14ac:dyDescent="0.25">
      <c r="A272" s="84" t="str">
        <f t="shared" si="794"/>
        <v>Д</v>
      </c>
      <c r="B272" s="84" t="str">
        <f t="shared" si="763"/>
        <v>Б</v>
      </c>
      <c r="C272" s="101" t="s">
        <v>1465</v>
      </c>
      <c r="D272" s="16" t="str">
        <f t="shared" si="764"/>
        <v>'02.03.02</v>
      </c>
      <c r="E272" s="17" t="str">
        <f t="shared" si="765"/>
        <v>Фундаментальная информатика и информационные технологии</v>
      </c>
      <c r="F272" s="9" t="s">
        <v>413</v>
      </c>
      <c r="G272" s="9" t="s">
        <v>22</v>
      </c>
      <c r="H272" s="10" t="s">
        <v>3233</v>
      </c>
      <c r="I272" s="10"/>
      <c r="J272" s="24" t="s">
        <v>3222</v>
      </c>
      <c r="K272" s="11">
        <v>5</v>
      </c>
      <c r="L272" s="11">
        <v>18</v>
      </c>
      <c r="M272" s="8" t="s">
        <v>23</v>
      </c>
      <c r="N272" s="11">
        <v>1</v>
      </c>
      <c r="O272" s="11"/>
      <c r="P272" s="11"/>
      <c r="Q272" s="8"/>
      <c r="R272" s="11"/>
      <c r="S272" s="11"/>
      <c r="T272" s="23"/>
      <c r="U272" s="11"/>
      <c r="V272" s="11"/>
      <c r="W272" s="83" t="str">
        <f t="shared" si="795"/>
        <v>НФИбд</v>
      </c>
      <c r="X272" s="110" t="s">
        <v>3272</v>
      </c>
      <c r="Y272" s="11">
        <v>4</v>
      </c>
      <c r="Z272" s="11">
        <v>2</v>
      </c>
      <c r="AA272" s="83">
        <f t="shared" si="766"/>
        <v>60</v>
      </c>
      <c r="AB272" s="11">
        <v>39</v>
      </c>
      <c r="AC272" s="11">
        <v>21</v>
      </c>
      <c r="AD272" s="81">
        <f t="shared" si="796"/>
        <v>60</v>
      </c>
      <c r="AE272" s="82">
        <f t="shared" si="767"/>
        <v>1</v>
      </c>
      <c r="AF272" s="82">
        <f t="shared" si="768"/>
        <v>1</v>
      </c>
      <c r="AG272" s="102" t="s">
        <v>3250</v>
      </c>
      <c r="AH272" s="113" t="s">
        <v>204</v>
      </c>
      <c r="AI272" s="113" t="s">
        <v>212</v>
      </c>
      <c r="AJ272" s="119" t="s">
        <v>3261</v>
      </c>
      <c r="AK272" s="8"/>
      <c r="AL272" s="42">
        <f t="shared" si="797"/>
        <v>18</v>
      </c>
      <c r="AM272" s="42">
        <f t="shared" si="804"/>
        <v>0</v>
      </c>
      <c r="AN272" s="42">
        <f t="shared" si="805"/>
        <v>0</v>
      </c>
      <c r="AO272" s="42">
        <f t="shared" si="769"/>
        <v>0</v>
      </c>
      <c r="AP272" s="42">
        <f t="shared" si="806"/>
        <v>0</v>
      </c>
      <c r="AQ272" s="42">
        <f t="shared" si="807"/>
        <v>0</v>
      </c>
      <c r="AR272" s="42">
        <f t="shared" si="798"/>
        <v>1.8</v>
      </c>
      <c r="AS272" s="42">
        <f t="shared" si="808"/>
        <v>0</v>
      </c>
      <c r="AT272" s="42">
        <f t="shared" si="809"/>
        <v>0</v>
      </c>
      <c r="AU272" s="42">
        <f t="shared" si="810"/>
        <v>0</v>
      </c>
      <c r="AV272" s="42">
        <f>IF(M272="ПП",РПП*AA272*(U272/1.5),IF(M272="ВП",ВПр*AA272*(U272/1.5),IF(M272="РПА",РПА*AA272*(U272/1.5),IF(M272="КПА",КПА*AA272*(U272/1.5),0))))</f>
        <v>0</v>
      </c>
      <c r="AW272" s="42">
        <f t="shared" si="811"/>
        <v>0</v>
      </c>
      <c r="AX272" s="42">
        <f t="shared" si="799"/>
        <v>0</v>
      </c>
      <c r="AY272" s="42">
        <f t="shared" si="800"/>
        <v>0</v>
      </c>
      <c r="AZ272" s="42">
        <f t="shared" si="812"/>
        <v>0</v>
      </c>
      <c r="BA272" s="42">
        <f t="shared" si="801"/>
        <v>0</v>
      </c>
      <c r="BB272" s="42">
        <f t="shared" si="802"/>
        <v>0</v>
      </c>
      <c r="BC272" s="42">
        <f t="shared" si="803"/>
        <v>0</v>
      </c>
      <c r="BD272" s="42">
        <f t="shared" si="813"/>
        <v>0</v>
      </c>
      <c r="BE272" s="43">
        <f t="shared" si="814"/>
        <v>19.8</v>
      </c>
      <c r="BF272" s="44"/>
      <c r="BG272" s="45">
        <f t="shared" si="815"/>
        <v>18</v>
      </c>
      <c r="BH272" s="45">
        <f t="shared" si="816"/>
        <v>0.5</v>
      </c>
      <c r="BI272" s="45">
        <f t="shared" si="817"/>
        <v>1.8</v>
      </c>
      <c r="BJ272" s="46">
        <f t="shared" si="770"/>
        <v>0</v>
      </c>
      <c r="BK272" s="46">
        <f t="shared" si="771"/>
        <v>0</v>
      </c>
      <c r="BL272" s="46">
        <f t="shared" si="772"/>
        <v>0</v>
      </c>
    </row>
    <row r="273" spans="1:64" ht="30" customHeight="1" x14ac:dyDescent="0.25">
      <c r="A273" s="84" t="str">
        <f t="shared" si="794"/>
        <v>Д</v>
      </c>
      <c r="B273" s="84" t="str">
        <f t="shared" si="763"/>
        <v>Б</v>
      </c>
      <c r="C273" s="101" t="s">
        <v>1465</v>
      </c>
      <c r="D273" s="16" t="str">
        <f t="shared" si="764"/>
        <v>'02.03.02</v>
      </c>
      <c r="E273" s="17" t="str">
        <f t="shared" si="765"/>
        <v>Фундаментальная информатика и информационные технологии</v>
      </c>
      <c r="F273" s="9" t="s">
        <v>413</v>
      </c>
      <c r="G273" s="9" t="s">
        <v>22</v>
      </c>
      <c r="H273" s="10" t="s">
        <v>3233</v>
      </c>
      <c r="I273" s="10"/>
      <c r="J273" s="24" t="s">
        <v>3222</v>
      </c>
      <c r="K273" s="11">
        <v>5</v>
      </c>
      <c r="L273" s="11">
        <v>18</v>
      </c>
      <c r="M273" s="8" t="s">
        <v>94</v>
      </c>
      <c r="N273" s="12"/>
      <c r="O273" s="12">
        <v>1</v>
      </c>
      <c r="P273" s="12"/>
      <c r="Q273" s="8" t="s">
        <v>102</v>
      </c>
      <c r="R273" s="11"/>
      <c r="S273" s="11"/>
      <c r="T273" s="23"/>
      <c r="U273" s="11"/>
      <c r="V273" s="11"/>
      <c r="W273" s="83" t="str">
        <f t="shared" si="795"/>
        <v>НФИбд</v>
      </c>
      <c r="X273" s="110" t="s">
        <v>3241</v>
      </c>
      <c r="Y273" s="11">
        <v>1</v>
      </c>
      <c r="Z273" s="11">
        <v>1</v>
      </c>
      <c r="AA273" s="83">
        <f t="shared" si="766"/>
        <v>16</v>
      </c>
      <c r="AB273" s="11">
        <v>10</v>
      </c>
      <c r="AC273" s="11">
        <v>6</v>
      </c>
      <c r="AD273" s="81">
        <f t="shared" si="796"/>
        <v>12</v>
      </c>
      <c r="AE273" s="82">
        <f t="shared" si="767"/>
        <v>1</v>
      </c>
      <c r="AF273" s="82">
        <f t="shared" si="768"/>
        <v>1.3333333333333333</v>
      </c>
      <c r="AG273" s="102" t="s">
        <v>3250</v>
      </c>
      <c r="AH273" s="113" t="s">
        <v>203</v>
      </c>
      <c r="AI273" s="113" t="s">
        <v>213</v>
      </c>
      <c r="AJ273" s="120" t="s">
        <v>3264</v>
      </c>
      <c r="AK273" s="8"/>
      <c r="AL273" s="42">
        <f t="shared" si="797"/>
        <v>0</v>
      </c>
      <c r="AM273" s="42">
        <f t="shared" si="804"/>
        <v>0</v>
      </c>
      <c r="AN273" s="42">
        <f t="shared" si="805"/>
        <v>18</v>
      </c>
      <c r="AO273" s="42">
        <f t="shared" si="769"/>
        <v>5.28</v>
      </c>
      <c r="AP273" s="42">
        <f t="shared" si="806"/>
        <v>8</v>
      </c>
      <c r="AQ273" s="42">
        <f t="shared" si="807"/>
        <v>1</v>
      </c>
      <c r="AR273" s="42">
        <f t="shared" si="798"/>
        <v>0</v>
      </c>
      <c r="AS273" s="42">
        <f t="shared" si="808"/>
        <v>0</v>
      </c>
      <c r="AT273" s="42">
        <f t="shared" si="809"/>
        <v>0</v>
      </c>
      <c r="AU273" s="42">
        <f t="shared" si="810"/>
        <v>0</v>
      </c>
      <c r="AV273" s="42">
        <f>IF(M273="ПП",РПП*AA273*(U273/1.5),IF(M273="ВП",ВПр*AA273*(U273/1.5),IF(M273="РПА",РПА*AA273*(U273/1.5),IF(M273="КПА",КПА*AA273*(U273/1.5),0))))</f>
        <v>0</v>
      </c>
      <c r="AW273" s="42">
        <f t="shared" si="811"/>
        <v>0</v>
      </c>
      <c r="AX273" s="42">
        <f t="shared" si="799"/>
        <v>0</v>
      </c>
      <c r="AY273" s="42">
        <f t="shared" si="800"/>
        <v>0</v>
      </c>
      <c r="AZ273" s="42">
        <f t="shared" si="812"/>
        <v>0</v>
      </c>
      <c r="BA273" s="42">
        <f t="shared" si="801"/>
        <v>0</v>
      </c>
      <c r="BB273" s="42">
        <f t="shared" si="802"/>
        <v>0</v>
      </c>
      <c r="BC273" s="42">
        <f t="shared" si="803"/>
        <v>0</v>
      </c>
      <c r="BD273" s="42">
        <f t="shared" si="813"/>
        <v>0</v>
      </c>
      <c r="BE273" s="43">
        <f t="shared" si="814"/>
        <v>32.28</v>
      </c>
      <c r="BF273" s="44"/>
      <c r="BG273" s="45">
        <f t="shared" si="815"/>
        <v>18</v>
      </c>
      <c r="BH273" s="45">
        <f t="shared" si="816"/>
        <v>0.5</v>
      </c>
      <c r="BI273" s="45">
        <f t="shared" si="817"/>
        <v>14.280000000000001</v>
      </c>
      <c r="BJ273" s="46">
        <f t="shared" si="770"/>
        <v>0</v>
      </c>
      <c r="BK273" s="46">
        <f t="shared" si="771"/>
        <v>0</v>
      </c>
      <c r="BL273" s="46">
        <f t="shared" si="772"/>
        <v>0</v>
      </c>
    </row>
    <row r="274" spans="1:64" ht="30" customHeight="1" x14ac:dyDescent="0.25">
      <c r="A274" s="84" t="str">
        <f t="shared" si="794"/>
        <v>Д</v>
      </c>
      <c r="B274" s="84" t="str">
        <f t="shared" si="763"/>
        <v>Б</v>
      </c>
      <c r="C274" s="101" t="s">
        <v>1465</v>
      </c>
      <c r="D274" s="16" t="str">
        <f t="shared" si="764"/>
        <v>'02.03.02</v>
      </c>
      <c r="E274" s="17" t="str">
        <f t="shared" si="765"/>
        <v>Фундаментальная информатика и информационные технологии</v>
      </c>
      <c r="F274" s="9" t="s">
        <v>413</v>
      </c>
      <c r="G274" s="9" t="s">
        <v>22</v>
      </c>
      <c r="H274" s="10" t="s">
        <v>3233</v>
      </c>
      <c r="I274" s="10"/>
      <c r="J274" s="24" t="s">
        <v>3222</v>
      </c>
      <c r="K274" s="11">
        <v>5</v>
      </c>
      <c r="L274" s="11">
        <v>18</v>
      </c>
      <c r="M274" s="8" t="s">
        <v>94</v>
      </c>
      <c r="N274" s="11"/>
      <c r="O274" s="12">
        <v>1</v>
      </c>
      <c r="P274" s="11"/>
      <c r="Q274" s="8" t="s">
        <v>102</v>
      </c>
      <c r="R274" s="11"/>
      <c r="S274" s="11"/>
      <c r="T274" s="11"/>
      <c r="U274" s="11"/>
      <c r="V274" s="11"/>
      <c r="W274" s="83" t="str">
        <f t="shared" si="795"/>
        <v>НФИбд</v>
      </c>
      <c r="X274" s="110" t="s">
        <v>3241</v>
      </c>
      <c r="Y274" s="11">
        <v>1</v>
      </c>
      <c r="Z274" s="11"/>
      <c r="AA274" s="83">
        <f t="shared" si="766"/>
        <v>15</v>
      </c>
      <c r="AB274" s="11">
        <v>10</v>
      </c>
      <c r="AC274" s="11">
        <v>5</v>
      </c>
      <c r="AD274" s="81">
        <f t="shared" si="796"/>
        <v>12</v>
      </c>
      <c r="AE274" s="82">
        <f t="shared" si="767"/>
        <v>1</v>
      </c>
      <c r="AF274" s="82">
        <f t="shared" si="768"/>
        <v>1.25</v>
      </c>
      <c r="AG274" s="102" t="s">
        <v>3250</v>
      </c>
      <c r="AH274" s="113" t="s">
        <v>203</v>
      </c>
      <c r="AI274" s="113" t="s">
        <v>213</v>
      </c>
      <c r="AJ274" s="120" t="s">
        <v>3264</v>
      </c>
      <c r="AK274" s="8"/>
      <c r="AL274" s="42">
        <f t="shared" si="797"/>
        <v>0</v>
      </c>
      <c r="AM274" s="42">
        <f t="shared" si="804"/>
        <v>0</v>
      </c>
      <c r="AN274" s="42">
        <f t="shared" si="805"/>
        <v>18</v>
      </c>
      <c r="AO274" s="42">
        <f t="shared" si="769"/>
        <v>4.95</v>
      </c>
      <c r="AP274" s="42">
        <f t="shared" si="806"/>
        <v>7.5</v>
      </c>
      <c r="AQ274" s="42">
        <f t="shared" si="807"/>
        <v>0</v>
      </c>
      <c r="AR274" s="42">
        <f t="shared" si="798"/>
        <v>0</v>
      </c>
      <c r="AS274" s="42">
        <f t="shared" si="808"/>
        <v>0</v>
      </c>
      <c r="AT274" s="42">
        <f t="shared" si="809"/>
        <v>0</v>
      </c>
      <c r="AU274" s="42">
        <f t="shared" si="810"/>
        <v>0</v>
      </c>
      <c r="AV274" s="42">
        <f>IF(M274="ПП",РПП*AA274*(U274/1.5),IF(M274="ВП",ВПр*AA274*(U274/1.5),IF(M274="РПА",РПА*AA274*(U274/1.5),IF(M274="КПА",КПА*AA274*(U274/1.5),0))))</f>
        <v>0</v>
      </c>
      <c r="AW274" s="42">
        <f t="shared" si="811"/>
        <v>0</v>
      </c>
      <c r="AX274" s="42">
        <f t="shared" si="799"/>
        <v>0</v>
      </c>
      <c r="AY274" s="42">
        <f t="shared" si="800"/>
        <v>0</v>
      </c>
      <c r="AZ274" s="42">
        <f t="shared" si="812"/>
        <v>0</v>
      </c>
      <c r="BA274" s="42">
        <f t="shared" si="801"/>
        <v>0</v>
      </c>
      <c r="BB274" s="42">
        <f t="shared" si="802"/>
        <v>0</v>
      </c>
      <c r="BC274" s="42">
        <f t="shared" si="803"/>
        <v>0</v>
      </c>
      <c r="BD274" s="42">
        <f t="shared" si="813"/>
        <v>0</v>
      </c>
      <c r="BE274" s="43">
        <f t="shared" si="814"/>
        <v>30.45</v>
      </c>
      <c r="BF274" s="44"/>
      <c r="BG274" s="45">
        <f t="shared" si="815"/>
        <v>18</v>
      </c>
      <c r="BH274" s="45">
        <f t="shared" si="816"/>
        <v>0.5</v>
      </c>
      <c r="BI274" s="45">
        <f t="shared" si="817"/>
        <v>12.45</v>
      </c>
      <c r="BJ274" s="46">
        <f t="shared" si="770"/>
        <v>0</v>
      </c>
      <c r="BK274" s="46">
        <f t="shared" si="771"/>
        <v>0</v>
      </c>
      <c r="BL274" s="46">
        <f t="shared" si="772"/>
        <v>0</v>
      </c>
    </row>
    <row r="275" spans="1:64" ht="30" customHeight="1" x14ac:dyDescent="0.25">
      <c r="A275" s="84" t="str">
        <f t="shared" si="794"/>
        <v>Д</v>
      </c>
      <c r="B275" s="84" t="str">
        <f t="shared" ref="B275:B276" si="818">IF(C275&gt;0, VLOOKUP(C275,Код_ООП,11,FALSE),0)</f>
        <v>Б</v>
      </c>
      <c r="C275" s="101" t="s">
        <v>1465</v>
      </c>
      <c r="D275" s="16" t="str">
        <f t="shared" ref="D275:D276" si="819">IF(C275&gt;0, VLOOKUP(C275,Код_ООП,2,FALSE),0)</f>
        <v>'02.03.02</v>
      </c>
      <c r="E275" s="17" t="str">
        <f t="shared" ref="E275:E276" si="820">IF(C275&gt;0, VLOOKUP(C275,Код_ООП,13,FALSE),0)</f>
        <v>Фундаментальная информатика и информационные технологии</v>
      </c>
      <c r="F275" s="9" t="s">
        <v>413</v>
      </c>
      <c r="G275" s="9" t="s">
        <v>22</v>
      </c>
      <c r="H275" s="10" t="s">
        <v>3233</v>
      </c>
      <c r="I275" s="10"/>
      <c r="J275" s="24" t="s">
        <v>3222</v>
      </c>
      <c r="K275" s="11">
        <v>5</v>
      </c>
      <c r="L275" s="11">
        <v>18</v>
      </c>
      <c r="M275" s="8" t="s">
        <v>94</v>
      </c>
      <c r="N275" s="11"/>
      <c r="O275" s="12">
        <v>1</v>
      </c>
      <c r="P275" s="11"/>
      <c r="Q275" s="8" t="s">
        <v>102</v>
      </c>
      <c r="R275" s="11"/>
      <c r="S275" s="11"/>
      <c r="T275" s="11"/>
      <c r="U275" s="11"/>
      <c r="V275" s="11"/>
      <c r="W275" s="83" t="str">
        <f t="shared" si="795"/>
        <v>НФИбд</v>
      </c>
      <c r="X275" s="110" t="s">
        <v>3242</v>
      </c>
      <c r="Y275" s="11">
        <v>1</v>
      </c>
      <c r="Z275" s="11">
        <v>1</v>
      </c>
      <c r="AA275" s="83">
        <f t="shared" ref="AA275:AA276" si="821">AB275+AC275</f>
        <v>15</v>
      </c>
      <c r="AB275" s="11">
        <v>10</v>
      </c>
      <c r="AC275" s="11">
        <v>5</v>
      </c>
      <c r="AD275" s="81">
        <f t="shared" si="796"/>
        <v>12</v>
      </c>
      <c r="AE275" s="82">
        <f t="shared" ref="AE275:AE276" si="822">IF(AF275&gt;1,1,AF275)</f>
        <v>1</v>
      </c>
      <c r="AF275" s="82">
        <f t="shared" ref="AF275:AF276" si="823">AA275/AD275</f>
        <v>1.25</v>
      </c>
      <c r="AG275" s="102" t="s">
        <v>3250</v>
      </c>
      <c r="AH275" s="113" t="s">
        <v>203</v>
      </c>
      <c r="AI275" s="113" t="s">
        <v>213</v>
      </c>
      <c r="AJ275" s="125" t="s">
        <v>3262</v>
      </c>
      <c r="AK275" s="8"/>
      <c r="AL275" s="42">
        <f t="shared" si="797"/>
        <v>0</v>
      </c>
      <c r="AM275" s="42">
        <f t="shared" ref="AM275:AM276" si="824">IF(OR(M275="пр",M275="ия",M275="сп"),P275*AE275*L275,0)</f>
        <v>0</v>
      </c>
      <c r="AN275" s="42">
        <f t="shared" ref="AN275:AN276" si="825">IF(OR(M275="лаб",M275="клн"),O275*AE275*L275,0)</f>
        <v>18</v>
      </c>
      <c r="AO275" s="42">
        <f t="shared" ref="AO275:AO276" si="826">(IF((AND(OR(K275=1,K275=2,K275=3,K275=4,K275=5,K275=6,K275=7,K275=8,K275=9,K275=10,K275=11,K275=12),OR(Q275="Зач",Q275="Экз"))),ТКиРА*AA275,0)+IF(SUM(N275:P275)&lt;&gt;0,IF(Q275="ТК",ТКиРА*AA275,0),0))*(IF(F275="ФТД",0,1))</f>
        <v>4.95</v>
      </c>
      <c r="AP275" s="42">
        <f t="shared" ref="AP275:AP276" si="827">IF(SUM(O275:P275)&lt;&gt;0,IF(Q275="Зач",ПАБРС*AA275,0),0)+IF(N275&lt;&gt;0,IF(Q275="Экз",ПАБРС*AA275,0),0)</f>
        <v>7.5</v>
      </c>
      <c r="AQ275" s="42">
        <f t="shared" ref="AQ275:AQ276" si="828">(IF(AP275&lt;&gt;0,ОфВед*(IF(OR(M275="лек",M275="лаб"),Z275,AE275)),0))*(IF(F275="ФТД",0,1))</f>
        <v>1</v>
      </c>
      <c r="AR275" s="42">
        <f t="shared" si="798"/>
        <v>0</v>
      </c>
      <c r="AS275" s="42">
        <f t="shared" ref="AS275:AS276" si="829">IF(OR(M275="лаб",M275="пр"),IF(R275="К",AA275*ВПКР,IF(R275="М",AA275*ВПИБ,0)),0)</f>
        <v>0</v>
      </c>
      <c r="AT275" s="42">
        <f t="shared" ref="AT275:AT276" si="830">IF(OR(M275="лаб",M275="пр"),IF(S275="К",AA275*ВПКП,0),0)</f>
        <v>0</v>
      </c>
      <c r="AU275" s="42">
        <f t="shared" ref="AU275:AU276" si="831">IF(M275="УП",T275/1.5*AA275*РУП,IF(M275="УПМ",T275/1.5*AA275*РУПЛеч,0))</f>
        <v>0</v>
      </c>
      <c r="AV275" s="42">
        <f>IF(M275="ПП",РПП*AA275*(U275/1.5),IF(M275="ВП",ВПр*AA275*(U275/1.5),IF(M275="РПА",РПА*AA275*(U275/1.5),IF(M275="КПА",КПА*AA275*(U275/1.5),0))))</f>
        <v>0</v>
      </c>
      <c r="AW275" s="42">
        <f t="shared" ref="AW275:AW276" si="832">IF(M275="НР",(AB275*НИРМ+AC275*НИРМИн)*(V275/1.5),IF(M275="НИ",(AB275*НИРА+AC275*НИРАИ)*(V275/1.5),0))</f>
        <v>0</v>
      </c>
      <c r="AX275" s="42">
        <f t="shared" si="799"/>
        <v>0</v>
      </c>
      <c r="AY275" s="42">
        <f t="shared" si="800"/>
        <v>0</v>
      </c>
      <c r="AZ275" s="42">
        <f t="shared" ref="AZ275:AZ276" si="833">IF(AND(Q275="КЭ",M275="ЧК"),AA275*КдЭк,0)</f>
        <v>0</v>
      </c>
      <c r="BA275" s="42">
        <f t="shared" si="801"/>
        <v>0</v>
      </c>
      <c r="BB275" s="42">
        <f t="shared" si="802"/>
        <v>0</v>
      </c>
      <c r="BC275" s="42">
        <f t="shared" si="803"/>
        <v>0</v>
      </c>
      <c r="BD275" s="42">
        <f t="shared" ref="BD275:BD276" si="834">IF(M275="ЧГ",AA275*ЧГ,IF(M275="ПГ",AA275*ПГ,IF(M275="ТЕСТ",ТГИЭ*AE275,IF(M275="СГ",AA275*СГ,0))))</f>
        <v>0</v>
      </c>
      <c r="BE275" s="43">
        <f t="shared" ref="BE275:BE276" si="835">SUM(AL275:BD275)</f>
        <v>31.45</v>
      </c>
      <c r="BF275" s="44"/>
      <c r="BG275" s="45">
        <f t="shared" ref="BG275:BG276" si="836">IF(OR(K275="1;1",K275="1;2",K275=1,K275="3;1",K275="3;2",K275=3,K275="5;1",K275="5;2",K275=5,K275="7;1",K275="7;2",K275=7,K275="9;1",K275="9;2",K275=9,K275=11),SUM(AL275:AN275),0)</f>
        <v>18</v>
      </c>
      <c r="BH275" s="45">
        <f t="shared" ref="BH275:BH276" si="837">IF(BG275&lt;&gt;0,SUM(N275:P275)/2,0)</f>
        <v>0.5</v>
      </c>
      <c r="BI275" s="45">
        <f t="shared" ref="BI275:BI276" si="838">IF(OR(K275="1;1",K275="1;2",K275=1,K275="3;1",K275="3;2",K275=3,K275="5;1",K275="5;2",K275=5,K275="7;1",K275="7;2",K275=7,K275="9;1",K275="9;2",K275=9,K275=11),SUM(AO275:BD275),0)</f>
        <v>13.45</v>
      </c>
      <c r="BJ275" s="46">
        <f t="shared" si="770"/>
        <v>0</v>
      </c>
      <c r="BK275" s="46">
        <f t="shared" si="771"/>
        <v>0</v>
      </c>
      <c r="BL275" s="46">
        <f t="shared" si="772"/>
        <v>0</v>
      </c>
    </row>
    <row r="276" spans="1:64" ht="30" customHeight="1" x14ac:dyDescent="0.25">
      <c r="A276" s="84" t="str">
        <f t="shared" si="794"/>
        <v>Д</v>
      </c>
      <c r="B276" s="84" t="str">
        <f t="shared" si="818"/>
        <v>Б</v>
      </c>
      <c r="C276" s="101" t="s">
        <v>1465</v>
      </c>
      <c r="D276" s="16" t="str">
        <f t="shared" si="819"/>
        <v>'02.03.02</v>
      </c>
      <c r="E276" s="17" t="str">
        <f t="shared" si="820"/>
        <v>Фундаментальная информатика и информационные технологии</v>
      </c>
      <c r="F276" s="9" t="s">
        <v>413</v>
      </c>
      <c r="G276" s="9" t="s">
        <v>22</v>
      </c>
      <c r="H276" s="10" t="s">
        <v>3233</v>
      </c>
      <c r="I276" s="10"/>
      <c r="J276" s="24" t="s">
        <v>3222</v>
      </c>
      <c r="K276" s="11">
        <v>5</v>
      </c>
      <c r="L276" s="11">
        <v>18</v>
      </c>
      <c r="M276" s="8" t="s">
        <v>94</v>
      </c>
      <c r="N276" s="11"/>
      <c r="O276" s="12">
        <v>1</v>
      </c>
      <c r="P276" s="11"/>
      <c r="Q276" s="8" t="s">
        <v>102</v>
      </c>
      <c r="R276" s="11"/>
      <c r="S276" s="11"/>
      <c r="T276" s="11"/>
      <c r="U276" s="11"/>
      <c r="V276" s="11"/>
      <c r="W276" s="83" t="str">
        <f t="shared" si="795"/>
        <v>НФИбд</v>
      </c>
      <c r="X276" s="110" t="s">
        <v>3242</v>
      </c>
      <c r="Y276" s="11">
        <v>1</v>
      </c>
      <c r="Z276" s="11"/>
      <c r="AA276" s="83">
        <f t="shared" si="821"/>
        <v>14</v>
      </c>
      <c r="AB276" s="11">
        <v>9</v>
      </c>
      <c r="AC276" s="11">
        <v>5</v>
      </c>
      <c r="AD276" s="81">
        <f t="shared" si="796"/>
        <v>12</v>
      </c>
      <c r="AE276" s="82">
        <f t="shared" si="822"/>
        <v>1</v>
      </c>
      <c r="AF276" s="82">
        <f t="shared" si="823"/>
        <v>1.1666666666666667</v>
      </c>
      <c r="AG276" s="102" t="s">
        <v>3250</v>
      </c>
      <c r="AH276" s="113" t="s">
        <v>203</v>
      </c>
      <c r="AI276" s="113" t="s">
        <v>213</v>
      </c>
      <c r="AJ276" s="119" t="s">
        <v>3262</v>
      </c>
      <c r="AK276" s="8"/>
      <c r="AL276" s="42">
        <f t="shared" si="797"/>
        <v>0</v>
      </c>
      <c r="AM276" s="42">
        <f t="shared" si="824"/>
        <v>0</v>
      </c>
      <c r="AN276" s="42">
        <f t="shared" si="825"/>
        <v>18</v>
      </c>
      <c r="AO276" s="42">
        <f t="shared" si="826"/>
        <v>4.62</v>
      </c>
      <c r="AP276" s="42">
        <f t="shared" si="827"/>
        <v>7</v>
      </c>
      <c r="AQ276" s="42">
        <f t="shared" si="828"/>
        <v>0</v>
      </c>
      <c r="AR276" s="42">
        <f t="shared" si="798"/>
        <v>0</v>
      </c>
      <c r="AS276" s="42">
        <f t="shared" si="829"/>
        <v>0</v>
      </c>
      <c r="AT276" s="42">
        <f t="shared" si="830"/>
        <v>0</v>
      </c>
      <c r="AU276" s="42">
        <f t="shared" si="831"/>
        <v>0</v>
      </c>
      <c r="AV276" s="42">
        <f>IF(M276="ПП",РПП*AA276*(U276/1.5),IF(M276="ВП",ВПр*AA276*(U276/1.5),IF(M276="РПА",РПА*AA276*(U276/1.5),IF(M276="КПА",КПА*AA276*(U276/1.5),0))))</f>
        <v>0</v>
      </c>
      <c r="AW276" s="42">
        <f t="shared" si="832"/>
        <v>0</v>
      </c>
      <c r="AX276" s="42">
        <f t="shared" si="799"/>
        <v>0</v>
      </c>
      <c r="AY276" s="42">
        <f t="shared" si="800"/>
        <v>0</v>
      </c>
      <c r="AZ276" s="42">
        <f t="shared" si="833"/>
        <v>0</v>
      </c>
      <c r="BA276" s="42">
        <f t="shared" si="801"/>
        <v>0</v>
      </c>
      <c r="BB276" s="42">
        <f t="shared" si="802"/>
        <v>0</v>
      </c>
      <c r="BC276" s="42">
        <f t="shared" si="803"/>
        <v>0</v>
      </c>
      <c r="BD276" s="42">
        <f t="shared" si="834"/>
        <v>0</v>
      </c>
      <c r="BE276" s="43">
        <f t="shared" si="835"/>
        <v>29.62</v>
      </c>
      <c r="BF276" s="44"/>
      <c r="BG276" s="45">
        <f t="shared" si="836"/>
        <v>18</v>
      </c>
      <c r="BH276" s="45">
        <f t="shared" si="837"/>
        <v>0.5</v>
      </c>
      <c r="BI276" s="45">
        <f t="shared" si="838"/>
        <v>11.620000000000001</v>
      </c>
      <c r="BJ276" s="46">
        <f t="shared" si="770"/>
        <v>0</v>
      </c>
      <c r="BK276" s="46">
        <f t="shared" si="771"/>
        <v>0</v>
      </c>
      <c r="BL276" s="46">
        <f t="shared" si="772"/>
        <v>0</v>
      </c>
    </row>
    <row r="277" spans="1:64" ht="30" customHeight="1" x14ac:dyDescent="0.25">
      <c r="A277" s="84" t="str">
        <f t="shared" si="794"/>
        <v>Д</v>
      </c>
      <c r="B277" s="84" t="str">
        <f t="shared" si="763"/>
        <v>Б</v>
      </c>
      <c r="C277" s="101" t="s">
        <v>1465</v>
      </c>
      <c r="D277" s="16" t="str">
        <f t="shared" si="764"/>
        <v>'02.03.02</v>
      </c>
      <c r="E277" s="17" t="str">
        <f t="shared" si="765"/>
        <v>Фундаментальная информатика и информационные технологии</v>
      </c>
      <c r="F277" s="9" t="s">
        <v>413</v>
      </c>
      <c r="G277" s="9" t="s">
        <v>22</v>
      </c>
      <c r="H277" s="10" t="s">
        <v>3233</v>
      </c>
      <c r="I277" s="10"/>
      <c r="J277" s="24" t="s">
        <v>3222</v>
      </c>
      <c r="K277" s="11">
        <v>5</v>
      </c>
      <c r="L277" s="11">
        <v>18</v>
      </c>
      <c r="M277" s="8" t="s">
        <v>94</v>
      </c>
      <c r="N277" s="11"/>
      <c r="O277" s="12">
        <v>1</v>
      </c>
      <c r="P277" s="11"/>
      <c r="Q277" s="8" t="s">
        <v>102</v>
      </c>
      <c r="R277" s="11"/>
      <c r="S277" s="11"/>
      <c r="T277" s="11"/>
      <c r="U277" s="11"/>
      <c r="V277" s="11"/>
      <c r="W277" s="83" t="str">
        <f t="shared" si="795"/>
        <v>НФИбд</v>
      </c>
      <c r="X277" s="110" t="s">
        <v>3345</v>
      </c>
      <c r="Y277" s="11"/>
      <c r="Z277" s="11"/>
      <c r="AA277" s="83">
        <f t="shared" si="766"/>
        <v>0</v>
      </c>
      <c r="AB277" s="11"/>
      <c r="AC277" s="11"/>
      <c r="AD277" s="81">
        <f t="shared" si="796"/>
        <v>12</v>
      </c>
      <c r="AE277" s="82">
        <f t="shared" si="767"/>
        <v>0</v>
      </c>
      <c r="AF277" s="82">
        <f t="shared" si="768"/>
        <v>0</v>
      </c>
      <c r="AG277" s="102" t="s">
        <v>3250</v>
      </c>
      <c r="AH277" s="113" t="s">
        <v>203</v>
      </c>
      <c r="AI277" s="113" t="s">
        <v>213</v>
      </c>
      <c r="AJ277" s="125" t="s">
        <v>3262</v>
      </c>
      <c r="AK277" s="8"/>
      <c r="AL277" s="42">
        <f t="shared" si="797"/>
        <v>0</v>
      </c>
      <c r="AM277" s="42">
        <f t="shared" si="804"/>
        <v>0</v>
      </c>
      <c r="AN277" s="42">
        <f t="shared" si="805"/>
        <v>0</v>
      </c>
      <c r="AO277" s="42">
        <f t="shared" si="769"/>
        <v>0</v>
      </c>
      <c r="AP277" s="42">
        <f t="shared" si="806"/>
        <v>0</v>
      </c>
      <c r="AQ277" s="42">
        <f t="shared" si="807"/>
        <v>0</v>
      </c>
      <c r="AR277" s="42">
        <f t="shared" si="798"/>
        <v>0</v>
      </c>
      <c r="AS277" s="42">
        <f t="shared" si="808"/>
        <v>0</v>
      </c>
      <c r="AT277" s="42">
        <f t="shared" si="809"/>
        <v>0</v>
      </c>
      <c r="AU277" s="42">
        <f t="shared" si="810"/>
        <v>0</v>
      </c>
      <c r="AV277" s="42">
        <f>IF(M277="ПП",РПП*AA277*(U277/1.5),IF(M277="ВП",ВПр*AA277*(U277/1.5),IF(M277="РПА",РПА*AA277*(U277/1.5),IF(M277="КПА",КПА*AA277*(U277/1.5),0))))</f>
        <v>0</v>
      </c>
      <c r="AW277" s="42">
        <f t="shared" si="811"/>
        <v>0</v>
      </c>
      <c r="AX277" s="42">
        <f t="shared" si="799"/>
        <v>0</v>
      </c>
      <c r="AY277" s="42">
        <f t="shared" si="800"/>
        <v>0</v>
      </c>
      <c r="AZ277" s="42">
        <f t="shared" si="812"/>
        <v>0</v>
      </c>
      <c r="BA277" s="42">
        <f t="shared" si="801"/>
        <v>0</v>
      </c>
      <c r="BB277" s="42">
        <f t="shared" si="802"/>
        <v>0</v>
      </c>
      <c r="BC277" s="42">
        <f t="shared" si="803"/>
        <v>0</v>
      </c>
      <c r="BD277" s="42">
        <f t="shared" si="813"/>
        <v>0</v>
      </c>
      <c r="BE277" s="43">
        <f t="shared" si="814"/>
        <v>0</v>
      </c>
      <c r="BF277" s="44"/>
      <c r="BG277" s="45">
        <f t="shared" si="815"/>
        <v>0</v>
      </c>
      <c r="BH277" s="45">
        <f t="shared" si="816"/>
        <v>0</v>
      </c>
      <c r="BI277" s="45">
        <f t="shared" si="817"/>
        <v>0</v>
      </c>
      <c r="BJ277" s="46">
        <f t="shared" si="770"/>
        <v>0</v>
      </c>
      <c r="BK277" s="46">
        <f t="shared" si="771"/>
        <v>0</v>
      </c>
      <c r="BL277" s="46">
        <f t="shared" si="772"/>
        <v>0</v>
      </c>
    </row>
    <row r="278" spans="1:64" ht="30" customHeight="1" x14ac:dyDescent="0.25">
      <c r="A278" s="84" t="str">
        <f t="shared" si="794"/>
        <v>Д</v>
      </c>
      <c r="B278" s="84" t="str">
        <f t="shared" si="763"/>
        <v>Б</v>
      </c>
      <c r="C278" s="101" t="s">
        <v>1465</v>
      </c>
      <c r="D278" s="16" t="str">
        <f t="shared" si="764"/>
        <v>'02.03.02</v>
      </c>
      <c r="E278" s="17" t="str">
        <f t="shared" si="765"/>
        <v>Фундаментальная информатика и информационные технологии</v>
      </c>
      <c r="F278" s="9" t="s">
        <v>413</v>
      </c>
      <c r="G278" s="9" t="s">
        <v>22</v>
      </c>
      <c r="H278" s="10" t="s">
        <v>3233</v>
      </c>
      <c r="I278" s="10"/>
      <c r="J278" s="24" t="s">
        <v>3222</v>
      </c>
      <c r="K278" s="11">
        <v>5</v>
      </c>
      <c r="L278" s="11">
        <v>18</v>
      </c>
      <c r="M278" s="8" t="s">
        <v>94</v>
      </c>
      <c r="N278" s="11"/>
      <c r="O278" s="12">
        <v>1</v>
      </c>
      <c r="P278" s="11"/>
      <c r="Q278" s="8" t="s">
        <v>102</v>
      </c>
      <c r="R278" s="11"/>
      <c r="S278" s="11"/>
      <c r="T278" s="11"/>
      <c r="U278" s="11"/>
      <c r="V278" s="11"/>
      <c r="W278" s="83" t="str">
        <f t="shared" si="795"/>
        <v>НФИбд</v>
      </c>
      <c r="X278" s="110" t="s">
        <v>3345</v>
      </c>
      <c r="Y278" s="11"/>
      <c r="Z278" s="11"/>
      <c r="AA278" s="83">
        <f t="shared" si="766"/>
        <v>0</v>
      </c>
      <c r="AB278" s="11"/>
      <c r="AC278" s="11"/>
      <c r="AD278" s="81">
        <f t="shared" si="796"/>
        <v>12</v>
      </c>
      <c r="AE278" s="82">
        <f t="shared" si="767"/>
        <v>0</v>
      </c>
      <c r="AF278" s="82">
        <f t="shared" si="768"/>
        <v>0</v>
      </c>
      <c r="AG278" s="102" t="s">
        <v>3250</v>
      </c>
      <c r="AH278" s="113" t="s">
        <v>203</v>
      </c>
      <c r="AI278" s="113" t="s">
        <v>213</v>
      </c>
      <c r="AJ278" s="119" t="s">
        <v>3262</v>
      </c>
      <c r="AK278" s="8"/>
      <c r="AL278" s="42">
        <f t="shared" si="797"/>
        <v>0</v>
      </c>
      <c r="AM278" s="42">
        <f t="shared" si="804"/>
        <v>0</v>
      </c>
      <c r="AN278" s="42">
        <f t="shared" si="805"/>
        <v>0</v>
      </c>
      <c r="AO278" s="42">
        <f t="shared" si="769"/>
        <v>0</v>
      </c>
      <c r="AP278" s="42">
        <f t="shared" si="806"/>
        <v>0</v>
      </c>
      <c r="AQ278" s="42">
        <f t="shared" si="807"/>
        <v>0</v>
      </c>
      <c r="AR278" s="42">
        <f t="shared" si="798"/>
        <v>0</v>
      </c>
      <c r="AS278" s="42">
        <f t="shared" si="808"/>
        <v>0</v>
      </c>
      <c r="AT278" s="42">
        <f t="shared" si="809"/>
        <v>0</v>
      </c>
      <c r="AU278" s="42">
        <f t="shared" si="810"/>
        <v>0</v>
      </c>
      <c r="AV278" s="42">
        <f>IF(M278="ПП",РПП*AA278*(U278/1.5),IF(M278="ВП",ВПр*AA278*(U278/1.5),IF(M278="РПА",РПА*AA278*(U278/1.5),IF(M278="КПА",КПА*AA278*(U278/1.5),0))))</f>
        <v>0</v>
      </c>
      <c r="AW278" s="42">
        <f t="shared" si="811"/>
        <v>0</v>
      </c>
      <c r="AX278" s="42">
        <f t="shared" si="799"/>
        <v>0</v>
      </c>
      <c r="AY278" s="42">
        <f t="shared" si="800"/>
        <v>0</v>
      </c>
      <c r="AZ278" s="42">
        <f t="shared" si="812"/>
        <v>0</v>
      </c>
      <c r="BA278" s="42">
        <f t="shared" si="801"/>
        <v>0</v>
      </c>
      <c r="BB278" s="42">
        <f t="shared" si="802"/>
        <v>0</v>
      </c>
      <c r="BC278" s="42">
        <f t="shared" si="803"/>
        <v>0</v>
      </c>
      <c r="BD278" s="42">
        <f t="shared" si="813"/>
        <v>0</v>
      </c>
      <c r="BE278" s="43">
        <f t="shared" si="814"/>
        <v>0</v>
      </c>
      <c r="BF278" s="44"/>
      <c r="BG278" s="45">
        <f t="shared" si="815"/>
        <v>0</v>
      </c>
      <c r="BH278" s="45">
        <f t="shared" si="816"/>
        <v>0</v>
      </c>
      <c r="BI278" s="45">
        <f t="shared" si="817"/>
        <v>0</v>
      </c>
      <c r="BJ278" s="46">
        <f t="shared" si="770"/>
        <v>0</v>
      </c>
      <c r="BK278" s="46">
        <f t="shared" si="771"/>
        <v>0</v>
      </c>
      <c r="BL278" s="46">
        <f t="shared" si="772"/>
        <v>0</v>
      </c>
    </row>
    <row r="279" spans="1:64" ht="30" customHeight="1" x14ac:dyDescent="0.25">
      <c r="A279" s="84" t="str">
        <f t="shared" si="794"/>
        <v>Д</v>
      </c>
      <c r="B279" s="84" t="str">
        <f t="shared" si="763"/>
        <v>Б</v>
      </c>
      <c r="C279" s="101" t="s">
        <v>1465</v>
      </c>
      <c r="D279" s="16" t="str">
        <f t="shared" si="764"/>
        <v>'02.03.02</v>
      </c>
      <c r="E279" s="17" t="str">
        <f t="shared" si="765"/>
        <v>Фундаментальная информатика и информационные технологии</v>
      </c>
      <c r="F279" s="9" t="s">
        <v>413</v>
      </c>
      <c r="G279" s="9" t="s">
        <v>22</v>
      </c>
      <c r="H279" s="10" t="s">
        <v>3233</v>
      </c>
      <c r="I279" s="10"/>
      <c r="J279" s="24" t="s">
        <v>3208</v>
      </c>
      <c r="K279" s="11">
        <v>5</v>
      </c>
      <c r="L279" s="11">
        <v>18</v>
      </c>
      <c r="M279" s="8" t="s">
        <v>23</v>
      </c>
      <c r="N279" s="11">
        <v>1</v>
      </c>
      <c r="O279" s="11"/>
      <c r="P279" s="11"/>
      <c r="Q279" s="8" t="s">
        <v>103</v>
      </c>
      <c r="R279" s="11"/>
      <c r="S279" s="11"/>
      <c r="T279" s="11"/>
      <c r="U279" s="11"/>
      <c r="V279" s="11"/>
      <c r="W279" s="83" t="str">
        <f t="shared" si="795"/>
        <v>НФИбд</v>
      </c>
      <c r="X279" s="110" t="s">
        <v>3272</v>
      </c>
      <c r="Y279" s="11">
        <v>4</v>
      </c>
      <c r="Z279" s="11">
        <v>2</v>
      </c>
      <c r="AA279" s="83">
        <f t="shared" si="766"/>
        <v>60</v>
      </c>
      <c r="AB279" s="11">
        <v>39</v>
      </c>
      <c r="AC279" s="11">
        <v>21</v>
      </c>
      <c r="AD279" s="81">
        <f t="shared" si="796"/>
        <v>60</v>
      </c>
      <c r="AE279" s="82">
        <f t="shared" si="767"/>
        <v>1</v>
      </c>
      <c r="AF279" s="82">
        <f t="shared" si="768"/>
        <v>1</v>
      </c>
      <c r="AG279" s="102" t="s">
        <v>3250</v>
      </c>
      <c r="AH279" s="113" t="s">
        <v>204</v>
      </c>
      <c r="AI279" s="113" t="s">
        <v>212</v>
      </c>
      <c r="AJ279" s="119" t="s">
        <v>3256</v>
      </c>
      <c r="AK279" s="8"/>
      <c r="AL279" s="42">
        <f t="shared" si="797"/>
        <v>18</v>
      </c>
      <c r="AM279" s="42">
        <f t="shared" si="804"/>
        <v>0</v>
      </c>
      <c r="AN279" s="42">
        <f t="shared" si="805"/>
        <v>0</v>
      </c>
      <c r="AO279" s="42">
        <f t="shared" si="769"/>
        <v>19.8</v>
      </c>
      <c r="AP279" s="42">
        <f t="shared" si="806"/>
        <v>30</v>
      </c>
      <c r="AQ279" s="42">
        <f t="shared" si="807"/>
        <v>2</v>
      </c>
      <c r="AR279" s="42">
        <f t="shared" si="798"/>
        <v>1.8</v>
      </c>
      <c r="AS279" s="42">
        <f t="shared" si="808"/>
        <v>0</v>
      </c>
      <c r="AT279" s="42">
        <f t="shared" si="809"/>
        <v>0</v>
      </c>
      <c r="AU279" s="42">
        <f t="shared" si="810"/>
        <v>0</v>
      </c>
      <c r="AV279" s="42">
        <f>IF(M279="ПП",РПП*AA279*(U279/1.5),IF(M279="ВП",ВПр*AA279*(U279/1.5),IF(M279="РПА",РПА*AA279*(U279/1.5),IF(M279="КПА",КПА*AA279*(U279/1.5),0))))</f>
        <v>0</v>
      </c>
      <c r="AW279" s="42">
        <f t="shared" si="811"/>
        <v>0</v>
      </c>
      <c r="AX279" s="42">
        <f t="shared" si="799"/>
        <v>0</v>
      </c>
      <c r="AY279" s="42">
        <f t="shared" si="800"/>
        <v>0</v>
      </c>
      <c r="AZ279" s="42">
        <f t="shared" si="812"/>
        <v>0</v>
      </c>
      <c r="BA279" s="42">
        <f t="shared" si="801"/>
        <v>0</v>
      </c>
      <c r="BB279" s="42">
        <f t="shared" si="802"/>
        <v>0</v>
      </c>
      <c r="BC279" s="42">
        <f t="shared" si="803"/>
        <v>0</v>
      </c>
      <c r="BD279" s="42">
        <f t="shared" si="813"/>
        <v>0</v>
      </c>
      <c r="BE279" s="43">
        <f t="shared" si="814"/>
        <v>71.599999999999994</v>
      </c>
      <c r="BF279" s="44"/>
      <c r="BG279" s="45">
        <f t="shared" si="815"/>
        <v>18</v>
      </c>
      <c r="BH279" s="45">
        <f t="shared" si="816"/>
        <v>0.5</v>
      </c>
      <c r="BI279" s="45">
        <f t="shared" si="817"/>
        <v>53.599999999999994</v>
      </c>
      <c r="BJ279" s="46">
        <f t="shared" si="770"/>
        <v>0</v>
      </c>
      <c r="BK279" s="46">
        <f t="shared" si="771"/>
        <v>0</v>
      </c>
      <c r="BL279" s="46">
        <f t="shared" si="772"/>
        <v>0</v>
      </c>
    </row>
    <row r="280" spans="1:64" ht="30" customHeight="1" x14ac:dyDescent="0.25">
      <c r="A280" s="84" t="str">
        <f t="shared" si="794"/>
        <v>Д</v>
      </c>
      <c r="B280" s="84" t="str">
        <f t="shared" si="763"/>
        <v>Б</v>
      </c>
      <c r="C280" s="101" t="s">
        <v>1465</v>
      </c>
      <c r="D280" s="16" t="str">
        <f t="shared" si="764"/>
        <v>'02.03.02</v>
      </c>
      <c r="E280" s="17" t="str">
        <f t="shared" si="765"/>
        <v>Фундаментальная информатика и информационные технологии</v>
      </c>
      <c r="F280" s="9" t="s">
        <v>413</v>
      </c>
      <c r="G280" s="9" t="s">
        <v>22</v>
      </c>
      <c r="H280" s="10" t="s">
        <v>3233</v>
      </c>
      <c r="I280" s="10"/>
      <c r="J280" s="24" t="s">
        <v>3208</v>
      </c>
      <c r="K280" s="11">
        <v>5</v>
      </c>
      <c r="L280" s="11">
        <v>18</v>
      </c>
      <c r="M280" s="8" t="s">
        <v>94</v>
      </c>
      <c r="N280" s="11"/>
      <c r="O280" s="11">
        <v>2</v>
      </c>
      <c r="P280" s="11"/>
      <c r="Q280" s="8"/>
      <c r="R280" s="11"/>
      <c r="S280" s="11"/>
      <c r="T280" s="11"/>
      <c r="U280" s="11"/>
      <c r="V280" s="11"/>
      <c r="W280" s="83" t="str">
        <f t="shared" si="795"/>
        <v>НФИбд</v>
      </c>
      <c r="X280" s="110" t="s">
        <v>3241</v>
      </c>
      <c r="Y280" s="11">
        <v>1</v>
      </c>
      <c r="Z280" s="11">
        <v>1</v>
      </c>
      <c r="AA280" s="83">
        <f t="shared" si="766"/>
        <v>16</v>
      </c>
      <c r="AB280" s="11">
        <v>10</v>
      </c>
      <c r="AC280" s="11">
        <v>6</v>
      </c>
      <c r="AD280" s="81">
        <f t="shared" si="796"/>
        <v>12</v>
      </c>
      <c r="AE280" s="82">
        <f t="shared" si="767"/>
        <v>1</v>
      </c>
      <c r="AF280" s="82">
        <f t="shared" si="768"/>
        <v>1.3333333333333333</v>
      </c>
      <c r="AG280" s="102" t="s">
        <v>3250</v>
      </c>
      <c r="AH280" s="113" t="s">
        <v>204</v>
      </c>
      <c r="AI280" s="113" t="s">
        <v>212</v>
      </c>
      <c r="AJ280" s="120" t="s">
        <v>3256</v>
      </c>
      <c r="AK280" s="8"/>
      <c r="AL280" s="42">
        <f t="shared" si="797"/>
        <v>0</v>
      </c>
      <c r="AM280" s="42">
        <f t="shared" si="804"/>
        <v>0</v>
      </c>
      <c r="AN280" s="42">
        <f t="shared" si="805"/>
        <v>36</v>
      </c>
      <c r="AO280" s="42">
        <f t="shared" si="769"/>
        <v>0</v>
      </c>
      <c r="AP280" s="42">
        <f t="shared" si="806"/>
        <v>0</v>
      </c>
      <c r="AQ280" s="42">
        <f t="shared" si="807"/>
        <v>0</v>
      </c>
      <c r="AR280" s="42">
        <f t="shared" si="798"/>
        <v>0</v>
      </c>
      <c r="AS280" s="42">
        <f t="shared" si="808"/>
        <v>0</v>
      </c>
      <c r="AT280" s="42">
        <f t="shared" si="809"/>
        <v>0</v>
      </c>
      <c r="AU280" s="42">
        <f t="shared" si="810"/>
        <v>0</v>
      </c>
      <c r="AV280" s="42">
        <f>IF(M280="ПП",РПП*AA280*(U280/1.5),IF(M280="ВП",ВПр*AA280*(U280/1.5),IF(M280="РПА",РПА*AA280*(U280/1.5),IF(M280="КПА",КПА*AA280*(U280/1.5),0))))</f>
        <v>0</v>
      </c>
      <c r="AW280" s="42">
        <f t="shared" si="811"/>
        <v>0</v>
      </c>
      <c r="AX280" s="42">
        <f t="shared" si="799"/>
        <v>0</v>
      </c>
      <c r="AY280" s="42">
        <f t="shared" si="800"/>
        <v>0</v>
      </c>
      <c r="AZ280" s="42">
        <f t="shared" si="812"/>
        <v>0</v>
      </c>
      <c r="BA280" s="42">
        <f t="shared" si="801"/>
        <v>0</v>
      </c>
      <c r="BB280" s="42">
        <f t="shared" si="802"/>
        <v>0</v>
      </c>
      <c r="BC280" s="42">
        <f t="shared" si="803"/>
        <v>0</v>
      </c>
      <c r="BD280" s="42">
        <f t="shared" si="813"/>
        <v>0</v>
      </c>
      <c r="BE280" s="43">
        <f t="shared" si="814"/>
        <v>36</v>
      </c>
      <c r="BF280" s="44"/>
      <c r="BG280" s="45">
        <f t="shared" si="815"/>
        <v>36</v>
      </c>
      <c r="BH280" s="45">
        <f t="shared" si="816"/>
        <v>1</v>
      </c>
      <c r="BI280" s="45">
        <f t="shared" si="817"/>
        <v>0</v>
      </c>
      <c r="BJ280" s="46">
        <f t="shared" si="770"/>
        <v>0</v>
      </c>
      <c r="BK280" s="46">
        <f t="shared" si="771"/>
        <v>0</v>
      </c>
      <c r="BL280" s="46">
        <f t="shared" si="772"/>
        <v>0</v>
      </c>
    </row>
    <row r="281" spans="1:64" ht="30" customHeight="1" x14ac:dyDescent="0.25">
      <c r="A281" s="84" t="str">
        <f t="shared" si="794"/>
        <v>Д</v>
      </c>
      <c r="B281" s="84" t="str">
        <f t="shared" si="763"/>
        <v>Б</v>
      </c>
      <c r="C281" s="101" t="s">
        <v>1465</v>
      </c>
      <c r="D281" s="16" t="str">
        <f t="shared" si="764"/>
        <v>'02.03.02</v>
      </c>
      <c r="E281" s="17" t="str">
        <f t="shared" si="765"/>
        <v>Фундаментальная информатика и информационные технологии</v>
      </c>
      <c r="F281" s="9" t="s">
        <v>413</v>
      </c>
      <c r="G281" s="9" t="s">
        <v>22</v>
      </c>
      <c r="H281" s="10" t="s">
        <v>3233</v>
      </c>
      <c r="I281" s="10"/>
      <c r="J281" s="24" t="s">
        <v>3208</v>
      </c>
      <c r="K281" s="11">
        <v>5</v>
      </c>
      <c r="L281" s="11">
        <v>18</v>
      </c>
      <c r="M281" s="8" t="s">
        <v>94</v>
      </c>
      <c r="N281" s="11"/>
      <c r="O281" s="11">
        <v>2</v>
      </c>
      <c r="P281" s="11"/>
      <c r="Q281" s="8"/>
      <c r="R281" s="12"/>
      <c r="S281" s="12"/>
      <c r="T281" s="12"/>
      <c r="U281" s="12"/>
      <c r="V281" s="12"/>
      <c r="W281" s="83" t="str">
        <f t="shared" si="795"/>
        <v>НФИбд</v>
      </c>
      <c r="X281" s="110" t="s">
        <v>3241</v>
      </c>
      <c r="Y281" s="11">
        <v>1</v>
      </c>
      <c r="Z281" s="11"/>
      <c r="AA281" s="83">
        <f t="shared" si="766"/>
        <v>15</v>
      </c>
      <c r="AB281" s="11">
        <v>10</v>
      </c>
      <c r="AC281" s="11">
        <v>5</v>
      </c>
      <c r="AD281" s="81">
        <f t="shared" si="796"/>
        <v>12</v>
      </c>
      <c r="AE281" s="82">
        <f t="shared" si="767"/>
        <v>1</v>
      </c>
      <c r="AF281" s="82">
        <f t="shared" si="768"/>
        <v>1.25</v>
      </c>
      <c r="AG281" s="102" t="s">
        <v>3250</v>
      </c>
      <c r="AH281" s="113" t="s">
        <v>204</v>
      </c>
      <c r="AI281" s="113" t="s">
        <v>212</v>
      </c>
      <c r="AJ281" s="121" t="s">
        <v>3256</v>
      </c>
      <c r="AK281" s="8"/>
      <c r="AL281" s="42">
        <f t="shared" si="797"/>
        <v>0</v>
      </c>
      <c r="AM281" s="42">
        <f t="shared" si="804"/>
        <v>0</v>
      </c>
      <c r="AN281" s="42">
        <f t="shared" si="805"/>
        <v>36</v>
      </c>
      <c r="AO281" s="42">
        <f t="shared" si="769"/>
        <v>0</v>
      </c>
      <c r="AP281" s="42">
        <f t="shared" si="806"/>
        <v>0</v>
      </c>
      <c r="AQ281" s="42">
        <f t="shared" si="807"/>
        <v>0</v>
      </c>
      <c r="AR281" s="42">
        <f t="shared" si="798"/>
        <v>0</v>
      </c>
      <c r="AS281" s="42">
        <f t="shared" si="808"/>
        <v>0</v>
      </c>
      <c r="AT281" s="42">
        <f t="shared" si="809"/>
        <v>0</v>
      </c>
      <c r="AU281" s="42">
        <f t="shared" si="810"/>
        <v>0</v>
      </c>
      <c r="AV281" s="42">
        <f>IF(M281="ПП",РПП*AA281*(U281/1.5),IF(M281="ВП",ВПр*AA281*(U281/1.5),IF(M281="РПА",РПА*AA281*(U281/1.5),IF(M281="КПА",КПА*AA281*(U281/1.5),0))))</f>
        <v>0</v>
      </c>
      <c r="AW281" s="42">
        <f t="shared" si="811"/>
        <v>0</v>
      </c>
      <c r="AX281" s="42">
        <f t="shared" si="799"/>
        <v>0</v>
      </c>
      <c r="AY281" s="42">
        <f t="shared" si="800"/>
        <v>0</v>
      </c>
      <c r="AZ281" s="42">
        <f t="shared" si="812"/>
        <v>0</v>
      </c>
      <c r="BA281" s="42">
        <f t="shared" si="801"/>
        <v>0</v>
      </c>
      <c r="BB281" s="42">
        <f t="shared" si="802"/>
        <v>0</v>
      </c>
      <c r="BC281" s="42">
        <f t="shared" si="803"/>
        <v>0</v>
      </c>
      <c r="BD281" s="42">
        <f t="shared" si="813"/>
        <v>0</v>
      </c>
      <c r="BE281" s="43">
        <f t="shared" si="814"/>
        <v>36</v>
      </c>
      <c r="BF281" s="44"/>
      <c r="BG281" s="45">
        <f t="shared" si="815"/>
        <v>36</v>
      </c>
      <c r="BH281" s="45">
        <f t="shared" si="816"/>
        <v>1</v>
      </c>
      <c r="BI281" s="45">
        <f t="shared" si="817"/>
        <v>0</v>
      </c>
      <c r="BJ281" s="46">
        <f t="shared" si="770"/>
        <v>0</v>
      </c>
      <c r="BK281" s="46">
        <f t="shared" si="771"/>
        <v>0</v>
      </c>
      <c r="BL281" s="46">
        <f t="shared" si="772"/>
        <v>0</v>
      </c>
    </row>
    <row r="282" spans="1:64" ht="30" customHeight="1" x14ac:dyDescent="0.25">
      <c r="A282" s="84" t="str">
        <f t="shared" si="794"/>
        <v>Д</v>
      </c>
      <c r="B282" s="84" t="str">
        <f t="shared" ref="B282:B283" si="839">IF(C282&gt;0, VLOOKUP(C282,Код_ООП,11,FALSE),0)</f>
        <v>Б</v>
      </c>
      <c r="C282" s="101" t="s">
        <v>1465</v>
      </c>
      <c r="D282" s="16" t="str">
        <f t="shared" ref="D282:D283" si="840">IF(C282&gt;0, VLOOKUP(C282,Код_ООП,2,FALSE),0)</f>
        <v>'02.03.02</v>
      </c>
      <c r="E282" s="17" t="str">
        <f t="shared" ref="E282:E283" si="841">IF(C282&gt;0, VLOOKUP(C282,Код_ООП,13,FALSE),0)</f>
        <v>Фундаментальная информатика и информационные технологии</v>
      </c>
      <c r="F282" s="9" t="s">
        <v>413</v>
      </c>
      <c r="G282" s="9" t="s">
        <v>22</v>
      </c>
      <c r="H282" s="10" t="s">
        <v>3233</v>
      </c>
      <c r="I282" s="10"/>
      <c r="J282" s="24" t="s">
        <v>3208</v>
      </c>
      <c r="K282" s="11">
        <v>5</v>
      </c>
      <c r="L282" s="11">
        <v>18</v>
      </c>
      <c r="M282" s="8" t="s">
        <v>94</v>
      </c>
      <c r="N282" s="11"/>
      <c r="O282" s="11">
        <v>2</v>
      </c>
      <c r="P282" s="11"/>
      <c r="Q282" s="8"/>
      <c r="R282" s="11"/>
      <c r="S282" s="11"/>
      <c r="T282" s="23"/>
      <c r="U282" s="11"/>
      <c r="V282" s="11"/>
      <c r="W282" s="83" t="str">
        <f t="shared" si="795"/>
        <v>НФИбд</v>
      </c>
      <c r="X282" s="110" t="s">
        <v>3242</v>
      </c>
      <c r="Y282" s="11">
        <v>1</v>
      </c>
      <c r="Z282" s="11">
        <v>1</v>
      </c>
      <c r="AA282" s="83">
        <f t="shared" ref="AA282:AA283" si="842">AB282+AC282</f>
        <v>15</v>
      </c>
      <c r="AB282" s="11">
        <v>10</v>
      </c>
      <c r="AC282" s="11">
        <v>5</v>
      </c>
      <c r="AD282" s="81">
        <f t="shared" si="796"/>
        <v>12</v>
      </c>
      <c r="AE282" s="82">
        <f t="shared" ref="AE282:AE283" si="843">IF(AF282&gt;1,1,AF282)</f>
        <v>1</v>
      </c>
      <c r="AF282" s="82">
        <f t="shared" ref="AF282:AF283" si="844">AA282/AD282</f>
        <v>1.25</v>
      </c>
      <c r="AG282" s="102" t="s">
        <v>3250</v>
      </c>
      <c r="AH282" s="113" t="s">
        <v>203</v>
      </c>
      <c r="AI282" s="113" t="s">
        <v>213</v>
      </c>
      <c r="AJ282" s="119" t="s">
        <v>3370</v>
      </c>
      <c r="AK282" s="8"/>
      <c r="AL282" s="42">
        <f t="shared" si="797"/>
        <v>0</v>
      </c>
      <c r="AM282" s="42">
        <f t="shared" ref="AM282:AM283" si="845">IF(OR(M282="пр",M282="ия",M282="сп"),P282*AE282*L282,0)</f>
        <v>0</v>
      </c>
      <c r="AN282" s="42">
        <f t="shared" ref="AN282:AN283" si="846">IF(OR(M282="лаб",M282="клн"),O282*AE282*L282,0)</f>
        <v>36</v>
      </c>
      <c r="AO282" s="42">
        <f t="shared" ref="AO282:AO283" si="847">(IF((AND(OR(K282=1,K282=2,K282=3,K282=4,K282=5,K282=6,K282=7,K282=8,K282=9,K282=10,K282=11,K282=12),OR(Q282="Зач",Q282="Экз"))),ТКиРА*AA282,0)+IF(SUM(N282:P282)&lt;&gt;0,IF(Q282="ТК",ТКиРА*AA282,0),0))*(IF(F282="ФТД",0,1))</f>
        <v>0</v>
      </c>
      <c r="AP282" s="42">
        <f t="shared" ref="AP282:AP283" si="848">IF(SUM(O282:P282)&lt;&gt;0,IF(Q282="Зач",ПАБРС*AA282,0),0)+IF(N282&lt;&gt;0,IF(Q282="Экз",ПАБРС*AA282,0),0)</f>
        <v>0</v>
      </c>
      <c r="AQ282" s="42">
        <f t="shared" ref="AQ282:AQ283" si="849">(IF(AP282&lt;&gt;0,ОфВед*(IF(OR(M282="лек",M282="лаб"),Z282,AE282)),0))*(IF(F282="ФТД",0,1))</f>
        <v>0</v>
      </c>
      <c r="AR282" s="42">
        <f t="shared" si="798"/>
        <v>0</v>
      </c>
      <c r="AS282" s="42">
        <f t="shared" ref="AS282:AS283" si="850">IF(OR(M282="лаб",M282="пр"),IF(R282="К",AA282*ВПКР,IF(R282="М",AA282*ВПИБ,0)),0)</f>
        <v>0</v>
      </c>
      <c r="AT282" s="42">
        <f t="shared" ref="AT282:AT283" si="851">IF(OR(M282="лаб",M282="пр"),IF(S282="К",AA282*ВПКП,0),0)</f>
        <v>0</v>
      </c>
      <c r="AU282" s="42">
        <f t="shared" ref="AU282:AU283" si="852">IF(M282="УП",T282/1.5*AA282*РУП,IF(M282="УПМ",T282/1.5*AA282*РУПЛеч,0))</f>
        <v>0</v>
      </c>
      <c r="AV282" s="42">
        <f>IF(M282="ПП",РПП*AA282*(U282/1.5),IF(M282="ВП",ВПр*AA282*(U282/1.5),IF(M282="РПА",РПА*AA282*(U282/1.5),IF(M282="КПА",КПА*AA282*(U282/1.5),0))))</f>
        <v>0</v>
      </c>
      <c r="AW282" s="42">
        <f t="shared" ref="AW282:AW283" si="853">IF(M282="НР",(AB282*НИРМ+AC282*НИРМИн)*(V282/1.5),IF(M282="НИ",(AB282*НИРА+AC282*НИРАИ)*(V282/1.5),0))</f>
        <v>0</v>
      </c>
      <c r="AX282" s="42">
        <f t="shared" si="799"/>
        <v>0</v>
      </c>
      <c r="AY282" s="42">
        <f t="shared" si="800"/>
        <v>0</v>
      </c>
      <c r="AZ282" s="42">
        <f t="shared" ref="AZ282:AZ283" si="854">IF(AND(Q282="КЭ",M282="ЧК"),AA282*КдЭк,0)</f>
        <v>0</v>
      </c>
      <c r="BA282" s="42">
        <f t="shared" si="801"/>
        <v>0</v>
      </c>
      <c r="BB282" s="42">
        <f t="shared" si="802"/>
        <v>0</v>
      </c>
      <c r="BC282" s="42">
        <f t="shared" si="803"/>
        <v>0</v>
      </c>
      <c r="BD282" s="42">
        <f t="shared" ref="BD282:BD283" si="855">IF(M282="ЧГ",AA282*ЧГ,IF(M282="ПГ",AA282*ПГ,IF(M282="ТЕСТ",ТГИЭ*AE282,IF(M282="СГ",AA282*СГ,0))))</f>
        <v>0</v>
      </c>
      <c r="BE282" s="43">
        <f t="shared" ref="BE282:BE283" si="856">SUM(AL282:BD282)</f>
        <v>36</v>
      </c>
      <c r="BF282" s="44"/>
      <c r="BG282" s="45">
        <f t="shared" ref="BG282:BG283" si="857">IF(OR(K282="1;1",K282="1;2",K282=1,K282="3;1",K282="3;2",K282=3,K282="5;1",K282="5;2",K282=5,K282="7;1",K282="7;2",K282=7,K282="9;1",K282="9;2",K282=9,K282=11),SUM(AL282:AN282),0)</f>
        <v>36</v>
      </c>
      <c r="BH282" s="45">
        <f t="shared" ref="BH282:BH283" si="858">IF(BG282&lt;&gt;0,SUM(N282:P282)/2,0)</f>
        <v>1</v>
      </c>
      <c r="BI282" s="45">
        <f t="shared" ref="BI282:BI283" si="859">IF(OR(K282="1;1",K282="1;2",K282=1,K282="3;1",K282="3;2",K282=3,K282="5;1",K282="5;2",K282=5,K282="7;1",K282="7;2",K282=7,K282="9;1",K282="9;2",K282=9,K282=11),SUM(AO282:BD282),0)</f>
        <v>0</v>
      </c>
      <c r="BJ282" s="46">
        <f t="shared" si="770"/>
        <v>0</v>
      </c>
      <c r="BK282" s="46">
        <f t="shared" si="771"/>
        <v>0</v>
      </c>
      <c r="BL282" s="46">
        <f t="shared" si="772"/>
        <v>0</v>
      </c>
    </row>
    <row r="283" spans="1:64" ht="30" customHeight="1" x14ac:dyDescent="0.25">
      <c r="A283" s="84" t="str">
        <f t="shared" si="794"/>
        <v>Д</v>
      </c>
      <c r="B283" s="84" t="str">
        <f t="shared" si="839"/>
        <v>Б</v>
      </c>
      <c r="C283" s="101" t="s">
        <v>1465</v>
      </c>
      <c r="D283" s="16" t="str">
        <f t="shared" si="840"/>
        <v>'02.03.02</v>
      </c>
      <c r="E283" s="17" t="str">
        <f t="shared" si="841"/>
        <v>Фундаментальная информатика и информационные технологии</v>
      </c>
      <c r="F283" s="9" t="s">
        <v>413</v>
      </c>
      <c r="G283" s="9" t="s">
        <v>22</v>
      </c>
      <c r="H283" s="10" t="s">
        <v>3233</v>
      </c>
      <c r="I283" s="10"/>
      <c r="J283" s="24" t="s">
        <v>3208</v>
      </c>
      <c r="K283" s="11">
        <v>5</v>
      </c>
      <c r="L283" s="11">
        <v>18</v>
      </c>
      <c r="M283" s="8" t="s">
        <v>94</v>
      </c>
      <c r="N283" s="12"/>
      <c r="O283" s="11">
        <v>2</v>
      </c>
      <c r="P283" s="12"/>
      <c r="Q283" s="8"/>
      <c r="R283" s="11"/>
      <c r="S283" s="11"/>
      <c r="T283" s="23"/>
      <c r="U283" s="11"/>
      <c r="V283" s="11"/>
      <c r="W283" s="83" t="str">
        <f t="shared" si="795"/>
        <v>НФИбд</v>
      </c>
      <c r="X283" s="110" t="s">
        <v>3242</v>
      </c>
      <c r="Y283" s="11">
        <v>1</v>
      </c>
      <c r="Z283" s="11"/>
      <c r="AA283" s="83">
        <f t="shared" si="842"/>
        <v>14</v>
      </c>
      <c r="AB283" s="11">
        <v>9</v>
      </c>
      <c r="AC283" s="11">
        <v>5</v>
      </c>
      <c r="AD283" s="81">
        <f t="shared" si="796"/>
        <v>12</v>
      </c>
      <c r="AE283" s="82">
        <f t="shared" si="843"/>
        <v>1</v>
      </c>
      <c r="AF283" s="82">
        <f t="shared" si="844"/>
        <v>1.1666666666666667</v>
      </c>
      <c r="AG283" s="102" t="s">
        <v>3250</v>
      </c>
      <c r="AH283" s="113" t="s">
        <v>203</v>
      </c>
      <c r="AI283" s="113" t="s">
        <v>213</v>
      </c>
      <c r="AJ283" s="119" t="s">
        <v>3370</v>
      </c>
      <c r="AK283" s="8"/>
      <c r="AL283" s="42">
        <f t="shared" si="797"/>
        <v>0</v>
      </c>
      <c r="AM283" s="42">
        <f t="shared" si="845"/>
        <v>0</v>
      </c>
      <c r="AN283" s="42">
        <f t="shared" si="846"/>
        <v>36</v>
      </c>
      <c r="AO283" s="42">
        <f t="shared" si="847"/>
        <v>0</v>
      </c>
      <c r="AP283" s="42">
        <f t="shared" si="848"/>
        <v>0</v>
      </c>
      <c r="AQ283" s="42">
        <f t="shared" si="849"/>
        <v>0</v>
      </c>
      <c r="AR283" s="42">
        <f t="shared" si="798"/>
        <v>0</v>
      </c>
      <c r="AS283" s="42">
        <f t="shared" si="850"/>
        <v>0</v>
      </c>
      <c r="AT283" s="42">
        <f t="shared" si="851"/>
        <v>0</v>
      </c>
      <c r="AU283" s="42">
        <f t="shared" si="852"/>
        <v>0</v>
      </c>
      <c r="AV283" s="42">
        <f>IF(M283="ПП",РПП*AA283*(U283/1.5),IF(M283="ВП",ВПр*AA283*(U283/1.5),IF(M283="РПА",РПА*AA283*(U283/1.5),IF(M283="КПА",КПА*AA283*(U283/1.5),0))))</f>
        <v>0</v>
      </c>
      <c r="AW283" s="42">
        <f t="shared" si="853"/>
        <v>0</v>
      </c>
      <c r="AX283" s="42">
        <f t="shared" si="799"/>
        <v>0</v>
      </c>
      <c r="AY283" s="42">
        <f t="shared" si="800"/>
        <v>0</v>
      </c>
      <c r="AZ283" s="42">
        <f t="shared" si="854"/>
        <v>0</v>
      </c>
      <c r="BA283" s="42">
        <f t="shared" si="801"/>
        <v>0</v>
      </c>
      <c r="BB283" s="42">
        <f t="shared" si="802"/>
        <v>0</v>
      </c>
      <c r="BC283" s="42">
        <f t="shared" si="803"/>
        <v>0</v>
      </c>
      <c r="BD283" s="42">
        <f t="shared" si="855"/>
        <v>0</v>
      </c>
      <c r="BE283" s="43">
        <f t="shared" si="856"/>
        <v>36</v>
      </c>
      <c r="BF283" s="44"/>
      <c r="BG283" s="45">
        <f t="shared" si="857"/>
        <v>36</v>
      </c>
      <c r="BH283" s="45">
        <f t="shared" si="858"/>
        <v>1</v>
      </c>
      <c r="BI283" s="45">
        <f t="shared" si="859"/>
        <v>0</v>
      </c>
      <c r="BJ283" s="46">
        <f t="shared" si="770"/>
        <v>0</v>
      </c>
      <c r="BK283" s="46">
        <f t="shared" si="771"/>
        <v>0</v>
      </c>
      <c r="BL283" s="46">
        <f t="shared" si="772"/>
        <v>0</v>
      </c>
    </row>
    <row r="284" spans="1:64" ht="30" customHeight="1" x14ac:dyDescent="0.25">
      <c r="A284" s="84" t="str">
        <f t="shared" si="794"/>
        <v>Д</v>
      </c>
      <c r="B284" s="84" t="str">
        <f t="shared" si="763"/>
        <v>Б</v>
      </c>
      <c r="C284" s="101" t="s">
        <v>1465</v>
      </c>
      <c r="D284" s="16" t="str">
        <f t="shared" si="764"/>
        <v>'02.03.02</v>
      </c>
      <c r="E284" s="17" t="str">
        <f t="shared" si="765"/>
        <v>Фундаментальная информатика и информационные технологии</v>
      </c>
      <c r="F284" s="9" t="s">
        <v>413</v>
      </c>
      <c r="G284" s="9" t="s">
        <v>22</v>
      </c>
      <c r="H284" s="10" t="s">
        <v>3233</v>
      </c>
      <c r="I284" s="10"/>
      <c r="J284" s="24" t="s">
        <v>3208</v>
      </c>
      <c r="K284" s="11">
        <v>5</v>
      </c>
      <c r="L284" s="11">
        <v>18</v>
      </c>
      <c r="M284" s="8" t="s">
        <v>94</v>
      </c>
      <c r="N284" s="11"/>
      <c r="O284" s="11">
        <v>2</v>
      </c>
      <c r="P284" s="11"/>
      <c r="Q284" s="8"/>
      <c r="R284" s="11"/>
      <c r="S284" s="11"/>
      <c r="T284" s="23"/>
      <c r="U284" s="11"/>
      <c r="V284" s="11"/>
      <c r="W284" s="83" t="str">
        <f t="shared" si="795"/>
        <v>НФИбд</v>
      </c>
      <c r="X284" s="110" t="s">
        <v>3345</v>
      </c>
      <c r="Y284" s="11"/>
      <c r="Z284" s="11"/>
      <c r="AA284" s="83">
        <f t="shared" si="766"/>
        <v>0</v>
      </c>
      <c r="AB284" s="11"/>
      <c r="AC284" s="11"/>
      <c r="AD284" s="81">
        <f t="shared" si="796"/>
        <v>12</v>
      </c>
      <c r="AE284" s="82">
        <f t="shared" si="767"/>
        <v>0</v>
      </c>
      <c r="AF284" s="82">
        <f t="shared" si="768"/>
        <v>0</v>
      </c>
      <c r="AG284" s="102" t="s">
        <v>3250</v>
      </c>
      <c r="AH284" s="113" t="s">
        <v>203</v>
      </c>
      <c r="AI284" s="113" t="s">
        <v>213</v>
      </c>
      <c r="AJ284" s="119" t="s">
        <v>3370</v>
      </c>
      <c r="AK284" s="8"/>
      <c r="AL284" s="42">
        <f t="shared" si="797"/>
        <v>0</v>
      </c>
      <c r="AM284" s="42">
        <f t="shared" si="804"/>
        <v>0</v>
      </c>
      <c r="AN284" s="42">
        <f t="shared" si="805"/>
        <v>0</v>
      </c>
      <c r="AO284" s="42">
        <f t="shared" si="769"/>
        <v>0</v>
      </c>
      <c r="AP284" s="42">
        <f t="shared" si="806"/>
        <v>0</v>
      </c>
      <c r="AQ284" s="42">
        <f t="shared" si="807"/>
        <v>0</v>
      </c>
      <c r="AR284" s="42">
        <f t="shared" si="798"/>
        <v>0</v>
      </c>
      <c r="AS284" s="42">
        <f t="shared" si="808"/>
        <v>0</v>
      </c>
      <c r="AT284" s="42">
        <f t="shared" si="809"/>
        <v>0</v>
      </c>
      <c r="AU284" s="42">
        <f t="shared" si="810"/>
        <v>0</v>
      </c>
      <c r="AV284" s="42">
        <f>IF(M284="ПП",РПП*AA284*(U284/1.5),IF(M284="ВП",ВПр*AA284*(U284/1.5),IF(M284="РПА",РПА*AA284*(U284/1.5),IF(M284="КПА",КПА*AA284*(U284/1.5),0))))</f>
        <v>0</v>
      </c>
      <c r="AW284" s="42">
        <f t="shared" si="811"/>
        <v>0</v>
      </c>
      <c r="AX284" s="42">
        <f t="shared" si="799"/>
        <v>0</v>
      </c>
      <c r="AY284" s="42">
        <f t="shared" si="800"/>
        <v>0</v>
      </c>
      <c r="AZ284" s="42">
        <f t="shared" si="812"/>
        <v>0</v>
      </c>
      <c r="BA284" s="42">
        <f t="shared" si="801"/>
        <v>0</v>
      </c>
      <c r="BB284" s="42">
        <f t="shared" si="802"/>
        <v>0</v>
      </c>
      <c r="BC284" s="42">
        <f t="shared" si="803"/>
        <v>0</v>
      </c>
      <c r="BD284" s="42">
        <f t="shared" si="813"/>
        <v>0</v>
      </c>
      <c r="BE284" s="43">
        <f t="shared" si="814"/>
        <v>0</v>
      </c>
      <c r="BF284" s="44"/>
      <c r="BG284" s="45">
        <f t="shared" si="815"/>
        <v>0</v>
      </c>
      <c r="BH284" s="45">
        <f t="shared" si="816"/>
        <v>0</v>
      </c>
      <c r="BI284" s="45">
        <f t="shared" si="817"/>
        <v>0</v>
      </c>
      <c r="BJ284" s="46">
        <f t="shared" si="770"/>
        <v>0</v>
      </c>
      <c r="BK284" s="46">
        <f t="shared" si="771"/>
        <v>0</v>
      </c>
      <c r="BL284" s="46">
        <f t="shared" si="772"/>
        <v>0</v>
      </c>
    </row>
    <row r="285" spans="1:64" ht="30" customHeight="1" x14ac:dyDescent="0.25">
      <c r="A285" s="84" t="str">
        <f t="shared" si="794"/>
        <v>Д</v>
      </c>
      <c r="B285" s="84" t="str">
        <f t="shared" si="763"/>
        <v>Б</v>
      </c>
      <c r="C285" s="101" t="s">
        <v>1465</v>
      </c>
      <c r="D285" s="16" t="str">
        <f t="shared" si="764"/>
        <v>'02.03.02</v>
      </c>
      <c r="E285" s="17" t="str">
        <f t="shared" si="765"/>
        <v>Фундаментальная информатика и информационные технологии</v>
      </c>
      <c r="F285" s="9" t="s">
        <v>413</v>
      </c>
      <c r="G285" s="9" t="s">
        <v>22</v>
      </c>
      <c r="H285" s="10" t="s">
        <v>3233</v>
      </c>
      <c r="I285" s="10"/>
      <c r="J285" s="24" t="s">
        <v>3208</v>
      </c>
      <c r="K285" s="11">
        <v>5</v>
      </c>
      <c r="L285" s="11">
        <v>18</v>
      </c>
      <c r="M285" s="8" t="s">
        <v>94</v>
      </c>
      <c r="N285" s="12"/>
      <c r="O285" s="11">
        <v>2</v>
      </c>
      <c r="P285" s="12"/>
      <c r="Q285" s="8"/>
      <c r="R285" s="11"/>
      <c r="S285" s="11"/>
      <c r="T285" s="23"/>
      <c r="U285" s="11"/>
      <c r="V285" s="11"/>
      <c r="W285" s="83" t="str">
        <f t="shared" si="795"/>
        <v>НФИбд</v>
      </c>
      <c r="X285" s="110" t="s">
        <v>3345</v>
      </c>
      <c r="Y285" s="11"/>
      <c r="Z285" s="11"/>
      <c r="AA285" s="83">
        <f t="shared" si="766"/>
        <v>0</v>
      </c>
      <c r="AB285" s="11"/>
      <c r="AC285" s="11"/>
      <c r="AD285" s="81">
        <f t="shared" si="796"/>
        <v>12</v>
      </c>
      <c r="AE285" s="82">
        <f t="shared" si="767"/>
        <v>0</v>
      </c>
      <c r="AF285" s="82">
        <f t="shared" si="768"/>
        <v>0</v>
      </c>
      <c r="AG285" s="102" t="s">
        <v>3250</v>
      </c>
      <c r="AH285" s="113" t="s">
        <v>203</v>
      </c>
      <c r="AI285" s="113" t="s">
        <v>213</v>
      </c>
      <c r="AJ285" s="119" t="s">
        <v>3370</v>
      </c>
      <c r="AK285" s="8"/>
      <c r="AL285" s="42">
        <f t="shared" si="797"/>
        <v>0</v>
      </c>
      <c r="AM285" s="42">
        <f t="shared" si="804"/>
        <v>0</v>
      </c>
      <c r="AN285" s="42">
        <f t="shared" si="805"/>
        <v>0</v>
      </c>
      <c r="AO285" s="42">
        <f t="shared" si="769"/>
        <v>0</v>
      </c>
      <c r="AP285" s="42">
        <f t="shared" si="806"/>
        <v>0</v>
      </c>
      <c r="AQ285" s="42">
        <f t="shared" si="807"/>
        <v>0</v>
      </c>
      <c r="AR285" s="42">
        <f t="shared" si="798"/>
        <v>0</v>
      </c>
      <c r="AS285" s="42">
        <f t="shared" si="808"/>
        <v>0</v>
      </c>
      <c r="AT285" s="42">
        <f t="shared" si="809"/>
        <v>0</v>
      </c>
      <c r="AU285" s="42">
        <f t="shared" si="810"/>
        <v>0</v>
      </c>
      <c r="AV285" s="42">
        <f>IF(M285="ПП",РПП*AA285*(U285/1.5),IF(M285="ВП",ВПр*AA285*(U285/1.5),IF(M285="РПА",РПА*AA285*(U285/1.5),IF(M285="КПА",КПА*AA285*(U285/1.5),0))))</f>
        <v>0</v>
      </c>
      <c r="AW285" s="42">
        <f t="shared" si="811"/>
        <v>0</v>
      </c>
      <c r="AX285" s="42">
        <f t="shared" si="799"/>
        <v>0</v>
      </c>
      <c r="AY285" s="42">
        <f t="shared" si="800"/>
        <v>0</v>
      </c>
      <c r="AZ285" s="42">
        <f t="shared" si="812"/>
        <v>0</v>
      </c>
      <c r="BA285" s="42">
        <f t="shared" si="801"/>
        <v>0</v>
      </c>
      <c r="BB285" s="42">
        <f t="shared" si="802"/>
        <v>0</v>
      </c>
      <c r="BC285" s="42">
        <f t="shared" si="803"/>
        <v>0</v>
      </c>
      <c r="BD285" s="42">
        <f t="shared" si="813"/>
        <v>0</v>
      </c>
      <c r="BE285" s="43">
        <f t="shared" si="814"/>
        <v>0</v>
      </c>
      <c r="BF285" s="44"/>
      <c r="BG285" s="45">
        <f t="shared" si="815"/>
        <v>0</v>
      </c>
      <c r="BH285" s="45">
        <f t="shared" si="816"/>
        <v>0</v>
      </c>
      <c r="BI285" s="45">
        <f t="shared" si="817"/>
        <v>0</v>
      </c>
      <c r="BJ285" s="46">
        <f t="shared" si="770"/>
        <v>0</v>
      </c>
      <c r="BK285" s="46">
        <f t="shared" si="771"/>
        <v>0</v>
      </c>
      <c r="BL285" s="46">
        <f t="shared" si="772"/>
        <v>0</v>
      </c>
    </row>
    <row r="286" spans="1:64" ht="30" customHeight="1" x14ac:dyDescent="0.25">
      <c r="A286" s="84" t="str">
        <f t="shared" si="794"/>
        <v>Д</v>
      </c>
      <c r="B286" s="84" t="str">
        <f t="shared" si="763"/>
        <v>Б</v>
      </c>
      <c r="C286" s="101" t="s">
        <v>1465</v>
      </c>
      <c r="D286" s="16" t="str">
        <f t="shared" si="764"/>
        <v>'02.03.02</v>
      </c>
      <c r="E286" s="17" t="str">
        <f t="shared" si="765"/>
        <v>Фундаментальная информатика и информационные технологии</v>
      </c>
      <c r="F286" s="9" t="s">
        <v>413</v>
      </c>
      <c r="G286" s="9" t="s">
        <v>42</v>
      </c>
      <c r="H286" s="10" t="s">
        <v>3233</v>
      </c>
      <c r="I286" s="10"/>
      <c r="J286" s="24" t="s">
        <v>3267</v>
      </c>
      <c r="K286" s="11">
        <v>5</v>
      </c>
      <c r="L286" s="11">
        <v>18</v>
      </c>
      <c r="M286" s="8" t="s">
        <v>23</v>
      </c>
      <c r="N286" s="11">
        <v>1</v>
      </c>
      <c r="O286" s="11"/>
      <c r="P286" s="11"/>
      <c r="Q286" s="8" t="s">
        <v>103</v>
      </c>
      <c r="R286" s="11"/>
      <c r="S286" s="11"/>
      <c r="T286" s="11"/>
      <c r="U286" s="11"/>
      <c r="V286" s="11"/>
      <c r="W286" s="83" t="str">
        <f t="shared" si="795"/>
        <v>НФИбд</v>
      </c>
      <c r="X286" s="110" t="s">
        <v>3272</v>
      </c>
      <c r="Y286" s="11">
        <v>4</v>
      </c>
      <c r="Z286" s="11">
        <v>2</v>
      </c>
      <c r="AA286" s="83">
        <f t="shared" si="766"/>
        <v>60</v>
      </c>
      <c r="AB286" s="11">
        <v>39</v>
      </c>
      <c r="AC286" s="11">
        <v>21</v>
      </c>
      <c r="AD286" s="81">
        <f t="shared" si="796"/>
        <v>60</v>
      </c>
      <c r="AE286" s="82">
        <f t="shared" si="767"/>
        <v>1</v>
      </c>
      <c r="AF286" s="82">
        <f t="shared" si="768"/>
        <v>1</v>
      </c>
      <c r="AG286" s="102" t="s">
        <v>3250</v>
      </c>
      <c r="AH286" s="113" t="s">
        <v>204</v>
      </c>
      <c r="AI286" s="113" t="s">
        <v>212</v>
      </c>
      <c r="AJ286" s="119" t="s">
        <v>3261</v>
      </c>
      <c r="AK286" s="8"/>
      <c r="AL286" s="42">
        <f t="shared" si="797"/>
        <v>18</v>
      </c>
      <c r="AM286" s="42">
        <f t="shared" si="804"/>
        <v>0</v>
      </c>
      <c r="AN286" s="42">
        <f t="shared" si="805"/>
        <v>0</v>
      </c>
      <c r="AO286" s="42">
        <f t="shared" si="769"/>
        <v>19.8</v>
      </c>
      <c r="AP286" s="42">
        <f t="shared" si="806"/>
        <v>30</v>
      </c>
      <c r="AQ286" s="42">
        <f t="shared" si="807"/>
        <v>2</v>
      </c>
      <c r="AR286" s="42">
        <f t="shared" si="798"/>
        <v>1.8</v>
      </c>
      <c r="AS286" s="42">
        <f t="shared" si="808"/>
        <v>0</v>
      </c>
      <c r="AT286" s="42">
        <f t="shared" si="809"/>
        <v>0</v>
      </c>
      <c r="AU286" s="42">
        <f t="shared" si="810"/>
        <v>0</v>
      </c>
      <c r="AV286" s="42">
        <f>IF(M286="ПП",РПП*AA286*(U286/1.5),IF(M286="ВП",ВПр*AA286*(U286/1.5),IF(M286="РПА",РПА*AA286*(U286/1.5),IF(M286="КПА",КПА*AA286*(U286/1.5),0))))</f>
        <v>0</v>
      </c>
      <c r="AW286" s="42">
        <f t="shared" si="811"/>
        <v>0</v>
      </c>
      <c r="AX286" s="42">
        <f t="shared" si="799"/>
        <v>0</v>
      </c>
      <c r="AY286" s="42">
        <f t="shared" si="800"/>
        <v>0</v>
      </c>
      <c r="AZ286" s="42">
        <f t="shared" si="812"/>
        <v>0</v>
      </c>
      <c r="BA286" s="42">
        <f t="shared" si="801"/>
        <v>0</v>
      </c>
      <c r="BB286" s="42">
        <f t="shared" si="802"/>
        <v>0</v>
      </c>
      <c r="BC286" s="42">
        <f t="shared" si="803"/>
        <v>0</v>
      </c>
      <c r="BD286" s="42">
        <f t="shared" si="813"/>
        <v>0</v>
      </c>
      <c r="BE286" s="43">
        <f t="shared" si="814"/>
        <v>71.599999999999994</v>
      </c>
      <c r="BF286" s="44"/>
      <c r="BG286" s="45">
        <f t="shared" si="815"/>
        <v>18</v>
      </c>
      <c r="BH286" s="45">
        <f t="shared" si="816"/>
        <v>0.5</v>
      </c>
      <c r="BI286" s="45">
        <f t="shared" si="817"/>
        <v>53.599999999999994</v>
      </c>
      <c r="BJ286" s="46">
        <f t="shared" si="770"/>
        <v>0</v>
      </c>
      <c r="BK286" s="46">
        <f t="shared" si="771"/>
        <v>0</v>
      </c>
      <c r="BL286" s="46">
        <f t="shared" si="772"/>
        <v>0</v>
      </c>
    </row>
    <row r="287" spans="1:64" ht="30" customHeight="1" x14ac:dyDescent="0.25">
      <c r="A287" s="84" t="str">
        <f t="shared" si="794"/>
        <v>Д</v>
      </c>
      <c r="B287" s="84" t="str">
        <f t="shared" si="763"/>
        <v>Б</v>
      </c>
      <c r="C287" s="101" t="s">
        <v>1465</v>
      </c>
      <c r="D287" s="16" t="str">
        <f t="shared" si="764"/>
        <v>'02.03.02</v>
      </c>
      <c r="E287" s="17" t="str">
        <f t="shared" si="765"/>
        <v>Фундаментальная информатика и информационные технологии</v>
      </c>
      <c r="F287" s="9" t="s">
        <v>413</v>
      </c>
      <c r="G287" s="9" t="s">
        <v>42</v>
      </c>
      <c r="H287" s="10" t="s">
        <v>3233</v>
      </c>
      <c r="I287" s="10"/>
      <c r="J287" s="24" t="s">
        <v>3267</v>
      </c>
      <c r="K287" s="11">
        <v>5</v>
      </c>
      <c r="L287" s="11">
        <v>18</v>
      </c>
      <c r="M287" s="8" t="s">
        <v>94</v>
      </c>
      <c r="N287" s="11"/>
      <c r="O287" s="11">
        <v>2</v>
      </c>
      <c r="P287" s="11"/>
      <c r="Q287" s="8"/>
      <c r="R287" s="11"/>
      <c r="S287" s="11"/>
      <c r="T287" s="11"/>
      <c r="U287" s="11"/>
      <c r="V287" s="11"/>
      <c r="W287" s="83" t="str">
        <f t="shared" si="795"/>
        <v>НФИбд</v>
      </c>
      <c r="X287" s="110" t="s">
        <v>3241</v>
      </c>
      <c r="Y287" s="11">
        <v>1</v>
      </c>
      <c r="Z287" s="11">
        <v>1</v>
      </c>
      <c r="AA287" s="83">
        <f t="shared" si="766"/>
        <v>16</v>
      </c>
      <c r="AB287" s="11">
        <v>10</v>
      </c>
      <c r="AC287" s="11">
        <v>6</v>
      </c>
      <c r="AD287" s="81">
        <f t="shared" si="796"/>
        <v>12</v>
      </c>
      <c r="AE287" s="82">
        <f t="shared" si="767"/>
        <v>1</v>
      </c>
      <c r="AF287" s="82">
        <f t="shared" si="768"/>
        <v>1.3333333333333333</v>
      </c>
      <c r="AG287" s="102" t="s">
        <v>3250</v>
      </c>
      <c r="AH287" s="113" t="s">
        <v>203</v>
      </c>
      <c r="AI287" s="113" t="s">
        <v>213</v>
      </c>
      <c r="AJ287" s="119" t="s">
        <v>3262</v>
      </c>
      <c r="AK287" s="8"/>
      <c r="AL287" s="42">
        <f t="shared" si="797"/>
        <v>0</v>
      </c>
      <c r="AM287" s="42">
        <f t="shared" si="804"/>
        <v>0</v>
      </c>
      <c r="AN287" s="42">
        <f t="shared" si="805"/>
        <v>36</v>
      </c>
      <c r="AO287" s="42">
        <f t="shared" si="769"/>
        <v>0</v>
      </c>
      <c r="AP287" s="42">
        <f t="shared" si="806"/>
        <v>0</v>
      </c>
      <c r="AQ287" s="42">
        <f t="shared" si="807"/>
        <v>0</v>
      </c>
      <c r="AR287" s="42">
        <f t="shared" si="798"/>
        <v>0</v>
      </c>
      <c r="AS287" s="42">
        <f t="shared" si="808"/>
        <v>0</v>
      </c>
      <c r="AT287" s="42">
        <f t="shared" si="809"/>
        <v>0</v>
      </c>
      <c r="AU287" s="42">
        <f t="shared" si="810"/>
        <v>0</v>
      </c>
      <c r="AV287" s="42">
        <f>IF(M287="ПП",РПП*AA287*(U287/1.5),IF(M287="ВП",ВПр*AA287*(U287/1.5),IF(M287="РПА",РПА*AA287*(U287/1.5),IF(M287="КПА",КПА*AA287*(U287/1.5),0))))</f>
        <v>0</v>
      </c>
      <c r="AW287" s="42">
        <f t="shared" si="811"/>
        <v>0</v>
      </c>
      <c r="AX287" s="42">
        <f t="shared" si="799"/>
        <v>0</v>
      </c>
      <c r="AY287" s="42">
        <f t="shared" si="800"/>
        <v>0</v>
      </c>
      <c r="AZ287" s="42">
        <f t="shared" si="812"/>
        <v>0</v>
      </c>
      <c r="BA287" s="42">
        <f t="shared" si="801"/>
        <v>0</v>
      </c>
      <c r="BB287" s="42">
        <f t="shared" si="802"/>
        <v>0</v>
      </c>
      <c r="BC287" s="42">
        <f t="shared" si="803"/>
        <v>0</v>
      </c>
      <c r="BD287" s="42">
        <f t="shared" si="813"/>
        <v>0</v>
      </c>
      <c r="BE287" s="43">
        <f t="shared" si="814"/>
        <v>36</v>
      </c>
      <c r="BF287" s="44"/>
      <c r="BG287" s="45">
        <f t="shared" si="815"/>
        <v>36</v>
      </c>
      <c r="BH287" s="45">
        <f t="shared" si="816"/>
        <v>1</v>
      </c>
      <c r="BI287" s="45">
        <f t="shared" si="817"/>
        <v>0</v>
      </c>
      <c r="BJ287" s="46">
        <f t="shared" si="770"/>
        <v>0</v>
      </c>
      <c r="BK287" s="46">
        <f t="shared" si="771"/>
        <v>0</v>
      </c>
      <c r="BL287" s="46">
        <f t="shared" si="772"/>
        <v>0</v>
      </c>
    </row>
    <row r="288" spans="1:64" ht="30" customHeight="1" x14ac:dyDescent="0.25">
      <c r="A288" s="84" t="str">
        <f t="shared" si="794"/>
        <v>Д</v>
      </c>
      <c r="B288" s="84" t="str">
        <f t="shared" si="763"/>
        <v>Б</v>
      </c>
      <c r="C288" s="101" t="s">
        <v>1465</v>
      </c>
      <c r="D288" s="16" t="str">
        <f t="shared" si="764"/>
        <v>'02.03.02</v>
      </c>
      <c r="E288" s="17" t="str">
        <f t="shared" si="765"/>
        <v>Фундаментальная информатика и информационные технологии</v>
      </c>
      <c r="F288" s="9" t="s">
        <v>413</v>
      </c>
      <c r="G288" s="9" t="s">
        <v>42</v>
      </c>
      <c r="H288" s="10" t="s">
        <v>3233</v>
      </c>
      <c r="I288" s="10"/>
      <c r="J288" s="24" t="s">
        <v>3267</v>
      </c>
      <c r="K288" s="11">
        <v>5</v>
      </c>
      <c r="L288" s="11">
        <v>18</v>
      </c>
      <c r="M288" s="8" t="s">
        <v>94</v>
      </c>
      <c r="N288" s="11"/>
      <c r="O288" s="11">
        <v>2</v>
      </c>
      <c r="P288" s="11"/>
      <c r="Q288" s="8"/>
      <c r="R288" s="11"/>
      <c r="S288" s="11"/>
      <c r="T288" s="11"/>
      <c r="U288" s="11"/>
      <c r="V288" s="11"/>
      <c r="W288" s="83" t="str">
        <f t="shared" si="795"/>
        <v>НФИбд</v>
      </c>
      <c r="X288" s="110" t="s">
        <v>3241</v>
      </c>
      <c r="Y288" s="11">
        <v>1</v>
      </c>
      <c r="Z288" s="11"/>
      <c r="AA288" s="83">
        <f t="shared" si="766"/>
        <v>15</v>
      </c>
      <c r="AB288" s="11">
        <v>10</v>
      </c>
      <c r="AC288" s="11">
        <v>5</v>
      </c>
      <c r="AD288" s="81">
        <f t="shared" si="796"/>
        <v>12</v>
      </c>
      <c r="AE288" s="82">
        <f t="shared" si="767"/>
        <v>1</v>
      </c>
      <c r="AF288" s="82">
        <f t="shared" si="768"/>
        <v>1.25</v>
      </c>
      <c r="AG288" s="102" t="s">
        <v>3250</v>
      </c>
      <c r="AH288" s="113" t="s">
        <v>203</v>
      </c>
      <c r="AI288" s="113" t="s">
        <v>213</v>
      </c>
      <c r="AJ288" s="119" t="s">
        <v>3262</v>
      </c>
      <c r="AK288" s="8"/>
      <c r="AL288" s="42">
        <f t="shared" si="797"/>
        <v>0</v>
      </c>
      <c r="AM288" s="42">
        <f t="shared" si="804"/>
        <v>0</v>
      </c>
      <c r="AN288" s="42">
        <f t="shared" si="805"/>
        <v>36</v>
      </c>
      <c r="AO288" s="42">
        <f t="shared" si="769"/>
        <v>0</v>
      </c>
      <c r="AP288" s="42">
        <f t="shared" si="806"/>
        <v>0</v>
      </c>
      <c r="AQ288" s="42">
        <f t="shared" si="807"/>
        <v>0</v>
      </c>
      <c r="AR288" s="42">
        <f t="shared" si="798"/>
        <v>0</v>
      </c>
      <c r="AS288" s="42">
        <f t="shared" si="808"/>
        <v>0</v>
      </c>
      <c r="AT288" s="42">
        <f t="shared" si="809"/>
        <v>0</v>
      </c>
      <c r="AU288" s="42">
        <f t="shared" si="810"/>
        <v>0</v>
      </c>
      <c r="AV288" s="42">
        <f>IF(M288="ПП",РПП*AA288*(U288/1.5),IF(M288="ВП",ВПр*AA288*(U288/1.5),IF(M288="РПА",РПА*AA288*(U288/1.5),IF(M288="КПА",КПА*AA288*(U288/1.5),0))))</f>
        <v>0</v>
      </c>
      <c r="AW288" s="42">
        <f t="shared" si="811"/>
        <v>0</v>
      </c>
      <c r="AX288" s="42">
        <f t="shared" si="799"/>
        <v>0</v>
      </c>
      <c r="AY288" s="42">
        <f t="shared" si="800"/>
        <v>0</v>
      </c>
      <c r="AZ288" s="42">
        <f t="shared" si="812"/>
        <v>0</v>
      </c>
      <c r="BA288" s="42">
        <f t="shared" si="801"/>
        <v>0</v>
      </c>
      <c r="BB288" s="42">
        <f t="shared" si="802"/>
        <v>0</v>
      </c>
      <c r="BC288" s="42">
        <f t="shared" si="803"/>
        <v>0</v>
      </c>
      <c r="BD288" s="42">
        <f t="shared" si="813"/>
        <v>0</v>
      </c>
      <c r="BE288" s="43">
        <f t="shared" si="814"/>
        <v>36</v>
      </c>
      <c r="BF288" s="44"/>
      <c r="BG288" s="45">
        <f t="shared" si="815"/>
        <v>36</v>
      </c>
      <c r="BH288" s="45">
        <f t="shared" si="816"/>
        <v>1</v>
      </c>
      <c r="BI288" s="45">
        <f t="shared" si="817"/>
        <v>0</v>
      </c>
      <c r="BJ288" s="46">
        <f t="shared" si="770"/>
        <v>0</v>
      </c>
      <c r="BK288" s="46">
        <f t="shared" si="771"/>
        <v>0</v>
      </c>
      <c r="BL288" s="46">
        <f t="shared" si="772"/>
        <v>0</v>
      </c>
    </row>
    <row r="289" spans="1:64" ht="30" customHeight="1" x14ac:dyDescent="0.25">
      <c r="A289" s="84" t="str">
        <f t="shared" si="794"/>
        <v>Д</v>
      </c>
      <c r="B289" s="84" t="str">
        <f t="shared" ref="B289:B290" si="860">IF(C289&gt;0, VLOOKUP(C289,Код_ООП,11,FALSE),0)</f>
        <v>Б</v>
      </c>
      <c r="C289" s="101" t="s">
        <v>1465</v>
      </c>
      <c r="D289" s="16" t="str">
        <f t="shared" ref="D289:D290" si="861">IF(C289&gt;0, VLOOKUP(C289,Код_ООП,2,FALSE),0)</f>
        <v>'02.03.02</v>
      </c>
      <c r="E289" s="17" t="str">
        <f t="shared" ref="E289:E290" si="862">IF(C289&gt;0, VLOOKUP(C289,Код_ООП,13,FALSE),0)</f>
        <v>Фундаментальная информатика и информационные технологии</v>
      </c>
      <c r="F289" s="9" t="s">
        <v>413</v>
      </c>
      <c r="G289" s="9" t="s">
        <v>42</v>
      </c>
      <c r="H289" s="10" t="s">
        <v>3233</v>
      </c>
      <c r="I289" s="10"/>
      <c r="J289" s="24" t="s">
        <v>3267</v>
      </c>
      <c r="K289" s="11">
        <v>5</v>
      </c>
      <c r="L289" s="11">
        <v>18</v>
      </c>
      <c r="M289" s="8" t="s">
        <v>94</v>
      </c>
      <c r="N289" s="11"/>
      <c r="O289" s="11">
        <v>2</v>
      </c>
      <c r="P289" s="11"/>
      <c r="Q289" s="8"/>
      <c r="R289" s="11"/>
      <c r="S289" s="11"/>
      <c r="T289" s="11"/>
      <c r="U289" s="11"/>
      <c r="V289" s="11"/>
      <c r="W289" s="83" t="str">
        <f t="shared" si="795"/>
        <v>НФИбд</v>
      </c>
      <c r="X289" s="110" t="s">
        <v>3242</v>
      </c>
      <c r="Y289" s="11">
        <v>1</v>
      </c>
      <c r="Z289" s="11">
        <v>1</v>
      </c>
      <c r="AA289" s="83">
        <f t="shared" ref="AA289:AA290" si="863">AB289+AC289</f>
        <v>15</v>
      </c>
      <c r="AB289" s="11">
        <v>10</v>
      </c>
      <c r="AC289" s="11">
        <v>5</v>
      </c>
      <c r="AD289" s="81">
        <f t="shared" si="796"/>
        <v>12</v>
      </c>
      <c r="AE289" s="82">
        <f t="shared" ref="AE289:AE290" si="864">IF(AF289&gt;1,1,AF289)</f>
        <v>1</v>
      </c>
      <c r="AF289" s="82">
        <f t="shared" ref="AF289:AF290" si="865">AA289/AD289</f>
        <v>1.25</v>
      </c>
      <c r="AG289" s="102" t="s">
        <v>3250</v>
      </c>
      <c r="AH289" s="113" t="s">
        <v>203</v>
      </c>
      <c r="AI289" s="113" t="s">
        <v>213</v>
      </c>
      <c r="AJ289" s="119" t="s">
        <v>3262</v>
      </c>
      <c r="AK289" s="8"/>
      <c r="AL289" s="42">
        <f t="shared" si="797"/>
        <v>0</v>
      </c>
      <c r="AM289" s="42">
        <f t="shared" ref="AM289:AM290" si="866">IF(OR(M289="пр",M289="ия",M289="сп"),P289*AE289*L289,0)</f>
        <v>0</v>
      </c>
      <c r="AN289" s="42">
        <f t="shared" ref="AN289:AN290" si="867">IF(OR(M289="лаб",M289="клн"),O289*AE289*L289,0)</f>
        <v>36</v>
      </c>
      <c r="AO289" s="42">
        <f t="shared" ref="AO289:AO290" si="868">(IF((AND(OR(K289=1,K289=2,K289=3,K289=4,K289=5,K289=6,K289=7,K289=8,K289=9,K289=10,K289=11,K289=12),OR(Q289="Зач",Q289="Экз"))),ТКиРА*AA289,0)+IF(SUM(N289:P289)&lt;&gt;0,IF(Q289="ТК",ТКиРА*AA289,0),0))*(IF(F289="ФТД",0,1))</f>
        <v>0</v>
      </c>
      <c r="AP289" s="42">
        <f t="shared" ref="AP289:AP290" si="869">IF(SUM(O289:P289)&lt;&gt;0,IF(Q289="Зач",ПАБРС*AA289,0),0)+IF(N289&lt;&gt;0,IF(Q289="Экз",ПАБРС*AA289,0),0)</f>
        <v>0</v>
      </c>
      <c r="AQ289" s="42">
        <f t="shared" ref="AQ289:AQ290" si="870">(IF(AP289&lt;&gt;0,ОфВед*(IF(OR(M289="лек",M289="лаб"),Z289,AE289)),0))*(IF(F289="ФТД",0,1))</f>
        <v>0</v>
      </c>
      <c r="AR289" s="42">
        <f t="shared" si="798"/>
        <v>0</v>
      </c>
      <c r="AS289" s="42">
        <f t="shared" ref="AS289:AS290" si="871">IF(OR(M289="лаб",M289="пр"),IF(R289="К",AA289*ВПКР,IF(R289="М",AA289*ВПИБ,0)),0)</f>
        <v>0</v>
      </c>
      <c r="AT289" s="42">
        <f t="shared" ref="AT289:AT290" si="872">IF(OR(M289="лаб",M289="пр"),IF(S289="К",AA289*ВПКП,0),0)</f>
        <v>0</v>
      </c>
      <c r="AU289" s="42">
        <f t="shared" ref="AU289:AU290" si="873">IF(M289="УП",T289/1.5*AA289*РУП,IF(M289="УПМ",T289/1.5*AA289*РУПЛеч,0))</f>
        <v>0</v>
      </c>
      <c r="AV289" s="42">
        <f>IF(M289="ПП",РПП*AA289*(U289/1.5),IF(M289="ВП",ВПр*AA289*(U289/1.5),IF(M289="РПА",РПА*AA289*(U289/1.5),IF(M289="КПА",КПА*AA289*(U289/1.5),0))))</f>
        <v>0</v>
      </c>
      <c r="AW289" s="42">
        <f t="shared" ref="AW289:AW290" si="874">IF(M289="НР",(AB289*НИРМ+AC289*НИРМИн)*(V289/1.5),IF(M289="НИ",(AB289*НИРА+AC289*НИРАИ)*(V289/1.5),0))</f>
        <v>0</v>
      </c>
      <c r="AX289" s="42">
        <f t="shared" si="799"/>
        <v>0</v>
      </c>
      <c r="AY289" s="42">
        <f t="shared" si="800"/>
        <v>0</v>
      </c>
      <c r="AZ289" s="42">
        <f t="shared" ref="AZ289:AZ290" si="875">IF(AND(Q289="КЭ",M289="ЧК"),AA289*КдЭк,0)</f>
        <v>0</v>
      </c>
      <c r="BA289" s="42">
        <f t="shared" si="801"/>
        <v>0</v>
      </c>
      <c r="BB289" s="42">
        <f t="shared" si="802"/>
        <v>0</v>
      </c>
      <c r="BC289" s="42">
        <f t="shared" si="803"/>
        <v>0</v>
      </c>
      <c r="BD289" s="42">
        <f t="shared" ref="BD289:BD290" si="876">IF(M289="ЧГ",AA289*ЧГ,IF(M289="ПГ",AA289*ПГ,IF(M289="ТЕСТ",ТГИЭ*AE289,IF(M289="СГ",AA289*СГ,0))))</f>
        <v>0</v>
      </c>
      <c r="BE289" s="43">
        <f t="shared" ref="BE289:BE290" si="877">SUM(AL289:BD289)</f>
        <v>36</v>
      </c>
      <c r="BF289" s="44"/>
      <c r="BG289" s="45">
        <f t="shared" ref="BG289:BG290" si="878">IF(OR(K289="1;1",K289="1;2",K289=1,K289="3;1",K289="3;2",K289=3,K289="5;1",K289="5;2",K289=5,K289="7;1",K289="7;2",K289=7,K289="9;1",K289="9;2",K289=9,K289=11),SUM(AL289:AN289),0)</f>
        <v>36</v>
      </c>
      <c r="BH289" s="45">
        <f t="shared" ref="BH289:BH290" si="879">IF(BG289&lt;&gt;0,SUM(N289:P289)/2,0)</f>
        <v>1</v>
      </c>
      <c r="BI289" s="45">
        <f t="shared" ref="BI289:BI290" si="880">IF(OR(K289="1;1",K289="1;2",K289=1,K289="3;1",K289="3;2",K289=3,K289="5;1",K289="5;2",K289=5,K289="7;1",K289="7;2",K289=7,K289="9;1",K289="9;2",K289=9,K289=11),SUM(AO289:BD289),0)</f>
        <v>0</v>
      </c>
      <c r="BJ289" s="46">
        <f t="shared" si="770"/>
        <v>0</v>
      </c>
      <c r="BK289" s="46">
        <f t="shared" si="771"/>
        <v>0</v>
      </c>
      <c r="BL289" s="46">
        <f t="shared" si="772"/>
        <v>0</v>
      </c>
    </row>
    <row r="290" spans="1:64" ht="30" customHeight="1" x14ac:dyDescent="0.25">
      <c r="A290" s="84" t="str">
        <f t="shared" si="794"/>
        <v>Д</v>
      </c>
      <c r="B290" s="84" t="str">
        <f t="shared" si="860"/>
        <v>Б</v>
      </c>
      <c r="C290" s="101" t="s">
        <v>1465</v>
      </c>
      <c r="D290" s="16" t="str">
        <f t="shared" si="861"/>
        <v>'02.03.02</v>
      </c>
      <c r="E290" s="17" t="str">
        <f t="shared" si="862"/>
        <v>Фундаментальная информатика и информационные технологии</v>
      </c>
      <c r="F290" s="9" t="s">
        <v>413</v>
      </c>
      <c r="G290" s="9" t="s">
        <v>42</v>
      </c>
      <c r="H290" s="10" t="s">
        <v>3233</v>
      </c>
      <c r="I290" s="10"/>
      <c r="J290" s="24" t="s">
        <v>3267</v>
      </c>
      <c r="K290" s="11">
        <v>5</v>
      </c>
      <c r="L290" s="11">
        <v>18</v>
      </c>
      <c r="M290" s="8" t="s">
        <v>94</v>
      </c>
      <c r="N290" s="11"/>
      <c r="O290" s="11">
        <v>2</v>
      </c>
      <c r="P290" s="11"/>
      <c r="Q290" s="8"/>
      <c r="R290" s="11"/>
      <c r="S290" s="11"/>
      <c r="T290" s="11"/>
      <c r="U290" s="11"/>
      <c r="V290" s="11"/>
      <c r="W290" s="83" t="str">
        <f t="shared" si="795"/>
        <v>НФИбд</v>
      </c>
      <c r="X290" s="110" t="s">
        <v>3242</v>
      </c>
      <c r="Y290" s="11">
        <v>1</v>
      </c>
      <c r="Z290" s="11"/>
      <c r="AA290" s="83">
        <f t="shared" si="863"/>
        <v>14</v>
      </c>
      <c r="AB290" s="11">
        <v>9</v>
      </c>
      <c r="AC290" s="11">
        <v>5</v>
      </c>
      <c r="AD290" s="81">
        <f t="shared" si="796"/>
        <v>12</v>
      </c>
      <c r="AE290" s="82">
        <f t="shared" si="864"/>
        <v>1</v>
      </c>
      <c r="AF290" s="82">
        <f t="shared" si="865"/>
        <v>1.1666666666666667</v>
      </c>
      <c r="AG290" s="102" t="s">
        <v>3250</v>
      </c>
      <c r="AH290" s="113" t="s">
        <v>203</v>
      </c>
      <c r="AI290" s="113" t="s">
        <v>213</v>
      </c>
      <c r="AJ290" s="119" t="s">
        <v>3262</v>
      </c>
      <c r="AK290" s="8"/>
      <c r="AL290" s="42">
        <f t="shared" si="797"/>
        <v>0</v>
      </c>
      <c r="AM290" s="42">
        <f t="shared" si="866"/>
        <v>0</v>
      </c>
      <c r="AN290" s="42">
        <f t="shared" si="867"/>
        <v>36</v>
      </c>
      <c r="AO290" s="42">
        <f t="shared" si="868"/>
        <v>0</v>
      </c>
      <c r="AP290" s="42">
        <f t="shared" si="869"/>
        <v>0</v>
      </c>
      <c r="AQ290" s="42">
        <f t="shared" si="870"/>
        <v>0</v>
      </c>
      <c r="AR290" s="42">
        <f t="shared" si="798"/>
        <v>0</v>
      </c>
      <c r="AS290" s="42">
        <f t="shared" si="871"/>
        <v>0</v>
      </c>
      <c r="AT290" s="42">
        <f t="shared" si="872"/>
        <v>0</v>
      </c>
      <c r="AU290" s="42">
        <f t="shared" si="873"/>
        <v>0</v>
      </c>
      <c r="AV290" s="42">
        <f>IF(M290="ПП",РПП*AA290*(U290/1.5),IF(M290="ВП",ВПр*AA290*(U290/1.5),IF(M290="РПА",РПА*AA290*(U290/1.5),IF(M290="КПА",КПА*AA290*(U290/1.5),0))))</f>
        <v>0</v>
      </c>
      <c r="AW290" s="42">
        <f t="shared" si="874"/>
        <v>0</v>
      </c>
      <c r="AX290" s="42">
        <f t="shared" si="799"/>
        <v>0</v>
      </c>
      <c r="AY290" s="42">
        <f t="shared" si="800"/>
        <v>0</v>
      </c>
      <c r="AZ290" s="42">
        <f t="shared" si="875"/>
        <v>0</v>
      </c>
      <c r="BA290" s="42">
        <f t="shared" si="801"/>
        <v>0</v>
      </c>
      <c r="BB290" s="42">
        <f t="shared" si="802"/>
        <v>0</v>
      </c>
      <c r="BC290" s="42">
        <f t="shared" si="803"/>
        <v>0</v>
      </c>
      <c r="BD290" s="42">
        <f t="shared" si="876"/>
        <v>0</v>
      </c>
      <c r="BE290" s="43">
        <f t="shared" si="877"/>
        <v>36</v>
      </c>
      <c r="BF290" s="44"/>
      <c r="BG290" s="45">
        <f t="shared" si="878"/>
        <v>36</v>
      </c>
      <c r="BH290" s="45">
        <f t="shared" si="879"/>
        <v>1</v>
      </c>
      <c r="BI290" s="45">
        <f t="shared" si="880"/>
        <v>0</v>
      </c>
      <c r="BJ290" s="46">
        <f t="shared" si="770"/>
        <v>0</v>
      </c>
      <c r="BK290" s="46">
        <f t="shared" si="771"/>
        <v>0</v>
      </c>
      <c r="BL290" s="46">
        <f t="shared" si="772"/>
        <v>0</v>
      </c>
    </row>
    <row r="291" spans="1:64" ht="30" customHeight="1" x14ac:dyDescent="0.25">
      <c r="A291" s="84" t="str">
        <f t="shared" si="794"/>
        <v>Д</v>
      </c>
      <c r="B291" s="84" t="str">
        <f t="shared" si="763"/>
        <v>Б</v>
      </c>
      <c r="C291" s="101" t="s">
        <v>1465</v>
      </c>
      <c r="D291" s="16" t="str">
        <f t="shared" si="764"/>
        <v>'02.03.02</v>
      </c>
      <c r="E291" s="17" t="str">
        <f t="shared" si="765"/>
        <v>Фундаментальная информатика и информационные технологии</v>
      </c>
      <c r="F291" s="9" t="s">
        <v>413</v>
      </c>
      <c r="G291" s="9" t="s">
        <v>42</v>
      </c>
      <c r="H291" s="10" t="s">
        <v>3233</v>
      </c>
      <c r="I291" s="10"/>
      <c r="J291" s="24" t="s">
        <v>3267</v>
      </c>
      <c r="K291" s="11">
        <v>5</v>
      </c>
      <c r="L291" s="11">
        <v>18</v>
      </c>
      <c r="M291" s="8" t="s">
        <v>94</v>
      </c>
      <c r="N291" s="11"/>
      <c r="O291" s="11">
        <v>2</v>
      </c>
      <c r="P291" s="11"/>
      <c r="Q291" s="8"/>
      <c r="R291" s="11"/>
      <c r="S291" s="11"/>
      <c r="T291" s="11"/>
      <c r="U291" s="11"/>
      <c r="V291" s="11"/>
      <c r="W291" s="83" t="str">
        <f t="shared" si="795"/>
        <v>НФИбд</v>
      </c>
      <c r="X291" s="110" t="s">
        <v>3345</v>
      </c>
      <c r="Y291" s="11"/>
      <c r="Z291" s="11"/>
      <c r="AA291" s="83">
        <f t="shared" si="766"/>
        <v>0</v>
      </c>
      <c r="AB291" s="11"/>
      <c r="AC291" s="11"/>
      <c r="AD291" s="81">
        <f t="shared" si="796"/>
        <v>12</v>
      </c>
      <c r="AE291" s="82">
        <f t="shared" si="767"/>
        <v>0</v>
      </c>
      <c r="AF291" s="82">
        <f t="shared" si="768"/>
        <v>0</v>
      </c>
      <c r="AG291" s="102" t="s">
        <v>3250</v>
      </c>
      <c r="AH291" s="113" t="s">
        <v>203</v>
      </c>
      <c r="AI291" s="113" t="s">
        <v>213</v>
      </c>
      <c r="AJ291" s="119" t="s">
        <v>3262</v>
      </c>
      <c r="AK291" s="8"/>
      <c r="AL291" s="42">
        <f t="shared" si="797"/>
        <v>0</v>
      </c>
      <c r="AM291" s="42">
        <f t="shared" si="804"/>
        <v>0</v>
      </c>
      <c r="AN291" s="42">
        <f t="shared" si="805"/>
        <v>0</v>
      </c>
      <c r="AO291" s="42">
        <f t="shared" si="769"/>
        <v>0</v>
      </c>
      <c r="AP291" s="42">
        <f t="shared" si="806"/>
        <v>0</v>
      </c>
      <c r="AQ291" s="42">
        <f t="shared" si="807"/>
        <v>0</v>
      </c>
      <c r="AR291" s="42">
        <f t="shared" si="798"/>
        <v>0</v>
      </c>
      <c r="AS291" s="42">
        <f t="shared" si="808"/>
        <v>0</v>
      </c>
      <c r="AT291" s="42">
        <f t="shared" si="809"/>
        <v>0</v>
      </c>
      <c r="AU291" s="42">
        <f t="shared" si="810"/>
        <v>0</v>
      </c>
      <c r="AV291" s="42">
        <f>IF(M291="ПП",РПП*AA291*(U291/1.5),IF(M291="ВП",ВПр*AA291*(U291/1.5),IF(M291="РПА",РПА*AA291*(U291/1.5),IF(M291="КПА",КПА*AA291*(U291/1.5),0))))</f>
        <v>0</v>
      </c>
      <c r="AW291" s="42">
        <f t="shared" si="811"/>
        <v>0</v>
      </c>
      <c r="AX291" s="42">
        <f t="shared" si="799"/>
        <v>0</v>
      </c>
      <c r="AY291" s="42">
        <f t="shared" si="800"/>
        <v>0</v>
      </c>
      <c r="AZ291" s="42">
        <f t="shared" si="812"/>
        <v>0</v>
      </c>
      <c r="BA291" s="42">
        <f t="shared" si="801"/>
        <v>0</v>
      </c>
      <c r="BB291" s="42">
        <f t="shared" si="802"/>
        <v>0</v>
      </c>
      <c r="BC291" s="42">
        <f t="shared" si="803"/>
        <v>0</v>
      </c>
      <c r="BD291" s="42">
        <f t="shared" si="813"/>
        <v>0</v>
      </c>
      <c r="BE291" s="43">
        <f t="shared" si="814"/>
        <v>0</v>
      </c>
      <c r="BF291" s="44"/>
      <c r="BG291" s="45">
        <f t="shared" si="815"/>
        <v>0</v>
      </c>
      <c r="BH291" s="45">
        <f t="shared" si="816"/>
        <v>0</v>
      </c>
      <c r="BI291" s="45">
        <f t="shared" si="817"/>
        <v>0</v>
      </c>
      <c r="BJ291" s="46">
        <f t="shared" si="770"/>
        <v>0</v>
      </c>
      <c r="BK291" s="46">
        <f t="shared" si="771"/>
        <v>0</v>
      </c>
      <c r="BL291" s="46">
        <f t="shared" si="772"/>
        <v>0</v>
      </c>
    </row>
    <row r="292" spans="1:64" ht="30" customHeight="1" x14ac:dyDescent="0.25">
      <c r="A292" s="84" t="str">
        <f t="shared" si="794"/>
        <v>Д</v>
      </c>
      <c r="B292" s="84" t="str">
        <f t="shared" si="763"/>
        <v>Б</v>
      </c>
      <c r="C292" s="101" t="s">
        <v>1465</v>
      </c>
      <c r="D292" s="16" t="str">
        <f t="shared" si="764"/>
        <v>'02.03.02</v>
      </c>
      <c r="E292" s="17" t="str">
        <f t="shared" si="765"/>
        <v>Фундаментальная информатика и информационные технологии</v>
      </c>
      <c r="F292" s="9" t="s">
        <v>413</v>
      </c>
      <c r="G292" s="9" t="s">
        <v>42</v>
      </c>
      <c r="H292" s="10" t="s">
        <v>3233</v>
      </c>
      <c r="I292" s="10"/>
      <c r="J292" s="24" t="s">
        <v>3267</v>
      </c>
      <c r="K292" s="11">
        <v>5</v>
      </c>
      <c r="L292" s="11">
        <v>18</v>
      </c>
      <c r="M292" s="8" t="s">
        <v>94</v>
      </c>
      <c r="N292" s="11"/>
      <c r="O292" s="11">
        <v>2</v>
      </c>
      <c r="P292" s="11"/>
      <c r="Q292" s="8"/>
      <c r="R292" s="11"/>
      <c r="S292" s="11"/>
      <c r="T292" s="11"/>
      <c r="U292" s="11"/>
      <c r="V292" s="11"/>
      <c r="W292" s="83" t="str">
        <f t="shared" si="795"/>
        <v>НФИбд</v>
      </c>
      <c r="X292" s="110" t="s">
        <v>3345</v>
      </c>
      <c r="Y292" s="11"/>
      <c r="Z292" s="11"/>
      <c r="AA292" s="83">
        <f t="shared" si="766"/>
        <v>0</v>
      </c>
      <c r="AB292" s="11"/>
      <c r="AC292" s="11"/>
      <c r="AD292" s="81">
        <f t="shared" si="796"/>
        <v>12</v>
      </c>
      <c r="AE292" s="82">
        <f t="shared" si="767"/>
        <v>0</v>
      </c>
      <c r="AF292" s="82">
        <f t="shared" si="768"/>
        <v>0</v>
      </c>
      <c r="AG292" s="102" t="s">
        <v>3250</v>
      </c>
      <c r="AH292" s="113" t="s">
        <v>203</v>
      </c>
      <c r="AI292" s="113" t="s">
        <v>213</v>
      </c>
      <c r="AJ292" s="119" t="s">
        <v>3262</v>
      </c>
      <c r="AK292" s="8"/>
      <c r="AL292" s="42">
        <f t="shared" si="797"/>
        <v>0</v>
      </c>
      <c r="AM292" s="42">
        <f t="shared" si="804"/>
        <v>0</v>
      </c>
      <c r="AN292" s="42">
        <f t="shared" si="805"/>
        <v>0</v>
      </c>
      <c r="AO292" s="42">
        <f t="shared" ref="AO292:AO331" si="881">(IF((AND(OR(K292=1,K292=2,K292=3,K292=4,K292=5,K292=6,K292=7,K292=8,K292=9,K292=10,K292=11,K292=12),OR(Q292="Зач",Q292="Экз"))),ТКиРА*AA292,0)+IF(SUM(N292:P292)&lt;&gt;0,IF(Q292="ТК",ТКиРА*AA292,0),0))*(IF(F292="ФТД",0,1))</f>
        <v>0</v>
      </c>
      <c r="AP292" s="42">
        <f t="shared" si="806"/>
        <v>0</v>
      </c>
      <c r="AQ292" s="42">
        <f t="shared" si="807"/>
        <v>0</v>
      </c>
      <c r="AR292" s="42">
        <f t="shared" si="798"/>
        <v>0</v>
      </c>
      <c r="AS292" s="42">
        <f t="shared" si="808"/>
        <v>0</v>
      </c>
      <c r="AT292" s="42">
        <f t="shared" si="809"/>
        <v>0</v>
      </c>
      <c r="AU292" s="42">
        <f t="shared" si="810"/>
        <v>0</v>
      </c>
      <c r="AV292" s="42">
        <f>IF(M292="ПП",РПП*AA292*(U292/1.5),IF(M292="ВП",ВПр*AA292*(U292/1.5),IF(M292="РПА",РПА*AA292*(U292/1.5),IF(M292="КПА",КПА*AA292*(U292/1.5),0))))</f>
        <v>0</v>
      </c>
      <c r="AW292" s="42">
        <f t="shared" si="811"/>
        <v>0</v>
      </c>
      <c r="AX292" s="42">
        <f t="shared" si="799"/>
        <v>0</v>
      </c>
      <c r="AY292" s="42">
        <f t="shared" si="800"/>
        <v>0</v>
      </c>
      <c r="AZ292" s="42">
        <f t="shared" si="812"/>
        <v>0</v>
      </c>
      <c r="BA292" s="42">
        <f t="shared" si="801"/>
        <v>0</v>
      </c>
      <c r="BB292" s="42">
        <f t="shared" si="802"/>
        <v>0</v>
      </c>
      <c r="BC292" s="42">
        <f t="shared" si="803"/>
        <v>0</v>
      </c>
      <c r="BD292" s="42">
        <f t="shared" si="813"/>
        <v>0</v>
      </c>
      <c r="BE292" s="43">
        <f t="shared" si="814"/>
        <v>0</v>
      </c>
      <c r="BF292" s="44"/>
      <c r="BG292" s="45">
        <f t="shared" si="815"/>
        <v>0</v>
      </c>
      <c r="BH292" s="45">
        <f t="shared" si="816"/>
        <v>0</v>
      </c>
      <c r="BI292" s="45">
        <f t="shared" si="817"/>
        <v>0</v>
      </c>
      <c r="BJ292" s="46">
        <f t="shared" si="770"/>
        <v>0</v>
      </c>
      <c r="BK292" s="46">
        <f t="shared" si="771"/>
        <v>0</v>
      </c>
      <c r="BL292" s="46">
        <f t="shared" si="772"/>
        <v>0</v>
      </c>
    </row>
    <row r="293" spans="1:64" ht="30" customHeight="1" x14ac:dyDescent="0.25">
      <c r="A293" s="84" t="str">
        <f t="shared" si="794"/>
        <v>Д</v>
      </c>
      <c r="B293" s="84" t="str">
        <f t="shared" si="763"/>
        <v>Б</v>
      </c>
      <c r="C293" s="101" t="s">
        <v>1465</v>
      </c>
      <c r="D293" s="16" t="str">
        <f t="shared" si="764"/>
        <v>'02.03.02</v>
      </c>
      <c r="E293" s="17" t="str">
        <f t="shared" si="765"/>
        <v>Фундаментальная информатика и информационные технологии</v>
      </c>
      <c r="F293" s="9" t="s">
        <v>413</v>
      </c>
      <c r="G293" s="9" t="s">
        <v>42</v>
      </c>
      <c r="H293" s="10" t="s">
        <v>3233</v>
      </c>
      <c r="I293" s="10"/>
      <c r="J293" s="24" t="s">
        <v>3209</v>
      </c>
      <c r="K293" s="11">
        <v>5</v>
      </c>
      <c r="L293" s="11">
        <v>18</v>
      </c>
      <c r="M293" s="8" t="s">
        <v>23</v>
      </c>
      <c r="N293" s="11">
        <v>1</v>
      </c>
      <c r="O293" s="11"/>
      <c r="P293" s="11"/>
      <c r="Q293" s="8"/>
      <c r="R293" s="12"/>
      <c r="S293" s="12"/>
      <c r="T293" s="12"/>
      <c r="U293" s="12"/>
      <c r="V293" s="12"/>
      <c r="W293" s="83" t="str">
        <f t="shared" si="795"/>
        <v>НФИбд</v>
      </c>
      <c r="X293" s="110" t="s">
        <v>3272</v>
      </c>
      <c r="Y293" s="11">
        <v>4</v>
      </c>
      <c r="Z293" s="11">
        <v>2</v>
      </c>
      <c r="AA293" s="83">
        <f t="shared" si="766"/>
        <v>60</v>
      </c>
      <c r="AB293" s="11">
        <v>39</v>
      </c>
      <c r="AC293" s="11">
        <v>21</v>
      </c>
      <c r="AD293" s="81">
        <f t="shared" si="796"/>
        <v>60</v>
      </c>
      <c r="AE293" s="82">
        <f t="shared" si="767"/>
        <v>1</v>
      </c>
      <c r="AF293" s="82">
        <f t="shared" si="768"/>
        <v>1</v>
      </c>
      <c r="AG293" s="102" t="s">
        <v>3250</v>
      </c>
      <c r="AH293" s="113" t="s">
        <v>203</v>
      </c>
      <c r="AI293" s="113" t="s">
        <v>213</v>
      </c>
      <c r="AJ293" s="121" t="s">
        <v>3344</v>
      </c>
      <c r="AK293" s="8"/>
      <c r="AL293" s="42">
        <f t="shared" si="797"/>
        <v>18</v>
      </c>
      <c r="AM293" s="42">
        <f t="shared" si="804"/>
        <v>0</v>
      </c>
      <c r="AN293" s="42">
        <f t="shared" si="805"/>
        <v>0</v>
      </c>
      <c r="AO293" s="42">
        <f t="shared" si="881"/>
        <v>0</v>
      </c>
      <c r="AP293" s="42">
        <f t="shared" si="806"/>
        <v>0</v>
      </c>
      <c r="AQ293" s="42">
        <f t="shared" si="807"/>
        <v>0</v>
      </c>
      <c r="AR293" s="42">
        <f t="shared" si="798"/>
        <v>1.8</v>
      </c>
      <c r="AS293" s="42">
        <f t="shared" si="808"/>
        <v>0</v>
      </c>
      <c r="AT293" s="42">
        <f t="shared" si="809"/>
        <v>0</v>
      </c>
      <c r="AU293" s="42">
        <f t="shared" si="810"/>
        <v>0</v>
      </c>
      <c r="AV293" s="42">
        <f>IF(M293="ПП",РПП*AA293*(U293/1.5),IF(M293="ВП",ВПр*AA293*(U293/1.5),IF(M293="РПА",РПА*AA293*(U293/1.5),IF(M293="КПА",КПА*AA293*(U293/1.5),0))))</f>
        <v>0</v>
      </c>
      <c r="AW293" s="42">
        <f t="shared" si="811"/>
        <v>0</v>
      </c>
      <c r="AX293" s="42">
        <f t="shared" si="799"/>
        <v>0</v>
      </c>
      <c r="AY293" s="42">
        <f t="shared" si="800"/>
        <v>0</v>
      </c>
      <c r="AZ293" s="42">
        <f t="shared" si="812"/>
        <v>0</v>
      </c>
      <c r="BA293" s="42">
        <f t="shared" si="801"/>
        <v>0</v>
      </c>
      <c r="BB293" s="42">
        <f t="shared" si="802"/>
        <v>0</v>
      </c>
      <c r="BC293" s="42">
        <f t="shared" si="803"/>
        <v>0</v>
      </c>
      <c r="BD293" s="42">
        <f t="shared" si="813"/>
        <v>0</v>
      </c>
      <c r="BE293" s="43">
        <f t="shared" si="814"/>
        <v>19.8</v>
      </c>
      <c r="BF293" s="44"/>
      <c r="BG293" s="45">
        <f t="shared" si="815"/>
        <v>18</v>
      </c>
      <c r="BH293" s="45">
        <f t="shared" si="816"/>
        <v>0.5</v>
      </c>
      <c r="BI293" s="45">
        <f t="shared" si="817"/>
        <v>1.8</v>
      </c>
      <c r="BJ293" s="46">
        <f t="shared" si="770"/>
        <v>0</v>
      </c>
      <c r="BK293" s="46">
        <f t="shared" si="771"/>
        <v>0</v>
      </c>
      <c r="BL293" s="46">
        <f t="shared" si="772"/>
        <v>0</v>
      </c>
    </row>
    <row r="294" spans="1:64" ht="30" customHeight="1" x14ac:dyDescent="0.25">
      <c r="A294" s="84" t="str">
        <f t="shared" si="794"/>
        <v>Д</v>
      </c>
      <c r="B294" s="84" t="str">
        <f t="shared" si="763"/>
        <v>Б</v>
      </c>
      <c r="C294" s="101" t="s">
        <v>1465</v>
      </c>
      <c r="D294" s="16" t="str">
        <f t="shared" si="764"/>
        <v>'02.03.02</v>
      </c>
      <c r="E294" s="17" t="str">
        <f t="shared" si="765"/>
        <v>Фундаментальная информатика и информационные технологии</v>
      </c>
      <c r="F294" s="9" t="s">
        <v>413</v>
      </c>
      <c r="G294" s="9" t="s">
        <v>42</v>
      </c>
      <c r="H294" s="10" t="s">
        <v>3233</v>
      </c>
      <c r="I294" s="10"/>
      <c r="J294" s="24" t="s">
        <v>3209</v>
      </c>
      <c r="K294" s="11">
        <v>5</v>
      </c>
      <c r="L294" s="11">
        <v>18</v>
      </c>
      <c r="M294" s="8" t="s">
        <v>94</v>
      </c>
      <c r="N294" s="11"/>
      <c r="O294" s="11">
        <v>2</v>
      </c>
      <c r="P294" s="11"/>
      <c r="Q294" s="8" t="s">
        <v>102</v>
      </c>
      <c r="R294" s="13"/>
      <c r="S294" s="13"/>
      <c r="T294" s="13"/>
      <c r="U294" s="13"/>
      <c r="V294" s="13"/>
      <c r="W294" s="83" t="str">
        <f t="shared" si="795"/>
        <v>НФИбд</v>
      </c>
      <c r="X294" s="110" t="s">
        <v>3241</v>
      </c>
      <c r="Y294" s="11">
        <v>1</v>
      </c>
      <c r="Z294" s="11">
        <v>1</v>
      </c>
      <c r="AA294" s="83">
        <f t="shared" si="766"/>
        <v>16</v>
      </c>
      <c r="AB294" s="11">
        <v>10</v>
      </c>
      <c r="AC294" s="11">
        <v>6</v>
      </c>
      <c r="AD294" s="81">
        <f t="shared" si="796"/>
        <v>12</v>
      </c>
      <c r="AE294" s="82">
        <f t="shared" si="767"/>
        <v>1</v>
      </c>
      <c r="AF294" s="82">
        <f t="shared" si="768"/>
        <v>1.3333333333333333</v>
      </c>
      <c r="AG294" s="102" t="s">
        <v>3250</v>
      </c>
      <c r="AH294" s="113" t="s">
        <v>203</v>
      </c>
      <c r="AI294" s="113" t="s">
        <v>213</v>
      </c>
      <c r="AJ294" s="121" t="s">
        <v>3344</v>
      </c>
      <c r="AK294" s="8"/>
      <c r="AL294" s="42">
        <f t="shared" si="797"/>
        <v>0</v>
      </c>
      <c r="AM294" s="42">
        <f t="shared" si="804"/>
        <v>0</v>
      </c>
      <c r="AN294" s="42">
        <f t="shared" si="805"/>
        <v>36</v>
      </c>
      <c r="AO294" s="42">
        <f t="shared" si="881"/>
        <v>5.28</v>
      </c>
      <c r="AP294" s="42">
        <f t="shared" si="806"/>
        <v>8</v>
      </c>
      <c r="AQ294" s="42">
        <f t="shared" si="807"/>
        <v>1</v>
      </c>
      <c r="AR294" s="42">
        <f t="shared" si="798"/>
        <v>0</v>
      </c>
      <c r="AS294" s="42">
        <f t="shared" si="808"/>
        <v>0</v>
      </c>
      <c r="AT294" s="42">
        <f t="shared" si="809"/>
        <v>0</v>
      </c>
      <c r="AU294" s="42">
        <f t="shared" si="810"/>
        <v>0</v>
      </c>
      <c r="AV294" s="42">
        <f>IF(M294="ПП",РПП*AA294*(U294/1.5),IF(M294="ВП",ВПр*AA294*(U294/1.5),IF(M294="РПА",РПА*AA294*(U294/1.5),IF(M294="КПА",КПА*AA294*(U294/1.5),0))))</f>
        <v>0</v>
      </c>
      <c r="AW294" s="42">
        <f t="shared" si="811"/>
        <v>0</v>
      </c>
      <c r="AX294" s="42">
        <f t="shared" si="799"/>
        <v>0</v>
      </c>
      <c r="AY294" s="42">
        <f t="shared" si="800"/>
        <v>0</v>
      </c>
      <c r="AZ294" s="42">
        <f t="shared" si="812"/>
        <v>0</v>
      </c>
      <c r="BA294" s="42">
        <f t="shared" si="801"/>
        <v>0</v>
      </c>
      <c r="BB294" s="42">
        <f t="shared" si="802"/>
        <v>0</v>
      </c>
      <c r="BC294" s="42">
        <f t="shared" si="803"/>
        <v>0</v>
      </c>
      <c r="BD294" s="42">
        <f t="shared" si="813"/>
        <v>0</v>
      </c>
      <c r="BE294" s="43">
        <f t="shared" si="814"/>
        <v>50.28</v>
      </c>
      <c r="BF294" s="44"/>
      <c r="BG294" s="45">
        <f t="shared" si="815"/>
        <v>36</v>
      </c>
      <c r="BH294" s="45">
        <f t="shared" si="816"/>
        <v>1</v>
      </c>
      <c r="BI294" s="45">
        <f t="shared" si="817"/>
        <v>14.280000000000001</v>
      </c>
      <c r="BJ294" s="46">
        <f t="shared" si="770"/>
        <v>0</v>
      </c>
      <c r="BK294" s="46">
        <f t="shared" si="771"/>
        <v>0</v>
      </c>
      <c r="BL294" s="46">
        <f t="shared" si="772"/>
        <v>0</v>
      </c>
    </row>
    <row r="295" spans="1:64" ht="30" customHeight="1" x14ac:dyDescent="0.25">
      <c r="A295" s="84" t="str">
        <f t="shared" si="794"/>
        <v>Д</v>
      </c>
      <c r="B295" s="84" t="str">
        <f t="shared" si="763"/>
        <v>Б</v>
      </c>
      <c r="C295" s="101" t="s">
        <v>1465</v>
      </c>
      <c r="D295" s="16" t="str">
        <f t="shared" si="764"/>
        <v>'02.03.02</v>
      </c>
      <c r="E295" s="17" t="str">
        <f t="shared" si="765"/>
        <v>Фундаментальная информатика и информационные технологии</v>
      </c>
      <c r="F295" s="9" t="s">
        <v>413</v>
      </c>
      <c r="G295" s="9" t="s">
        <v>42</v>
      </c>
      <c r="H295" s="10" t="s">
        <v>3233</v>
      </c>
      <c r="I295" s="10"/>
      <c r="J295" s="24" t="s">
        <v>3209</v>
      </c>
      <c r="K295" s="11">
        <v>5</v>
      </c>
      <c r="L295" s="11">
        <v>18</v>
      </c>
      <c r="M295" s="8" t="s">
        <v>94</v>
      </c>
      <c r="N295" s="12"/>
      <c r="O295" s="11">
        <v>2</v>
      </c>
      <c r="P295" s="12"/>
      <c r="Q295" s="8" t="s">
        <v>102</v>
      </c>
      <c r="R295" s="13"/>
      <c r="S295" s="13"/>
      <c r="T295" s="13"/>
      <c r="U295" s="13"/>
      <c r="V295" s="13"/>
      <c r="W295" s="83" t="str">
        <f t="shared" si="795"/>
        <v>НФИбд</v>
      </c>
      <c r="X295" s="110" t="s">
        <v>3241</v>
      </c>
      <c r="Y295" s="11">
        <v>1</v>
      </c>
      <c r="Z295" s="11"/>
      <c r="AA295" s="83">
        <f t="shared" si="766"/>
        <v>15</v>
      </c>
      <c r="AB295" s="11">
        <v>10</v>
      </c>
      <c r="AC295" s="11">
        <v>5</v>
      </c>
      <c r="AD295" s="81">
        <f t="shared" si="796"/>
        <v>12</v>
      </c>
      <c r="AE295" s="82">
        <f t="shared" si="767"/>
        <v>1</v>
      </c>
      <c r="AF295" s="82">
        <f t="shared" si="768"/>
        <v>1.25</v>
      </c>
      <c r="AG295" s="102" t="s">
        <v>3250</v>
      </c>
      <c r="AH295" s="113" t="s">
        <v>203</v>
      </c>
      <c r="AI295" s="113" t="s">
        <v>213</v>
      </c>
      <c r="AJ295" s="121" t="s">
        <v>3344</v>
      </c>
      <c r="AK295" s="8"/>
      <c r="AL295" s="42">
        <f t="shared" si="797"/>
        <v>0</v>
      </c>
      <c r="AM295" s="42">
        <f t="shared" si="804"/>
        <v>0</v>
      </c>
      <c r="AN295" s="42">
        <f t="shared" si="805"/>
        <v>36</v>
      </c>
      <c r="AO295" s="42">
        <f t="shared" si="881"/>
        <v>4.95</v>
      </c>
      <c r="AP295" s="42">
        <f t="shared" si="806"/>
        <v>7.5</v>
      </c>
      <c r="AQ295" s="42">
        <f t="shared" si="807"/>
        <v>0</v>
      </c>
      <c r="AR295" s="42">
        <f t="shared" si="798"/>
        <v>0</v>
      </c>
      <c r="AS295" s="42">
        <f t="shared" si="808"/>
        <v>0</v>
      </c>
      <c r="AT295" s="42">
        <f t="shared" si="809"/>
        <v>0</v>
      </c>
      <c r="AU295" s="42">
        <f t="shared" si="810"/>
        <v>0</v>
      </c>
      <c r="AV295" s="42">
        <f>IF(M295="ПП",РПП*AA295*(U295/1.5),IF(M295="ВП",ВПр*AA295*(U295/1.5),IF(M295="РПА",РПА*AA295*(U295/1.5),IF(M295="КПА",КПА*AA295*(U295/1.5),0))))</f>
        <v>0</v>
      </c>
      <c r="AW295" s="42">
        <f t="shared" si="811"/>
        <v>0</v>
      </c>
      <c r="AX295" s="42">
        <f t="shared" si="799"/>
        <v>0</v>
      </c>
      <c r="AY295" s="42">
        <f t="shared" si="800"/>
        <v>0</v>
      </c>
      <c r="AZ295" s="42">
        <f t="shared" si="812"/>
        <v>0</v>
      </c>
      <c r="BA295" s="42">
        <f t="shared" si="801"/>
        <v>0</v>
      </c>
      <c r="BB295" s="42">
        <f t="shared" si="802"/>
        <v>0</v>
      </c>
      <c r="BC295" s="42">
        <f t="shared" si="803"/>
        <v>0</v>
      </c>
      <c r="BD295" s="42">
        <f t="shared" si="813"/>
        <v>0</v>
      </c>
      <c r="BE295" s="43">
        <f t="shared" si="814"/>
        <v>48.45</v>
      </c>
      <c r="BF295" s="44"/>
      <c r="BG295" s="45">
        <f t="shared" si="815"/>
        <v>36</v>
      </c>
      <c r="BH295" s="45">
        <f t="shared" si="816"/>
        <v>1</v>
      </c>
      <c r="BI295" s="45">
        <f t="shared" si="817"/>
        <v>12.45</v>
      </c>
      <c r="BJ295" s="46">
        <f t="shared" si="770"/>
        <v>0</v>
      </c>
      <c r="BK295" s="46">
        <f t="shared" si="771"/>
        <v>0</v>
      </c>
      <c r="BL295" s="46">
        <f t="shared" si="772"/>
        <v>0</v>
      </c>
    </row>
    <row r="296" spans="1:64" ht="30" customHeight="1" x14ac:dyDescent="0.25">
      <c r="A296" s="84" t="str">
        <f t="shared" si="794"/>
        <v>Д</v>
      </c>
      <c r="B296" s="84" t="str">
        <f t="shared" si="32"/>
        <v>Б</v>
      </c>
      <c r="C296" s="101" t="s">
        <v>1465</v>
      </c>
      <c r="D296" s="16" t="str">
        <f t="shared" si="33"/>
        <v>'02.03.02</v>
      </c>
      <c r="E296" s="17" t="str">
        <f t="shared" si="34"/>
        <v>Фундаментальная информатика и информационные технологии</v>
      </c>
      <c r="F296" s="9" t="s">
        <v>413</v>
      </c>
      <c r="G296" s="9" t="s">
        <v>42</v>
      </c>
      <c r="H296" s="10" t="s">
        <v>3233</v>
      </c>
      <c r="I296" s="10"/>
      <c r="J296" s="24" t="s">
        <v>3209</v>
      </c>
      <c r="K296" s="11">
        <v>5</v>
      </c>
      <c r="L296" s="11">
        <v>18</v>
      </c>
      <c r="M296" s="8" t="s">
        <v>94</v>
      </c>
      <c r="N296" s="13"/>
      <c r="O296" s="11">
        <v>2</v>
      </c>
      <c r="P296" s="13"/>
      <c r="Q296" s="8" t="s">
        <v>102</v>
      </c>
      <c r="R296" s="11"/>
      <c r="S296" s="11"/>
      <c r="T296" s="23"/>
      <c r="U296" s="11"/>
      <c r="V296" s="11"/>
      <c r="W296" s="83" t="str">
        <f t="shared" si="795"/>
        <v>НФИбд</v>
      </c>
      <c r="X296" s="110" t="s">
        <v>3242</v>
      </c>
      <c r="Y296" s="11">
        <v>1</v>
      </c>
      <c r="Z296" s="11">
        <v>1</v>
      </c>
      <c r="AA296" s="83">
        <f t="shared" si="35"/>
        <v>15</v>
      </c>
      <c r="AB296" s="11">
        <v>10</v>
      </c>
      <c r="AC296" s="11">
        <v>5</v>
      </c>
      <c r="AD296" s="81">
        <f t="shared" si="796"/>
        <v>12</v>
      </c>
      <c r="AE296" s="82">
        <f t="shared" si="36"/>
        <v>1</v>
      </c>
      <c r="AF296" s="82">
        <f t="shared" si="37"/>
        <v>1.25</v>
      </c>
      <c r="AG296" s="102" t="s">
        <v>3250</v>
      </c>
      <c r="AH296" s="113" t="s">
        <v>203</v>
      </c>
      <c r="AI296" s="113" t="s">
        <v>213</v>
      </c>
      <c r="AJ296" s="119" t="s">
        <v>3344</v>
      </c>
      <c r="AK296" s="8"/>
      <c r="AL296" s="42">
        <f t="shared" si="797"/>
        <v>0</v>
      </c>
      <c r="AM296" s="42">
        <f t="shared" si="804"/>
        <v>0</v>
      </c>
      <c r="AN296" s="42">
        <f t="shared" si="805"/>
        <v>36</v>
      </c>
      <c r="AO296" s="42">
        <f t="shared" si="881"/>
        <v>4.95</v>
      </c>
      <c r="AP296" s="42">
        <f t="shared" si="806"/>
        <v>7.5</v>
      </c>
      <c r="AQ296" s="42">
        <f t="shared" si="807"/>
        <v>1</v>
      </c>
      <c r="AR296" s="42">
        <f t="shared" si="798"/>
        <v>0</v>
      </c>
      <c r="AS296" s="42">
        <f t="shared" si="808"/>
        <v>0</v>
      </c>
      <c r="AT296" s="42">
        <f t="shared" si="809"/>
        <v>0</v>
      </c>
      <c r="AU296" s="42">
        <f t="shared" si="810"/>
        <v>0</v>
      </c>
      <c r="AV296" s="42">
        <f>IF(M296="ПП",РПП*AA296*(U296/1.5),IF(M296="ВП",ВПр*AA296*(U296/1.5),IF(M296="РПА",РПА*AA296*(U296/1.5),IF(M296="КПА",КПА*AA296*(U296/1.5),0))))</f>
        <v>0</v>
      </c>
      <c r="AW296" s="42">
        <f t="shared" si="811"/>
        <v>0</v>
      </c>
      <c r="AX296" s="42">
        <f t="shared" si="799"/>
        <v>0</v>
      </c>
      <c r="AY296" s="42">
        <f t="shared" si="800"/>
        <v>0</v>
      </c>
      <c r="AZ296" s="42">
        <f t="shared" si="812"/>
        <v>0</v>
      </c>
      <c r="BA296" s="42">
        <f t="shared" si="801"/>
        <v>0</v>
      </c>
      <c r="BB296" s="42">
        <f t="shared" si="802"/>
        <v>0</v>
      </c>
      <c r="BC296" s="42">
        <f t="shared" si="803"/>
        <v>0</v>
      </c>
      <c r="BD296" s="42">
        <f t="shared" si="813"/>
        <v>0</v>
      </c>
      <c r="BE296" s="43">
        <f t="shared" si="814"/>
        <v>49.45</v>
      </c>
      <c r="BF296" s="44"/>
      <c r="BG296" s="45">
        <f t="shared" si="815"/>
        <v>36</v>
      </c>
      <c r="BH296" s="45">
        <f t="shared" si="816"/>
        <v>1</v>
      </c>
      <c r="BI296" s="45">
        <f t="shared" si="817"/>
        <v>13.45</v>
      </c>
      <c r="BJ296" s="46">
        <f t="shared" ref="BJ296:BJ337" si="882">IF(OR(K296="2;3",K296="2;4",K296=2,K296="4;3",K296="4;4",K296=4,K296="6;3",K296="6;4",K296=6,K296="8;3",K296="8;4",K296=8,K296="10;3",K296="10;4",K296=10,K296=12),SUM(AL296:AN296),0)</f>
        <v>0</v>
      </c>
      <c r="BK296" s="46">
        <f t="shared" ref="BK296:BK337" si="883">IF(BJ296&lt;&gt;0,SUM(N296:P296)/2,0)</f>
        <v>0</v>
      </c>
      <c r="BL296" s="46">
        <f t="shared" ref="BL296:BL337" si="884">IF(OR(K296="2;3",K296="2;4",K296=2,K296="4;3",K296="4;4",K296=4,K296="6;3",K296="6;4",K296=6,K296="8;3",K296="8;4",K296=8,K296="10;3",K296="10;4",K296=10,K296=12),SUM(AO296:BD296),0)</f>
        <v>0</v>
      </c>
    </row>
    <row r="297" spans="1:64" ht="30" customHeight="1" x14ac:dyDescent="0.25">
      <c r="A297" s="84" t="str">
        <f t="shared" si="794"/>
        <v>Д</v>
      </c>
      <c r="B297" s="84" t="str">
        <f t="shared" si="32"/>
        <v>Б</v>
      </c>
      <c r="C297" s="101" t="s">
        <v>1465</v>
      </c>
      <c r="D297" s="16" t="str">
        <f t="shared" si="33"/>
        <v>'02.03.02</v>
      </c>
      <c r="E297" s="17" t="str">
        <f t="shared" si="34"/>
        <v>Фундаментальная информатика и информационные технологии</v>
      </c>
      <c r="F297" s="9" t="s">
        <v>413</v>
      </c>
      <c r="G297" s="9" t="s">
        <v>42</v>
      </c>
      <c r="H297" s="10" t="s">
        <v>3233</v>
      </c>
      <c r="I297" s="10"/>
      <c r="J297" s="24" t="s">
        <v>3209</v>
      </c>
      <c r="K297" s="11">
        <v>5</v>
      </c>
      <c r="L297" s="11">
        <v>18</v>
      </c>
      <c r="M297" s="8" t="s">
        <v>94</v>
      </c>
      <c r="N297" s="13"/>
      <c r="O297" s="11">
        <v>2</v>
      </c>
      <c r="P297" s="13"/>
      <c r="Q297" s="8" t="s">
        <v>102</v>
      </c>
      <c r="R297" s="11"/>
      <c r="S297" s="11"/>
      <c r="T297" s="23"/>
      <c r="U297" s="11"/>
      <c r="V297" s="11"/>
      <c r="W297" s="83" t="str">
        <f t="shared" si="795"/>
        <v>НФИбд</v>
      </c>
      <c r="X297" s="110" t="s">
        <v>3242</v>
      </c>
      <c r="Y297" s="11">
        <v>1</v>
      </c>
      <c r="Z297" s="11"/>
      <c r="AA297" s="83">
        <f t="shared" si="35"/>
        <v>14</v>
      </c>
      <c r="AB297" s="11">
        <v>9</v>
      </c>
      <c r="AC297" s="11">
        <v>5</v>
      </c>
      <c r="AD297" s="81">
        <f t="shared" si="796"/>
        <v>12</v>
      </c>
      <c r="AE297" s="82">
        <f t="shared" si="36"/>
        <v>1</v>
      </c>
      <c r="AF297" s="82">
        <f t="shared" si="37"/>
        <v>1.1666666666666667</v>
      </c>
      <c r="AG297" s="102" t="s">
        <v>3250</v>
      </c>
      <c r="AH297" s="113" t="s">
        <v>203</v>
      </c>
      <c r="AI297" s="113" t="s">
        <v>213</v>
      </c>
      <c r="AJ297" s="119" t="s">
        <v>3344</v>
      </c>
      <c r="AK297" s="8"/>
      <c r="AL297" s="42">
        <f t="shared" si="797"/>
        <v>0</v>
      </c>
      <c r="AM297" s="42">
        <f t="shared" si="804"/>
        <v>0</v>
      </c>
      <c r="AN297" s="42">
        <f t="shared" si="805"/>
        <v>36</v>
      </c>
      <c r="AO297" s="42">
        <f t="shared" si="881"/>
        <v>4.62</v>
      </c>
      <c r="AP297" s="42">
        <f t="shared" si="806"/>
        <v>7</v>
      </c>
      <c r="AQ297" s="42">
        <f t="shared" si="807"/>
        <v>0</v>
      </c>
      <c r="AR297" s="42">
        <f t="shared" si="798"/>
        <v>0</v>
      </c>
      <c r="AS297" s="42">
        <f t="shared" si="808"/>
        <v>0</v>
      </c>
      <c r="AT297" s="42">
        <f t="shared" si="809"/>
        <v>0</v>
      </c>
      <c r="AU297" s="42">
        <f t="shared" si="810"/>
        <v>0</v>
      </c>
      <c r="AV297" s="42">
        <f>IF(M297="ПП",РПП*AA297*(U297/1.5),IF(M297="ВП",ВПр*AA297*(U297/1.5),IF(M297="РПА",РПА*AA297*(U297/1.5),IF(M297="КПА",КПА*AA297*(U297/1.5),0))))</f>
        <v>0</v>
      </c>
      <c r="AW297" s="42">
        <f t="shared" si="811"/>
        <v>0</v>
      </c>
      <c r="AX297" s="42">
        <f t="shared" si="799"/>
        <v>0</v>
      </c>
      <c r="AY297" s="42">
        <f t="shared" si="800"/>
        <v>0</v>
      </c>
      <c r="AZ297" s="42">
        <f t="shared" si="812"/>
        <v>0</v>
      </c>
      <c r="BA297" s="42">
        <f t="shared" si="801"/>
        <v>0</v>
      </c>
      <c r="BB297" s="42">
        <f t="shared" si="802"/>
        <v>0</v>
      </c>
      <c r="BC297" s="42">
        <f t="shared" si="803"/>
        <v>0</v>
      </c>
      <c r="BD297" s="42">
        <f t="shared" si="813"/>
        <v>0</v>
      </c>
      <c r="BE297" s="43">
        <f t="shared" si="814"/>
        <v>47.62</v>
      </c>
      <c r="BF297" s="44"/>
      <c r="BG297" s="45">
        <f t="shared" si="815"/>
        <v>36</v>
      </c>
      <c r="BH297" s="45">
        <f t="shared" si="816"/>
        <v>1</v>
      </c>
      <c r="BI297" s="45">
        <f t="shared" si="817"/>
        <v>11.620000000000001</v>
      </c>
      <c r="BJ297" s="46">
        <f t="shared" si="882"/>
        <v>0</v>
      </c>
      <c r="BK297" s="46">
        <f t="shared" si="883"/>
        <v>0</v>
      </c>
      <c r="BL297" s="46">
        <f t="shared" si="884"/>
        <v>0</v>
      </c>
    </row>
    <row r="298" spans="1:64" ht="30" customHeight="1" x14ac:dyDescent="0.25">
      <c r="A298" s="84" t="str">
        <f t="shared" si="794"/>
        <v>Д</v>
      </c>
      <c r="B298" s="84" t="str">
        <f t="shared" ref="B298:B299" si="885">IF(C298&gt;0, VLOOKUP(C298,Код_ООП,11,FALSE),0)</f>
        <v>Б</v>
      </c>
      <c r="C298" s="101" t="s">
        <v>1465</v>
      </c>
      <c r="D298" s="16" t="str">
        <f t="shared" ref="D298:D299" si="886">IF(C298&gt;0, VLOOKUP(C298,Код_ООП,2,FALSE),0)</f>
        <v>'02.03.02</v>
      </c>
      <c r="E298" s="17" t="str">
        <f t="shared" ref="E298:E299" si="887">IF(C298&gt;0, VLOOKUP(C298,Код_ООП,13,FALSE),0)</f>
        <v>Фундаментальная информатика и информационные технологии</v>
      </c>
      <c r="F298" s="9" t="s">
        <v>413</v>
      </c>
      <c r="G298" s="9" t="s">
        <v>42</v>
      </c>
      <c r="H298" s="10" t="s">
        <v>3233</v>
      </c>
      <c r="I298" s="10"/>
      <c r="J298" s="24" t="s">
        <v>3209</v>
      </c>
      <c r="K298" s="11">
        <v>5</v>
      </c>
      <c r="L298" s="11">
        <v>18</v>
      </c>
      <c r="M298" s="8" t="s">
        <v>94</v>
      </c>
      <c r="N298" s="13"/>
      <c r="O298" s="11">
        <v>2</v>
      </c>
      <c r="P298" s="13"/>
      <c r="Q298" s="8" t="s">
        <v>102</v>
      </c>
      <c r="R298" s="11"/>
      <c r="S298" s="11"/>
      <c r="T298" s="23"/>
      <c r="U298" s="11"/>
      <c r="V298" s="11"/>
      <c r="W298" s="83" t="str">
        <f t="shared" si="795"/>
        <v>НФИбд</v>
      </c>
      <c r="X298" s="110" t="s">
        <v>3345</v>
      </c>
      <c r="Y298" s="11"/>
      <c r="Z298" s="11"/>
      <c r="AA298" s="83">
        <f t="shared" ref="AA298:AA299" si="888">AB298+AC298</f>
        <v>0</v>
      </c>
      <c r="AB298" s="11"/>
      <c r="AC298" s="11"/>
      <c r="AD298" s="81">
        <f t="shared" si="796"/>
        <v>12</v>
      </c>
      <c r="AE298" s="82">
        <f t="shared" ref="AE298:AE299" si="889">IF(AF298&gt;1,1,AF298)</f>
        <v>0</v>
      </c>
      <c r="AF298" s="82">
        <f t="shared" ref="AF298:AF299" si="890">AA298/AD298</f>
        <v>0</v>
      </c>
      <c r="AG298" s="102" t="s">
        <v>3250</v>
      </c>
      <c r="AH298" s="113" t="s">
        <v>203</v>
      </c>
      <c r="AI298" s="113" t="s">
        <v>213</v>
      </c>
      <c r="AJ298" s="119" t="s">
        <v>3344</v>
      </c>
      <c r="AK298" s="8"/>
      <c r="AL298" s="42">
        <f t="shared" si="797"/>
        <v>0</v>
      </c>
      <c r="AM298" s="42">
        <f t="shared" ref="AM298:AM299" si="891">IF(OR(M298="пр",M298="ия",M298="сп"),P298*AE298*L298,0)</f>
        <v>0</v>
      </c>
      <c r="AN298" s="42">
        <f t="shared" ref="AN298:AN299" si="892">IF(OR(M298="лаб",M298="клн"),O298*AE298*L298,0)</f>
        <v>0</v>
      </c>
      <c r="AO298" s="42">
        <f t="shared" ref="AO298:AO299" si="893">(IF((AND(OR(K298=1,K298=2,K298=3,K298=4,K298=5,K298=6,K298=7,K298=8,K298=9,K298=10,K298=11,K298=12),OR(Q298="Зач",Q298="Экз"))),ТКиРА*AA298,0)+IF(SUM(N298:P298)&lt;&gt;0,IF(Q298="ТК",ТКиРА*AA298,0),0))*(IF(F298="ФТД",0,1))</f>
        <v>0</v>
      </c>
      <c r="AP298" s="42">
        <f t="shared" ref="AP298:AP299" si="894">IF(SUM(O298:P298)&lt;&gt;0,IF(Q298="Зач",ПАБРС*AA298,0),0)+IF(N298&lt;&gt;0,IF(Q298="Экз",ПАБРС*AA298,0),0)</f>
        <v>0</v>
      </c>
      <c r="AQ298" s="42">
        <f t="shared" ref="AQ298:AQ299" si="895">(IF(AP298&lt;&gt;0,ОфВед*(IF(OR(M298="лек",M298="лаб"),Z298,AE298)),0))*(IF(F298="ФТД",0,1))</f>
        <v>0</v>
      </c>
      <c r="AR298" s="42">
        <f t="shared" si="798"/>
        <v>0</v>
      </c>
      <c r="AS298" s="42">
        <f t="shared" ref="AS298:AS299" si="896">IF(OR(M298="лаб",M298="пр"),IF(R298="К",AA298*ВПКР,IF(R298="М",AA298*ВПИБ,0)),0)</f>
        <v>0</v>
      </c>
      <c r="AT298" s="42">
        <f t="shared" ref="AT298:AT299" si="897">IF(OR(M298="лаб",M298="пр"),IF(S298="К",AA298*ВПКП,0),0)</f>
        <v>0</v>
      </c>
      <c r="AU298" s="42">
        <f t="shared" ref="AU298:AU299" si="898">IF(M298="УП",T298/1.5*AA298*РУП,IF(M298="УПМ",T298/1.5*AA298*РУПЛеч,0))</f>
        <v>0</v>
      </c>
      <c r="AV298" s="42">
        <f>IF(M298="ПП",РПП*AA298*(U298/1.5),IF(M298="ВП",ВПр*AA298*(U298/1.5),IF(M298="РПА",РПА*AA298*(U298/1.5),IF(M298="КПА",КПА*AA298*(U298/1.5),0))))</f>
        <v>0</v>
      </c>
      <c r="AW298" s="42">
        <f t="shared" ref="AW298:AW299" si="899">IF(M298="НР",(AB298*НИРМ+AC298*НИРМИн)*(V298/1.5),IF(M298="НИ",(AB298*НИРА+AC298*НИРАИ)*(V298/1.5),0))</f>
        <v>0</v>
      </c>
      <c r="AX298" s="42">
        <f t="shared" si="799"/>
        <v>0</v>
      </c>
      <c r="AY298" s="42">
        <f t="shared" si="800"/>
        <v>0</v>
      </c>
      <c r="AZ298" s="42">
        <f t="shared" ref="AZ298:AZ299" si="900">IF(AND(Q298="КЭ",M298="ЧК"),AA298*КдЭк,0)</f>
        <v>0</v>
      </c>
      <c r="BA298" s="42">
        <f t="shared" si="801"/>
        <v>0</v>
      </c>
      <c r="BB298" s="42">
        <f t="shared" si="802"/>
        <v>0</v>
      </c>
      <c r="BC298" s="42">
        <f t="shared" si="803"/>
        <v>0</v>
      </c>
      <c r="BD298" s="42">
        <f t="shared" ref="BD298:BD299" si="901">IF(M298="ЧГ",AA298*ЧГ,IF(M298="ПГ",AA298*ПГ,IF(M298="ТЕСТ",ТГИЭ*AE298,IF(M298="СГ",AA298*СГ,0))))</f>
        <v>0</v>
      </c>
      <c r="BE298" s="43">
        <f t="shared" ref="BE298:BE299" si="902">SUM(AL298:BD298)</f>
        <v>0</v>
      </c>
      <c r="BF298" s="44"/>
      <c r="BG298" s="45">
        <f t="shared" ref="BG298:BG299" si="903">IF(OR(K298="1;1",K298="1;2",K298=1,K298="3;1",K298="3;2",K298=3,K298="5;1",K298="5;2",K298=5,K298="7;1",K298="7;2",K298=7,K298="9;1",K298="9;2",K298=9,K298=11),SUM(AL298:AN298),0)</f>
        <v>0</v>
      </c>
      <c r="BH298" s="45">
        <f t="shared" ref="BH298:BH299" si="904">IF(BG298&lt;&gt;0,SUM(N298:P298)/2,0)</f>
        <v>0</v>
      </c>
      <c r="BI298" s="45">
        <f t="shared" ref="BI298:BI299" si="905">IF(OR(K298="1;1",K298="1;2",K298=1,K298="3;1",K298="3;2",K298=3,K298="5;1",K298="5;2",K298=5,K298="7;1",K298="7;2",K298=7,K298="9;1",K298="9;2",K298=9,K298=11),SUM(AO298:BD298),0)</f>
        <v>0</v>
      </c>
      <c r="BJ298" s="46">
        <f t="shared" si="882"/>
        <v>0</v>
      </c>
      <c r="BK298" s="46">
        <f t="shared" si="883"/>
        <v>0</v>
      </c>
      <c r="BL298" s="46">
        <f t="shared" si="884"/>
        <v>0</v>
      </c>
    </row>
    <row r="299" spans="1:64" ht="30" customHeight="1" x14ac:dyDescent="0.25">
      <c r="A299" s="84" t="str">
        <f t="shared" si="794"/>
        <v>Д</v>
      </c>
      <c r="B299" s="84" t="str">
        <f t="shared" si="885"/>
        <v>Б</v>
      </c>
      <c r="C299" s="101" t="s">
        <v>1465</v>
      </c>
      <c r="D299" s="16" t="str">
        <f t="shared" si="886"/>
        <v>'02.03.02</v>
      </c>
      <c r="E299" s="17" t="str">
        <f t="shared" si="887"/>
        <v>Фундаментальная информатика и информационные технологии</v>
      </c>
      <c r="F299" s="9" t="s">
        <v>413</v>
      </c>
      <c r="G299" s="9" t="s">
        <v>42</v>
      </c>
      <c r="H299" s="10" t="s">
        <v>3233</v>
      </c>
      <c r="I299" s="10"/>
      <c r="J299" s="24" t="s">
        <v>3209</v>
      </c>
      <c r="K299" s="11">
        <v>5</v>
      </c>
      <c r="L299" s="11">
        <v>18</v>
      </c>
      <c r="M299" s="8" t="s">
        <v>94</v>
      </c>
      <c r="N299" s="13"/>
      <c r="O299" s="11">
        <v>2</v>
      </c>
      <c r="P299" s="13"/>
      <c r="Q299" s="8" t="s">
        <v>102</v>
      </c>
      <c r="R299" s="11"/>
      <c r="S299" s="11"/>
      <c r="T299" s="23"/>
      <c r="U299" s="11"/>
      <c r="V299" s="11"/>
      <c r="W299" s="83" t="str">
        <f t="shared" si="795"/>
        <v>НФИбд</v>
      </c>
      <c r="X299" s="110" t="s">
        <v>3345</v>
      </c>
      <c r="Y299" s="11"/>
      <c r="Z299" s="11"/>
      <c r="AA299" s="83">
        <f t="shared" si="888"/>
        <v>0</v>
      </c>
      <c r="AB299" s="11"/>
      <c r="AC299" s="11"/>
      <c r="AD299" s="81">
        <f t="shared" si="796"/>
        <v>12</v>
      </c>
      <c r="AE299" s="82">
        <f t="shared" si="889"/>
        <v>0</v>
      </c>
      <c r="AF299" s="82">
        <f t="shared" si="890"/>
        <v>0</v>
      </c>
      <c r="AG299" s="102" t="s">
        <v>3250</v>
      </c>
      <c r="AH299" s="113" t="s">
        <v>203</v>
      </c>
      <c r="AI299" s="113" t="s">
        <v>213</v>
      </c>
      <c r="AJ299" s="119" t="s">
        <v>3344</v>
      </c>
      <c r="AK299" s="8"/>
      <c r="AL299" s="42">
        <f t="shared" si="797"/>
        <v>0</v>
      </c>
      <c r="AM299" s="42">
        <f t="shared" si="891"/>
        <v>0</v>
      </c>
      <c r="AN299" s="42">
        <f t="shared" si="892"/>
        <v>0</v>
      </c>
      <c r="AO299" s="42">
        <f t="shared" si="893"/>
        <v>0</v>
      </c>
      <c r="AP299" s="42">
        <f t="shared" si="894"/>
        <v>0</v>
      </c>
      <c r="AQ299" s="42">
        <f t="shared" si="895"/>
        <v>0</v>
      </c>
      <c r="AR299" s="42">
        <f t="shared" si="798"/>
        <v>0</v>
      </c>
      <c r="AS299" s="42">
        <f t="shared" si="896"/>
        <v>0</v>
      </c>
      <c r="AT299" s="42">
        <f t="shared" si="897"/>
        <v>0</v>
      </c>
      <c r="AU299" s="42">
        <f t="shared" si="898"/>
        <v>0</v>
      </c>
      <c r="AV299" s="42">
        <f>IF(M299="ПП",РПП*AA299*(U299/1.5),IF(M299="ВП",ВПр*AA299*(U299/1.5),IF(M299="РПА",РПА*AA299*(U299/1.5),IF(M299="КПА",КПА*AA299*(U299/1.5),0))))</f>
        <v>0</v>
      </c>
      <c r="AW299" s="42">
        <f t="shared" si="899"/>
        <v>0</v>
      </c>
      <c r="AX299" s="42">
        <f t="shared" si="799"/>
        <v>0</v>
      </c>
      <c r="AY299" s="42">
        <f t="shared" si="800"/>
        <v>0</v>
      </c>
      <c r="AZ299" s="42">
        <f t="shared" si="900"/>
        <v>0</v>
      </c>
      <c r="BA299" s="42">
        <f t="shared" si="801"/>
        <v>0</v>
      </c>
      <c r="BB299" s="42">
        <f t="shared" si="802"/>
        <v>0</v>
      </c>
      <c r="BC299" s="42">
        <f t="shared" si="803"/>
        <v>0</v>
      </c>
      <c r="BD299" s="42">
        <f t="shared" si="901"/>
        <v>0</v>
      </c>
      <c r="BE299" s="43">
        <f t="shared" si="902"/>
        <v>0</v>
      </c>
      <c r="BF299" s="44"/>
      <c r="BG299" s="45">
        <f t="shared" si="903"/>
        <v>0</v>
      </c>
      <c r="BH299" s="45">
        <f t="shared" si="904"/>
        <v>0</v>
      </c>
      <c r="BI299" s="45">
        <f t="shared" si="905"/>
        <v>0</v>
      </c>
      <c r="BJ299" s="46">
        <f t="shared" si="882"/>
        <v>0</v>
      </c>
      <c r="BK299" s="46">
        <f t="shared" si="883"/>
        <v>0</v>
      </c>
      <c r="BL299" s="46">
        <f t="shared" si="884"/>
        <v>0</v>
      </c>
    </row>
    <row r="300" spans="1:64" ht="30" customHeight="1" x14ac:dyDescent="0.25">
      <c r="A300" s="84" t="str">
        <f t="shared" si="794"/>
        <v>Д</v>
      </c>
      <c r="B300" s="84" t="str">
        <f t="shared" si="32"/>
        <v>Б</v>
      </c>
      <c r="C300" s="101" t="s">
        <v>1465</v>
      </c>
      <c r="D300" s="16" t="str">
        <f t="shared" si="33"/>
        <v>'02.03.02</v>
      </c>
      <c r="E300" s="17" t="str">
        <f t="shared" si="34"/>
        <v>Фундаментальная информатика и информационные технологии</v>
      </c>
      <c r="F300" s="9" t="s">
        <v>413</v>
      </c>
      <c r="G300" s="9" t="s">
        <v>42</v>
      </c>
      <c r="H300" s="10" t="s">
        <v>3233</v>
      </c>
      <c r="I300" s="10"/>
      <c r="J300" s="24" t="s">
        <v>3214</v>
      </c>
      <c r="K300" s="11" t="s">
        <v>3230</v>
      </c>
      <c r="L300" s="11">
        <v>9</v>
      </c>
      <c r="M300" s="8" t="s">
        <v>23</v>
      </c>
      <c r="N300" s="11">
        <v>2</v>
      </c>
      <c r="O300" s="11"/>
      <c r="P300" s="11"/>
      <c r="Q300" s="8"/>
      <c r="R300" s="11"/>
      <c r="S300" s="11"/>
      <c r="T300" s="23"/>
      <c r="U300" s="11"/>
      <c r="V300" s="11"/>
      <c r="W300" s="83" t="str">
        <f t="shared" si="795"/>
        <v>НФИбд</v>
      </c>
      <c r="X300" s="110" t="s">
        <v>3243</v>
      </c>
      <c r="Y300" s="11">
        <v>3</v>
      </c>
      <c r="Z300" s="11">
        <v>2</v>
      </c>
      <c r="AA300" s="83">
        <f t="shared" si="35"/>
        <v>36</v>
      </c>
      <c r="AB300" s="11">
        <v>27</v>
      </c>
      <c r="AC300" s="11">
        <v>9</v>
      </c>
      <c r="AD300" s="81">
        <f t="shared" si="796"/>
        <v>36</v>
      </c>
      <c r="AE300" s="82">
        <f t="shared" si="36"/>
        <v>1</v>
      </c>
      <c r="AF300" s="82">
        <f t="shared" si="37"/>
        <v>1</v>
      </c>
      <c r="AG300" s="102" t="s">
        <v>3250</v>
      </c>
      <c r="AH300" s="113" t="s">
        <v>204</v>
      </c>
      <c r="AI300" s="113" t="s">
        <v>212</v>
      </c>
      <c r="AJ300" s="119" t="s">
        <v>3265</v>
      </c>
      <c r="AK300" s="8"/>
      <c r="AL300" s="42">
        <f t="shared" si="797"/>
        <v>18</v>
      </c>
      <c r="AM300" s="42">
        <f t="shared" si="804"/>
        <v>0</v>
      </c>
      <c r="AN300" s="42">
        <f t="shared" si="805"/>
        <v>0</v>
      </c>
      <c r="AO300" s="42">
        <f t="shared" si="881"/>
        <v>0</v>
      </c>
      <c r="AP300" s="42">
        <f t="shared" si="806"/>
        <v>0</v>
      </c>
      <c r="AQ300" s="42">
        <f t="shared" si="807"/>
        <v>0</v>
      </c>
      <c r="AR300" s="42">
        <f t="shared" si="798"/>
        <v>1.8</v>
      </c>
      <c r="AS300" s="42">
        <f t="shared" si="808"/>
        <v>0</v>
      </c>
      <c r="AT300" s="42">
        <f t="shared" si="809"/>
        <v>0</v>
      </c>
      <c r="AU300" s="42">
        <f t="shared" si="810"/>
        <v>0</v>
      </c>
      <c r="AV300" s="42">
        <f>IF(M300="ПП",РПП*AA300*(U300/1.5),IF(M300="ВП",ВПр*AA300*(U300/1.5),IF(M300="РПА",РПА*AA300*(U300/1.5),IF(M300="КПА",КПА*AA300*(U300/1.5),0))))</f>
        <v>0</v>
      </c>
      <c r="AW300" s="42">
        <f t="shared" si="811"/>
        <v>0</v>
      </c>
      <c r="AX300" s="42">
        <f t="shared" si="799"/>
        <v>0</v>
      </c>
      <c r="AY300" s="42">
        <f t="shared" si="800"/>
        <v>0</v>
      </c>
      <c r="AZ300" s="42">
        <f t="shared" si="812"/>
        <v>0</v>
      </c>
      <c r="BA300" s="42">
        <f t="shared" si="801"/>
        <v>0</v>
      </c>
      <c r="BB300" s="42">
        <f t="shared" si="802"/>
        <v>0</v>
      </c>
      <c r="BC300" s="42">
        <f t="shared" si="803"/>
        <v>0</v>
      </c>
      <c r="BD300" s="42">
        <f t="shared" si="813"/>
        <v>0</v>
      </c>
      <c r="BE300" s="43">
        <f t="shared" si="814"/>
        <v>19.8</v>
      </c>
      <c r="BF300" s="44"/>
      <c r="BG300" s="45">
        <f t="shared" si="815"/>
        <v>18</v>
      </c>
      <c r="BH300" s="45">
        <f t="shared" si="816"/>
        <v>1</v>
      </c>
      <c r="BI300" s="45">
        <f t="shared" si="817"/>
        <v>1.8</v>
      </c>
      <c r="BJ300" s="46">
        <f t="shared" si="882"/>
        <v>0</v>
      </c>
      <c r="BK300" s="46">
        <f t="shared" si="883"/>
        <v>0</v>
      </c>
      <c r="BL300" s="46">
        <f t="shared" si="884"/>
        <v>0</v>
      </c>
    </row>
    <row r="301" spans="1:64" ht="30" customHeight="1" x14ac:dyDescent="0.25">
      <c r="A301" s="84" t="str">
        <f t="shared" si="794"/>
        <v>Д</v>
      </c>
      <c r="B301" s="84" t="str">
        <f t="shared" si="32"/>
        <v>Б</v>
      </c>
      <c r="C301" s="101" t="s">
        <v>1465</v>
      </c>
      <c r="D301" s="16" t="str">
        <f t="shared" si="33"/>
        <v>'02.03.02</v>
      </c>
      <c r="E301" s="17" t="str">
        <f t="shared" si="34"/>
        <v>Фундаментальная информатика и информационные технологии</v>
      </c>
      <c r="F301" s="9" t="s">
        <v>413</v>
      </c>
      <c r="G301" s="9" t="s">
        <v>42</v>
      </c>
      <c r="H301" s="10" t="s">
        <v>3233</v>
      </c>
      <c r="I301" s="10"/>
      <c r="J301" s="24" t="s">
        <v>3214</v>
      </c>
      <c r="K301" s="11" t="s">
        <v>3230</v>
      </c>
      <c r="L301" s="11">
        <v>9</v>
      </c>
      <c r="M301" s="8" t="s">
        <v>94</v>
      </c>
      <c r="N301" s="11"/>
      <c r="O301" s="11">
        <v>4</v>
      </c>
      <c r="P301" s="11"/>
      <c r="Q301" s="8" t="s">
        <v>102</v>
      </c>
      <c r="R301" s="11"/>
      <c r="S301" s="11"/>
      <c r="T301" s="11"/>
      <c r="U301" s="11"/>
      <c r="V301" s="11"/>
      <c r="W301" s="83" t="str">
        <f t="shared" si="795"/>
        <v>НФИбд</v>
      </c>
      <c r="X301" s="110" t="s">
        <v>3244</v>
      </c>
      <c r="Y301" s="11">
        <v>1</v>
      </c>
      <c r="Z301" s="11">
        <v>1</v>
      </c>
      <c r="AA301" s="83">
        <f t="shared" si="35"/>
        <v>12</v>
      </c>
      <c r="AB301" s="11">
        <v>9</v>
      </c>
      <c r="AC301" s="11">
        <v>3</v>
      </c>
      <c r="AD301" s="81">
        <f t="shared" si="796"/>
        <v>12</v>
      </c>
      <c r="AE301" s="82">
        <f t="shared" si="36"/>
        <v>1</v>
      </c>
      <c r="AF301" s="82">
        <f t="shared" si="37"/>
        <v>1</v>
      </c>
      <c r="AG301" s="102" t="s">
        <v>3250</v>
      </c>
      <c r="AH301" s="113" t="s">
        <v>204</v>
      </c>
      <c r="AI301" s="113" t="s">
        <v>212</v>
      </c>
      <c r="AJ301" s="121" t="s">
        <v>3265</v>
      </c>
      <c r="AK301" s="8"/>
      <c r="AL301" s="42">
        <f t="shared" si="797"/>
        <v>0</v>
      </c>
      <c r="AM301" s="42">
        <f t="shared" si="804"/>
        <v>0</v>
      </c>
      <c r="AN301" s="42">
        <f t="shared" si="805"/>
        <v>36</v>
      </c>
      <c r="AO301" s="42">
        <f t="shared" si="881"/>
        <v>0</v>
      </c>
      <c r="AP301" s="42">
        <f t="shared" si="806"/>
        <v>6</v>
      </c>
      <c r="AQ301" s="42">
        <f t="shared" si="807"/>
        <v>1</v>
      </c>
      <c r="AR301" s="42">
        <f t="shared" si="798"/>
        <v>0</v>
      </c>
      <c r="AS301" s="42">
        <f t="shared" si="808"/>
        <v>0</v>
      </c>
      <c r="AT301" s="42">
        <f t="shared" si="809"/>
        <v>0</v>
      </c>
      <c r="AU301" s="42">
        <f t="shared" si="810"/>
        <v>0</v>
      </c>
      <c r="AV301" s="42">
        <f>IF(M301="ПП",РПП*AA301*(U301/1.5),IF(M301="ВП",ВПр*AA301*(U301/1.5),IF(M301="РПА",РПА*AA301*(U301/1.5),IF(M301="КПА",КПА*AA301*(U301/1.5),0))))</f>
        <v>0</v>
      </c>
      <c r="AW301" s="42">
        <f t="shared" si="811"/>
        <v>0</v>
      </c>
      <c r="AX301" s="42">
        <f t="shared" si="799"/>
        <v>0</v>
      </c>
      <c r="AY301" s="42">
        <f t="shared" si="800"/>
        <v>0</v>
      </c>
      <c r="AZ301" s="42">
        <f t="shared" si="812"/>
        <v>0</v>
      </c>
      <c r="BA301" s="42">
        <f t="shared" si="801"/>
        <v>0</v>
      </c>
      <c r="BB301" s="42">
        <f t="shared" si="802"/>
        <v>0</v>
      </c>
      <c r="BC301" s="42">
        <f t="shared" si="803"/>
        <v>0</v>
      </c>
      <c r="BD301" s="42">
        <f t="shared" si="813"/>
        <v>0</v>
      </c>
      <c r="BE301" s="43">
        <f t="shared" si="814"/>
        <v>43</v>
      </c>
      <c r="BF301" s="44"/>
      <c r="BG301" s="45">
        <f t="shared" si="815"/>
        <v>36</v>
      </c>
      <c r="BH301" s="45">
        <f t="shared" si="816"/>
        <v>2</v>
      </c>
      <c r="BI301" s="45">
        <f t="shared" si="817"/>
        <v>7</v>
      </c>
      <c r="BJ301" s="46">
        <f t="shared" si="882"/>
        <v>0</v>
      </c>
      <c r="BK301" s="46">
        <f t="shared" si="883"/>
        <v>0</v>
      </c>
      <c r="BL301" s="46">
        <f t="shared" si="884"/>
        <v>0</v>
      </c>
    </row>
    <row r="302" spans="1:64" ht="30" customHeight="1" x14ac:dyDescent="0.25">
      <c r="A302" s="84" t="str">
        <f t="shared" si="794"/>
        <v>Д</v>
      </c>
      <c r="B302" s="84" t="str">
        <f t="shared" si="32"/>
        <v>Б</v>
      </c>
      <c r="C302" s="101" t="s">
        <v>1465</v>
      </c>
      <c r="D302" s="16" t="str">
        <f t="shared" si="33"/>
        <v>'02.03.02</v>
      </c>
      <c r="E302" s="17" t="str">
        <f t="shared" si="34"/>
        <v>Фундаментальная информатика и информационные технологии</v>
      </c>
      <c r="F302" s="9" t="s">
        <v>413</v>
      </c>
      <c r="G302" s="9" t="s">
        <v>42</v>
      </c>
      <c r="H302" s="10" t="s">
        <v>3233</v>
      </c>
      <c r="I302" s="10"/>
      <c r="J302" s="24" t="s">
        <v>3214</v>
      </c>
      <c r="K302" s="11" t="s">
        <v>3230</v>
      </c>
      <c r="L302" s="11">
        <v>9</v>
      </c>
      <c r="M302" s="8" t="s">
        <v>94</v>
      </c>
      <c r="N302" s="11"/>
      <c r="O302" s="11">
        <v>4</v>
      </c>
      <c r="P302" s="11"/>
      <c r="Q302" s="8" t="s">
        <v>102</v>
      </c>
      <c r="R302" s="11"/>
      <c r="S302" s="11"/>
      <c r="T302" s="11"/>
      <c r="U302" s="11"/>
      <c r="V302" s="11"/>
      <c r="W302" s="83" t="str">
        <f t="shared" si="795"/>
        <v>НФИбд</v>
      </c>
      <c r="X302" s="110" t="s">
        <v>3244</v>
      </c>
      <c r="Y302" s="11">
        <v>1</v>
      </c>
      <c r="Z302" s="11"/>
      <c r="AA302" s="83">
        <f t="shared" si="35"/>
        <v>12</v>
      </c>
      <c r="AB302" s="11">
        <v>9</v>
      </c>
      <c r="AC302" s="11">
        <v>3</v>
      </c>
      <c r="AD302" s="81">
        <f t="shared" si="796"/>
        <v>12</v>
      </c>
      <c r="AE302" s="82">
        <f t="shared" si="36"/>
        <v>1</v>
      </c>
      <c r="AF302" s="82">
        <f t="shared" si="37"/>
        <v>1</v>
      </c>
      <c r="AG302" s="102" t="s">
        <v>3250</v>
      </c>
      <c r="AH302" s="113" t="s">
        <v>204</v>
      </c>
      <c r="AI302" s="113" t="s">
        <v>212</v>
      </c>
      <c r="AJ302" s="121" t="s">
        <v>3265</v>
      </c>
      <c r="AK302" s="8"/>
      <c r="AL302" s="42">
        <f t="shared" si="797"/>
        <v>0</v>
      </c>
      <c r="AM302" s="42">
        <f t="shared" si="804"/>
        <v>0</v>
      </c>
      <c r="AN302" s="42">
        <f t="shared" si="805"/>
        <v>36</v>
      </c>
      <c r="AO302" s="42">
        <f t="shared" si="881"/>
        <v>0</v>
      </c>
      <c r="AP302" s="42">
        <f t="shared" si="806"/>
        <v>6</v>
      </c>
      <c r="AQ302" s="42">
        <f t="shared" si="807"/>
        <v>0</v>
      </c>
      <c r="AR302" s="42">
        <f t="shared" si="798"/>
        <v>0</v>
      </c>
      <c r="AS302" s="42">
        <f t="shared" si="808"/>
        <v>0</v>
      </c>
      <c r="AT302" s="42">
        <f t="shared" si="809"/>
        <v>0</v>
      </c>
      <c r="AU302" s="42">
        <f t="shared" si="810"/>
        <v>0</v>
      </c>
      <c r="AV302" s="42">
        <f>IF(M302="ПП",РПП*AA302*(U302/1.5),IF(M302="ВП",ВПр*AA302*(U302/1.5),IF(M302="РПА",РПА*AA302*(U302/1.5),IF(M302="КПА",КПА*AA302*(U302/1.5),0))))</f>
        <v>0</v>
      </c>
      <c r="AW302" s="42">
        <f t="shared" si="811"/>
        <v>0</v>
      </c>
      <c r="AX302" s="42">
        <f t="shared" si="799"/>
        <v>0</v>
      </c>
      <c r="AY302" s="42">
        <f t="shared" si="800"/>
        <v>0</v>
      </c>
      <c r="AZ302" s="42">
        <f t="shared" si="812"/>
        <v>0</v>
      </c>
      <c r="BA302" s="42">
        <f t="shared" si="801"/>
        <v>0</v>
      </c>
      <c r="BB302" s="42">
        <f t="shared" si="802"/>
        <v>0</v>
      </c>
      <c r="BC302" s="42">
        <f t="shared" si="803"/>
        <v>0</v>
      </c>
      <c r="BD302" s="42">
        <f t="shared" si="813"/>
        <v>0</v>
      </c>
      <c r="BE302" s="43">
        <f t="shared" si="814"/>
        <v>42</v>
      </c>
      <c r="BF302" s="44"/>
      <c r="BG302" s="45">
        <f t="shared" si="815"/>
        <v>36</v>
      </c>
      <c r="BH302" s="45">
        <f t="shared" si="816"/>
        <v>2</v>
      </c>
      <c r="BI302" s="45">
        <f t="shared" si="817"/>
        <v>6</v>
      </c>
      <c r="BJ302" s="46">
        <f t="shared" si="882"/>
        <v>0</v>
      </c>
      <c r="BK302" s="46">
        <f t="shared" si="883"/>
        <v>0</v>
      </c>
      <c r="BL302" s="46">
        <f t="shared" si="884"/>
        <v>0</v>
      </c>
    </row>
    <row r="303" spans="1:64" ht="30" customHeight="1" x14ac:dyDescent="0.25">
      <c r="A303" s="84" t="str">
        <f t="shared" si="794"/>
        <v>Д</v>
      </c>
      <c r="B303" s="84" t="str">
        <f t="shared" si="32"/>
        <v>Б</v>
      </c>
      <c r="C303" s="101" t="s">
        <v>1465</v>
      </c>
      <c r="D303" s="16" t="str">
        <f t="shared" si="33"/>
        <v>'02.03.02</v>
      </c>
      <c r="E303" s="17" t="str">
        <f t="shared" si="34"/>
        <v>Фундаментальная информатика и информационные технологии</v>
      </c>
      <c r="F303" s="9" t="s">
        <v>413</v>
      </c>
      <c r="G303" s="9" t="s">
        <v>42</v>
      </c>
      <c r="H303" s="10" t="s">
        <v>3233</v>
      </c>
      <c r="I303" s="10"/>
      <c r="J303" s="24" t="s">
        <v>3214</v>
      </c>
      <c r="K303" s="11" t="s">
        <v>3230</v>
      </c>
      <c r="L303" s="11">
        <v>9</v>
      </c>
      <c r="M303" s="8" t="s">
        <v>94</v>
      </c>
      <c r="N303" s="11"/>
      <c r="O303" s="11">
        <v>4</v>
      </c>
      <c r="P303" s="11"/>
      <c r="Q303" s="8" t="s">
        <v>102</v>
      </c>
      <c r="R303" s="11"/>
      <c r="S303" s="11"/>
      <c r="T303" s="11"/>
      <c r="U303" s="11"/>
      <c r="V303" s="11"/>
      <c r="W303" s="83" t="str">
        <f t="shared" si="795"/>
        <v>НФИбд</v>
      </c>
      <c r="X303" s="110" t="s">
        <v>3245</v>
      </c>
      <c r="Y303" s="11">
        <v>1</v>
      </c>
      <c r="Z303" s="11">
        <v>1</v>
      </c>
      <c r="AA303" s="83">
        <f t="shared" si="35"/>
        <v>12</v>
      </c>
      <c r="AB303" s="11">
        <v>9</v>
      </c>
      <c r="AC303" s="11">
        <v>3</v>
      </c>
      <c r="AD303" s="81">
        <f t="shared" si="796"/>
        <v>12</v>
      </c>
      <c r="AE303" s="82">
        <f t="shared" si="36"/>
        <v>1</v>
      </c>
      <c r="AF303" s="82">
        <f t="shared" si="37"/>
        <v>1</v>
      </c>
      <c r="AG303" s="102" t="s">
        <v>3250</v>
      </c>
      <c r="AH303" s="113" t="s">
        <v>204</v>
      </c>
      <c r="AI303" s="113" t="s">
        <v>212</v>
      </c>
      <c r="AJ303" s="121" t="s">
        <v>3265</v>
      </c>
      <c r="AK303" s="8"/>
      <c r="AL303" s="42">
        <f t="shared" si="797"/>
        <v>0</v>
      </c>
      <c r="AM303" s="42">
        <f t="shared" si="804"/>
        <v>0</v>
      </c>
      <c r="AN303" s="42">
        <f t="shared" si="805"/>
        <v>36</v>
      </c>
      <c r="AO303" s="42">
        <f t="shared" si="881"/>
        <v>0</v>
      </c>
      <c r="AP303" s="42">
        <f t="shared" si="806"/>
        <v>6</v>
      </c>
      <c r="AQ303" s="42">
        <f t="shared" si="807"/>
        <v>1</v>
      </c>
      <c r="AR303" s="42">
        <f t="shared" si="798"/>
        <v>0</v>
      </c>
      <c r="AS303" s="42">
        <f t="shared" si="808"/>
        <v>0</v>
      </c>
      <c r="AT303" s="42">
        <f t="shared" si="809"/>
        <v>0</v>
      </c>
      <c r="AU303" s="42">
        <f t="shared" si="810"/>
        <v>0</v>
      </c>
      <c r="AV303" s="42">
        <f>IF(M303="ПП",РПП*AA303*(U303/1.5),IF(M303="ВП",ВПр*AA303*(U303/1.5),IF(M303="РПА",РПА*AA303*(U303/1.5),IF(M303="КПА",КПА*AA303*(U303/1.5),0))))</f>
        <v>0</v>
      </c>
      <c r="AW303" s="42">
        <f t="shared" si="811"/>
        <v>0</v>
      </c>
      <c r="AX303" s="42">
        <f t="shared" si="799"/>
        <v>0</v>
      </c>
      <c r="AY303" s="42">
        <f t="shared" si="800"/>
        <v>0</v>
      </c>
      <c r="AZ303" s="42">
        <f t="shared" si="812"/>
        <v>0</v>
      </c>
      <c r="BA303" s="42">
        <f t="shared" si="801"/>
        <v>0</v>
      </c>
      <c r="BB303" s="42">
        <f t="shared" si="802"/>
        <v>0</v>
      </c>
      <c r="BC303" s="42">
        <f t="shared" si="803"/>
        <v>0</v>
      </c>
      <c r="BD303" s="42">
        <f t="shared" si="813"/>
        <v>0</v>
      </c>
      <c r="BE303" s="43">
        <f t="shared" si="814"/>
        <v>43</v>
      </c>
      <c r="BF303" s="44"/>
      <c r="BG303" s="45">
        <f t="shared" si="815"/>
        <v>36</v>
      </c>
      <c r="BH303" s="45">
        <f t="shared" si="816"/>
        <v>2</v>
      </c>
      <c r="BI303" s="45">
        <f t="shared" si="817"/>
        <v>7</v>
      </c>
      <c r="BJ303" s="46">
        <f t="shared" si="882"/>
        <v>0</v>
      </c>
      <c r="BK303" s="46">
        <f t="shared" si="883"/>
        <v>0</v>
      </c>
      <c r="BL303" s="46">
        <f t="shared" si="884"/>
        <v>0</v>
      </c>
    </row>
    <row r="304" spans="1:64" ht="30" customHeight="1" x14ac:dyDescent="0.25">
      <c r="A304" s="84" t="str">
        <f t="shared" si="794"/>
        <v>Д</v>
      </c>
      <c r="B304" s="84" t="str">
        <f t="shared" si="32"/>
        <v>Б</v>
      </c>
      <c r="C304" s="101" t="s">
        <v>1465</v>
      </c>
      <c r="D304" s="16" t="str">
        <f t="shared" si="33"/>
        <v>'02.03.02</v>
      </c>
      <c r="E304" s="17" t="str">
        <f t="shared" si="34"/>
        <v>Фундаментальная информатика и информационные технологии</v>
      </c>
      <c r="F304" s="9" t="s">
        <v>413</v>
      </c>
      <c r="G304" s="9" t="s">
        <v>42</v>
      </c>
      <c r="H304" s="10" t="s">
        <v>3233</v>
      </c>
      <c r="I304" s="10"/>
      <c r="J304" s="24" t="s">
        <v>3215</v>
      </c>
      <c r="K304" s="11" t="s">
        <v>3227</v>
      </c>
      <c r="L304" s="11">
        <v>9</v>
      </c>
      <c r="M304" s="8" t="s">
        <v>23</v>
      </c>
      <c r="N304" s="11">
        <v>2</v>
      </c>
      <c r="O304" s="11"/>
      <c r="P304" s="11"/>
      <c r="Q304" s="8" t="s">
        <v>103</v>
      </c>
      <c r="R304" s="11"/>
      <c r="S304" s="11"/>
      <c r="T304" s="11"/>
      <c r="U304" s="11"/>
      <c r="V304" s="11"/>
      <c r="W304" s="83" t="str">
        <f t="shared" si="795"/>
        <v>НФИбд</v>
      </c>
      <c r="X304" s="110" t="s">
        <v>3243</v>
      </c>
      <c r="Y304" s="11">
        <v>3</v>
      </c>
      <c r="Z304" s="11">
        <v>2</v>
      </c>
      <c r="AA304" s="83">
        <f t="shared" si="35"/>
        <v>36</v>
      </c>
      <c r="AB304" s="11">
        <v>27</v>
      </c>
      <c r="AC304" s="11">
        <v>9</v>
      </c>
      <c r="AD304" s="81">
        <f t="shared" si="796"/>
        <v>36</v>
      </c>
      <c r="AE304" s="82">
        <f t="shared" si="36"/>
        <v>1</v>
      </c>
      <c r="AF304" s="82">
        <f t="shared" si="37"/>
        <v>1</v>
      </c>
      <c r="AG304" s="102" t="s">
        <v>3250</v>
      </c>
      <c r="AH304" s="113" t="s">
        <v>204</v>
      </c>
      <c r="AI304" s="113" t="s">
        <v>212</v>
      </c>
      <c r="AJ304" s="119" t="s">
        <v>3256</v>
      </c>
      <c r="AK304" s="8"/>
      <c r="AL304" s="42">
        <f t="shared" si="797"/>
        <v>18</v>
      </c>
      <c r="AM304" s="42">
        <f t="shared" si="804"/>
        <v>0</v>
      </c>
      <c r="AN304" s="42">
        <f t="shared" si="805"/>
        <v>0</v>
      </c>
      <c r="AO304" s="42">
        <f t="shared" si="881"/>
        <v>0</v>
      </c>
      <c r="AP304" s="42">
        <f t="shared" si="806"/>
        <v>18</v>
      </c>
      <c r="AQ304" s="42">
        <f t="shared" si="807"/>
        <v>2</v>
      </c>
      <c r="AR304" s="42">
        <f t="shared" si="798"/>
        <v>1.8</v>
      </c>
      <c r="AS304" s="42">
        <f t="shared" si="808"/>
        <v>0</v>
      </c>
      <c r="AT304" s="42">
        <f t="shared" si="809"/>
        <v>0</v>
      </c>
      <c r="AU304" s="42">
        <f t="shared" si="810"/>
        <v>0</v>
      </c>
      <c r="AV304" s="42">
        <f>IF(M304="ПП",РПП*AA304*(U304/1.5),IF(M304="ВП",ВПр*AA304*(U304/1.5),IF(M304="РПА",РПА*AA304*(U304/1.5),IF(M304="КПА",КПА*AA304*(U304/1.5),0))))</f>
        <v>0</v>
      </c>
      <c r="AW304" s="42">
        <f t="shared" si="811"/>
        <v>0</v>
      </c>
      <c r="AX304" s="42">
        <f t="shared" si="799"/>
        <v>0</v>
      </c>
      <c r="AY304" s="42">
        <f t="shared" si="800"/>
        <v>0</v>
      </c>
      <c r="AZ304" s="42">
        <f t="shared" si="812"/>
        <v>0</v>
      </c>
      <c r="BA304" s="42">
        <f t="shared" si="801"/>
        <v>0</v>
      </c>
      <c r="BB304" s="42">
        <f t="shared" si="802"/>
        <v>0</v>
      </c>
      <c r="BC304" s="42">
        <f t="shared" si="803"/>
        <v>0</v>
      </c>
      <c r="BD304" s="42">
        <f t="shared" si="813"/>
        <v>0</v>
      </c>
      <c r="BE304" s="43">
        <f t="shared" si="814"/>
        <v>39.799999999999997</v>
      </c>
      <c r="BF304" s="44"/>
      <c r="BG304" s="45">
        <f t="shared" si="815"/>
        <v>18</v>
      </c>
      <c r="BH304" s="45">
        <f t="shared" si="816"/>
        <v>1</v>
      </c>
      <c r="BI304" s="45">
        <f t="shared" si="817"/>
        <v>21.8</v>
      </c>
      <c r="BJ304" s="46">
        <f t="shared" si="882"/>
        <v>0</v>
      </c>
      <c r="BK304" s="46">
        <f t="shared" si="883"/>
        <v>0</v>
      </c>
      <c r="BL304" s="46">
        <f t="shared" si="884"/>
        <v>0</v>
      </c>
    </row>
    <row r="305" spans="1:64" ht="30" customHeight="1" x14ac:dyDescent="0.25">
      <c r="A305" s="84" t="str">
        <f t="shared" si="794"/>
        <v>Д</v>
      </c>
      <c r="B305" s="84" t="str">
        <f t="shared" si="32"/>
        <v>Б</v>
      </c>
      <c r="C305" s="101" t="s">
        <v>1465</v>
      </c>
      <c r="D305" s="16" t="str">
        <f t="shared" si="33"/>
        <v>'02.03.02</v>
      </c>
      <c r="E305" s="17" t="str">
        <f t="shared" si="34"/>
        <v>Фундаментальная информатика и информационные технологии</v>
      </c>
      <c r="F305" s="9" t="s">
        <v>413</v>
      </c>
      <c r="G305" s="9" t="s">
        <v>42</v>
      </c>
      <c r="H305" s="10" t="s">
        <v>3233</v>
      </c>
      <c r="I305" s="10"/>
      <c r="J305" s="24" t="s">
        <v>3215</v>
      </c>
      <c r="K305" s="11" t="s">
        <v>3227</v>
      </c>
      <c r="L305" s="11">
        <v>9</v>
      </c>
      <c r="M305" s="8" t="s">
        <v>24</v>
      </c>
      <c r="N305" s="11"/>
      <c r="O305" s="11"/>
      <c r="P305" s="11">
        <v>4</v>
      </c>
      <c r="Q305" s="8"/>
      <c r="R305" s="12"/>
      <c r="S305" s="12"/>
      <c r="T305" s="12"/>
      <c r="U305" s="12"/>
      <c r="V305" s="12"/>
      <c r="W305" s="83" t="str">
        <f t="shared" si="795"/>
        <v>НФИбд</v>
      </c>
      <c r="X305" s="110" t="s">
        <v>3244</v>
      </c>
      <c r="Y305" s="11">
        <v>1</v>
      </c>
      <c r="Z305" s="11">
        <v>1</v>
      </c>
      <c r="AA305" s="83">
        <f t="shared" si="35"/>
        <v>18</v>
      </c>
      <c r="AB305" s="11">
        <v>14</v>
      </c>
      <c r="AC305" s="12">
        <v>4</v>
      </c>
      <c r="AD305" s="81">
        <f t="shared" si="796"/>
        <v>24</v>
      </c>
      <c r="AE305" s="82">
        <f t="shared" si="36"/>
        <v>0.75</v>
      </c>
      <c r="AF305" s="82">
        <f t="shared" si="37"/>
        <v>0.75</v>
      </c>
      <c r="AG305" s="102" t="s">
        <v>3250</v>
      </c>
      <c r="AH305" s="113" t="s">
        <v>204</v>
      </c>
      <c r="AI305" s="113" t="s">
        <v>212</v>
      </c>
      <c r="AJ305" s="119" t="s">
        <v>3256</v>
      </c>
      <c r="AK305" s="8"/>
      <c r="AL305" s="42">
        <f t="shared" si="797"/>
        <v>0</v>
      </c>
      <c r="AM305" s="42">
        <f t="shared" si="804"/>
        <v>27</v>
      </c>
      <c r="AN305" s="42">
        <f t="shared" si="805"/>
        <v>0</v>
      </c>
      <c r="AO305" s="42">
        <f t="shared" si="881"/>
        <v>0</v>
      </c>
      <c r="AP305" s="42">
        <f t="shared" si="806"/>
        <v>0</v>
      </c>
      <c r="AQ305" s="42">
        <f t="shared" si="807"/>
        <v>0</v>
      </c>
      <c r="AR305" s="42">
        <f t="shared" si="798"/>
        <v>0</v>
      </c>
      <c r="AS305" s="42">
        <f t="shared" si="808"/>
        <v>0</v>
      </c>
      <c r="AT305" s="42">
        <f t="shared" si="809"/>
        <v>0</v>
      </c>
      <c r="AU305" s="42">
        <f t="shared" si="810"/>
        <v>0</v>
      </c>
      <c r="AV305" s="42">
        <f>IF(M305="ПП",РПП*AA305*(U305/1.5),IF(M305="ВП",ВПр*AA305*(U305/1.5),IF(M305="РПА",РПА*AA305*(U305/1.5),IF(M305="КПА",КПА*AA305*(U305/1.5),0))))</f>
        <v>0</v>
      </c>
      <c r="AW305" s="42">
        <f t="shared" si="811"/>
        <v>0</v>
      </c>
      <c r="AX305" s="42">
        <f t="shared" si="799"/>
        <v>0</v>
      </c>
      <c r="AY305" s="42">
        <f t="shared" si="800"/>
        <v>0</v>
      </c>
      <c r="AZ305" s="42">
        <f t="shared" si="812"/>
        <v>0</v>
      </c>
      <c r="BA305" s="42">
        <f t="shared" si="801"/>
        <v>0</v>
      </c>
      <c r="BB305" s="42">
        <f t="shared" si="802"/>
        <v>0</v>
      </c>
      <c r="BC305" s="42">
        <f t="shared" si="803"/>
        <v>0</v>
      </c>
      <c r="BD305" s="42">
        <f t="shared" si="813"/>
        <v>0</v>
      </c>
      <c r="BE305" s="43">
        <f t="shared" si="814"/>
        <v>27</v>
      </c>
      <c r="BF305" s="44"/>
      <c r="BG305" s="45">
        <f t="shared" si="815"/>
        <v>27</v>
      </c>
      <c r="BH305" s="45">
        <f t="shared" si="816"/>
        <v>2</v>
      </c>
      <c r="BI305" s="45">
        <f t="shared" si="817"/>
        <v>0</v>
      </c>
      <c r="BJ305" s="46">
        <f t="shared" si="882"/>
        <v>0</v>
      </c>
      <c r="BK305" s="46">
        <f t="shared" si="883"/>
        <v>0</v>
      </c>
      <c r="BL305" s="46">
        <f t="shared" si="884"/>
        <v>0</v>
      </c>
    </row>
    <row r="306" spans="1:64" ht="30" customHeight="1" x14ac:dyDescent="0.25">
      <c r="A306" s="84" t="str">
        <f t="shared" si="794"/>
        <v>Д</v>
      </c>
      <c r="B306" s="84" t="str">
        <f t="shared" si="32"/>
        <v>Б</v>
      </c>
      <c r="C306" s="101" t="s">
        <v>1465</v>
      </c>
      <c r="D306" s="16" t="str">
        <f t="shared" si="33"/>
        <v>'02.03.02</v>
      </c>
      <c r="E306" s="17" t="str">
        <f t="shared" si="34"/>
        <v>Фундаментальная информатика и информационные технологии</v>
      </c>
      <c r="F306" s="9" t="s">
        <v>413</v>
      </c>
      <c r="G306" s="9" t="s">
        <v>42</v>
      </c>
      <c r="H306" s="10" t="s">
        <v>3233</v>
      </c>
      <c r="I306" s="10"/>
      <c r="J306" s="24" t="s">
        <v>3215</v>
      </c>
      <c r="K306" s="11" t="s">
        <v>3227</v>
      </c>
      <c r="L306" s="11">
        <v>9</v>
      </c>
      <c r="M306" s="8" t="s">
        <v>24</v>
      </c>
      <c r="N306" s="11"/>
      <c r="O306" s="11"/>
      <c r="P306" s="11">
        <v>4</v>
      </c>
      <c r="Q306" s="8"/>
      <c r="R306" s="11"/>
      <c r="S306" s="11"/>
      <c r="T306" s="23"/>
      <c r="U306" s="11"/>
      <c r="V306" s="11"/>
      <c r="W306" s="83" t="str">
        <f t="shared" si="795"/>
        <v>НФИбд</v>
      </c>
      <c r="X306" s="110" t="s">
        <v>3245</v>
      </c>
      <c r="Y306" s="11">
        <v>1</v>
      </c>
      <c r="Z306" s="11">
        <v>1</v>
      </c>
      <c r="AA306" s="83">
        <f t="shared" si="35"/>
        <v>18</v>
      </c>
      <c r="AB306" s="11">
        <v>13</v>
      </c>
      <c r="AC306" s="11">
        <v>5</v>
      </c>
      <c r="AD306" s="81">
        <f t="shared" si="796"/>
        <v>24</v>
      </c>
      <c r="AE306" s="82">
        <f t="shared" si="36"/>
        <v>0.75</v>
      </c>
      <c r="AF306" s="82">
        <f t="shared" si="37"/>
        <v>0.75</v>
      </c>
      <c r="AG306" s="102" t="s">
        <v>3250</v>
      </c>
      <c r="AH306" s="113" t="s">
        <v>204</v>
      </c>
      <c r="AI306" s="113" t="s">
        <v>212</v>
      </c>
      <c r="AJ306" s="125" t="s">
        <v>3256</v>
      </c>
      <c r="AK306" s="8"/>
      <c r="AL306" s="42">
        <f t="shared" si="797"/>
        <v>0</v>
      </c>
      <c r="AM306" s="42">
        <f t="shared" si="804"/>
        <v>27</v>
      </c>
      <c r="AN306" s="42">
        <f t="shared" si="805"/>
        <v>0</v>
      </c>
      <c r="AO306" s="42">
        <f t="shared" si="881"/>
        <v>0</v>
      </c>
      <c r="AP306" s="42">
        <f t="shared" si="806"/>
        <v>0</v>
      </c>
      <c r="AQ306" s="42">
        <f t="shared" si="807"/>
        <v>0</v>
      </c>
      <c r="AR306" s="42">
        <f t="shared" si="798"/>
        <v>0</v>
      </c>
      <c r="AS306" s="42">
        <f t="shared" si="808"/>
        <v>0</v>
      </c>
      <c r="AT306" s="42">
        <f t="shared" si="809"/>
        <v>0</v>
      </c>
      <c r="AU306" s="42">
        <f t="shared" si="810"/>
        <v>0</v>
      </c>
      <c r="AV306" s="42">
        <f>IF(M306="ПП",РПП*AA306*(U306/1.5),IF(M306="ВП",ВПр*AA306*(U306/1.5),IF(M306="РПА",РПА*AA306*(U306/1.5),IF(M306="КПА",КПА*AA306*(U306/1.5),0))))</f>
        <v>0</v>
      </c>
      <c r="AW306" s="42">
        <f t="shared" si="811"/>
        <v>0</v>
      </c>
      <c r="AX306" s="42">
        <f t="shared" si="799"/>
        <v>0</v>
      </c>
      <c r="AY306" s="42">
        <f t="shared" si="800"/>
        <v>0</v>
      </c>
      <c r="AZ306" s="42">
        <f t="shared" si="812"/>
        <v>0</v>
      </c>
      <c r="BA306" s="42">
        <f t="shared" si="801"/>
        <v>0</v>
      </c>
      <c r="BB306" s="42">
        <f t="shared" si="802"/>
        <v>0</v>
      </c>
      <c r="BC306" s="42">
        <f t="shared" si="803"/>
        <v>0</v>
      </c>
      <c r="BD306" s="42">
        <f t="shared" si="813"/>
        <v>0</v>
      </c>
      <c r="BE306" s="43">
        <f t="shared" si="814"/>
        <v>27</v>
      </c>
      <c r="BF306" s="44"/>
      <c r="BG306" s="45">
        <f t="shared" si="815"/>
        <v>27</v>
      </c>
      <c r="BH306" s="45">
        <f t="shared" si="816"/>
        <v>2</v>
      </c>
      <c r="BI306" s="45">
        <f t="shared" si="817"/>
        <v>0</v>
      </c>
      <c r="BJ306" s="46">
        <f t="shared" si="882"/>
        <v>0</v>
      </c>
      <c r="BK306" s="46">
        <f t="shared" si="883"/>
        <v>0</v>
      </c>
      <c r="BL306" s="46">
        <f t="shared" si="884"/>
        <v>0</v>
      </c>
    </row>
    <row r="307" spans="1:64" ht="30" customHeight="1" x14ac:dyDescent="0.25">
      <c r="A307" s="84" t="str">
        <f t="shared" si="794"/>
        <v>Д</v>
      </c>
      <c r="B307" s="84" t="str">
        <f t="shared" si="32"/>
        <v>Б</v>
      </c>
      <c r="C307" s="101" t="s">
        <v>1465</v>
      </c>
      <c r="D307" s="16" t="str">
        <f t="shared" si="33"/>
        <v>'02.03.02</v>
      </c>
      <c r="E307" s="17" t="str">
        <f t="shared" si="34"/>
        <v>Фундаментальная информатика и информационные технологии</v>
      </c>
      <c r="F307" s="9" t="s">
        <v>413</v>
      </c>
      <c r="G307" s="9" t="s">
        <v>503</v>
      </c>
      <c r="H307" s="10" t="s">
        <v>3233</v>
      </c>
      <c r="I307" s="10" t="s">
        <v>3231</v>
      </c>
      <c r="J307" s="24" t="s">
        <v>3268</v>
      </c>
      <c r="K307" s="12">
        <v>5</v>
      </c>
      <c r="L307" s="11">
        <v>18</v>
      </c>
      <c r="M307" s="8" t="s">
        <v>23</v>
      </c>
      <c r="N307" s="12">
        <v>1</v>
      </c>
      <c r="O307" s="12"/>
      <c r="P307" s="12"/>
      <c r="Q307" s="8"/>
      <c r="R307" s="11"/>
      <c r="S307" s="11"/>
      <c r="T307" s="23"/>
      <c r="U307" s="11"/>
      <c r="V307" s="11"/>
      <c r="W307" s="83" t="str">
        <f t="shared" si="795"/>
        <v>НФИбд</v>
      </c>
      <c r="X307" s="110" t="s">
        <v>3272</v>
      </c>
      <c r="Y307" s="11">
        <v>4</v>
      </c>
      <c r="Z307" s="11">
        <v>2</v>
      </c>
      <c r="AA307" s="83">
        <f t="shared" si="35"/>
        <v>41</v>
      </c>
      <c r="AB307" s="11">
        <v>26</v>
      </c>
      <c r="AC307" s="11">
        <v>15</v>
      </c>
      <c r="AD307" s="81">
        <f t="shared" si="796"/>
        <v>41</v>
      </c>
      <c r="AE307" s="82">
        <f t="shared" si="36"/>
        <v>1</v>
      </c>
      <c r="AF307" s="82">
        <f t="shared" si="37"/>
        <v>1</v>
      </c>
      <c r="AG307" s="102" t="s">
        <v>3250</v>
      </c>
      <c r="AH307" s="113" t="s">
        <v>204</v>
      </c>
      <c r="AI307" s="113" t="s">
        <v>212</v>
      </c>
      <c r="AJ307" s="119" t="s">
        <v>3346</v>
      </c>
      <c r="AK307" s="8" t="s">
        <v>949</v>
      </c>
      <c r="AL307" s="42">
        <f t="shared" si="797"/>
        <v>18</v>
      </c>
      <c r="AM307" s="42">
        <f t="shared" si="804"/>
        <v>0</v>
      </c>
      <c r="AN307" s="42">
        <f t="shared" si="805"/>
        <v>0</v>
      </c>
      <c r="AO307" s="42">
        <f t="shared" si="881"/>
        <v>0</v>
      </c>
      <c r="AP307" s="42">
        <f t="shared" si="806"/>
        <v>0</v>
      </c>
      <c r="AQ307" s="42">
        <f t="shared" si="807"/>
        <v>0</v>
      </c>
      <c r="AR307" s="42">
        <f t="shared" si="798"/>
        <v>1.8</v>
      </c>
      <c r="AS307" s="42">
        <f t="shared" si="808"/>
        <v>0</v>
      </c>
      <c r="AT307" s="42">
        <f t="shared" si="809"/>
        <v>0</v>
      </c>
      <c r="AU307" s="42">
        <f t="shared" si="810"/>
        <v>0</v>
      </c>
      <c r="AV307" s="42">
        <f>IF(M307="ПП",РПП*AA307*(U307/1.5),IF(M307="ВП",ВПр*AA307*(U307/1.5),IF(M307="РПА",РПА*AA307*(U307/1.5),IF(M307="КПА",КПА*AA307*(U307/1.5),0))))</f>
        <v>0</v>
      </c>
      <c r="AW307" s="42">
        <f t="shared" si="811"/>
        <v>0</v>
      </c>
      <c r="AX307" s="42">
        <f t="shared" si="799"/>
        <v>0</v>
      </c>
      <c r="AY307" s="42">
        <f t="shared" si="800"/>
        <v>0</v>
      </c>
      <c r="AZ307" s="42">
        <f t="shared" si="812"/>
        <v>0</v>
      </c>
      <c r="BA307" s="42">
        <f t="shared" si="801"/>
        <v>0</v>
      </c>
      <c r="BB307" s="42">
        <f t="shared" si="802"/>
        <v>0</v>
      </c>
      <c r="BC307" s="42">
        <f t="shared" si="803"/>
        <v>0</v>
      </c>
      <c r="BD307" s="42">
        <f t="shared" si="813"/>
        <v>0</v>
      </c>
      <c r="BE307" s="43">
        <f t="shared" si="814"/>
        <v>19.8</v>
      </c>
      <c r="BF307" s="44"/>
      <c r="BG307" s="45">
        <f t="shared" si="815"/>
        <v>18</v>
      </c>
      <c r="BH307" s="45">
        <f t="shared" si="816"/>
        <v>0.5</v>
      </c>
      <c r="BI307" s="45">
        <f t="shared" si="817"/>
        <v>1.8</v>
      </c>
      <c r="BJ307" s="46">
        <f t="shared" si="882"/>
        <v>0</v>
      </c>
      <c r="BK307" s="46">
        <f t="shared" si="883"/>
        <v>0</v>
      </c>
      <c r="BL307" s="46">
        <f t="shared" si="884"/>
        <v>0</v>
      </c>
    </row>
    <row r="308" spans="1:64" ht="30" customHeight="1" x14ac:dyDescent="0.25">
      <c r="A308" s="84" t="str">
        <f t="shared" si="794"/>
        <v>Д</v>
      </c>
      <c r="B308" s="84" t="str">
        <f t="shared" si="32"/>
        <v>Б</v>
      </c>
      <c r="C308" s="101" t="s">
        <v>1465</v>
      </c>
      <c r="D308" s="16" t="str">
        <f t="shared" si="33"/>
        <v>'02.03.02</v>
      </c>
      <c r="E308" s="17" t="str">
        <f t="shared" si="34"/>
        <v>Фундаментальная информатика и информационные технологии</v>
      </c>
      <c r="F308" s="9" t="s">
        <v>413</v>
      </c>
      <c r="G308" s="9" t="s">
        <v>503</v>
      </c>
      <c r="H308" s="10" t="s">
        <v>3233</v>
      </c>
      <c r="I308" s="10" t="s">
        <v>3231</v>
      </c>
      <c r="J308" s="24" t="s">
        <v>3268</v>
      </c>
      <c r="K308" s="11">
        <v>5</v>
      </c>
      <c r="L308" s="11">
        <v>18</v>
      </c>
      <c r="M308" s="8" t="s">
        <v>24</v>
      </c>
      <c r="N308" s="11"/>
      <c r="O308" s="11"/>
      <c r="P308" s="11">
        <v>1</v>
      </c>
      <c r="Q308" s="8" t="s">
        <v>102</v>
      </c>
      <c r="R308" s="11"/>
      <c r="S308" s="11"/>
      <c r="T308" s="11"/>
      <c r="U308" s="11"/>
      <c r="V308" s="11"/>
      <c r="W308" s="83" t="str">
        <f t="shared" si="795"/>
        <v>НФИбд</v>
      </c>
      <c r="X308" s="110" t="s">
        <v>3272</v>
      </c>
      <c r="Y308" s="11">
        <v>4</v>
      </c>
      <c r="Z308" s="11">
        <v>2</v>
      </c>
      <c r="AA308" s="83">
        <f t="shared" si="35"/>
        <v>41</v>
      </c>
      <c r="AB308" s="11">
        <v>26</v>
      </c>
      <c r="AC308" s="11">
        <v>15</v>
      </c>
      <c r="AD308" s="81">
        <f t="shared" si="796"/>
        <v>24</v>
      </c>
      <c r="AE308" s="82">
        <f t="shared" si="36"/>
        <v>1</v>
      </c>
      <c r="AF308" s="82">
        <f t="shared" si="37"/>
        <v>1.7083333333333333</v>
      </c>
      <c r="AG308" s="102" t="s">
        <v>3250</v>
      </c>
      <c r="AH308" s="113" t="s">
        <v>203</v>
      </c>
      <c r="AI308" s="113" t="s">
        <v>212</v>
      </c>
      <c r="AJ308" s="121" t="s">
        <v>3347</v>
      </c>
      <c r="AK308" s="8"/>
      <c r="AL308" s="42">
        <f t="shared" si="797"/>
        <v>0</v>
      </c>
      <c r="AM308" s="42">
        <f t="shared" si="804"/>
        <v>18</v>
      </c>
      <c r="AN308" s="42">
        <f t="shared" si="805"/>
        <v>0</v>
      </c>
      <c r="AO308" s="42">
        <f t="shared" si="881"/>
        <v>13.530000000000001</v>
      </c>
      <c r="AP308" s="42">
        <f t="shared" si="806"/>
        <v>20.5</v>
      </c>
      <c r="AQ308" s="42">
        <f t="shared" si="807"/>
        <v>1</v>
      </c>
      <c r="AR308" s="42">
        <f t="shared" si="798"/>
        <v>0</v>
      </c>
      <c r="AS308" s="42">
        <f t="shared" si="808"/>
        <v>0</v>
      </c>
      <c r="AT308" s="42">
        <f t="shared" si="809"/>
        <v>0</v>
      </c>
      <c r="AU308" s="42">
        <f t="shared" si="810"/>
        <v>0</v>
      </c>
      <c r="AV308" s="42">
        <f>IF(M308="ПП",РПП*AA308*(U308/1.5),IF(M308="ВП",ВПр*AA308*(U308/1.5),IF(M308="РПА",РПА*AA308*(U308/1.5),IF(M308="КПА",КПА*AA308*(U308/1.5),0))))</f>
        <v>0</v>
      </c>
      <c r="AW308" s="42">
        <f t="shared" si="811"/>
        <v>0</v>
      </c>
      <c r="AX308" s="42">
        <f t="shared" si="799"/>
        <v>0</v>
      </c>
      <c r="AY308" s="42">
        <f t="shared" si="800"/>
        <v>0</v>
      </c>
      <c r="AZ308" s="42">
        <f t="shared" si="812"/>
        <v>0</v>
      </c>
      <c r="BA308" s="42">
        <f t="shared" si="801"/>
        <v>0</v>
      </c>
      <c r="BB308" s="42">
        <f t="shared" si="802"/>
        <v>0</v>
      </c>
      <c r="BC308" s="42">
        <f t="shared" si="803"/>
        <v>0</v>
      </c>
      <c r="BD308" s="42">
        <f t="shared" si="813"/>
        <v>0</v>
      </c>
      <c r="BE308" s="43">
        <f t="shared" si="814"/>
        <v>53.03</v>
      </c>
      <c r="BF308" s="44"/>
      <c r="BG308" s="45">
        <f t="shared" si="815"/>
        <v>18</v>
      </c>
      <c r="BH308" s="45">
        <f t="shared" si="816"/>
        <v>0.5</v>
      </c>
      <c r="BI308" s="45">
        <f t="shared" si="817"/>
        <v>35.03</v>
      </c>
      <c r="BJ308" s="46">
        <f t="shared" si="882"/>
        <v>0</v>
      </c>
      <c r="BK308" s="46">
        <f t="shared" si="883"/>
        <v>0</v>
      </c>
      <c r="BL308" s="46">
        <f t="shared" si="884"/>
        <v>0</v>
      </c>
    </row>
    <row r="309" spans="1:64" ht="30" customHeight="1" x14ac:dyDescent="0.25">
      <c r="A309" s="84" t="str">
        <f t="shared" si="794"/>
        <v>Д</v>
      </c>
      <c r="B309" s="84" t="str">
        <f t="shared" si="32"/>
        <v>Б</v>
      </c>
      <c r="C309" s="101" t="s">
        <v>1465</v>
      </c>
      <c r="D309" s="16" t="str">
        <f t="shared" si="33"/>
        <v>'02.03.02</v>
      </c>
      <c r="E309" s="17" t="str">
        <f t="shared" si="34"/>
        <v>Фундаментальная информатика и информационные технологии</v>
      </c>
      <c r="F309" s="9" t="s">
        <v>413</v>
      </c>
      <c r="G309" s="9" t="s">
        <v>503</v>
      </c>
      <c r="H309" s="10" t="s">
        <v>3233</v>
      </c>
      <c r="I309" s="10" t="s">
        <v>3276</v>
      </c>
      <c r="J309" s="24" t="s">
        <v>3217</v>
      </c>
      <c r="K309" s="11">
        <v>5</v>
      </c>
      <c r="L309" s="11">
        <v>18</v>
      </c>
      <c r="M309" s="8" t="s">
        <v>23</v>
      </c>
      <c r="N309" s="11">
        <v>2</v>
      </c>
      <c r="O309" s="11"/>
      <c r="P309" s="11"/>
      <c r="Q309" s="8"/>
      <c r="R309" s="11"/>
      <c r="S309" s="11"/>
      <c r="T309" s="11"/>
      <c r="U309" s="11"/>
      <c r="V309" s="11"/>
      <c r="W309" s="83" t="str">
        <f t="shared" si="795"/>
        <v>НФИбд</v>
      </c>
      <c r="X309" s="110" t="s">
        <v>3272</v>
      </c>
      <c r="Y309" s="11">
        <v>4</v>
      </c>
      <c r="Z309" s="11">
        <v>2</v>
      </c>
      <c r="AA309" s="83">
        <f t="shared" si="35"/>
        <v>18</v>
      </c>
      <c r="AB309" s="11">
        <v>12</v>
      </c>
      <c r="AC309" s="11">
        <v>6</v>
      </c>
      <c r="AD309" s="81">
        <f t="shared" si="796"/>
        <v>18</v>
      </c>
      <c r="AE309" s="82">
        <f t="shared" si="36"/>
        <v>1</v>
      </c>
      <c r="AF309" s="82">
        <f t="shared" si="37"/>
        <v>1</v>
      </c>
      <c r="AG309" s="102" t="s">
        <v>3250</v>
      </c>
      <c r="AH309" s="113" t="s">
        <v>201</v>
      </c>
      <c r="AI309" s="113" t="s">
        <v>213</v>
      </c>
      <c r="AJ309" s="121" t="s">
        <v>3260</v>
      </c>
      <c r="AK309" s="8"/>
      <c r="AL309" s="42">
        <f t="shared" si="797"/>
        <v>36</v>
      </c>
      <c r="AM309" s="42">
        <f t="shared" si="804"/>
        <v>0</v>
      </c>
      <c r="AN309" s="42">
        <f t="shared" si="805"/>
        <v>0</v>
      </c>
      <c r="AO309" s="42">
        <f t="shared" si="881"/>
        <v>0</v>
      </c>
      <c r="AP309" s="42">
        <f t="shared" si="806"/>
        <v>0</v>
      </c>
      <c r="AQ309" s="42">
        <f t="shared" si="807"/>
        <v>0</v>
      </c>
      <c r="AR309" s="42">
        <f t="shared" si="798"/>
        <v>3.6</v>
      </c>
      <c r="AS309" s="42">
        <f t="shared" si="808"/>
        <v>0</v>
      </c>
      <c r="AT309" s="42">
        <f t="shared" si="809"/>
        <v>0</v>
      </c>
      <c r="AU309" s="42">
        <f t="shared" si="810"/>
        <v>0</v>
      </c>
      <c r="AV309" s="42">
        <f>IF(M309="ПП",РПП*AA309*(U309/1.5),IF(M309="ВП",ВПр*AA309*(U309/1.5),IF(M309="РПА",РПА*AA309*(U309/1.5),IF(M309="КПА",КПА*AA309*(U309/1.5),0))))</f>
        <v>0</v>
      </c>
      <c r="AW309" s="42">
        <f t="shared" si="811"/>
        <v>0</v>
      </c>
      <c r="AX309" s="42">
        <f t="shared" si="799"/>
        <v>0</v>
      </c>
      <c r="AY309" s="42">
        <f t="shared" si="800"/>
        <v>0</v>
      </c>
      <c r="AZ309" s="42">
        <f t="shared" si="812"/>
        <v>0</v>
      </c>
      <c r="BA309" s="42">
        <f t="shared" si="801"/>
        <v>0</v>
      </c>
      <c r="BB309" s="42">
        <f t="shared" si="802"/>
        <v>0</v>
      </c>
      <c r="BC309" s="42">
        <f t="shared" si="803"/>
        <v>0</v>
      </c>
      <c r="BD309" s="42">
        <f t="shared" si="813"/>
        <v>0</v>
      </c>
      <c r="BE309" s="43">
        <f t="shared" si="814"/>
        <v>39.6</v>
      </c>
      <c r="BF309" s="44"/>
      <c r="BG309" s="45">
        <f t="shared" si="815"/>
        <v>36</v>
      </c>
      <c r="BH309" s="45">
        <f t="shared" si="816"/>
        <v>1</v>
      </c>
      <c r="BI309" s="45">
        <f t="shared" si="817"/>
        <v>3.6</v>
      </c>
      <c r="BJ309" s="46">
        <f t="shared" si="882"/>
        <v>0</v>
      </c>
      <c r="BK309" s="46">
        <f t="shared" si="883"/>
        <v>0</v>
      </c>
      <c r="BL309" s="46">
        <f t="shared" si="884"/>
        <v>0</v>
      </c>
    </row>
    <row r="310" spans="1:64" ht="30" customHeight="1" x14ac:dyDescent="0.25">
      <c r="A310" s="84" t="str">
        <f t="shared" si="794"/>
        <v>Д</v>
      </c>
      <c r="B310" s="84" t="str">
        <f t="shared" si="32"/>
        <v>Б</v>
      </c>
      <c r="C310" s="101" t="s">
        <v>1465</v>
      </c>
      <c r="D310" s="16" t="str">
        <f t="shared" si="33"/>
        <v>'02.03.02</v>
      </c>
      <c r="E310" s="17" t="str">
        <f t="shared" si="34"/>
        <v>Фундаментальная информатика и информационные технологии</v>
      </c>
      <c r="F310" s="9" t="s">
        <v>413</v>
      </c>
      <c r="G310" s="9" t="s">
        <v>503</v>
      </c>
      <c r="H310" s="10" t="s">
        <v>3233</v>
      </c>
      <c r="I310" s="10" t="s">
        <v>3276</v>
      </c>
      <c r="J310" s="24" t="s">
        <v>3217</v>
      </c>
      <c r="K310" s="11">
        <v>5</v>
      </c>
      <c r="L310" s="11">
        <v>18</v>
      </c>
      <c r="M310" s="8" t="s">
        <v>24</v>
      </c>
      <c r="N310" s="11"/>
      <c r="O310" s="11"/>
      <c r="P310" s="11">
        <v>2</v>
      </c>
      <c r="Q310" s="8" t="s">
        <v>102</v>
      </c>
      <c r="R310" s="12"/>
      <c r="S310" s="12"/>
      <c r="T310" s="12"/>
      <c r="U310" s="12"/>
      <c r="V310" s="12"/>
      <c r="W310" s="83" t="str">
        <f t="shared" si="795"/>
        <v>НФИбд</v>
      </c>
      <c r="X310" s="110" t="s">
        <v>3272</v>
      </c>
      <c r="Y310" s="11">
        <v>4</v>
      </c>
      <c r="Z310" s="11">
        <v>2</v>
      </c>
      <c r="AA310" s="83">
        <f t="shared" si="35"/>
        <v>18</v>
      </c>
      <c r="AB310" s="11">
        <v>12</v>
      </c>
      <c r="AC310" s="11">
        <v>6</v>
      </c>
      <c r="AD310" s="81">
        <f t="shared" si="796"/>
        <v>24</v>
      </c>
      <c r="AE310" s="82">
        <f t="shared" si="36"/>
        <v>0.75</v>
      </c>
      <c r="AF310" s="82">
        <f t="shared" si="37"/>
        <v>0.75</v>
      </c>
      <c r="AG310" s="102" t="s">
        <v>3250</v>
      </c>
      <c r="AH310" s="113" t="s">
        <v>201</v>
      </c>
      <c r="AI310" s="113" t="s">
        <v>213</v>
      </c>
      <c r="AJ310" s="121" t="s">
        <v>3260</v>
      </c>
      <c r="AK310" s="8"/>
      <c r="AL310" s="42">
        <f t="shared" si="797"/>
        <v>0</v>
      </c>
      <c r="AM310" s="42">
        <f t="shared" si="804"/>
        <v>27</v>
      </c>
      <c r="AN310" s="42">
        <f t="shared" si="805"/>
        <v>0</v>
      </c>
      <c r="AO310" s="42">
        <f t="shared" si="881"/>
        <v>5.94</v>
      </c>
      <c r="AP310" s="42">
        <f t="shared" si="806"/>
        <v>9</v>
      </c>
      <c r="AQ310" s="42">
        <f t="shared" si="807"/>
        <v>0.75</v>
      </c>
      <c r="AR310" s="42">
        <f t="shared" si="798"/>
        <v>0</v>
      </c>
      <c r="AS310" s="42">
        <f t="shared" si="808"/>
        <v>0</v>
      </c>
      <c r="AT310" s="42">
        <f t="shared" si="809"/>
        <v>0</v>
      </c>
      <c r="AU310" s="42">
        <f t="shared" si="810"/>
        <v>0</v>
      </c>
      <c r="AV310" s="42">
        <f>IF(M310="ПП",РПП*AA310*(U310/1.5),IF(M310="ВП",ВПр*AA310*(U310/1.5),IF(M310="РПА",РПА*AA310*(U310/1.5),IF(M310="КПА",КПА*AA310*(U310/1.5),0))))</f>
        <v>0</v>
      </c>
      <c r="AW310" s="42">
        <f t="shared" si="811"/>
        <v>0</v>
      </c>
      <c r="AX310" s="42">
        <f t="shared" si="799"/>
        <v>0</v>
      </c>
      <c r="AY310" s="42">
        <f t="shared" si="800"/>
        <v>0</v>
      </c>
      <c r="AZ310" s="42">
        <f t="shared" si="812"/>
        <v>0</v>
      </c>
      <c r="BA310" s="42">
        <f t="shared" si="801"/>
        <v>0</v>
      </c>
      <c r="BB310" s="42">
        <f t="shared" si="802"/>
        <v>0</v>
      </c>
      <c r="BC310" s="42">
        <f t="shared" si="803"/>
        <v>0</v>
      </c>
      <c r="BD310" s="42">
        <f t="shared" si="813"/>
        <v>0</v>
      </c>
      <c r="BE310" s="43">
        <f t="shared" si="814"/>
        <v>42.69</v>
      </c>
      <c r="BF310" s="44"/>
      <c r="BG310" s="45">
        <f t="shared" si="815"/>
        <v>27</v>
      </c>
      <c r="BH310" s="45">
        <f t="shared" si="816"/>
        <v>1</v>
      </c>
      <c r="BI310" s="45">
        <f t="shared" si="817"/>
        <v>15.690000000000001</v>
      </c>
      <c r="BJ310" s="46">
        <f t="shared" si="882"/>
        <v>0</v>
      </c>
      <c r="BK310" s="46">
        <f t="shared" si="883"/>
        <v>0</v>
      </c>
      <c r="BL310" s="46">
        <f t="shared" si="884"/>
        <v>0</v>
      </c>
    </row>
    <row r="311" spans="1:64" ht="30" customHeight="1" x14ac:dyDescent="0.25">
      <c r="A311" s="84" t="str">
        <f t="shared" si="794"/>
        <v>Д</v>
      </c>
      <c r="B311" s="84" t="str">
        <f t="shared" si="32"/>
        <v>Б</v>
      </c>
      <c r="C311" s="101" t="s">
        <v>1465</v>
      </c>
      <c r="D311" s="16" t="str">
        <f t="shared" si="33"/>
        <v>'02.03.02</v>
      </c>
      <c r="E311" s="17" t="str">
        <f t="shared" si="34"/>
        <v>Фундаментальная информатика и информационные технологии</v>
      </c>
      <c r="F311" s="9" t="s">
        <v>413</v>
      </c>
      <c r="G311" s="9" t="s">
        <v>503</v>
      </c>
      <c r="H311" s="10" t="s">
        <v>3233</v>
      </c>
      <c r="I311" s="10" t="s">
        <v>3276</v>
      </c>
      <c r="J311" s="24" t="s">
        <v>3218</v>
      </c>
      <c r="K311" s="11">
        <v>5</v>
      </c>
      <c r="L311" s="11">
        <v>18</v>
      </c>
      <c r="M311" s="8" t="s">
        <v>23</v>
      </c>
      <c r="N311" s="11">
        <v>2</v>
      </c>
      <c r="O311" s="11"/>
      <c r="P311" s="11"/>
      <c r="Q311" s="8" t="s">
        <v>103</v>
      </c>
      <c r="R311" s="11"/>
      <c r="S311" s="11"/>
      <c r="T311" s="23"/>
      <c r="U311" s="11"/>
      <c r="V311" s="11"/>
      <c r="W311" s="83" t="str">
        <f t="shared" si="795"/>
        <v>НФИбд</v>
      </c>
      <c r="X311" s="110" t="s">
        <v>3272</v>
      </c>
      <c r="Y311" s="11">
        <v>4</v>
      </c>
      <c r="Z311" s="11">
        <v>2</v>
      </c>
      <c r="AA311" s="83">
        <f t="shared" si="35"/>
        <v>18</v>
      </c>
      <c r="AB311" s="11">
        <v>12</v>
      </c>
      <c r="AC311" s="11">
        <v>6</v>
      </c>
      <c r="AD311" s="81">
        <f t="shared" si="796"/>
        <v>18</v>
      </c>
      <c r="AE311" s="82">
        <f t="shared" si="36"/>
        <v>1</v>
      </c>
      <c r="AF311" s="82">
        <f t="shared" si="37"/>
        <v>1</v>
      </c>
      <c r="AG311" s="102" t="s">
        <v>3250</v>
      </c>
      <c r="AH311" s="113" t="s">
        <v>204</v>
      </c>
      <c r="AI311" s="113" t="s">
        <v>213</v>
      </c>
      <c r="AJ311" s="127" t="s">
        <v>3266</v>
      </c>
      <c r="AK311" s="8"/>
      <c r="AL311" s="42">
        <f t="shared" si="797"/>
        <v>36</v>
      </c>
      <c r="AM311" s="42">
        <f t="shared" si="804"/>
        <v>0</v>
      </c>
      <c r="AN311" s="42">
        <f t="shared" si="805"/>
        <v>0</v>
      </c>
      <c r="AO311" s="42">
        <f t="shared" si="881"/>
        <v>5.94</v>
      </c>
      <c r="AP311" s="42">
        <f t="shared" si="806"/>
        <v>9</v>
      </c>
      <c r="AQ311" s="42">
        <f t="shared" si="807"/>
        <v>2</v>
      </c>
      <c r="AR311" s="42">
        <f t="shared" si="798"/>
        <v>3.6</v>
      </c>
      <c r="AS311" s="42">
        <f t="shared" si="808"/>
        <v>0</v>
      </c>
      <c r="AT311" s="42">
        <f t="shared" si="809"/>
        <v>0</v>
      </c>
      <c r="AU311" s="42">
        <f t="shared" si="810"/>
        <v>0</v>
      </c>
      <c r="AV311" s="42">
        <f>IF(M311="ПП",РПП*AA311*(U311/1.5),IF(M311="ВП",ВПр*AA311*(U311/1.5),IF(M311="РПА",РПА*AA311*(U311/1.5),IF(M311="КПА",КПА*AA311*(U311/1.5),0))))</f>
        <v>0</v>
      </c>
      <c r="AW311" s="42">
        <f t="shared" si="811"/>
        <v>0</v>
      </c>
      <c r="AX311" s="42">
        <f t="shared" si="799"/>
        <v>0</v>
      </c>
      <c r="AY311" s="42">
        <f t="shared" si="800"/>
        <v>0</v>
      </c>
      <c r="AZ311" s="42">
        <f t="shared" si="812"/>
        <v>0</v>
      </c>
      <c r="BA311" s="42">
        <f t="shared" si="801"/>
        <v>0</v>
      </c>
      <c r="BB311" s="42">
        <f t="shared" si="802"/>
        <v>0</v>
      </c>
      <c r="BC311" s="42">
        <f t="shared" si="803"/>
        <v>0</v>
      </c>
      <c r="BD311" s="42">
        <f t="shared" si="813"/>
        <v>0</v>
      </c>
      <c r="BE311" s="43">
        <f t="shared" si="814"/>
        <v>56.54</v>
      </c>
      <c r="BF311" s="44"/>
      <c r="BG311" s="45">
        <f t="shared" si="815"/>
        <v>36</v>
      </c>
      <c r="BH311" s="45">
        <f t="shared" si="816"/>
        <v>1</v>
      </c>
      <c r="BI311" s="45">
        <f t="shared" si="817"/>
        <v>20.540000000000003</v>
      </c>
      <c r="BJ311" s="46">
        <f t="shared" si="882"/>
        <v>0</v>
      </c>
      <c r="BK311" s="46">
        <f t="shared" si="883"/>
        <v>0</v>
      </c>
      <c r="BL311" s="46">
        <f t="shared" si="884"/>
        <v>0</v>
      </c>
    </row>
    <row r="312" spans="1:64" ht="30" customHeight="1" x14ac:dyDescent="0.25">
      <c r="A312" s="84" t="str">
        <f t="shared" si="794"/>
        <v>Д</v>
      </c>
      <c r="B312" s="84" t="str">
        <f t="shared" si="32"/>
        <v>Б</v>
      </c>
      <c r="C312" s="101" t="s">
        <v>1465</v>
      </c>
      <c r="D312" s="16" t="str">
        <f t="shared" si="33"/>
        <v>'02.03.02</v>
      </c>
      <c r="E312" s="17" t="str">
        <f t="shared" si="34"/>
        <v>Фундаментальная информатика и информационные технологии</v>
      </c>
      <c r="F312" s="9" t="s">
        <v>413</v>
      </c>
      <c r="G312" s="9" t="s">
        <v>503</v>
      </c>
      <c r="H312" s="10" t="s">
        <v>3233</v>
      </c>
      <c r="I312" s="10" t="s">
        <v>3276</v>
      </c>
      <c r="J312" s="24" t="s">
        <v>3218</v>
      </c>
      <c r="K312" s="11">
        <v>5</v>
      </c>
      <c r="L312" s="11">
        <v>18</v>
      </c>
      <c r="M312" s="8" t="s">
        <v>24</v>
      </c>
      <c r="N312" s="12"/>
      <c r="O312" s="12"/>
      <c r="P312" s="12">
        <v>4</v>
      </c>
      <c r="Q312" s="8"/>
      <c r="R312" s="11"/>
      <c r="S312" s="11"/>
      <c r="T312" s="23"/>
      <c r="U312" s="11"/>
      <c r="V312" s="11"/>
      <c r="W312" s="83" t="str">
        <f t="shared" si="795"/>
        <v>НФИбд</v>
      </c>
      <c r="X312" s="110" t="s">
        <v>3272</v>
      </c>
      <c r="Y312" s="11">
        <v>4</v>
      </c>
      <c r="Z312" s="11">
        <v>2</v>
      </c>
      <c r="AA312" s="83">
        <f t="shared" si="35"/>
        <v>18</v>
      </c>
      <c r="AB312" s="11">
        <v>12</v>
      </c>
      <c r="AC312" s="11">
        <v>6</v>
      </c>
      <c r="AD312" s="81">
        <f t="shared" si="796"/>
        <v>24</v>
      </c>
      <c r="AE312" s="82">
        <f t="shared" si="36"/>
        <v>0.75</v>
      </c>
      <c r="AF312" s="82">
        <f t="shared" si="37"/>
        <v>0.75</v>
      </c>
      <c r="AG312" s="102" t="s">
        <v>3250</v>
      </c>
      <c r="AH312" s="113" t="s">
        <v>204</v>
      </c>
      <c r="AI312" s="113" t="s">
        <v>213</v>
      </c>
      <c r="AJ312" s="119" t="s">
        <v>3266</v>
      </c>
      <c r="AK312" s="8"/>
      <c r="AL312" s="42">
        <f t="shared" si="797"/>
        <v>0</v>
      </c>
      <c r="AM312" s="42">
        <f t="shared" si="804"/>
        <v>54</v>
      </c>
      <c r="AN312" s="42">
        <f t="shared" si="805"/>
        <v>0</v>
      </c>
      <c r="AO312" s="42">
        <f t="shared" si="881"/>
        <v>0</v>
      </c>
      <c r="AP312" s="42">
        <f t="shared" si="806"/>
        <v>0</v>
      </c>
      <c r="AQ312" s="42">
        <f t="shared" si="807"/>
        <v>0</v>
      </c>
      <c r="AR312" s="42">
        <f t="shared" si="798"/>
        <v>0</v>
      </c>
      <c r="AS312" s="42">
        <f t="shared" si="808"/>
        <v>0</v>
      </c>
      <c r="AT312" s="42">
        <f t="shared" si="809"/>
        <v>0</v>
      </c>
      <c r="AU312" s="42">
        <f t="shared" si="810"/>
        <v>0</v>
      </c>
      <c r="AV312" s="42">
        <f>IF(M312="ПП",РПП*AA312*(U312/1.5),IF(M312="ВП",ВПр*AA312*(U312/1.5),IF(M312="РПА",РПА*AA312*(U312/1.5),IF(M312="КПА",КПА*AA312*(U312/1.5),0))))</f>
        <v>0</v>
      </c>
      <c r="AW312" s="42">
        <f t="shared" si="811"/>
        <v>0</v>
      </c>
      <c r="AX312" s="42">
        <f t="shared" si="799"/>
        <v>0</v>
      </c>
      <c r="AY312" s="42">
        <f t="shared" si="800"/>
        <v>0</v>
      </c>
      <c r="AZ312" s="42">
        <f t="shared" si="812"/>
        <v>0</v>
      </c>
      <c r="BA312" s="42">
        <f t="shared" si="801"/>
        <v>0</v>
      </c>
      <c r="BB312" s="42">
        <f t="shared" si="802"/>
        <v>0</v>
      </c>
      <c r="BC312" s="42">
        <f t="shared" si="803"/>
        <v>0</v>
      </c>
      <c r="BD312" s="42">
        <f t="shared" si="813"/>
        <v>0</v>
      </c>
      <c r="BE312" s="43">
        <f t="shared" si="814"/>
        <v>54</v>
      </c>
      <c r="BF312" s="44"/>
      <c r="BG312" s="45">
        <f t="shared" si="815"/>
        <v>54</v>
      </c>
      <c r="BH312" s="45">
        <f t="shared" si="816"/>
        <v>2</v>
      </c>
      <c r="BI312" s="45">
        <f t="shared" si="817"/>
        <v>0</v>
      </c>
      <c r="BJ312" s="46">
        <f t="shared" si="882"/>
        <v>0</v>
      </c>
      <c r="BK312" s="46">
        <f t="shared" si="883"/>
        <v>0</v>
      </c>
      <c r="BL312" s="46">
        <f t="shared" si="884"/>
        <v>0</v>
      </c>
    </row>
    <row r="313" spans="1:64" ht="30" customHeight="1" x14ac:dyDescent="0.25">
      <c r="A313" s="84" t="str">
        <f t="shared" si="794"/>
        <v>Д</v>
      </c>
      <c r="B313" s="84" t="str">
        <f t="shared" si="32"/>
        <v>Б</v>
      </c>
      <c r="C313" s="101" t="s">
        <v>1465</v>
      </c>
      <c r="D313" s="16" t="str">
        <f t="shared" si="33"/>
        <v>'02.03.02</v>
      </c>
      <c r="E313" s="17" t="str">
        <f t="shared" si="34"/>
        <v>Фундаментальная информатика и информационные технологии</v>
      </c>
      <c r="F313" s="9" t="s">
        <v>413</v>
      </c>
      <c r="G313" s="9" t="s">
        <v>503</v>
      </c>
      <c r="H313" s="10" t="s">
        <v>3233</v>
      </c>
      <c r="I313" s="10" t="s">
        <v>3276</v>
      </c>
      <c r="J313" s="24" t="s">
        <v>3219</v>
      </c>
      <c r="K313" s="11">
        <v>6</v>
      </c>
      <c r="L313" s="11">
        <v>18</v>
      </c>
      <c r="M313" s="8" t="s">
        <v>23</v>
      </c>
      <c r="N313" s="11">
        <v>2</v>
      </c>
      <c r="O313" s="11"/>
      <c r="P313" s="11"/>
      <c r="Q313" s="8" t="s">
        <v>103</v>
      </c>
      <c r="R313" s="11"/>
      <c r="S313" s="11"/>
      <c r="T313" s="11"/>
      <c r="U313" s="11"/>
      <c r="V313" s="11"/>
      <c r="W313" s="83" t="str">
        <f t="shared" si="795"/>
        <v>НФИбд</v>
      </c>
      <c r="X313" s="110" t="s">
        <v>3272</v>
      </c>
      <c r="Y313" s="11">
        <v>4</v>
      </c>
      <c r="Z313" s="11">
        <v>2</v>
      </c>
      <c r="AA313" s="83">
        <f t="shared" si="35"/>
        <v>18</v>
      </c>
      <c r="AB313" s="11">
        <v>12</v>
      </c>
      <c r="AC313" s="11">
        <v>6</v>
      </c>
      <c r="AD313" s="81">
        <f t="shared" si="796"/>
        <v>18</v>
      </c>
      <c r="AE313" s="82">
        <f t="shared" si="36"/>
        <v>1</v>
      </c>
      <c r="AF313" s="82">
        <f t="shared" si="37"/>
        <v>1</v>
      </c>
      <c r="AG313" s="102" t="s">
        <v>3250</v>
      </c>
      <c r="AH313" s="113" t="s">
        <v>204</v>
      </c>
      <c r="AI313" s="113" t="s">
        <v>212</v>
      </c>
      <c r="AJ313" s="120" t="s">
        <v>3265</v>
      </c>
      <c r="AK313" s="8"/>
      <c r="AL313" s="42">
        <f t="shared" si="797"/>
        <v>36</v>
      </c>
      <c r="AM313" s="42">
        <f t="shared" ref="AM313:AM356" si="906">IF(OR(M313="пр",M313="ия",M313="сп"),P313*AE313*L313,0)</f>
        <v>0</v>
      </c>
      <c r="AN313" s="42">
        <f t="shared" ref="AN313:AN356" si="907">IF(OR(M313="лаб",M313="клн"),O313*AE313*L313,0)</f>
        <v>0</v>
      </c>
      <c r="AO313" s="42">
        <f t="shared" si="881"/>
        <v>5.94</v>
      </c>
      <c r="AP313" s="42">
        <f t="shared" ref="AP313:AP356" si="908">IF(SUM(O313:P313)&lt;&gt;0,IF(Q313="Зач",ПАБРС*AA313,0),0)+IF(N313&lt;&gt;0,IF(Q313="Экз",ПАБРС*AA313,0),0)</f>
        <v>9</v>
      </c>
      <c r="AQ313" s="42">
        <f t="shared" ref="AQ313:AQ356" si="909">(IF(AP313&lt;&gt;0,ОфВед*(IF(OR(M313="лек",M313="лаб"),Z313,AE313)),0))*(IF(F313="ФТД",0,1))</f>
        <v>2</v>
      </c>
      <c r="AR313" s="42">
        <f t="shared" si="798"/>
        <v>3.6</v>
      </c>
      <c r="AS313" s="42">
        <f t="shared" ref="AS313:AS356" si="910">IF(OR(M313="лаб",M313="пр"),IF(R313="К",AA313*ВПКР,IF(R313="М",AA313*ВПИБ,0)),0)</f>
        <v>0</v>
      </c>
      <c r="AT313" s="42">
        <f t="shared" ref="AT313:AT356" si="911">IF(OR(M313="лаб",M313="пр"),IF(S313="К",AA313*ВПКП,0),0)</f>
        <v>0</v>
      </c>
      <c r="AU313" s="42">
        <f t="shared" ref="AU313:AU356" si="912">IF(M313="УП",T313/1.5*AA313*РУП,IF(M313="УПМ",T313/1.5*AA313*РУПЛеч,0))</f>
        <v>0</v>
      </c>
      <c r="AV313" s="42">
        <f>IF(M313="ПП",РПП*AA313*(U313/1.5),IF(M313="ВП",ВПр*AA313*(U313/1.5),IF(M313="РПА",РПА*AA313*(U313/1.5),IF(M313="КПА",КПА*AA313*(U313/1.5),0))))</f>
        <v>0</v>
      </c>
      <c r="AW313" s="42">
        <f t="shared" ref="AW313:AW356" si="913">IF(M313="НР",(AB313*НИРМ+AC313*НИРМИн)*(V313/1.5),IF(M313="НИ",(AB313*НИРА+AC313*НИРАИ)*(V313/1.5),0))</f>
        <v>0</v>
      </c>
      <c r="AX313" s="42">
        <f t="shared" si="799"/>
        <v>0</v>
      </c>
      <c r="AY313" s="42">
        <f t="shared" si="800"/>
        <v>0</v>
      </c>
      <c r="AZ313" s="42">
        <f t="shared" ref="AZ313:AZ356" si="914">IF(AND(Q313="КЭ",M313="ЧК"),AA313*КдЭк,0)</f>
        <v>0</v>
      </c>
      <c r="BA313" s="42">
        <f t="shared" si="801"/>
        <v>0</v>
      </c>
      <c r="BB313" s="42">
        <f t="shared" si="802"/>
        <v>0</v>
      </c>
      <c r="BC313" s="42">
        <f t="shared" si="803"/>
        <v>0</v>
      </c>
      <c r="BD313" s="42">
        <f t="shared" ref="BD313:BD356" si="915">IF(M313="ЧГ",AA313*ЧГ,IF(M313="ПГ",AA313*ПГ,IF(M313="ТЕСТ",ТГИЭ*AE313,IF(M313="СГ",AA313*СГ,0))))</f>
        <v>0</v>
      </c>
      <c r="BE313" s="43">
        <f t="shared" ref="BE313:BE356" si="916">SUM(AL313:BD313)</f>
        <v>56.54</v>
      </c>
      <c r="BF313" s="44"/>
      <c r="BG313" s="45">
        <f t="shared" ref="BG313:BG356" si="917">IF(OR(K313="1;1",K313="1;2",K313=1,K313="3;1",K313="3;2",K313=3,K313="5;1",K313="5;2",K313=5,K313="7;1",K313="7;2",K313=7,K313="9;1",K313="9;2",K313=9,K313=11),SUM(AL313:AN313),0)</f>
        <v>0</v>
      </c>
      <c r="BH313" s="45">
        <f t="shared" ref="BH313:BH356" si="918">IF(BG313&lt;&gt;0,SUM(N313:P313)/2,0)</f>
        <v>0</v>
      </c>
      <c r="BI313" s="45">
        <f t="shared" ref="BI313:BI356" si="919">IF(OR(K313="1;1",K313="1;2",K313=1,K313="3;1",K313="3;2",K313=3,K313="5;1",K313="5;2",K313=5,K313="7;1",K313="7;2",K313=7,K313="9;1",K313="9;2",K313=9,K313=11),SUM(AO313:BD313),0)</f>
        <v>0</v>
      </c>
      <c r="BJ313" s="46">
        <f t="shared" si="882"/>
        <v>36</v>
      </c>
      <c r="BK313" s="46">
        <f t="shared" si="883"/>
        <v>1</v>
      </c>
      <c r="BL313" s="46">
        <f t="shared" si="884"/>
        <v>20.540000000000003</v>
      </c>
    </row>
    <row r="314" spans="1:64" ht="30" customHeight="1" x14ac:dyDescent="0.25">
      <c r="A314" s="84" t="str">
        <f t="shared" si="794"/>
        <v>Д</v>
      </c>
      <c r="B314" s="84" t="str">
        <f t="shared" si="32"/>
        <v>Б</v>
      </c>
      <c r="C314" s="101" t="s">
        <v>1465</v>
      </c>
      <c r="D314" s="16" t="str">
        <f t="shared" si="33"/>
        <v>'02.03.02</v>
      </c>
      <c r="E314" s="17" t="str">
        <f t="shared" si="34"/>
        <v>Фундаментальная информатика и информационные технологии</v>
      </c>
      <c r="F314" s="9" t="s">
        <v>413</v>
      </c>
      <c r="G314" s="9" t="s">
        <v>503</v>
      </c>
      <c r="H314" s="10" t="s">
        <v>3233</v>
      </c>
      <c r="I314" s="10" t="s">
        <v>3276</v>
      </c>
      <c r="J314" s="24" t="s">
        <v>3219</v>
      </c>
      <c r="K314" s="11">
        <v>6</v>
      </c>
      <c r="L314" s="11">
        <v>18</v>
      </c>
      <c r="M314" s="8" t="s">
        <v>94</v>
      </c>
      <c r="N314" s="11"/>
      <c r="O314" s="11">
        <v>4</v>
      </c>
      <c r="P314" s="11"/>
      <c r="Q314" s="8"/>
      <c r="R314" s="11"/>
      <c r="S314" s="11"/>
      <c r="T314" s="11"/>
      <c r="U314" s="11"/>
      <c r="V314" s="11"/>
      <c r="W314" s="83" t="str">
        <f t="shared" si="795"/>
        <v>НФИбд</v>
      </c>
      <c r="X314" s="110" t="s">
        <v>3272</v>
      </c>
      <c r="Y314" s="11">
        <v>4</v>
      </c>
      <c r="Z314" s="11">
        <v>2</v>
      </c>
      <c r="AA314" s="83">
        <f t="shared" si="35"/>
        <v>18</v>
      </c>
      <c r="AB314" s="11">
        <v>12</v>
      </c>
      <c r="AC314" s="11">
        <v>6</v>
      </c>
      <c r="AD314" s="81">
        <f t="shared" si="796"/>
        <v>12</v>
      </c>
      <c r="AE314" s="82">
        <f t="shared" si="36"/>
        <v>1</v>
      </c>
      <c r="AF314" s="82">
        <f t="shared" si="37"/>
        <v>1.5</v>
      </c>
      <c r="AG314" s="102" t="s">
        <v>3250</v>
      </c>
      <c r="AH314" s="113" t="s">
        <v>204</v>
      </c>
      <c r="AI314" s="113" t="s">
        <v>212</v>
      </c>
      <c r="AJ314" s="119" t="s">
        <v>3265</v>
      </c>
      <c r="AK314" s="8"/>
      <c r="AL314" s="42">
        <f t="shared" si="797"/>
        <v>0</v>
      </c>
      <c r="AM314" s="42">
        <f t="shared" si="906"/>
        <v>0</v>
      </c>
      <c r="AN314" s="42">
        <f t="shared" si="907"/>
        <v>72</v>
      </c>
      <c r="AO314" s="42">
        <f t="shared" si="881"/>
        <v>0</v>
      </c>
      <c r="AP314" s="42">
        <f t="shared" si="908"/>
        <v>0</v>
      </c>
      <c r="AQ314" s="42">
        <f t="shared" si="909"/>
        <v>0</v>
      </c>
      <c r="AR314" s="42">
        <f t="shared" si="798"/>
        <v>0</v>
      </c>
      <c r="AS314" s="42">
        <f t="shared" si="910"/>
        <v>0</v>
      </c>
      <c r="AT314" s="42">
        <f t="shared" si="911"/>
        <v>0</v>
      </c>
      <c r="AU314" s="42">
        <f t="shared" si="912"/>
        <v>0</v>
      </c>
      <c r="AV314" s="42">
        <f>IF(M314="ПП",РПП*AA314*(U314/1.5),IF(M314="ВП",ВПр*AA314*(U314/1.5),IF(M314="РПА",РПА*AA314*(U314/1.5),IF(M314="КПА",КПА*AA314*(U314/1.5),0))))</f>
        <v>0</v>
      </c>
      <c r="AW314" s="42">
        <f t="shared" si="913"/>
        <v>0</v>
      </c>
      <c r="AX314" s="42">
        <f t="shared" si="799"/>
        <v>0</v>
      </c>
      <c r="AY314" s="42">
        <f t="shared" si="800"/>
        <v>0</v>
      </c>
      <c r="AZ314" s="42">
        <f t="shared" si="914"/>
        <v>0</v>
      </c>
      <c r="BA314" s="42">
        <f t="shared" si="801"/>
        <v>0</v>
      </c>
      <c r="BB314" s="42">
        <f t="shared" si="802"/>
        <v>0</v>
      </c>
      <c r="BC314" s="42">
        <f t="shared" si="803"/>
        <v>0</v>
      </c>
      <c r="BD314" s="42">
        <f t="shared" si="915"/>
        <v>0</v>
      </c>
      <c r="BE314" s="43">
        <f t="shared" si="916"/>
        <v>72</v>
      </c>
      <c r="BF314" s="44"/>
      <c r="BG314" s="45">
        <f t="shared" si="917"/>
        <v>0</v>
      </c>
      <c r="BH314" s="45">
        <f t="shared" si="918"/>
        <v>0</v>
      </c>
      <c r="BI314" s="45">
        <f t="shared" si="919"/>
        <v>0</v>
      </c>
      <c r="BJ314" s="46">
        <f t="shared" si="882"/>
        <v>72</v>
      </c>
      <c r="BK314" s="46">
        <f t="shared" si="883"/>
        <v>2</v>
      </c>
      <c r="BL314" s="46">
        <f t="shared" si="884"/>
        <v>0</v>
      </c>
    </row>
    <row r="315" spans="1:64" ht="30" customHeight="1" x14ac:dyDescent="0.25">
      <c r="A315" s="84" t="str">
        <f t="shared" si="794"/>
        <v>Д</v>
      </c>
      <c r="B315" s="84" t="str">
        <f t="shared" ref="B315:B316" si="920">IF(C315&gt;0, VLOOKUP(C315,Код_ООП,11,FALSE),0)</f>
        <v>Б</v>
      </c>
      <c r="C315" s="101" t="s">
        <v>1465</v>
      </c>
      <c r="D315" s="16" t="str">
        <f t="shared" ref="D315:D316" si="921">IF(C315&gt;0, VLOOKUP(C315,Код_ООП,2,FALSE),0)</f>
        <v>'02.03.02</v>
      </c>
      <c r="E315" s="17" t="str">
        <f t="shared" ref="E315:E316" si="922">IF(C315&gt;0, VLOOKUP(C315,Код_ООП,13,FALSE),0)</f>
        <v>Фундаментальная информатика и информационные технологии</v>
      </c>
      <c r="F315" s="9" t="s">
        <v>413</v>
      </c>
      <c r="G315" s="9" t="s">
        <v>503</v>
      </c>
      <c r="H315" s="10" t="s">
        <v>3233</v>
      </c>
      <c r="I315" s="10" t="s">
        <v>3276</v>
      </c>
      <c r="J315" s="24" t="s">
        <v>3270</v>
      </c>
      <c r="K315" s="11">
        <v>5</v>
      </c>
      <c r="L315" s="11">
        <v>18</v>
      </c>
      <c r="M315" s="8" t="s">
        <v>23</v>
      </c>
      <c r="N315" s="11">
        <v>1</v>
      </c>
      <c r="O315" s="11"/>
      <c r="P315" s="11"/>
      <c r="Q315" s="8"/>
      <c r="R315" s="11"/>
      <c r="S315" s="11"/>
      <c r="T315" s="11"/>
      <c r="U315" s="11"/>
      <c r="V315" s="11"/>
      <c r="W315" s="83" t="str">
        <f t="shared" si="795"/>
        <v>НФИбд</v>
      </c>
      <c r="X315" s="110" t="s">
        <v>3272</v>
      </c>
      <c r="Y315" s="11">
        <v>4</v>
      </c>
      <c r="Z315" s="11">
        <v>2</v>
      </c>
      <c r="AA315" s="83">
        <f t="shared" ref="AA315:AA316" si="923">AB315+AC315</f>
        <v>13</v>
      </c>
      <c r="AB315" s="11">
        <v>9</v>
      </c>
      <c r="AC315" s="11">
        <v>4</v>
      </c>
      <c r="AD315" s="81">
        <f t="shared" si="796"/>
        <v>13</v>
      </c>
      <c r="AE315" s="82">
        <f t="shared" ref="AE315:AE316" si="924">IF(AF315&gt;1,1,AF315)</f>
        <v>1</v>
      </c>
      <c r="AF315" s="82">
        <f t="shared" ref="AF315:AF316" si="925">AA315/AD315</f>
        <v>1</v>
      </c>
      <c r="AG315" s="102" t="s">
        <v>3250</v>
      </c>
      <c r="AH315" s="113" t="s">
        <v>204</v>
      </c>
      <c r="AI315" s="113" t="s">
        <v>212</v>
      </c>
      <c r="AJ315" s="138" t="s">
        <v>3251</v>
      </c>
      <c r="AK315" s="8" t="s">
        <v>949</v>
      </c>
      <c r="AL315" s="42">
        <f t="shared" si="797"/>
        <v>18</v>
      </c>
      <c r="AM315" s="42">
        <f t="shared" ref="AM315:AM316" si="926">IF(OR(M315="пр",M315="ия",M315="сп"),P315*AE315*L315,0)</f>
        <v>0</v>
      </c>
      <c r="AN315" s="42">
        <f t="shared" ref="AN315:AN316" si="927">IF(OR(M315="лаб",M315="клн"),O315*AE315*L315,0)</f>
        <v>0</v>
      </c>
      <c r="AO315" s="42">
        <f t="shared" ref="AO315:AO316" si="928">(IF((AND(OR(K315=1,K315=2,K315=3,K315=4,K315=5,K315=6,K315=7,K315=8,K315=9,K315=10,K315=11,K315=12),OR(Q315="Зач",Q315="Экз"))),ТКиРА*AA315,0)+IF(SUM(N315:P315)&lt;&gt;0,IF(Q315="ТК",ТКиРА*AA315,0),0))*(IF(F315="ФТД",0,1))</f>
        <v>0</v>
      </c>
      <c r="AP315" s="42">
        <f t="shared" ref="AP315:AP316" si="929">IF(SUM(O315:P315)&lt;&gt;0,IF(Q315="Зач",ПАБРС*AA315,0),0)+IF(N315&lt;&gt;0,IF(Q315="Экз",ПАБРС*AA315,0),0)</f>
        <v>0</v>
      </c>
      <c r="AQ315" s="42">
        <f t="shared" ref="AQ315:AQ316" si="930">(IF(AP315&lt;&gt;0,ОфВед*(IF(OR(M315="лек",M315="лаб"),Z315,AE315)),0))*(IF(F315="ФТД",0,1))</f>
        <v>0</v>
      </c>
      <c r="AR315" s="42">
        <f t="shared" si="798"/>
        <v>1.8</v>
      </c>
      <c r="AS315" s="42">
        <f t="shared" ref="AS315:AS316" si="931">IF(OR(M315="лаб",M315="пр"),IF(R315="К",AA315*ВПКР,IF(R315="М",AA315*ВПИБ,0)),0)</f>
        <v>0</v>
      </c>
      <c r="AT315" s="42">
        <f t="shared" ref="AT315:AT316" si="932">IF(OR(M315="лаб",M315="пр"),IF(S315="К",AA315*ВПКП,0),0)</f>
        <v>0</v>
      </c>
      <c r="AU315" s="42">
        <f t="shared" ref="AU315:AU316" si="933">IF(M315="УП",T315/1.5*AA315*РУП,IF(M315="УПМ",T315/1.5*AA315*РУПЛеч,0))</f>
        <v>0</v>
      </c>
      <c r="AV315" s="42">
        <f>IF(M315="ПП",РПП*AA315*(U315/1.5),IF(M315="ВП",ВПр*AA315*(U315/1.5),IF(M315="РПА",РПА*AA315*(U315/1.5),IF(M315="КПА",КПА*AA315*(U315/1.5),0))))</f>
        <v>0</v>
      </c>
      <c r="AW315" s="42">
        <f t="shared" ref="AW315:AW316" si="934">IF(M315="НР",(AB315*НИРМ+AC315*НИРМИн)*(V315/1.5),IF(M315="НИ",(AB315*НИРА+AC315*НИРАИ)*(V315/1.5),0))</f>
        <v>0</v>
      </c>
      <c r="AX315" s="42">
        <f t="shared" si="799"/>
        <v>0</v>
      </c>
      <c r="AY315" s="42">
        <f t="shared" si="800"/>
        <v>0</v>
      </c>
      <c r="AZ315" s="42">
        <f t="shared" ref="AZ315:AZ316" si="935">IF(AND(Q315="КЭ",M315="ЧК"),AA315*КдЭк,0)</f>
        <v>0</v>
      </c>
      <c r="BA315" s="42">
        <f t="shared" si="801"/>
        <v>0</v>
      </c>
      <c r="BB315" s="42">
        <f t="shared" si="802"/>
        <v>0</v>
      </c>
      <c r="BC315" s="42">
        <f t="shared" si="803"/>
        <v>0</v>
      </c>
      <c r="BD315" s="42">
        <f t="shared" ref="BD315:BD316" si="936">IF(M315="ЧГ",AA315*ЧГ,IF(M315="ПГ",AA315*ПГ,IF(M315="ТЕСТ",ТГИЭ*AE315,IF(M315="СГ",AA315*СГ,0))))</f>
        <v>0</v>
      </c>
      <c r="BE315" s="43">
        <f t="shared" ref="BE315:BE316" si="937">SUM(AL315:BD315)</f>
        <v>19.8</v>
      </c>
      <c r="BF315" s="44"/>
      <c r="BG315" s="45">
        <f t="shared" ref="BG315:BG316" si="938">IF(OR(K315="1;1",K315="1;2",K315=1,K315="3;1",K315="3;2",K315=3,K315="5;1",K315="5;2",K315=5,K315="7;1",K315="7;2",K315=7,K315="9;1",K315="9;2",K315=9,K315=11),SUM(AL315:AN315),0)</f>
        <v>18</v>
      </c>
      <c r="BH315" s="45">
        <f t="shared" ref="BH315:BH316" si="939">IF(BG315&lt;&gt;0,SUM(N315:P315)/2,0)</f>
        <v>0.5</v>
      </c>
      <c r="BI315" s="45">
        <f t="shared" ref="BI315:BI316" si="940">IF(OR(K315="1;1",K315="1;2",K315=1,K315="3;1",K315="3;2",K315=3,K315="5;1",K315="5;2",K315=5,K315="7;1",K315="7;2",K315=7,K315="9;1",K315="9;2",K315=9,K315=11),SUM(AO315:BD315),0)</f>
        <v>1.8</v>
      </c>
      <c r="BJ315" s="46">
        <f t="shared" si="882"/>
        <v>0</v>
      </c>
      <c r="BK315" s="46">
        <f t="shared" si="883"/>
        <v>0</v>
      </c>
      <c r="BL315" s="46">
        <f t="shared" si="884"/>
        <v>0</v>
      </c>
    </row>
    <row r="316" spans="1:64" ht="30" customHeight="1" x14ac:dyDescent="0.25">
      <c r="A316" s="84" t="str">
        <f t="shared" si="794"/>
        <v>Д</v>
      </c>
      <c r="B316" s="84" t="str">
        <f t="shared" si="920"/>
        <v>Б</v>
      </c>
      <c r="C316" s="101" t="s">
        <v>1465</v>
      </c>
      <c r="D316" s="16" t="str">
        <f t="shared" si="921"/>
        <v>'02.03.02</v>
      </c>
      <c r="E316" s="17" t="str">
        <f t="shared" si="922"/>
        <v>Фундаментальная информатика и информационные технологии</v>
      </c>
      <c r="F316" s="9" t="s">
        <v>413</v>
      </c>
      <c r="G316" s="9" t="s">
        <v>503</v>
      </c>
      <c r="H316" s="10" t="s">
        <v>3233</v>
      </c>
      <c r="I316" s="10" t="s">
        <v>3276</v>
      </c>
      <c r="J316" s="24" t="s">
        <v>3270</v>
      </c>
      <c r="K316" s="11">
        <v>5</v>
      </c>
      <c r="L316" s="11">
        <v>18</v>
      </c>
      <c r="M316" s="8" t="s">
        <v>24</v>
      </c>
      <c r="N316" s="11"/>
      <c r="O316" s="11"/>
      <c r="P316" s="11">
        <v>2</v>
      </c>
      <c r="Q316" s="8"/>
      <c r="R316" s="11"/>
      <c r="S316" s="11"/>
      <c r="T316" s="11"/>
      <c r="U316" s="11"/>
      <c r="V316" s="11"/>
      <c r="W316" s="83" t="str">
        <f t="shared" si="795"/>
        <v>НФИбд</v>
      </c>
      <c r="X316" s="110" t="s">
        <v>3272</v>
      </c>
      <c r="Y316" s="11">
        <v>4</v>
      </c>
      <c r="Z316" s="11">
        <v>2</v>
      </c>
      <c r="AA316" s="83">
        <f t="shared" si="923"/>
        <v>13</v>
      </c>
      <c r="AB316" s="11">
        <v>9</v>
      </c>
      <c r="AC316" s="11">
        <v>4</v>
      </c>
      <c r="AD316" s="81">
        <f t="shared" si="796"/>
        <v>24</v>
      </c>
      <c r="AE316" s="82">
        <f t="shared" si="924"/>
        <v>0.54166666666666663</v>
      </c>
      <c r="AF316" s="82">
        <f t="shared" si="925"/>
        <v>0.54166666666666663</v>
      </c>
      <c r="AG316" s="102" t="s">
        <v>3250</v>
      </c>
      <c r="AH316" s="113" t="s">
        <v>204</v>
      </c>
      <c r="AI316" s="113" t="s">
        <v>212</v>
      </c>
      <c r="AJ316" s="119" t="s">
        <v>3251</v>
      </c>
      <c r="AK316" s="8" t="s">
        <v>949</v>
      </c>
      <c r="AL316" s="42">
        <f t="shared" si="797"/>
        <v>0</v>
      </c>
      <c r="AM316" s="42">
        <f t="shared" si="926"/>
        <v>19.5</v>
      </c>
      <c r="AN316" s="42">
        <f t="shared" si="927"/>
        <v>0</v>
      </c>
      <c r="AO316" s="42">
        <f t="shared" si="928"/>
        <v>0</v>
      </c>
      <c r="AP316" s="42">
        <f t="shared" si="929"/>
        <v>0</v>
      </c>
      <c r="AQ316" s="42">
        <f t="shared" si="930"/>
        <v>0</v>
      </c>
      <c r="AR316" s="42">
        <f t="shared" si="798"/>
        <v>0</v>
      </c>
      <c r="AS316" s="42">
        <f t="shared" si="931"/>
        <v>0</v>
      </c>
      <c r="AT316" s="42">
        <f t="shared" si="932"/>
        <v>0</v>
      </c>
      <c r="AU316" s="42">
        <f t="shared" si="933"/>
        <v>0</v>
      </c>
      <c r="AV316" s="42">
        <f>IF(M316="ПП",РПП*AA316*(U316/1.5),IF(M316="ВП",ВПр*AA316*(U316/1.5),IF(M316="РПА",РПА*AA316*(U316/1.5),IF(M316="КПА",КПА*AA316*(U316/1.5),0))))</f>
        <v>0</v>
      </c>
      <c r="AW316" s="42">
        <f t="shared" si="934"/>
        <v>0</v>
      </c>
      <c r="AX316" s="42">
        <f t="shared" si="799"/>
        <v>0</v>
      </c>
      <c r="AY316" s="42">
        <f t="shared" si="800"/>
        <v>0</v>
      </c>
      <c r="AZ316" s="42">
        <f t="shared" si="935"/>
        <v>0</v>
      </c>
      <c r="BA316" s="42">
        <f t="shared" si="801"/>
        <v>0</v>
      </c>
      <c r="BB316" s="42">
        <f t="shared" si="802"/>
        <v>0</v>
      </c>
      <c r="BC316" s="42">
        <f t="shared" si="803"/>
        <v>0</v>
      </c>
      <c r="BD316" s="42">
        <f t="shared" si="936"/>
        <v>0</v>
      </c>
      <c r="BE316" s="43">
        <f t="shared" si="937"/>
        <v>19.5</v>
      </c>
      <c r="BF316" s="44"/>
      <c r="BG316" s="45">
        <f t="shared" si="938"/>
        <v>19.5</v>
      </c>
      <c r="BH316" s="45">
        <f t="shared" si="939"/>
        <v>1</v>
      </c>
      <c r="BI316" s="45">
        <f t="shared" si="940"/>
        <v>0</v>
      </c>
      <c r="BJ316" s="46">
        <f t="shared" si="882"/>
        <v>0</v>
      </c>
      <c r="BK316" s="46">
        <f t="shared" si="883"/>
        <v>0</v>
      </c>
      <c r="BL316" s="46">
        <f t="shared" si="884"/>
        <v>0</v>
      </c>
    </row>
    <row r="317" spans="1:64" ht="30" customHeight="1" x14ac:dyDescent="0.25">
      <c r="A317" s="84" t="str">
        <f t="shared" si="794"/>
        <v>Д</v>
      </c>
      <c r="B317" s="84" t="str">
        <f t="shared" ref="B317" si="941">IF(C317&gt;0, VLOOKUP(C317,Код_ООП,11,FALSE),0)</f>
        <v>Б</v>
      </c>
      <c r="C317" s="101" t="s">
        <v>1465</v>
      </c>
      <c r="D317" s="16" t="str">
        <f t="shared" ref="D317" si="942">IF(C317&gt;0, VLOOKUP(C317,Код_ООП,2,FALSE),0)</f>
        <v>'02.03.02</v>
      </c>
      <c r="E317" s="17" t="str">
        <f t="shared" ref="E317" si="943">IF(C317&gt;0, VLOOKUP(C317,Код_ООП,13,FALSE),0)</f>
        <v>Фундаментальная информатика и информационные технологии</v>
      </c>
      <c r="F317" s="9" t="s">
        <v>413</v>
      </c>
      <c r="G317" s="9" t="s">
        <v>503</v>
      </c>
      <c r="H317" s="10" t="s">
        <v>3233</v>
      </c>
      <c r="I317" s="10" t="s">
        <v>3276</v>
      </c>
      <c r="J317" s="24" t="s">
        <v>3271</v>
      </c>
      <c r="K317" s="11">
        <v>6</v>
      </c>
      <c r="L317" s="11">
        <v>18</v>
      </c>
      <c r="M317" s="8" t="s">
        <v>23</v>
      </c>
      <c r="N317" s="11">
        <v>2</v>
      </c>
      <c r="O317" s="11"/>
      <c r="P317" s="11"/>
      <c r="Q317" s="8"/>
      <c r="R317" s="11"/>
      <c r="S317" s="11"/>
      <c r="T317" s="11"/>
      <c r="U317" s="11"/>
      <c r="V317" s="11"/>
      <c r="W317" s="83" t="str">
        <f t="shared" si="795"/>
        <v>НФИбд</v>
      </c>
      <c r="X317" s="110" t="s">
        <v>3272</v>
      </c>
      <c r="Y317" s="11">
        <v>4</v>
      </c>
      <c r="Z317" s="11">
        <v>2</v>
      </c>
      <c r="AA317" s="83">
        <f t="shared" ref="AA317" si="944">AB317+AC317</f>
        <v>13</v>
      </c>
      <c r="AB317" s="11">
        <v>9</v>
      </c>
      <c r="AC317" s="11">
        <v>4</v>
      </c>
      <c r="AD317" s="81">
        <f t="shared" si="796"/>
        <v>13</v>
      </c>
      <c r="AE317" s="82">
        <f t="shared" ref="AE317" si="945">IF(AF317&gt;1,1,AF317)</f>
        <v>1</v>
      </c>
      <c r="AF317" s="82">
        <f t="shared" ref="AF317" si="946">AA317/AD317</f>
        <v>1</v>
      </c>
      <c r="AG317" s="102" t="s">
        <v>3250</v>
      </c>
      <c r="AH317" s="113" t="s">
        <v>204</v>
      </c>
      <c r="AI317" s="113" t="s">
        <v>213</v>
      </c>
      <c r="AJ317" s="119" t="s">
        <v>3266</v>
      </c>
      <c r="AK317" s="8" t="s">
        <v>949</v>
      </c>
      <c r="AL317" s="42">
        <f t="shared" si="797"/>
        <v>36</v>
      </c>
      <c r="AM317" s="42">
        <f t="shared" ref="AM317" si="947">IF(OR(M317="пр",M317="ия",M317="сп"),P317*AE317*L317,0)</f>
        <v>0</v>
      </c>
      <c r="AN317" s="42">
        <f t="shared" ref="AN317" si="948">IF(OR(M317="лаб",M317="клн"),O317*AE317*L317,0)</f>
        <v>0</v>
      </c>
      <c r="AO317" s="42">
        <f t="shared" ref="AO317" si="949">(IF((AND(OR(K317=1,K317=2,K317=3,K317=4,K317=5,K317=6,K317=7,K317=8,K317=9,K317=10,K317=11,K317=12),OR(Q317="Зач",Q317="Экз"))),ТКиРА*AA317,0)+IF(SUM(N317:P317)&lt;&gt;0,IF(Q317="ТК",ТКиРА*AA317,0),0))*(IF(F317="ФТД",0,1))</f>
        <v>0</v>
      </c>
      <c r="AP317" s="42">
        <f t="shared" ref="AP317" si="950">IF(SUM(O317:P317)&lt;&gt;0,IF(Q317="Зач",ПАБРС*AA317,0),0)+IF(N317&lt;&gt;0,IF(Q317="Экз",ПАБРС*AA317,0),0)</f>
        <v>0</v>
      </c>
      <c r="AQ317" s="42">
        <f t="shared" ref="AQ317" si="951">(IF(AP317&lt;&gt;0,ОфВед*(IF(OR(M317="лек",M317="лаб"),Z317,AE317)),0))*(IF(F317="ФТД",0,1))</f>
        <v>0</v>
      </c>
      <c r="AR317" s="42">
        <f t="shared" si="798"/>
        <v>3.6</v>
      </c>
      <c r="AS317" s="42">
        <f t="shared" ref="AS317" si="952">IF(OR(M317="лаб",M317="пр"),IF(R317="К",AA317*ВПКР,IF(R317="М",AA317*ВПИБ,0)),0)</f>
        <v>0</v>
      </c>
      <c r="AT317" s="42">
        <f t="shared" ref="AT317" si="953">IF(OR(M317="лаб",M317="пр"),IF(S317="К",AA317*ВПКП,0),0)</f>
        <v>0</v>
      </c>
      <c r="AU317" s="42">
        <f t="shared" ref="AU317" si="954">IF(M317="УП",T317/1.5*AA317*РУП,IF(M317="УПМ",T317/1.5*AA317*РУПЛеч,0))</f>
        <v>0</v>
      </c>
      <c r="AV317" s="42">
        <f>IF(M317="ПП",РПП*AA317*(U317/1.5),IF(M317="ВП",ВПр*AA317*(U317/1.5),IF(M317="РПА",РПА*AA317*(U317/1.5),IF(M317="КПА",КПА*AA317*(U317/1.5),0))))</f>
        <v>0</v>
      </c>
      <c r="AW317" s="42">
        <f t="shared" ref="AW317" si="955">IF(M317="НР",(AB317*НИРМ+AC317*НИРМИн)*(V317/1.5),IF(M317="НИ",(AB317*НИРА+AC317*НИРАИ)*(V317/1.5),0))</f>
        <v>0</v>
      </c>
      <c r="AX317" s="42">
        <f t="shared" si="799"/>
        <v>0</v>
      </c>
      <c r="AY317" s="42">
        <f t="shared" si="800"/>
        <v>0</v>
      </c>
      <c r="AZ317" s="42">
        <f t="shared" ref="AZ317" si="956">IF(AND(Q317="КЭ",M317="ЧК"),AA317*КдЭк,0)</f>
        <v>0</v>
      </c>
      <c r="BA317" s="42">
        <f t="shared" si="801"/>
        <v>0</v>
      </c>
      <c r="BB317" s="42">
        <f t="shared" si="802"/>
        <v>0</v>
      </c>
      <c r="BC317" s="42">
        <f t="shared" si="803"/>
        <v>0</v>
      </c>
      <c r="BD317" s="42">
        <f t="shared" ref="BD317" si="957">IF(M317="ЧГ",AA317*ЧГ,IF(M317="ПГ",AA317*ПГ,IF(M317="ТЕСТ",ТГИЭ*AE317,IF(M317="СГ",AA317*СГ,0))))</f>
        <v>0</v>
      </c>
      <c r="BE317" s="43">
        <f t="shared" ref="BE317" si="958">SUM(AL317:BD317)</f>
        <v>39.6</v>
      </c>
      <c r="BF317" s="44"/>
      <c r="BG317" s="45">
        <f t="shared" ref="BG317" si="959">IF(OR(K317="1;1",K317="1;2",K317=1,K317="3;1",K317="3;2",K317=3,K317="5;1",K317="5;2",K317=5,K317="7;1",K317="7;2",K317=7,K317="9;1",K317="9;2",K317=9,K317=11),SUM(AL317:AN317),0)</f>
        <v>0</v>
      </c>
      <c r="BH317" s="45">
        <f t="shared" ref="BH317" si="960">IF(BG317&lt;&gt;0,SUM(N317:P317)/2,0)</f>
        <v>0</v>
      </c>
      <c r="BI317" s="45">
        <f t="shared" ref="BI317" si="961">IF(OR(K317="1;1",K317="1;2",K317=1,K317="3;1",K317="3;2",K317=3,K317="5;1",K317="5;2",K317=5,K317="7;1",K317="7;2",K317=7,K317="9;1",K317="9;2",K317=9,K317=11),SUM(AO317:BD317),0)</f>
        <v>0</v>
      </c>
      <c r="BJ317" s="46">
        <f t="shared" si="882"/>
        <v>36</v>
      </c>
      <c r="BK317" s="46">
        <f t="shared" si="883"/>
        <v>1</v>
      </c>
      <c r="BL317" s="46">
        <f t="shared" si="884"/>
        <v>3.6</v>
      </c>
    </row>
    <row r="318" spans="1:64" ht="30" customHeight="1" x14ac:dyDescent="0.25">
      <c r="A318" s="84" t="str">
        <f t="shared" si="794"/>
        <v>Д</v>
      </c>
      <c r="B318" s="84" t="str">
        <f t="shared" si="32"/>
        <v>Б</v>
      </c>
      <c r="C318" s="101" t="s">
        <v>1465</v>
      </c>
      <c r="D318" s="16" t="str">
        <f t="shared" si="33"/>
        <v>'02.03.02</v>
      </c>
      <c r="E318" s="17" t="str">
        <f t="shared" si="34"/>
        <v>Фундаментальная информатика и информационные технологии</v>
      </c>
      <c r="F318" s="9" t="s">
        <v>413</v>
      </c>
      <c r="G318" s="9" t="s">
        <v>503</v>
      </c>
      <c r="H318" s="10" t="s">
        <v>3233</v>
      </c>
      <c r="I318" s="10" t="s">
        <v>3276</v>
      </c>
      <c r="J318" s="24" t="s">
        <v>3271</v>
      </c>
      <c r="K318" s="11">
        <v>6</v>
      </c>
      <c r="L318" s="11">
        <v>18</v>
      </c>
      <c r="M318" s="8" t="s">
        <v>24</v>
      </c>
      <c r="N318" s="11"/>
      <c r="O318" s="11"/>
      <c r="P318" s="11">
        <v>4</v>
      </c>
      <c r="Q318" s="8"/>
      <c r="R318" s="11"/>
      <c r="S318" s="11"/>
      <c r="T318" s="11"/>
      <c r="U318" s="11"/>
      <c r="V318" s="11"/>
      <c r="W318" s="83" t="str">
        <f t="shared" si="795"/>
        <v>НФИбд</v>
      </c>
      <c r="X318" s="110" t="s">
        <v>3272</v>
      </c>
      <c r="Y318" s="11">
        <v>4</v>
      </c>
      <c r="Z318" s="11">
        <v>2</v>
      </c>
      <c r="AA318" s="83">
        <f t="shared" si="35"/>
        <v>13</v>
      </c>
      <c r="AB318" s="11">
        <v>9</v>
      </c>
      <c r="AC318" s="11">
        <v>4</v>
      </c>
      <c r="AD318" s="81">
        <f t="shared" si="796"/>
        <v>24</v>
      </c>
      <c r="AE318" s="82">
        <f t="shared" si="36"/>
        <v>0.54166666666666663</v>
      </c>
      <c r="AF318" s="82">
        <f t="shared" si="37"/>
        <v>0.54166666666666663</v>
      </c>
      <c r="AG318" s="102" t="s">
        <v>3250</v>
      </c>
      <c r="AH318" s="113" t="s">
        <v>204</v>
      </c>
      <c r="AI318" s="113" t="s">
        <v>213</v>
      </c>
      <c r="AJ318" s="119" t="s">
        <v>3266</v>
      </c>
      <c r="AK318" s="8" t="s">
        <v>949</v>
      </c>
      <c r="AL318" s="42">
        <f t="shared" si="797"/>
        <v>0</v>
      </c>
      <c r="AM318" s="42">
        <f t="shared" si="906"/>
        <v>39</v>
      </c>
      <c r="AN318" s="42">
        <f t="shared" si="907"/>
        <v>0</v>
      </c>
      <c r="AO318" s="42">
        <f t="shared" si="881"/>
        <v>0</v>
      </c>
      <c r="AP318" s="42">
        <f t="shared" si="908"/>
        <v>0</v>
      </c>
      <c r="AQ318" s="42">
        <f t="shared" si="909"/>
        <v>0</v>
      </c>
      <c r="AR318" s="42">
        <f t="shared" si="798"/>
        <v>0</v>
      </c>
      <c r="AS318" s="42">
        <f t="shared" si="910"/>
        <v>0</v>
      </c>
      <c r="AT318" s="42">
        <f t="shared" si="911"/>
        <v>0</v>
      </c>
      <c r="AU318" s="42">
        <f t="shared" si="912"/>
        <v>0</v>
      </c>
      <c r="AV318" s="42">
        <f>IF(M318="ПП",РПП*AA318*(U318/1.5),IF(M318="ВП",ВПр*AA318*(U318/1.5),IF(M318="РПА",РПА*AA318*(U318/1.5),IF(M318="КПА",КПА*AA318*(U318/1.5),0))))</f>
        <v>0</v>
      </c>
      <c r="AW318" s="42">
        <f t="shared" si="913"/>
        <v>0</v>
      </c>
      <c r="AX318" s="42">
        <f t="shared" si="799"/>
        <v>0</v>
      </c>
      <c r="AY318" s="42">
        <f t="shared" si="800"/>
        <v>0</v>
      </c>
      <c r="AZ318" s="42">
        <f t="shared" si="914"/>
        <v>0</v>
      </c>
      <c r="BA318" s="42">
        <f t="shared" si="801"/>
        <v>0</v>
      </c>
      <c r="BB318" s="42">
        <f t="shared" si="802"/>
        <v>0</v>
      </c>
      <c r="BC318" s="42">
        <f t="shared" si="803"/>
        <v>0</v>
      </c>
      <c r="BD318" s="42">
        <f t="shared" si="915"/>
        <v>0</v>
      </c>
      <c r="BE318" s="43">
        <f t="shared" si="916"/>
        <v>39</v>
      </c>
      <c r="BF318" s="44"/>
      <c r="BG318" s="45">
        <f t="shared" si="917"/>
        <v>0</v>
      </c>
      <c r="BH318" s="45">
        <f t="shared" si="918"/>
        <v>0</v>
      </c>
      <c r="BI318" s="45">
        <f t="shared" si="919"/>
        <v>0</v>
      </c>
      <c r="BJ318" s="46">
        <f t="shared" si="882"/>
        <v>39</v>
      </c>
      <c r="BK318" s="46">
        <f t="shared" si="883"/>
        <v>2</v>
      </c>
      <c r="BL318" s="46">
        <f t="shared" si="884"/>
        <v>0</v>
      </c>
    </row>
    <row r="319" spans="1:64" ht="30" customHeight="1" x14ac:dyDescent="0.25">
      <c r="A319" s="84" t="str">
        <f t="shared" si="794"/>
        <v>Д</v>
      </c>
      <c r="B319" s="84" t="str">
        <f t="shared" si="32"/>
        <v>Б</v>
      </c>
      <c r="C319" s="101" t="s">
        <v>1465</v>
      </c>
      <c r="D319" s="16" t="str">
        <f t="shared" si="33"/>
        <v>'02.03.02</v>
      </c>
      <c r="E319" s="17" t="str">
        <f t="shared" si="34"/>
        <v>Фундаментальная информатика и информационные технологии</v>
      </c>
      <c r="F319" s="9" t="s">
        <v>413</v>
      </c>
      <c r="G319" s="9" t="s">
        <v>503</v>
      </c>
      <c r="H319" s="10" t="s">
        <v>3233</v>
      </c>
      <c r="I319" s="10" t="s">
        <v>3276</v>
      </c>
      <c r="J319" s="24" t="s">
        <v>3293</v>
      </c>
      <c r="K319" s="11" t="s">
        <v>3227</v>
      </c>
      <c r="L319" s="11">
        <v>9</v>
      </c>
      <c r="M319" s="8" t="s">
        <v>23</v>
      </c>
      <c r="N319" s="11">
        <v>2</v>
      </c>
      <c r="O319" s="11"/>
      <c r="P319" s="11"/>
      <c r="Q319" s="8" t="s">
        <v>103</v>
      </c>
      <c r="R319" s="12"/>
      <c r="S319" s="12"/>
      <c r="T319" s="12"/>
      <c r="U319" s="12"/>
      <c r="V319" s="12"/>
      <c r="W319" s="83" t="str">
        <f t="shared" si="795"/>
        <v>НФИбд</v>
      </c>
      <c r="X319" s="110" t="s">
        <v>3243</v>
      </c>
      <c r="Y319" s="11">
        <v>3</v>
      </c>
      <c r="Z319" s="11">
        <v>2</v>
      </c>
      <c r="AA319" s="83">
        <f t="shared" si="35"/>
        <v>25</v>
      </c>
      <c r="AB319" s="11">
        <v>17</v>
      </c>
      <c r="AC319" s="12">
        <v>8</v>
      </c>
      <c r="AD319" s="81">
        <f t="shared" si="796"/>
        <v>25</v>
      </c>
      <c r="AE319" s="82">
        <f t="shared" si="36"/>
        <v>1</v>
      </c>
      <c r="AF319" s="82">
        <f t="shared" si="37"/>
        <v>1</v>
      </c>
      <c r="AG319" s="102" t="s">
        <v>3250</v>
      </c>
      <c r="AH319" s="113" t="s">
        <v>205</v>
      </c>
      <c r="AI319" s="113" t="s">
        <v>213</v>
      </c>
      <c r="AJ319" s="119" t="s">
        <v>3296</v>
      </c>
      <c r="AK319" s="8"/>
      <c r="AL319" s="42">
        <f t="shared" si="797"/>
        <v>18</v>
      </c>
      <c r="AM319" s="42">
        <f t="shared" si="906"/>
        <v>0</v>
      </c>
      <c r="AN319" s="42">
        <f t="shared" si="907"/>
        <v>0</v>
      </c>
      <c r="AO319" s="42">
        <f t="shared" si="881"/>
        <v>0</v>
      </c>
      <c r="AP319" s="42">
        <f t="shared" si="908"/>
        <v>12.5</v>
      </c>
      <c r="AQ319" s="42">
        <f t="shared" si="909"/>
        <v>2</v>
      </c>
      <c r="AR319" s="42">
        <f t="shared" si="798"/>
        <v>1.8</v>
      </c>
      <c r="AS319" s="42">
        <f t="shared" si="910"/>
        <v>0</v>
      </c>
      <c r="AT319" s="42">
        <f t="shared" si="911"/>
        <v>0</v>
      </c>
      <c r="AU319" s="42">
        <f t="shared" si="912"/>
        <v>0</v>
      </c>
      <c r="AV319" s="42">
        <f>IF(M319="ПП",РПП*AA319*(U319/1.5),IF(M319="ВП",ВПр*AA319*(U319/1.5),IF(M319="РПА",РПА*AA319*(U319/1.5),IF(M319="КПА",КПА*AA319*(U319/1.5),0))))</f>
        <v>0</v>
      </c>
      <c r="AW319" s="42">
        <f t="shared" si="913"/>
        <v>0</v>
      </c>
      <c r="AX319" s="42">
        <f t="shared" si="799"/>
        <v>0</v>
      </c>
      <c r="AY319" s="42">
        <f t="shared" si="800"/>
        <v>0</v>
      </c>
      <c r="AZ319" s="42">
        <f t="shared" si="914"/>
        <v>0</v>
      </c>
      <c r="BA319" s="42">
        <f t="shared" si="801"/>
        <v>0</v>
      </c>
      <c r="BB319" s="42">
        <f t="shared" si="802"/>
        <v>0</v>
      </c>
      <c r="BC319" s="42">
        <f t="shared" si="803"/>
        <v>0</v>
      </c>
      <c r="BD319" s="42">
        <f t="shared" si="915"/>
        <v>0</v>
      </c>
      <c r="BE319" s="43">
        <f t="shared" si="916"/>
        <v>34.299999999999997</v>
      </c>
      <c r="BF319" s="44"/>
      <c r="BG319" s="45">
        <f t="shared" si="917"/>
        <v>18</v>
      </c>
      <c r="BH319" s="45">
        <f t="shared" si="918"/>
        <v>1</v>
      </c>
      <c r="BI319" s="45">
        <f t="shared" si="919"/>
        <v>16.3</v>
      </c>
      <c r="BJ319" s="46">
        <f t="shared" si="882"/>
        <v>0</v>
      </c>
      <c r="BK319" s="46">
        <f t="shared" si="883"/>
        <v>0</v>
      </c>
      <c r="BL319" s="46">
        <f t="shared" si="884"/>
        <v>0</v>
      </c>
    </row>
    <row r="320" spans="1:64" ht="30" customHeight="1" x14ac:dyDescent="0.25">
      <c r="A320" s="84" t="str">
        <f t="shared" si="794"/>
        <v>Д</v>
      </c>
      <c r="B320" s="84" t="str">
        <f t="shared" si="32"/>
        <v>Б</v>
      </c>
      <c r="C320" s="101" t="s">
        <v>1465</v>
      </c>
      <c r="D320" s="16" t="str">
        <f t="shared" si="33"/>
        <v>'02.03.02</v>
      </c>
      <c r="E320" s="17" t="str">
        <f t="shared" si="34"/>
        <v>Фундаментальная информатика и информационные технологии</v>
      </c>
      <c r="F320" s="9" t="s">
        <v>413</v>
      </c>
      <c r="G320" s="9" t="s">
        <v>503</v>
      </c>
      <c r="H320" s="10" t="s">
        <v>3233</v>
      </c>
      <c r="I320" s="10" t="s">
        <v>3276</v>
      </c>
      <c r="J320" s="24" t="s">
        <v>3293</v>
      </c>
      <c r="K320" s="11" t="s">
        <v>3227</v>
      </c>
      <c r="L320" s="11">
        <v>9</v>
      </c>
      <c r="M320" s="8" t="s">
        <v>24</v>
      </c>
      <c r="N320" s="11"/>
      <c r="O320" s="11"/>
      <c r="P320" s="11">
        <v>4</v>
      </c>
      <c r="Q320" s="8"/>
      <c r="R320" s="11"/>
      <c r="S320" s="11"/>
      <c r="T320" s="23"/>
      <c r="U320" s="11"/>
      <c r="V320" s="11"/>
      <c r="W320" s="83" t="str">
        <f t="shared" si="795"/>
        <v>НФИбд</v>
      </c>
      <c r="X320" s="110" t="s">
        <v>3243</v>
      </c>
      <c r="Y320" s="11">
        <v>3</v>
      </c>
      <c r="Z320" s="11">
        <v>2</v>
      </c>
      <c r="AA320" s="83">
        <f t="shared" si="35"/>
        <v>25</v>
      </c>
      <c r="AB320" s="11">
        <v>17</v>
      </c>
      <c r="AC320" s="12">
        <v>8</v>
      </c>
      <c r="AD320" s="81">
        <f t="shared" si="796"/>
        <v>24</v>
      </c>
      <c r="AE320" s="82">
        <f t="shared" si="36"/>
        <v>1</v>
      </c>
      <c r="AF320" s="82">
        <f t="shared" si="37"/>
        <v>1.0416666666666667</v>
      </c>
      <c r="AG320" s="102" t="s">
        <v>3250</v>
      </c>
      <c r="AH320" s="113" t="s">
        <v>205</v>
      </c>
      <c r="AI320" s="113" t="s">
        <v>213</v>
      </c>
      <c r="AJ320" s="119" t="s">
        <v>3296</v>
      </c>
      <c r="AK320" s="8"/>
      <c r="AL320" s="42">
        <f t="shared" si="797"/>
        <v>0</v>
      </c>
      <c r="AM320" s="42">
        <f t="shared" si="906"/>
        <v>36</v>
      </c>
      <c r="AN320" s="42">
        <f t="shared" si="907"/>
        <v>0</v>
      </c>
      <c r="AO320" s="42">
        <f t="shared" si="881"/>
        <v>0</v>
      </c>
      <c r="AP320" s="42">
        <f t="shared" si="908"/>
        <v>0</v>
      </c>
      <c r="AQ320" s="42">
        <f t="shared" si="909"/>
        <v>0</v>
      </c>
      <c r="AR320" s="42">
        <f t="shared" si="798"/>
        <v>0</v>
      </c>
      <c r="AS320" s="42">
        <f t="shared" si="910"/>
        <v>0</v>
      </c>
      <c r="AT320" s="42">
        <f t="shared" si="911"/>
        <v>0</v>
      </c>
      <c r="AU320" s="42">
        <f t="shared" si="912"/>
        <v>0</v>
      </c>
      <c r="AV320" s="42">
        <f>IF(M320="ПП",РПП*AA320*(U320/1.5),IF(M320="ВП",ВПр*AA320*(U320/1.5),IF(M320="РПА",РПА*AA320*(U320/1.5),IF(M320="КПА",КПА*AA320*(U320/1.5),0))))</f>
        <v>0</v>
      </c>
      <c r="AW320" s="42">
        <f t="shared" si="913"/>
        <v>0</v>
      </c>
      <c r="AX320" s="42">
        <f t="shared" si="799"/>
        <v>0</v>
      </c>
      <c r="AY320" s="42">
        <f t="shared" si="800"/>
        <v>0</v>
      </c>
      <c r="AZ320" s="42">
        <f t="shared" si="914"/>
        <v>0</v>
      </c>
      <c r="BA320" s="42">
        <f t="shared" si="801"/>
        <v>0</v>
      </c>
      <c r="BB320" s="42">
        <f t="shared" si="802"/>
        <v>0</v>
      </c>
      <c r="BC320" s="42">
        <f t="shared" si="803"/>
        <v>0</v>
      </c>
      <c r="BD320" s="42">
        <f t="shared" si="915"/>
        <v>0</v>
      </c>
      <c r="BE320" s="43">
        <f t="shared" si="916"/>
        <v>36</v>
      </c>
      <c r="BF320" s="44"/>
      <c r="BG320" s="45">
        <f t="shared" si="917"/>
        <v>36</v>
      </c>
      <c r="BH320" s="45">
        <f t="shared" si="918"/>
        <v>2</v>
      </c>
      <c r="BI320" s="45">
        <f t="shared" si="919"/>
        <v>0</v>
      </c>
      <c r="BJ320" s="46">
        <f t="shared" si="882"/>
        <v>0</v>
      </c>
      <c r="BK320" s="46">
        <f t="shared" si="883"/>
        <v>0</v>
      </c>
      <c r="BL320" s="46">
        <f t="shared" si="884"/>
        <v>0</v>
      </c>
    </row>
    <row r="321" spans="1:64" ht="30" customHeight="1" x14ac:dyDescent="0.25">
      <c r="A321" s="84" t="str">
        <f t="shared" si="794"/>
        <v>Д</v>
      </c>
      <c r="B321" s="84" t="str">
        <f t="shared" si="32"/>
        <v>Б</v>
      </c>
      <c r="C321" s="101" t="s">
        <v>1465</v>
      </c>
      <c r="D321" s="16" t="str">
        <f t="shared" si="33"/>
        <v>'02.03.02</v>
      </c>
      <c r="E321" s="17" t="str">
        <f t="shared" si="34"/>
        <v>Фундаментальная информатика и информационные технологии</v>
      </c>
      <c r="F321" s="9" t="s">
        <v>413</v>
      </c>
      <c r="G321" s="9" t="s">
        <v>503</v>
      </c>
      <c r="H321" s="10" t="s">
        <v>3233</v>
      </c>
      <c r="I321" s="10" t="s">
        <v>3231</v>
      </c>
      <c r="J321" s="24" t="s">
        <v>3220</v>
      </c>
      <c r="K321" s="12" t="s">
        <v>3230</v>
      </c>
      <c r="L321" s="11">
        <v>9</v>
      </c>
      <c r="M321" s="8" t="s">
        <v>23</v>
      </c>
      <c r="N321" s="12">
        <v>2</v>
      </c>
      <c r="O321" s="12"/>
      <c r="P321" s="12"/>
      <c r="Q321" s="8" t="s">
        <v>103</v>
      </c>
      <c r="R321" s="11"/>
      <c r="S321" s="11"/>
      <c r="T321" s="23"/>
      <c r="U321" s="11"/>
      <c r="V321" s="11"/>
      <c r="W321" s="83" t="str">
        <f t="shared" si="795"/>
        <v>НФИбд</v>
      </c>
      <c r="X321" s="110" t="s">
        <v>3243</v>
      </c>
      <c r="Y321" s="11">
        <v>3</v>
      </c>
      <c r="Z321" s="11">
        <v>2</v>
      </c>
      <c r="AA321" s="83">
        <f t="shared" si="35"/>
        <v>31</v>
      </c>
      <c r="AB321" s="11">
        <v>21</v>
      </c>
      <c r="AC321" s="11">
        <v>10</v>
      </c>
      <c r="AD321" s="81">
        <f t="shared" si="796"/>
        <v>31</v>
      </c>
      <c r="AE321" s="82">
        <f t="shared" si="36"/>
        <v>1</v>
      </c>
      <c r="AF321" s="82">
        <f t="shared" si="37"/>
        <v>1</v>
      </c>
      <c r="AG321" s="102" t="s">
        <v>3250</v>
      </c>
      <c r="AH321" s="113" t="s">
        <v>204</v>
      </c>
      <c r="AI321" s="113" t="s">
        <v>212</v>
      </c>
      <c r="AJ321" s="119" t="s">
        <v>3255</v>
      </c>
      <c r="AK321" s="8"/>
      <c r="AL321" s="42">
        <f t="shared" si="797"/>
        <v>18</v>
      </c>
      <c r="AM321" s="42">
        <f t="shared" si="906"/>
        <v>0</v>
      </c>
      <c r="AN321" s="42">
        <f t="shared" si="907"/>
        <v>0</v>
      </c>
      <c r="AO321" s="42">
        <f t="shared" si="881"/>
        <v>0</v>
      </c>
      <c r="AP321" s="42">
        <f t="shared" si="908"/>
        <v>15.5</v>
      </c>
      <c r="AQ321" s="42">
        <f t="shared" si="909"/>
        <v>2</v>
      </c>
      <c r="AR321" s="42">
        <f t="shared" si="798"/>
        <v>1.8</v>
      </c>
      <c r="AS321" s="42">
        <f t="shared" si="910"/>
        <v>0</v>
      </c>
      <c r="AT321" s="42">
        <f t="shared" si="911"/>
        <v>0</v>
      </c>
      <c r="AU321" s="42">
        <f t="shared" si="912"/>
        <v>0</v>
      </c>
      <c r="AV321" s="42">
        <f>IF(M321="ПП",РПП*AA321*(U321/1.5),IF(M321="ВП",ВПр*AA321*(U321/1.5),IF(M321="РПА",РПА*AA321*(U321/1.5),IF(M321="КПА",КПА*AA321*(U321/1.5),0))))</f>
        <v>0</v>
      </c>
      <c r="AW321" s="42">
        <f t="shared" si="913"/>
        <v>0</v>
      </c>
      <c r="AX321" s="42">
        <f t="shared" si="799"/>
        <v>0</v>
      </c>
      <c r="AY321" s="42">
        <f t="shared" si="800"/>
        <v>0</v>
      </c>
      <c r="AZ321" s="42">
        <f t="shared" si="914"/>
        <v>0</v>
      </c>
      <c r="BA321" s="42">
        <f t="shared" si="801"/>
        <v>0</v>
      </c>
      <c r="BB321" s="42">
        <f t="shared" si="802"/>
        <v>0</v>
      </c>
      <c r="BC321" s="42">
        <f t="shared" si="803"/>
        <v>0</v>
      </c>
      <c r="BD321" s="42">
        <f t="shared" si="915"/>
        <v>0</v>
      </c>
      <c r="BE321" s="43">
        <f t="shared" si="916"/>
        <v>37.299999999999997</v>
      </c>
      <c r="BF321" s="44"/>
      <c r="BG321" s="45">
        <f t="shared" si="917"/>
        <v>18</v>
      </c>
      <c r="BH321" s="45">
        <f t="shared" si="918"/>
        <v>1</v>
      </c>
      <c r="BI321" s="45">
        <f t="shared" si="919"/>
        <v>19.3</v>
      </c>
      <c r="BJ321" s="46">
        <f t="shared" si="882"/>
        <v>0</v>
      </c>
      <c r="BK321" s="46">
        <f t="shared" si="883"/>
        <v>0</v>
      </c>
      <c r="BL321" s="46">
        <f t="shared" si="884"/>
        <v>0</v>
      </c>
    </row>
    <row r="322" spans="1:64" ht="30" customHeight="1" x14ac:dyDescent="0.25">
      <c r="A322" s="84" t="str">
        <f t="shared" si="794"/>
        <v>Д</v>
      </c>
      <c r="B322" s="84" t="str">
        <f t="shared" si="32"/>
        <v>Б</v>
      </c>
      <c r="C322" s="101" t="s">
        <v>1465</v>
      </c>
      <c r="D322" s="16" t="str">
        <f t="shared" si="33"/>
        <v>'02.03.02</v>
      </c>
      <c r="E322" s="17" t="str">
        <f t="shared" si="34"/>
        <v>Фундаментальная информатика и информационные технологии</v>
      </c>
      <c r="F322" s="9" t="s">
        <v>413</v>
      </c>
      <c r="G322" s="9" t="s">
        <v>503</v>
      </c>
      <c r="H322" s="10" t="s">
        <v>3233</v>
      </c>
      <c r="I322" s="10" t="s">
        <v>3231</v>
      </c>
      <c r="J322" s="24" t="s">
        <v>3220</v>
      </c>
      <c r="K322" s="11" t="s">
        <v>3230</v>
      </c>
      <c r="L322" s="11">
        <v>9</v>
      </c>
      <c r="M322" s="8" t="s">
        <v>94</v>
      </c>
      <c r="N322" s="11"/>
      <c r="O322" s="11">
        <v>4</v>
      </c>
      <c r="P322" s="11"/>
      <c r="Q322" s="8"/>
      <c r="R322" s="11"/>
      <c r="S322" s="11"/>
      <c r="T322" s="11"/>
      <c r="U322" s="11"/>
      <c r="V322" s="11"/>
      <c r="W322" s="83" t="str">
        <f t="shared" si="795"/>
        <v>НФИбд</v>
      </c>
      <c r="X322" s="110" t="s">
        <v>3244</v>
      </c>
      <c r="Y322" s="11">
        <v>1</v>
      </c>
      <c r="Z322" s="11">
        <v>1</v>
      </c>
      <c r="AA322" s="83">
        <f t="shared" si="35"/>
        <v>16</v>
      </c>
      <c r="AB322" s="11">
        <v>11</v>
      </c>
      <c r="AC322" s="11">
        <v>5</v>
      </c>
      <c r="AD322" s="81">
        <f t="shared" si="796"/>
        <v>12</v>
      </c>
      <c r="AE322" s="82">
        <f t="shared" si="36"/>
        <v>1</v>
      </c>
      <c r="AF322" s="82">
        <f t="shared" si="37"/>
        <v>1.3333333333333333</v>
      </c>
      <c r="AG322" s="102" t="s">
        <v>3250</v>
      </c>
      <c r="AH322" s="113" t="s">
        <v>204</v>
      </c>
      <c r="AI322" s="113" t="s">
        <v>212</v>
      </c>
      <c r="AJ322" s="119" t="s">
        <v>3255</v>
      </c>
      <c r="AK322" s="8"/>
      <c r="AL322" s="42">
        <f t="shared" si="797"/>
        <v>0</v>
      </c>
      <c r="AM322" s="42">
        <f t="shared" si="906"/>
        <v>0</v>
      </c>
      <c r="AN322" s="42">
        <f t="shared" si="907"/>
        <v>36</v>
      </c>
      <c r="AO322" s="42">
        <f t="shared" si="881"/>
        <v>0</v>
      </c>
      <c r="AP322" s="42">
        <f t="shared" si="908"/>
        <v>0</v>
      </c>
      <c r="AQ322" s="42">
        <f t="shared" si="909"/>
        <v>0</v>
      </c>
      <c r="AR322" s="42">
        <f t="shared" si="798"/>
        <v>0</v>
      </c>
      <c r="AS322" s="42">
        <f t="shared" si="910"/>
        <v>0</v>
      </c>
      <c r="AT322" s="42">
        <f t="shared" si="911"/>
        <v>0</v>
      </c>
      <c r="AU322" s="42">
        <f t="shared" si="912"/>
        <v>0</v>
      </c>
      <c r="AV322" s="42">
        <f>IF(M322="ПП",РПП*AA322*(U322/1.5),IF(M322="ВП",ВПр*AA322*(U322/1.5),IF(M322="РПА",РПА*AA322*(U322/1.5),IF(M322="КПА",КПА*AA322*(U322/1.5),0))))</f>
        <v>0</v>
      </c>
      <c r="AW322" s="42">
        <f t="shared" si="913"/>
        <v>0</v>
      </c>
      <c r="AX322" s="42">
        <f t="shared" si="799"/>
        <v>0</v>
      </c>
      <c r="AY322" s="42">
        <f t="shared" si="800"/>
        <v>0</v>
      </c>
      <c r="AZ322" s="42">
        <f t="shared" si="914"/>
        <v>0</v>
      </c>
      <c r="BA322" s="42">
        <f t="shared" si="801"/>
        <v>0</v>
      </c>
      <c r="BB322" s="42">
        <f t="shared" si="802"/>
        <v>0</v>
      </c>
      <c r="BC322" s="42">
        <f t="shared" si="803"/>
        <v>0</v>
      </c>
      <c r="BD322" s="42">
        <f t="shared" si="915"/>
        <v>0</v>
      </c>
      <c r="BE322" s="43">
        <f t="shared" si="916"/>
        <v>36</v>
      </c>
      <c r="BF322" s="44"/>
      <c r="BG322" s="45">
        <f t="shared" si="917"/>
        <v>36</v>
      </c>
      <c r="BH322" s="45">
        <f t="shared" si="918"/>
        <v>2</v>
      </c>
      <c r="BI322" s="45">
        <f t="shared" si="919"/>
        <v>0</v>
      </c>
      <c r="BJ322" s="46">
        <f t="shared" si="882"/>
        <v>0</v>
      </c>
      <c r="BK322" s="46">
        <f t="shared" si="883"/>
        <v>0</v>
      </c>
      <c r="BL322" s="46">
        <f t="shared" si="884"/>
        <v>0</v>
      </c>
    </row>
    <row r="323" spans="1:64" ht="30" customHeight="1" x14ac:dyDescent="0.25">
      <c r="A323" s="84" t="str">
        <f t="shared" si="794"/>
        <v>Д</v>
      </c>
      <c r="B323" s="84" t="str">
        <f t="shared" si="32"/>
        <v>Б</v>
      </c>
      <c r="C323" s="101" t="s">
        <v>1465</v>
      </c>
      <c r="D323" s="16" t="str">
        <f t="shared" si="33"/>
        <v>'02.03.02</v>
      </c>
      <c r="E323" s="17" t="str">
        <f t="shared" si="34"/>
        <v>Фундаментальная информатика и информационные технологии</v>
      </c>
      <c r="F323" s="9" t="s">
        <v>413</v>
      </c>
      <c r="G323" s="9" t="s">
        <v>503</v>
      </c>
      <c r="H323" s="10" t="s">
        <v>3233</v>
      </c>
      <c r="I323" s="10" t="s">
        <v>3231</v>
      </c>
      <c r="J323" s="24" t="s">
        <v>3220</v>
      </c>
      <c r="K323" s="11" t="s">
        <v>3230</v>
      </c>
      <c r="L323" s="11">
        <v>9</v>
      </c>
      <c r="M323" s="8" t="s">
        <v>94</v>
      </c>
      <c r="N323" s="11"/>
      <c r="O323" s="11">
        <v>4</v>
      </c>
      <c r="P323" s="11"/>
      <c r="Q323" s="8"/>
      <c r="R323" s="11"/>
      <c r="S323" s="11"/>
      <c r="T323" s="11"/>
      <c r="U323" s="11"/>
      <c r="V323" s="11"/>
      <c r="W323" s="83" t="str">
        <f t="shared" si="795"/>
        <v>НФИбд</v>
      </c>
      <c r="X323" s="110" t="s">
        <v>3300</v>
      </c>
      <c r="Y323" s="11">
        <v>1</v>
      </c>
      <c r="Z323" s="11">
        <v>1</v>
      </c>
      <c r="AA323" s="83">
        <f t="shared" si="35"/>
        <v>15</v>
      </c>
      <c r="AB323" s="11">
        <v>10</v>
      </c>
      <c r="AC323" s="11">
        <v>5</v>
      </c>
      <c r="AD323" s="81">
        <f t="shared" si="796"/>
        <v>12</v>
      </c>
      <c r="AE323" s="82">
        <f t="shared" si="36"/>
        <v>1</v>
      </c>
      <c r="AF323" s="82">
        <f t="shared" si="37"/>
        <v>1.25</v>
      </c>
      <c r="AG323" s="102" t="s">
        <v>3250</v>
      </c>
      <c r="AH323" s="113" t="s">
        <v>204</v>
      </c>
      <c r="AI323" s="113" t="s">
        <v>212</v>
      </c>
      <c r="AJ323" s="119" t="s">
        <v>3255</v>
      </c>
      <c r="AK323" s="8"/>
      <c r="AL323" s="42">
        <f t="shared" si="797"/>
        <v>0</v>
      </c>
      <c r="AM323" s="42">
        <f t="shared" si="906"/>
        <v>0</v>
      </c>
      <c r="AN323" s="42">
        <f t="shared" si="907"/>
        <v>36</v>
      </c>
      <c r="AO323" s="42">
        <f t="shared" si="881"/>
        <v>0</v>
      </c>
      <c r="AP323" s="42">
        <f t="shared" si="908"/>
        <v>0</v>
      </c>
      <c r="AQ323" s="42">
        <f t="shared" si="909"/>
        <v>0</v>
      </c>
      <c r="AR323" s="42">
        <f t="shared" si="798"/>
        <v>0</v>
      </c>
      <c r="AS323" s="42">
        <f t="shared" si="910"/>
        <v>0</v>
      </c>
      <c r="AT323" s="42">
        <f t="shared" si="911"/>
        <v>0</v>
      </c>
      <c r="AU323" s="42">
        <f t="shared" si="912"/>
        <v>0</v>
      </c>
      <c r="AV323" s="42">
        <f>IF(M323="ПП",РПП*AA323*(U323/1.5),IF(M323="ВП",ВПр*AA323*(U323/1.5),IF(M323="РПА",РПА*AA323*(U323/1.5),IF(M323="КПА",КПА*AA323*(U323/1.5),0))))</f>
        <v>0</v>
      </c>
      <c r="AW323" s="42">
        <f t="shared" si="913"/>
        <v>0</v>
      </c>
      <c r="AX323" s="42">
        <f t="shared" si="799"/>
        <v>0</v>
      </c>
      <c r="AY323" s="42">
        <f t="shared" si="800"/>
        <v>0</v>
      </c>
      <c r="AZ323" s="42">
        <f t="shared" si="914"/>
        <v>0</v>
      </c>
      <c r="BA323" s="42">
        <f t="shared" si="801"/>
        <v>0</v>
      </c>
      <c r="BB323" s="42">
        <f t="shared" si="802"/>
        <v>0</v>
      </c>
      <c r="BC323" s="42">
        <f t="shared" si="803"/>
        <v>0</v>
      </c>
      <c r="BD323" s="42">
        <f t="shared" si="915"/>
        <v>0</v>
      </c>
      <c r="BE323" s="43">
        <f t="shared" si="916"/>
        <v>36</v>
      </c>
      <c r="BF323" s="44"/>
      <c r="BG323" s="45">
        <f t="shared" si="917"/>
        <v>36</v>
      </c>
      <c r="BH323" s="45">
        <f t="shared" si="918"/>
        <v>2</v>
      </c>
      <c r="BI323" s="45">
        <f t="shared" si="919"/>
        <v>0</v>
      </c>
      <c r="BJ323" s="46">
        <f t="shared" si="882"/>
        <v>0</v>
      </c>
      <c r="BK323" s="46">
        <f t="shared" si="883"/>
        <v>0</v>
      </c>
      <c r="BL323" s="46">
        <f t="shared" si="884"/>
        <v>0</v>
      </c>
    </row>
    <row r="324" spans="1:64" ht="30" customHeight="1" x14ac:dyDescent="0.25">
      <c r="A324" s="84" t="str">
        <f t="shared" si="794"/>
        <v>Д</v>
      </c>
      <c r="B324" s="84" t="str">
        <f t="shared" si="32"/>
        <v>Б</v>
      </c>
      <c r="C324" s="101" t="s">
        <v>1465</v>
      </c>
      <c r="D324" s="16" t="str">
        <f t="shared" si="33"/>
        <v>'02.03.02</v>
      </c>
      <c r="E324" s="17" t="str">
        <f t="shared" si="34"/>
        <v>Фундаментальная информатика и информационные технологии</v>
      </c>
      <c r="F324" s="9" t="s">
        <v>413</v>
      </c>
      <c r="G324" s="9" t="s">
        <v>503</v>
      </c>
      <c r="H324" s="10" t="s">
        <v>3233</v>
      </c>
      <c r="I324" s="10" t="s">
        <v>3231</v>
      </c>
      <c r="J324" s="24" t="s">
        <v>3221</v>
      </c>
      <c r="K324" s="11" t="s">
        <v>3227</v>
      </c>
      <c r="L324" s="11">
        <v>9</v>
      </c>
      <c r="M324" s="8" t="s">
        <v>94</v>
      </c>
      <c r="N324" s="11"/>
      <c r="O324" s="11">
        <v>4</v>
      </c>
      <c r="P324" s="11"/>
      <c r="Q324" s="8" t="s">
        <v>102</v>
      </c>
      <c r="R324" s="11"/>
      <c r="S324" s="11"/>
      <c r="T324" s="11"/>
      <c r="U324" s="11"/>
      <c r="V324" s="11"/>
      <c r="W324" s="83" t="str">
        <f t="shared" si="795"/>
        <v>НФИбд</v>
      </c>
      <c r="X324" s="110" t="s">
        <v>3244</v>
      </c>
      <c r="Y324" s="11">
        <v>3</v>
      </c>
      <c r="Z324" s="11">
        <v>2</v>
      </c>
      <c r="AA324" s="83">
        <f t="shared" si="35"/>
        <v>25</v>
      </c>
      <c r="AB324" s="11">
        <v>17</v>
      </c>
      <c r="AC324" s="11">
        <v>8</v>
      </c>
      <c r="AD324" s="81">
        <f t="shared" si="796"/>
        <v>12</v>
      </c>
      <c r="AE324" s="82">
        <f t="shared" si="36"/>
        <v>1</v>
      </c>
      <c r="AF324" s="82">
        <f t="shared" si="37"/>
        <v>2.0833333333333335</v>
      </c>
      <c r="AG324" s="102" t="s">
        <v>3250</v>
      </c>
      <c r="AH324" s="113" t="s">
        <v>204</v>
      </c>
      <c r="AI324" s="113" t="s">
        <v>213</v>
      </c>
      <c r="AJ324" s="120" t="s">
        <v>3266</v>
      </c>
      <c r="AK324" s="8"/>
      <c r="AL324" s="42">
        <f t="shared" si="797"/>
        <v>0</v>
      </c>
      <c r="AM324" s="42">
        <f t="shared" si="906"/>
        <v>0</v>
      </c>
      <c r="AN324" s="42">
        <f t="shared" si="907"/>
        <v>36</v>
      </c>
      <c r="AO324" s="42">
        <f t="shared" si="881"/>
        <v>0</v>
      </c>
      <c r="AP324" s="42">
        <f t="shared" si="908"/>
        <v>12.5</v>
      </c>
      <c r="AQ324" s="42">
        <f t="shared" si="909"/>
        <v>2</v>
      </c>
      <c r="AR324" s="42">
        <f t="shared" si="798"/>
        <v>0</v>
      </c>
      <c r="AS324" s="42">
        <f t="shared" si="910"/>
        <v>0</v>
      </c>
      <c r="AT324" s="42">
        <f t="shared" si="911"/>
        <v>0</v>
      </c>
      <c r="AU324" s="42">
        <f t="shared" si="912"/>
        <v>0</v>
      </c>
      <c r="AV324" s="42">
        <f>IF(M324="ПП",РПП*AA324*(U324/1.5),IF(M324="ВП",ВПр*AA324*(U324/1.5),IF(M324="РПА",РПА*AA324*(U324/1.5),IF(M324="КПА",КПА*AA324*(U324/1.5),0))))</f>
        <v>0</v>
      </c>
      <c r="AW324" s="42">
        <f t="shared" si="913"/>
        <v>0</v>
      </c>
      <c r="AX324" s="42">
        <f t="shared" si="799"/>
        <v>0</v>
      </c>
      <c r="AY324" s="42">
        <f t="shared" si="800"/>
        <v>0</v>
      </c>
      <c r="AZ324" s="42">
        <f t="shared" si="914"/>
        <v>0</v>
      </c>
      <c r="BA324" s="42">
        <f t="shared" si="801"/>
        <v>0</v>
      </c>
      <c r="BB324" s="42">
        <f t="shared" si="802"/>
        <v>0</v>
      </c>
      <c r="BC324" s="42">
        <f t="shared" si="803"/>
        <v>0</v>
      </c>
      <c r="BD324" s="42">
        <f t="shared" si="915"/>
        <v>0</v>
      </c>
      <c r="BE324" s="43">
        <f t="shared" si="916"/>
        <v>50.5</v>
      </c>
      <c r="BF324" s="44"/>
      <c r="BG324" s="45">
        <f t="shared" si="917"/>
        <v>36</v>
      </c>
      <c r="BH324" s="45">
        <f t="shared" si="918"/>
        <v>2</v>
      </c>
      <c r="BI324" s="45">
        <f t="shared" si="919"/>
        <v>14.5</v>
      </c>
      <c r="BJ324" s="46">
        <f t="shared" si="882"/>
        <v>0</v>
      </c>
      <c r="BK324" s="46">
        <f t="shared" si="883"/>
        <v>0</v>
      </c>
      <c r="BL324" s="46">
        <f t="shared" si="884"/>
        <v>0</v>
      </c>
    </row>
    <row r="325" spans="1:64" ht="30" customHeight="1" x14ac:dyDescent="0.25">
      <c r="A325" s="84" t="str">
        <f t="shared" si="794"/>
        <v>Д</v>
      </c>
      <c r="B325" s="84" t="str">
        <f t="shared" si="32"/>
        <v>Б</v>
      </c>
      <c r="C325" s="101" t="s">
        <v>1465</v>
      </c>
      <c r="D325" s="16" t="str">
        <f t="shared" si="33"/>
        <v>'02.03.02</v>
      </c>
      <c r="E325" s="17" t="str">
        <f t="shared" si="34"/>
        <v>Фундаментальная информатика и информационные технологии</v>
      </c>
      <c r="F325" s="9" t="s">
        <v>413</v>
      </c>
      <c r="G325" s="9" t="s">
        <v>503</v>
      </c>
      <c r="H325" s="10" t="s">
        <v>3233</v>
      </c>
      <c r="I325" s="10" t="s">
        <v>3231</v>
      </c>
      <c r="J325" s="24" t="s">
        <v>3221</v>
      </c>
      <c r="K325" s="11" t="s">
        <v>3227</v>
      </c>
      <c r="L325" s="11">
        <v>9</v>
      </c>
      <c r="M325" s="8" t="s">
        <v>94</v>
      </c>
      <c r="N325" s="11"/>
      <c r="O325" s="11">
        <v>4</v>
      </c>
      <c r="P325" s="11"/>
      <c r="Q325" s="8" t="s">
        <v>102</v>
      </c>
      <c r="R325" s="11"/>
      <c r="S325" s="11"/>
      <c r="T325" s="11"/>
      <c r="U325" s="11"/>
      <c r="V325" s="11"/>
      <c r="W325" s="83" t="str">
        <f t="shared" si="795"/>
        <v>НФИбд</v>
      </c>
      <c r="X325" s="110" t="s">
        <v>3300</v>
      </c>
      <c r="Y325" s="11">
        <v>3</v>
      </c>
      <c r="Z325" s="11">
        <v>2</v>
      </c>
      <c r="AA325" s="83">
        <f t="shared" si="35"/>
        <v>25</v>
      </c>
      <c r="AB325" s="11">
        <v>17</v>
      </c>
      <c r="AC325" s="11">
        <v>8</v>
      </c>
      <c r="AD325" s="81">
        <f t="shared" si="796"/>
        <v>12</v>
      </c>
      <c r="AE325" s="82">
        <f t="shared" si="36"/>
        <v>1</v>
      </c>
      <c r="AF325" s="82">
        <f t="shared" si="37"/>
        <v>2.0833333333333335</v>
      </c>
      <c r="AG325" s="102" t="s">
        <v>3250</v>
      </c>
      <c r="AH325" s="113" t="s">
        <v>204</v>
      </c>
      <c r="AI325" s="113" t="s">
        <v>213</v>
      </c>
      <c r="AJ325" s="119" t="s">
        <v>3266</v>
      </c>
      <c r="AK325" s="8"/>
      <c r="AL325" s="42">
        <f t="shared" si="797"/>
        <v>0</v>
      </c>
      <c r="AM325" s="42">
        <f t="shared" si="906"/>
        <v>0</v>
      </c>
      <c r="AN325" s="42">
        <f t="shared" si="907"/>
        <v>36</v>
      </c>
      <c r="AO325" s="42">
        <f t="shared" si="881"/>
        <v>0</v>
      </c>
      <c r="AP325" s="42">
        <f t="shared" si="908"/>
        <v>12.5</v>
      </c>
      <c r="AQ325" s="42">
        <f t="shared" si="909"/>
        <v>2</v>
      </c>
      <c r="AR325" s="42">
        <f t="shared" si="798"/>
        <v>0</v>
      </c>
      <c r="AS325" s="42">
        <f t="shared" si="910"/>
        <v>0</v>
      </c>
      <c r="AT325" s="42">
        <f t="shared" si="911"/>
        <v>0</v>
      </c>
      <c r="AU325" s="42">
        <f t="shared" si="912"/>
        <v>0</v>
      </c>
      <c r="AV325" s="42">
        <f>IF(M325="ПП",РПП*AA325*(U325/1.5),IF(M325="ВП",ВПр*AA325*(U325/1.5),IF(M325="РПА",РПА*AA325*(U325/1.5),IF(M325="КПА",КПА*AA325*(U325/1.5),0))))</f>
        <v>0</v>
      </c>
      <c r="AW325" s="42">
        <f t="shared" si="913"/>
        <v>0</v>
      </c>
      <c r="AX325" s="42">
        <f t="shared" si="799"/>
        <v>0</v>
      </c>
      <c r="AY325" s="42">
        <f t="shared" si="800"/>
        <v>0</v>
      </c>
      <c r="AZ325" s="42">
        <f t="shared" si="914"/>
        <v>0</v>
      </c>
      <c r="BA325" s="42">
        <f t="shared" si="801"/>
        <v>0</v>
      </c>
      <c r="BB325" s="42">
        <f t="shared" si="802"/>
        <v>0</v>
      </c>
      <c r="BC325" s="42">
        <f t="shared" si="803"/>
        <v>0</v>
      </c>
      <c r="BD325" s="42">
        <f t="shared" si="915"/>
        <v>0</v>
      </c>
      <c r="BE325" s="43">
        <f t="shared" si="916"/>
        <v>50.5</v>
      </c>
      <c r="BF325" s="44"/>
      <c r="BG325" s="45">
        <f t="shared" si="917"/>
        <v>36</v>
      </c>
      <c r="BH325" s="45">
        <f t="shared" si="918"/>
        <v>2</v>
      </c>
      <c r="BI325" s="45">
        <f t="shared" si="919"/>
        <v>14.5</v>
      </c>
      <c r="BJ325" s="46">
        <f t="shared" si="882"/>
        <v>0</v>
      </c>
      <c r="BK325" s="46">
        <f t="shared" si="883"/>
        <v>0</v>
      </c>
      <c r="BL325" s="46">
        <f t="shared" si="884"/>
        <v>0</v>
      </c>
    </row>
    <row r="326" spans="1:64" ht="30" customHeight="1" x14ac:dyDescent="0.25">
      <c r="A326" s="84" t="str">
        <f t="shared" ref="A326:A389" si="962">IF(C326&gt;0, VLOOKUP(C326,Код_ООП,12,FALSE),0)</f>
        <v>Д</v>
      </c>
      <c r="B326" s="84" t="str">
        <f t="shared" si="32"/>
        <v>Б</v>
      </c>
      <c r="C326" s="101" t="s">
        <v>1465</v>
      </c>
      <c r="D326" s="16" t="str">
        <f t="shared" si="33"/>
        <v>'02.03.02</v>
      </c>
      <c r="E326" s="17" t="str">
        <f t="shared" si="34"/>
        <v>Фундаментальная информатика и информационные технологии</v>
      </c>
      <c r="F326" s="9" t="s">
        <v>413</v>
      </c>
      <c r="G326" s="9" t="s">
        <v>503</v>
      </c>
      <c r="H326" s="10" t="s">
        <v>3233</v>
      </c>
      <c r="I326" s="10" t="s">
        <v>3231</v>
      </c>
      <c r="J326" s="24" t="s">
        <v>3269</v>
      </c>
      <c r="K326" s="11">
        <v>6</v>
      </c>
      <c r="L326" s="11">
        <v>18</v>
      </c>
      <c r="M326" s="8" t="s">
        <v>23</v>
      </c>
      <c r="N326" s="11">
        <v>1</v>
      </c>
      <c r="O326" s="11"/>
      <c r="P326" s="11"/>
      <c r="Q326" s="8"/>
      <c r="R326" s="11"/>
      <c r="S326" s="11"/>
      <c r="T326" s="11"/>
      <c r="U326" s="11"/>
      <c r="V326" s="11"/>
      <c r="W326" s="83" t="str">
        <f t="shared" ref="W326:W389" si="963">MID(C326,1,5)</f>
        <v>НФИбд</v>
      </c>
      <c r="X326" s="110" t="s">
        <v>3240</v>
      </c>
      <c r="Y326" s="11">
        <v>4</v>
      </c>
      <c r="Z326" s="11">
        <v>2</v>
      </c>
      <c r="AA326" s="83">
        <f t="shared" si="35"/>
        <v>41</v>
      </c>
      <c r="AB326" s="11">
        <v>26</v>
      </c>
      <c r="AC326" s="11">
        <v>15</v>
      </c>
      <c r="AD326" s="81">
        <f t="shared" ref="AD326:AD389" si="964">IF(M326="сп",6,IF(M326="клн",8,IF(OR(M326="лаб",M326="ия"),12,IF(OR(M326="пр",M326="ТЕСТ"),IF(OR(B326="Б",B326="С"),24,12),IF(M326="лек",AA326,1)))))</f>
        <v>41</v>
      </c>
      <c r="AE326" s="82">
        <f t="shared" si="36"/>
        <v>1</v>
      </c>
      <c r="AF326" s="82">
        <f t="shared" si="37"/>
        <v>1</v>
      </c>
      <c r="AG326" s="102" t="s">
        <v>3250</v>
      </c>
      <c r="AH326" s="113" t="s">
        <v>204</v>
      </c>
      <c r="AI326" s="113" t="s">
        <v>212</v>
      </c>
      <c r="AJ326" s="124" t="s">
        <v>3372</v>
      </c>
      <c r="AK326" s="8" t="s">
        <v>949</v>
      </c>
      <c r="AL326" s="42">
        <f t="shared" ref="AL326:AL389" si="965">IF(OR(M326="лек",M326="ТУИС"),(IF(NOT(B326="ЦМ"),N326*L326,0)),0)</f>
        <v>18</v>
      </c>
      <c r="AM326" s="42">
        <f t="shared" si="906"/>
        <v>0</v>
      </c>
      <c r="AN326" s="42">
        <f t="shared" si="907"/>
        <v>0</v>
      </c>
      <c r="AO326" s="42">
        <f t="shared" si="881"/>
        <v>0</v>
      </c>
      <c r="AP326" s="42">
        <f t="shared" si="908"/>
        <v>0</v>
      </c>
      <c r="AQ326" s="42">
        <f t="shared" si="909"/>
        <v>0</v>
      </c>
      <c r="AR326" s="42">
        <f t="shared" ref="AR326:AR389" si="966">(IF(A326="Д",ТКЛД,IF(A326="В",ТКЛВ,IF(A326="З",ТКЛЗ,0))))*(IF(F326="ФТД",0,AL326))*Z326</f>
        <v>1.8</v>
      </c>
      <c r="AS326" s="42">
        <f t="shared" si="910"/>
        <v>0</v>
      </c>
      <c r="AT326" s="42">
        <f t="shared" si="911"/>
        <v>0</v>
      </c>
      <c r="AU326" s="42">
        <f t="shared" si="912"/>
        <v>0</v>
      </c>
      <c r="AV326" s="42">
        <f>IF(M326="ПП",РПП*AA326*(U326/1.5),IF(M326="ВП",ВПр*AA326*(U326/1.5),IF(M326="РПА",РПА*AA326*(U326/1.5),IF(M326="КПА",КПА*AA326*(U326/1.5),0))))</f>
        <v>0</v>
      </c>
      <c r="AW326" s="42">
        <f t="shared" si="913"/>
        <v>0</v>
      </c>
      <c r="AX326" s="42">
        <f t="shared" ref="AX326:AX389" si="967">IF(AND(M326="ЦП",B326="ЦМ"),AA326*ЦП,0)</f>
        <v>0</v>
      </c>
      <c r="AY326" s="42">
        <f t="shared" ref="AY326:AY389" si="968">IF(B326="А",IF(M326="РР",AA326*РефАсп,IF(M326="РРФ",AA326*РефФил,0)),0)</f>
        <v>0</v>
      </c>
      <c r="AZ326" s="42">
        <f t="shared" si="914"/>
        <v>0</v>
      </c>
      <c r="BA326" s="42">
        <f t="shared" ref="BA326:BA389" si="969">IF(AND(M326="НКД",B326="Д"),AA326*НКД,0)+IF(AND(M326="РПЛ",B326="А"),AA326*РукПЛ,0)+IF(AND(M326="РСтж",B326="А"),AB326*РукСт+AC326*РукИСт,0)+IF(M326="ФГТ",AB326*РукРФа+AC326*РукИна,0)</f>
        <v>0</v>
      </c>
      <c r="BB326" s="42">
        <f t="shared" ref="BB326:BB389" si="970">IF(M326="РК",IF(OR(B326="С",B326="М",B326="ЦМ"),(AB326*РСМ+AC326*РСМИ),0),0)+IF(M326="РК",IF(B326="Б",(AB326*РБ+AC326*РБИ),0),0)+IF(M326="РК",IF(B326="А",(AB326*РНКР+AC326*РНКРИн),0),0)+IF(AND(Q326="ПАкр"),AA326*0.3)</f>
        <v>0</v>
      </c>
      <c r="BC326" s="42">
        <f t="shared" ref="BC326:BC389" si="971">IF(M326="РДП",IF(B326="А",AA326*РРА,IF(OR(B326="С",B326="М",B326="ЦМ"),AA326*РРСМ,IF(B326="Б",AA326*РРБ,0))),IF(M326="РДИ",AA326*РДП,0))</f>
        <v>0</v>
      </c>
      <c r="BD326" s="42">
        <f t="shared" si="915"/>
        <v>0</v>
      </c>
      <c r="BE326" s="43">
        <f t="shared" si="916"/>
        <v>19.8</v>
      </c>
      <c r="BF326" s="44"/>
      <c r="BG326" s="45">
        <f t="shared" si="917"/>
        <v>0</v>
      </c>
      <c r="BH326" s="45">
        <f t="shared" si="918"/>
        <v>0</v>
      </c>
      <c r="BI326" s="45">
        <f t="shared" si="919"/>
        <v>0</v>
      </c>
      <c r="BJ326" s="46">
        <f t="shared" si="882"/>
        <v>18</v>
      </c>
      <c r="BK326" s="46">
        <f t="shared" si="883"/>
        <v>0.5</v>
      </c>
      <c r="BL326" s="46">
        <f t="shared" si="884"/>
        <v>1.8</v>
      </c>
    </row>
    <row r="327" spans="1:64" ht="30" customHeight="1" x14ac:dyDescent="0.25">
      <c r="A327" s="84" t="str">
        <f t="shared" si="962"/>
        <v>Д</v>
      </c>
      <c r="B327" s="84" t="str">
        <f t="shared" si="32"/>
        <v>Б</v>
      </c>
      <c r="C327" s="101" t="s">
        <v>1465</v>
      </c>
      <c r="D327" s="16" t="str">
        <f t="shared" si="33"/>
        <v>'02.03.02</v>
      </c>
      <c r="E327" s="17" t="str">
        <f t="shared" si="34"/>
        <v>Фундаментальная информатика и информационные технологии</v>
      </c>
      <c r="F327" s="9" t="s">
        <v>413</v>
      </c>
      <c r="G327" s="9" t="s">
        <v>503</v>
      </c>
      <c r="H327" s="10" t="s">
        <v>3233</v>
      </c>
      <c r="I327" s="10" t="s">
        <v>3231</v>
      </c>
      <c r="J327" s="24" t="s">
        <v>3269</v>
      </c>
      <c r="K327" s="11">
        <v>6</v>
      </c>
      <c r="L327" s="11">
        <v>18</v>
      </c>
      <c r="M327" s="8" t="s">
        <v>24</v>
      </c>
      <c r="N327" s="11"/>
      <c r="O327" s="11"/>
      <c r="P327" s="11">
        <v>2</v>
      </c>
      <c r="Q327" s="8" t="s">
        <v>102</v>
      </c>
      <c r="R327" s="12"/>
      <c r="S327" s="12"/>
      <c r="T327" s="12"/>
      <c r="U327" s="12"/>
      <c r="V327" s="12"/>
      <c r="W327" s="83" t="str">
        <f t="shared" si="963"/>
        <v>НФИбд</v>
      </c>
      <c r="X327" s="110" t="s">
        <v>3240</v>
      </c>
      <c r="Y327" s="11">
        <v>4</v>
      </c>
      <c r="Z327" s="11">
        <v>2</v>
      </c>
      <c r="AA327" s="83">
        <f t="shared" si="35"/>
        <v>41</v>
      </c>
      <c r="AB327" s="11">
        <v>26</v>
      </c>
      <c r="AC327" s="11">
        <v>15</v>
      </c>
      <c r="AD327" s="81">
        <f t="shared" si="964"/>
        <v>24</v>
      </c>
      <c r="AE327" s="82">
        <f t="shared" si="36"/>
        <v>1</v>
      </c>
      <c r="AF327" s="82">
        <f t="shared" si="37"/>
        <v>1.7083333333333333</v>
      </c>
      <c r="AG327" s="102" t="s">
        <v>3250</v>
      </c>
      <c r="AH327" s="113" t="s">
        <v>203</v>
      </c>
      <c r="AI327" s="113" t="s">
        <v>213</v>
      </c>
      <c r="AJ327" s="124" t="s">
        <v>3372</v>
      </c>
      <c r="AK327" s="8"/>
      <c r="AL327" s="42">
        <f t="shared" si="965"/>
        <v>0</v>
      </c>
      <c r="AM327" s="42">
        <f t="shared" si="906"/>
        <v>36</v>
      </c>
      <c r="AN327" s="42">
        <f t="shared" si="907"/>
        <v>0</v>
      </c>
      <c r="AO327" s="42">
        <f t="shared" si="881"/>
        <v>13.530000000000001</v>
      </c>
      <c r="AP327" s="42">
        <f t="shared" si="908"/>
        <v>20.5</v>
      </c>
      <c r="AQ327" s="42">
        <f t="shared" si="909"/>
        <v>1</v>
      </c>
      <c r="AR327" s="42">
        <f t="shared" si="966"/>
        <v>0</v>
      </c>
      <c r="AS327" s="42">
        <f t="shared" si="910"/>
        <v>0</v>
      </c>
      <c r="AT327" s="42">
        <f t="shared" si="911"/>
        <v>0</v>
      </c>
      <c r="AU327" s="42">
        <f t="shared" si="912"/>
        <v>0</v>
      </c>
      <c r="AV327" s="42">
        <f>IF(M327="ПП",РПП*AA327*(U327/1.5),IF(M327="ВП",ВПр*AA327*(U327/1.5),IF(M327="РПА",РПА*AA327*(U327/1.5),IF(M327="КПА",КПА*AA327*(U327/1.5),0))))</f>
        <v>0</v>
      </c>
      <c r="AW327" s="42">
        <f t="shared" si="913"/>
        <v>0</v>
      </c>
      <c r="AX327" s="42">
        <f t="shared" si="967"/>
        <v>0</v>
      </c>
      <c r="AY327" s="42">
        <f t="shared" si="968"/>
        <v>0</v>
      </c>
      <c r="AZ327" s="42">
        <f t="shared" si="914"/>
        <v>0</v>
      </c>
      <c r="BA327" s="42">
        <f t="shared" si="969"/>
        <v>0</v>
      </c>
      <c r="BB327" s="42">
        <f t="shared" si="970"/>
        <v>0</v>
      </c>
      <c r="BC327" s="42">
        <f t="shared" si="971"/>
        <v>0</v>
      </c>
      <c r="BD327" s="42">
        <f t="shared" si="915"/>
        <v>0</v>
      </c>
      <c r="BE327" s="43">
        <f t="shared" si="916"/>
        <v>71.03</v>
      </c>
      <c r="BF327" s="44"/>
      <c r="BG327" s="45">
        <f t="shared" si="917"/>
        <v>0</v>
      </c>
      <c r="BH327" s="45">
        <f t="shared" si="918"/>
        <v>0</v>
      </c>
      <c r="BI327" s="45">
        <f t="shared" si="919"/>
        <v>0</v>
      </c>
      <c r="BJ327" s="46">
        <f t="shared" si="882"/>
        <v>36</v>
      </c>
      <c r="BK327" s="46">
        <f t="shared" si="883"/>
        <v>1</v>
      </c>
      <c r="BL327" s="46">
        <f t="shared" si="884"/>
        <v>35.03</v>
      </c>
    </row>
    <row r="328" spans="1:64" ht="30" customHeight="1" x14ac:dyDescent="0.25">
      <c r="A328" s="84" t="str">
        <f t="shared" si="962"/>
        <v>Д</v>
      </c>
      <c r="B328" s="84" t="str">
        <f t="shared" si="32"/>
        <v>Б</v>
      </c>
      <c r="C328" s="101" t="s">
        <v>1465</v>
      </c>
      <c r="D328" s="16" t="str">
        <f t="shared" si="33"/>
        <v>'02.03.02</v>
      </c>
      <c r="E328" s="17" t="str">
        <f t="shared" si="34"/>
        <v>Фундаментальная информатика и информационные технологии</v>
      </c>
      <c r="F328" s="9" t="s">
        <v>414</v>
      </c>
      <c r="G328" s="9" t="s">
        <v>42</v>
      </c>
      <c r="H328" s="10" t="s">
        <v>3233</v>
      </c>
      <c r="I328" s="10"/>
      <c r="J328" s="24" t="s">
        <v>3223</v>
      </c>
      <c r="K328" s="11">
        <v>6</v>
      </c>
      <c r="L328" s="11">
        <v>18</v>
      </c>
      <c r="M328" s="8" t="s">
        <v>95</v>
      </c>
      <c r="N328" s="11"/>
      <c r="O328" s="11"/>
      <c r="P328" s="11"/>
      <c r="Q328" s="8"/>
      <c r="R328" s="11"/>
      <c r="S328" s="11"/>
      <c r="T328" s="23">
        <v>3</v>
      </c>
      <c r="U328" s="11"/>
      <c r="V328" s="11"/>
      <c r="W328" s="83" t="str">
        <f t="shared" si="963"/>
        <v>НФИбд</v>
      </c>
      <c r="X328" s="110" t="s">
        <v>3240</v>
      </c>
      <c r="Y328" s="11">
        <v>4</v>
      </c>
      <c r="Z328" s="11">
        <v>2</v>
      </c>
      <c r="AA328" s="83">
        <f t="shared" si="35"/>
        <v>19</v>
      </c>
      <c r="AB328" s="11">
        <v>12</v>
      </c>
      <c r="AC328" s="11">
        <v>7</v>
      </c>
      <c r="AD328" s="81">
        <f t="shared" si="964"/>
        <v>1</v>
      </c>
      <c r="AE328" s="82">
        <f t="shared" si="36"/>
        <v>1</v>
      </c>
      <c r="AF328" s="82">
        <f t="shared" si="37"/>
        <v>19</v>
      </c>
      <c r="AG328" s="102" t="s">
        <v>3250</v>
      </c>
      <c r="AH328" s="113" t="s">
        <v>204</v>
      </c>
      <c r="AI328" s="113" t="s">
        <v>212</v>
      </c>
      <c r="AJ328" s="119" t="s">
        <v>3261</v>
      </c>
      <c r="AK328" s="8"/>
      <c r="AL328" s="42">
        <f t="shared" si="965"/>
        <v>0</v>
      </c>
      <c r="AM328" s="42">
        <f t="shared" si="906"/>
        <v>0</v>
      </c>
      <c r="AN328" s="42">
        <f t="shared" si="907"/>
        <v>0</v>
      </c>
      <c r="AO328" s="42">
        <f t="shared" si="881"/>
        <v>0</v>
      </c>
      <c r="AP328" s="42">
        <f t="shared" si="908"/>
        <v>0</v>
      </c>
      <c r="AQ328" s="42">
        <f t="shared" si="909"/>
        <v>0</v>
      </c>
      <c r="AR328" s="42">
        <f t="shared" si="966"/>
        <v>0</v>
      </c>
      <c r="AS328" s="42">
        <f t="shared" si="910"/>
        <v>0</v>
      </c>
      <c r="AT328" s="42">
        <f t="shared" si="911"/>
        <v>0</v>
      </c>
      <c r="AU328" s="42">
        <f t="shared" si="912"/>
        <v>57</v>
      </c>
      <c r="AV328" s="42">
        <f>IF(M328="ПП",РПП*AA328*(U328/1.5),IF(M328="ВП",ВПр*AA328*(U328/1.5),IF(M328="РПА",РПА*AA328*(U328/1.5),IF(M328="КПА",КПА*AA328*(U328/1.5),0))))</f>
        <v>0</v>
      </c>
      <c r="AW328" s="42">
        <f t="shared" si="913"/>
        <v>0</v>
      </c>
      <c r="AX328" s="42">
        <f t="shared" si="967"/>
        <v>0</v>
      </c>
      <c r="AY328" s="42">
        <f t="shared" si="968"/>
        <v>0</v>
      </c>
      <c r="AZ328" s="42">
        <f t="shared" si="914"/>
        <v>0</v>
      </c>
      <c r="BA328" s="42">
        <f t="shared" si="969"/>
        <v>0</v>
      </c>
      <c r="BB328" s="42">
        <f t="shared" si="970"/>
        <v>0</v>
      </c>
      <c r="BC328" s="42">
        <f t="shared" si="971"/>
        <v>0</v>
      </c>
      <c r="BD328" s="42">
        <f t="shared" si="915"/>
        <v>0</v>
      </c>
      <c r="BE328" s="43">
        <f t="shared" si="916"/>
        <v>57</v>
      </c>
      <c r="BF328" s="44"/>
      <c r="BG328" s="45">
        <f t="shared" si="917"/>
        <v>0</v>
      </c>
      <c r="BH328" s="45">
        <f t="shared" si="918"/>
        <v>0</v>
      </c>
      <c r="BI328" s="45">
        <f t="shared" si="919"/>
        <v>0</v>
      </c>
      <c r="BJ328" s="46">
        <f t="shared" si="882"/>
        <v>0</v>
      </c>
      <c r="BK328" s="46">
        <f t="shared" si="883"/>
        <v>0</v>
      </c>
      <c r="BL328" s="46">
        <f t="shared" si="884"/>
        <v>57</v>
      </c>
    </row>
    <row r="329" spans="1:64" ht="30" customHeight="1" x14ac:dyDescent="0.25">
      <c r="A329" s="84" t="str">
        <f t="shared" si="962"/>
        <v>Д</v>
      </c>
      <c r="B329" s="84" t="str">
        <f t="shared" si="32"/>
        <v>Б</v>
      </c>
      <c r="C329" s="101" t="s">
        <v>1465</v>
      </c>
      <c r="D329" s="16" t="str">
        <f t="shared" si="33"/>
        <v>'02.03.02</v>
      </c>
      <c r="E329" s="17" t="str">
        <f t="shared" si="34"/>
        <v>Фундаментальная информатика и информационные технологии</v>
      </c>
      <c r="F329" s="9" t="s">
        <v>498</v>
      </c>
      <c r="G329" s="9" t="s">
        <v>42</v>
      </c>
      <c r="H329" s="10" t="s">
        <v>3233</v>
      </c>
      <c r="I329" s="10"/>
      <c r="J329" s="24" t="s">
        <v>3224</v>
      </c>
      <c r="K329" s="11" t="s">
        <v>3229</v>
      </c>
      <c r="L329" s="11"/>
      <c r="M329" s="8" t="s">
        <v>98</v>
      </c>
      <c r="N329" s="11"/>
      <c r="O329" s="11"/>
      <c r="P329" s="11"/>
      <c r="Q329" s="8" t="s">
        <v>97</v>
      </c>
      <c r="R329" s="11"/>
      <c r="S329" s="11"/>
      <c r="T329" s="11"/>
      <c r="U329" s="11"/>
      <c r="V329" s="11"/>
      <c r="W329" s="83" t="str">
        <f t="shared" si="963"/>
        <v>НФИбд</v>
      </c>
      <c r="X329" s="110" t="s">
        <v>3243</v>
      </c>
      <c r="Y329" s="11">
        <v>3</v>
      </c>
      <c r="Z329" s="11">
        <v>2</v>
      </c>
      <c r="AA329" s="83">
        <f t="shared" si="35"/>
        <v>19</v>
      </c>
      <c r="AB329" s="11">
        <v>12</v>
      </c>
      <c r="AC329" s="11">
        <v>7</v>
      </c>
      <c r="AD329" s="81">
        <f t="shared" si="964"/>
        <v>24</v>
      </c>
      <c r="AE329" s="82">
        <f t="shared" si="36"/>
        <v>0.79166666666666663</v>
      </c>
      <c r="AF329" s="82">
        <f t="shared" si="37"/>
        <v>0.79166666666666663</v>
      </c>
      <c r="AG329" s="102" t="s">
        <v>3250</v>
      </c>
      <c r="AH329" s="113" t="s">
        <v>204</v>
      </c>
      <c r="AI329" s="113" t="s">
        <v>212</v>
      </c>
      <c r="AJ329" s="120" t="s">
        <v>3255</v>
      </c>
      <c r="AK329" s="8"/>
      <c r="AL329" s="42">
        <f t="shared" si="965"/>
        <v>0</v>
      </c>
      <c r="AM329" s="42">
        <f t="shared" si="906"/>
        <v>0</v>
      </c>
      <c r="AN329" s="42">
        <f t="shared" si="907"/>
        <v>0</v>
      </c>
      <c r="AO329" s="42">
        <f t="shared" si="881"/>
        <v>0</v>
      </c>
      <c r="AP329" s="42">
        <f t="shared" si="908"/>
        <v>0</v>
      </c>
      <c r="AQ329" s="42">
        <f t="shared" si="909"/>
        <v>0</v>
      </c>
      <c r="AR329" s="42">
        <f t="shared" si="966"/>
        <v>0</v>
      </c>
      <c r="AS329" s="42">
        <f t="shared" si="910"/>
        <v>0</v>
      </c>
      <c r="AT329" s="42">
        <f t="shared" si="911"/>
        <v>0</v>
      </c>
      <c r="AU329" s="42">
        <f t="shared" si="912"/>
        <v>0</v>
      </c>
      <c r="AV329" s="42">
        <f>IF(M329="ПП",РПП*AA329*(U329/1.5),IF(M329="ВП",ВПр*AA329*(U329/1.5),IF(M329="РПА",РПА*AA329*(U329/1.5),IF(M329="КПА",КПА*AA329*(U329/1.5),0))))</f>
        <v>0</v>
      </c>
      <c r="AW329" s="42">
        <f t="shared" si="913"/>
        <v>0</v>
      </c>
      <c r="AX329" s="42">
        <f t="shared" si="967"/>
        <v>0</v>
      </c>
      <c r="AY329" s="42">
        <f t="shared" si="968"/>
        <v>0</v>
      </c>
      <c r="AZ329" s="42">
        <f t="shared" si="914"/>
        <v>0</v>
      </c>
      <c r="BA329" s="42">
        <f t="shared" si="969"/>
        <v>0</v>
      </c>
      <c r="BB329" s="42">
        <f t="shared" si="970"/>
        <v>0</v>
      </c>
      <c r="BC329" s="42">
        <f t="shared" si="971"/>
        <v>0</v>
      </c>
      <c r="BD329" s="42">
        <f t="shared" si="915"/>
        <v>1.5833333333333333</v>
      </c>
      <c r="BE329" s="43">
        <f t="shared" si="916"/>
        <v>1.5833333333333333</v>
      </c>
      <c r="BF329" s="44"/>
      <c r="BG329" s="45">
        <f t="shared" si="917"/>
        <v>0</v>
      </c>
      <c r="BH329" s="45">
        <f t="shared" si="918"/>
        <v>0</v>
      </c>
      <c r="BI329" s="45">
        <f t="shared" si="919"/>
        <v>0</v>
      </c>
      <c r="BJ329" s="46">
        <f t="shared" si="882"/>
        <v>0</v>
      </c>
      <c r="BK329" s="46">
        <f t="shared" si="883"/>
        <v>0</v>
      </c>
      <c r="BL329" s="46">
        <f t="shared" si="884"/>
        <v>1.5833333333333333</v>
      </c>
    </row>
    <row r="330" spans="1:64" ht="30" customHeight="1" x14ac:dyDescent="0.25">
      <c r="A330" s="84" t="str">
        <f t="shared" si="962"/>
        <v>Д</v>
      </c>
      <c r="B330" s="84" t="str">
        <f t="shared" si="32"/>
        <v>Б</v>
      </c>
      <c r="C330" s="101" t="s">
        <v>1465</v>
      </c>
      <c r="D330" s="16" t="str">
        <f t="shared" si="33"/>
        <v>'02.03.02</v>
      </c>
      <c r="E330" s="17" t="str">
        <f t="shared" si="34"/>
        <v>Фундаментальная информатика и информационные технологии</v>
      </c>
      <c r="F330" s="9" t="s">
        <v>498</v>
      </c>
      <c r="G330" s="9" t="s">
        <v>42</v>
      </c>
      <c r="H330" s="10" t="s">
        <v>3233</v>
      </c>
      <c r="I330" s="10"/>
      <c r="J330" s="24" t="s">
        <v>3224</v>
      </c>
      <c r="K330" s="11" t="s">
        <v>3229</v>
      </c>
      <c r="L330" s="11"/>
      <c r="M330" s="8" t="s">
        <v>12</v>
      </c>
      <c r="N330" s="11"/>
      <c r="O330" s="11"/>
      <c r="P330" s="11"/>
      <c r="Q330" s="8" t="s">
        <v>97</v>
      </c>
      <c r="R330" s="11"/>
      <c r="S330" s="11"/>
      <c r="T330" s="11"/>
      <c r="U330" s="11"/>
      <c r="V330" s="11"/>
      <c r="W330" s="83" t="str">
        <f t="shared" si="963"/>
        <v>НФИбд</v>
      </c>
      <c r="X330" s="110" t="s">
        <v>3243</v>
      </c>
      <c r="Y330" s="11">
        <v>3</v>
      </c>
      <c r="Z330" s="11">
        <v>2</v>
      </c>
      <c r="AA330" s="83">
        <f t="shared" si="35"/>
        <v>0</v>
      </c>
      <c r="AB330" s="11"/>
      <c r="AC330" s="11"/>
      <c r="AD330" s="81">
        <f t="shared" si="964"/>
        <v>1</v>
      </c>
      <c r="AE330" s="82">
        <f t="shared" si="36"/>
        <v>0</v>
      </c>
      <c r="AF330" s="82">
        <f t="shared" si="37"/>
        <v>0</v>
      </c>
      <c r="AG330" s="102" t="s">
        <v>3250</v>
      </c>
      <c r="AH330" s="113" t="s">
        <v>447</v>
      </c>
      <c r="AI330" s="113"/>
      <c r="AJ330" s="123" t="s">
        <v>412</v>
      </c>
      <c r="AK330" s="8"/>
      <c r="AL330" s="42">
        <f t="shared" si="965"/>
        <v>0</v>
      </c>
      <c r="AM330" s="42">
        <f t="shared" si="906"/>
        <v>0</v>
      </c>
      <c r="AN330" s="42">
        <f t="shared" si="907"/>
        <v>0</v>
      </c>
      <c r="AO330" s="42">
        <f t="shared" si="881"/>
        <v>0</v>
      </c>
      <c r="AP330" s="42">
        <f t="shared" si="908"/>
        <v>0</v>
      </c>
      <c r="AQ330" s="42">
        <f t="shared" si="909"/>
        <v>0</v>
      </c>
      <c r="AR330" s="42">
        <f t="shared" si="966"/>
        <v>0</v>
      </c>
      <c r="AS330" s="42">
        <f t="shared" si="910"/>
        <v>0</v>
      </c>
      <c r="AT330" s="42">
        <f t="shared" si="911"/>
        <v>0</v>
      </c>
      <c r="AU330" s="42">
        <f t="shared" si="912"/>
        <v>0</v>
      </c>
      <c r="AV330" s="42">
        <f>IF(M330="ПП",РПП*AA330*(U330/1.5),IF(M330="ВП",ВПр*AA330*(U330/1.5),IF(M330="РПА",РПА*AA330*(U330/1.5),IF(M330="КПА",КПА*AA330*(U330/1.5),0))))</f>
        <v>0</v>
      </c>
      <c r="AW330" s="42">
        <f t="shared" si="913"/>
        <v>0</v>
      </c>
      <c r="AX330" s="42">
        <f t="shared" si="967"/>
        <v>0</v>
      </c>
      <c r="AY330" s="42">
        <f t="shared" si="968"/>
        <v>0</v>
      </c>
      <c r="AZ330" s="42">
        <f t="shared" si="914"/>
        <v>0</v>
      </c>
      <c r="BA330" s="42">
        <f t="shared" si="969"/>
        <v>0</v>
      </c>
      <c r="BB330" s="42">
        <f t="shared" si="970"/>
        <v>0</v>
      </c>
      <c r="BC330" s="42">
        <f t="shared" si="971"/>
        <v>0</v>
      </c>
      <c r="BD330" s="42">
        <f t="shared" si="915"/>
        <v>0</v>
      </c>
      <c r="BE330" s="43">
        <f t="shared" si="916"/>
        <v>0</v>
      </c>
      <c r="BF330" s="44"/>
      <c r="BG330" s="45">
        <f t="shared" si="917"/>
        <v>0</v>
      </c>
      <c r="BH330" s="45">
        <f t="shared" si="918"/>
        <v>0</v>
      </c>
      <c r="BI330" s="45">
        <f t="shared" si="919"/>
        <v>0</v>
      </c>
      <c r="BJ330" s="46">
        <f t="shared" si="882"/>
        <v>0</v>
      </c>
      <c r="BK330" s="46">
        <f t="shared" si="883"/>
        <v>0</v>
      </c>
      <c r="BL330" s="46">
        <f t="shared" si="884"/>
        <v>0</v>
      </c>
    </row>
    <row r="331" spans="1:64" ht="30" customHeight="1" x14ac:dyDescent="0.25">
      <c r="A331" s="84" t="str">
        <f t="shared" si="962"/>
        <v>Д</v>
      </c>
      <c r="B331" s="84" t="str">
        <f t="shared" si="32"/>
        <v>Б</v>
      </c>
      <c r="C331" s="101" t="s">
        <v>1465</v>
      </c>
      <c r="D331" s="16" t="str">
        <f t="shared" si="33"/>
        <v>'02.03.02</v>
      </c>
      <c r="E331" s="17" t="str">
        <f t="shared" si="34"/>
        <v>Фундаментальная информатика и информационные технологии</v>
      </c>
      <c r="F331" s="9" t="s">
        <v>498</v>
      </c>
      <c r="G331" s="9" t="s">
        <v>42</v>
      </c>
      <c r="H331" s="10" t="s">
        <v>3233</v>
      </c>
      <c r="I331" s="10"/>
      <c r="J331" s="24" t="s">
        <v>3224</v>
      </c>
      <c r="K331" s="11" t="s">
        <v>3229</v>
      </c>
      <c r="L331" s="11"/>
      <c r="M331" s="8" t="s">
        <v>1738</v>
      </c>
      <c r="N331" s="11"/>
      <c r="O331" s="11"/>
      <c r="P331" s="11"/>
      <c r="Q331" s="8" t="s">
        <v>97</v>
      </c>
      <c r="R331" s="11"/>
      <c r="S331" s="11"/>
      <c r="T331" s="11"/>
      <c r="U331" s="11"/>
      <c r="V331" s="11"/>
      <c r="W331" s="83" t="str">
        <f t="shared" si="963"/>
        <v>НФИбд</v>
      </c>
      <c r="X331" s="110" t="s">
        <v>3243</v>
      </c>
      <c r="Y331" s="11">
        <v>3</v>
      </c>
      <c r="Z331" s="11">
        <v>2</v>
      </c>
      <c r="AA331" s="83">
        <f t="shared" si="35"/>
        <v>19</v>
      </c>
      <c r="AB331" s="11">
        <v>12</v>
      </c>
      <c r="AC331" s="11">
        <v>7</v>
      </c>
      <c r="AD331" s="81">
        <f t="shared" si="964"/>
        <v>1</v>
      </c>
      <c r="AE331" s="82">
        <f t="shared" si="36"/>
        <v>1</v>
      </c>
      <c r="AF331" s="82">
        <f t="shared" si="37"/>
        <v>19</v>
      </c>
      <c r="AG331" s="102" t="s">
        <v>3250</v>
      </c>
      <c r="AH331" s="113" t="s">
        <v>204</v>
      </c>
      <c r="AI331" s="113" t="s">
        <v>212</v>
      </c>
      <c r="AJ331" s="121" t="s">
        <v>3255</v>
      </c>
      <c r="AK331" s="8"/>
      <c r="AL331" s="42">
        <f t="shared" si="965"/>
        <v>0</v>
      </c>
      <c r="AM331" s="42">
        <f t="shared" si="906"/>
        <v>0</v>
      </c>
      <c r="AN331" s="42">
        <f t="shared" si="907"/>
        <v>0</v>
      </c>
      <c r="AO331" s="42">
        <f t="shared" si="881"/>
        <v>0</v>
      </c>
      <c r="AP331" s="42">
        <f t="shared" si="908"/>
        <v>0</v>
      </c>
      <c r="AQ331" s="42">
        <f t="shared" si="909"/>
        <v>0</v>
      </c>
      <c r="AR331" s="42">
        <f t="shared" si="966"/>
        <v>0</v>
      </c>
      <c r="AS331" s="42">
        <f t="shared" si="910"/>
        <v>0</v>
      </c>
      <c r="AT331" s="42">
        <f t="shared" si="911"/>
        <v>0</v>
      </c>
      <c r="AU331" s="42">
        <f t="shared" si="912"/>
        <v>0</v>
      </c>
      <c r="AV331" s="42">
        <f>IF(M331="ПП",РПП*AA331*(U331/1.5),IF(M331="ВП",ВПр*AA331*(U331/1.5),IF(M331="РПА",РПА*AA331*(U331/1.5),IF(M331="КПА",КПА*AA331*(U331/1.5),0))))</f>
        <v>0</v>
      </c>
      <c r="AW331" s="42">
        <f t="shared" si="913"/>
        <v>0</v>
      </c>
      <c r="AX331" s="42">
        <f t="shared" si="967"/>
        <v>0</v>
      </c>
      <c r="AY331" s="42">
        <f t="shared" si="968"/>
        <v>0</v>
      </c>
      <c r="AZ331" s="42">
        <f t="shared" si="914"/>
        <v>0</v>
      </c>
      <c r="BA331" s="42">
        <f t="shared" si="969"/>
        <v>0</v>
      </c>
      <c r="BB331" s="42">
        <f t="shared" si="970"/>
        <v>0</v>
      </c>
      <c r="BC331" s="42">
        <f t="shared" si="971"/>
        <v>0</v>
      </c>
      <c r="BD331" s="42">
        <f t="shared" si="915"/>
        <v>9.5</v>
      </c>
      <c r="BE331" s="43">
        <f t="shared" si="916"/>
        <v>9.5</v>
      </c>
      <c r="BF331" s="44"/>
      <c r="BG331" s="45">
        <f t="shared" si="917"/>
        <v>0</v>
      </c>
      <c r="BH331" s="45">
        <f t="shared" si="918"/>
        <v>0</v>
      </c>
      <c r="BI331" s="45">
        <f t="shared" si="919"/>
        <v>0</v>
      </c>
      <c r="BJ331" s="46">
        <f t="shared" si="882"/>
        <v>0</v>
      </c>
      <c r="BK331" s="46">
        <f t="shared" si="883"/>
        <v>0</v>
      </c>
      <c r="BL331" s="46">
        <f t="shared" si="884"/>
        <v>9.5</v>
      </c>
    </row>
    <row r="332" spans="1:64" ht="30" customHeight="1" x14ac:dyDescent="0.25">
      <c r="A332" s="84" t="str">
        <f t="shared" si="962"/>
        <v>Д</v>
      </c>
      <c r="B332" s="84" t="str">
        <f t="shared" si="32"/>
        <v>Б</v>
      </c>
      <c r="C332" s="101" t="s">
        <v>1467</v>
      </c>
      <c r="D332" s="16" t="str">
        <f t="shared" ref="D332:D339" si="972">IF(C332&gt;0, VLOOKUP(C332,Код_ООП,2,FALSE),0)</f>
        <v>'03.03.02</v>
      </c>
      <c r="E332" s="17" t="str">
        <f t="shared" si="34"/>
        <v>Физика</v>
      </c>
      <c r="F332" s="9" t="s">
        <v>413</v>
      </c>
      <c r="G332" s="9" t="s">
        <v>42</v>
      </c>
      <c r="H332" s="10"/>
      <c r="I332" s="10"/>
      <c r="J332" s="115" t="s">
        <v>3301</v>
      </c>
      <c r="K332" s="11">
        <v>2</v>
      </c>
      <c r="L332" s="11">
        <v>18</v>
      </c>
      <c r="M332" s="8" t="s">
        <v>94</v>
      </c>
      <c r="N332" s="11"/>
      <c r="O332" s="11">
        <v>4</v>
      </c>
      <c r="P332" s="11"/>
      <c r="Q332" s="8" t="s">
        <v>102</v>
      </c>
      <c r="R332" s="11"/>
      <c r="S332" s="11"/>
      <c r="T332" s="11"/>
      <c r="U332" s="11"/>
      <c r="V332" s="11"/>
      <c r="W332" s="83" t="str">
        <f t="shared" si="963"/>
        <v>НФЗбд</v>
      </c>
      <c r="X332" s="114" t="s">
        <v>3246</v>
      </c>
      <c r="Y332" s="109">
        <v>2</v>
      </c>
      <c r="Z332" s="109">
        <v>1</v>
      </c>
      <c r="AA332" s="83">
        <f t="shared" ref="AA332:AA339" si="973">AB332+AC332</f>
        <v>23</v>
      </c>
      <c r="AB332" s="11">
        <v>22</v>
      </c>
      <c r="AC332" s="11">
        <v>1</v>
      </c>
      <c r="AD332" s="81">
        <f t="shared" si="964"/>
        <v>12</v>
      </c>
      <c r="AE332" s="82">
        <f t="shared" ref="AE332:AE339" si="974">IF(AF332&gt;1,1,AF332)</f>
        <v>1</v>
      </c>
      <c r="AF332" s="82">
        <f t="shared" ref="AF332:AF339" si="975">AA332/AD332</f>
        <v>1.9166666666666667</v>
      </c>
      <c r="AG332" s="102" t="s">
        <v>3250</v>
      </c>
      <c r="AH332" s="8" t="s">
        <v>201</v>
      </c>
      <c r="AI332" s="8" t="s">
        <v>214</v>
      </c>
      <c r="AJ332" s="35" t="s">
        <v>3348</v>
      </c>
      <c r="AK332" s="8"/>
      <c r="AL332" s="42">
        <f t="shared" si="965"/>
        <v>0</v>
      </c>
      <c r="AM332" s="42">
        <f t="shared" si="906"/>
        <v>0</v>
      </c>
      <c r="AN332" s="42">
        <f t="shared" si="907"/>
        <v>72</v>
      </c>
      <c r="AO332" s="42">
        <f t="shared" ref="AO332:AO383" si="976">(IF((AND(OR(K332=1,K332=2,K332=3,K332=4,K332=5,K332=6,K332=7,K332=8,K332=9,K332=10,K332=11,K332=12),OR(Q332="Зач",Q332="Экз"))),ТКиРА*AA332,0)+IF(SUM(N332:P332)&lt;&gt;0,IF(Q332="ТК",ТКиРА*AA332,0),0))*(IF(F332="ФТД",0,1))</f>
        <v>7.5900000000000007</v>
      </c>
      <c r="AP332" s="42">
        <f t="shared" si="908"/>
        <v>11.5</v>
      </c>
      <c r="AQ332" s="42">
        <f t="shared" si="909"/>
        <v>1</v>
      </c>
      <c r="AR332" s="42">
        <f t="shared" si="966"/>
        <v>0</v>
      </c>
      <c r="AS332" s="42">
        <f t="shared" si="910"/>
        <v>0</v>
      </c>
      <c r="AT332" s="42">
        <f t="shared" si="911"/>
        <v>0</v>
      </c>
      <c r="AU332" s="42">
        <f t="shared" si="912"/>
        <v>0</v>
      </c>
      <c r="AV332" s="42">
        <f>IF(M332="ПП",РПП*AA332*(U332/1.5),IF(M332="ВП",ВПр*AA332*(U332/1.5),IF(M332="РПА",РПА*AA332*(U332/1.5),IF(M332="КПА",КПА*AA332*(U332/1.5),0))))</f>
        <v>0</v>
      </c>
      <c r="AW332" s="42">
        <f t="shared" si="913"/>
        <v>0</v>
      </c>
      <c r="AX332" s="42">
        <f t="shared" si="967"/>
        <v>0</v>
      </c>
      <c r="AY332" s="42">
        <f t="shared" si="968"/>
        <v>0</v>
      </c>
      <c r="AZ332" s="42">
        <f t="shared" si="914"/>
        <v>0</v>
      </c>
      <c r="BA332" s="42">
        <f t="shared" si="969"/>
        <v>0</v>
      </c>
      <c r="BB332" s="42">
        <f t="shared" si="970"/>
        <v>0</v>
      </c>
      <c r="BC332" s="42">
        <f t="shared" si="971"/>
        <v>0</v>
      </c>
      <c r="BD332" s="42">
        <f t="shared" si="915"/>
        <v>0</v>
      </c>
      <c r="BE332" s="43">
        <f t="shared" si="916"/>
        <v>92.09</v>
      </c>
      <c r="BF332" s="44"/>
      <c r="BG332" s="45">
        <f t="shared" si="917"/>
        <v>0</v>
      </c>
      <c r="BH332" s="45">
        <f t="shared" si="918"/>
        <v>0</v>
      </c>
      <c r="BI332" s="45">
        <f t="shared" si="919"/>
        <v>0</v>
      </c>
      <c r="BJ332" s="46">
        <f t="shared" si="882"/>
        <v>72</v>
      </c>
      <c r="BK332" s="46">
        <f t="shared" si="883"/>
        <v>2</v>
      </c>
      <c r="BL332" s="46">
        <f t="shared" si="884"/>
        <v>20.09</v>
      </c>
    </row>
    <row r="333" spans="1:64" ht="30" customHeight="1" x14ac:dyDescent="0.25">
      <c r="A333" s="84" t="str">
        <f t="shared" si="962"/>
        <v>Д</v>
      </c>
      <c r="B333" s="84" t="str">
        <f t="shared" si="32"/>
        <v>Б</v>
      </c>
      <c r="C333" s="101" t="s">
        <v>1467</v>
      </c>
      <c r="D333" s="16" t="str">
        <f t="shared" si="972"/>
        <v>'03.03.02</v>
      </c>
      <c r="E333" s="17" t="str">
        <f t="shared" si="34"/>
        <v>Физика</v>
      </c>
      <c r="F333" s="9" t="s">
        <v>413</v>
      </c>
      <c r="G333" s="9" t="s">
        <v>42</v>
      </c>
      <c r="H333" s="10"/>
      <c r="I333" s="10"/>
      <c r="J333" s="115" t="s">
        <v>3301</v>
      </c>
      <c r="K333" s="11">
        <v>2</v>
      </c>
      <c r="L333" s="11">
        <v>18</v>
      </c>
      <c r="M333" s="8" t="s">
        <v>94</v>
      </c>
      <c r="N333" s="11"/>
      <c r="O333" s="11">
        <v>4</v>
      </c>
      <c r="P333" s="11"/>
      <c r="Q333" s="8" t="s">
        <v>102</v>
      </c>
      <c r="R333" s="11"/>
      <c r="S333" s="11"/>
      <c r="T333" s="11"/>
      <c r="U333" s="11"/>
      <c r="V333" s="11"/>
      <c r="W333" s="83" t="str">
        <f t="shared" si="963"/>
        <v>НФЗбд</v>
      </c>
      <c r="X333" s="114" t="s">
        <v>3246</v>
      </c>
      <c r="Y333" s="109">
        <v>2</v>
      </c>
      <c r="Z333" s="109">
        <v>1</v>
      </c>
      <c r="AA333" s="83">
        <f t="shared" si="973"/>
        <v>23</v>
      </c>
      <c r="AB333" s="11">
        <v>22</v>
      </c>
      <c r="AC333" s="11">
        <v>1</v>
      </c>
      <c r="AD333" s="81">
        <f t="shared" si="964"/>
        <v>12</v>
      </c>
      <c r="AE333" s="82">
        <f t="shared" si="974"/>
        <v>1</v>
      </c>
      <c r="AF333" s="82">
        <f t="shared" si="975"/>
        <v>1.9166666666666667</v>
      </c>
      <c r="AG333" s="102" t="s">
        <v>3250</v>
      </c>
      <c r="AH333" s="8" t="s">
        <v>201</v>
      </c>
      <c r="AI333" s="8" t="s">
        <v>214</v>
      </c>
      <c r="AJ333" s="35" t="s">
        <v>3348</v>
      </c>
      <c r="AK333" s="8"/>
      <c r="AL333" s="42">
        <f t="shared" si="965"/>
        <v>0</v>
      </c>
      <c r="AM333" s="42">
        <f t="shared" si="906"/>
        <v>0</v>
      </c>
      <c r="AN333" s="42">
        <f t="shared" si="907"/>
        <v>72</v>
      </c>
      <c r="AO333" s="42">
        <f t="shared" si="976"/>
        <v>7.5900000000000007</v>
      </c>
      <c r="AP333" s="42">
        <f t="shared" si="908"/>
        <v>11.5</v>
      </c>
      <c r="AQ333" s="42">
        <f t="shared" si="909"/>
        <v>1</v>
      </c>
      <c r="AR333" s="42">
        <f t="shared" si="966"/>
        <v>0</v>
      </c>
      <c r="AS333" s="42">
        <f t="shared" si="910"/>
        <v>0</v>
      </c>
      <c r="AT333" s="42">
        <f t="shared" si="911"/>
        <v>0</v>
      </c>
      <c r="AU333" s="42">
        <f t="shared" si="912"/>
        <v>0</v>
      </c>
      <c r="AV333" s="42">
        <f>IF(M333="ПП",РПП*AA333*(U333/1.5),IF(M333="ВП",ВПр*AA333*(U333/1.5),IF(M333="РПА",РПА*AA333*(U333/1.5),IF(M333="КПА",КПА*AA333*(U333/1.5),0))))</f>
        <v>0</v>
      </c>
      <c r="AW333" s="42">
        <f t="shared" si="913"/>
        <v>0</v>
      </c>
      <c r="AX333" s="42">
        <f t="shared" si="967"/>
        <v>0</v>
      </c>
      <c r="AY333" s="42">
        <f t="shared" si="968"/>
        <v>0</v>
      </c>
      <c r="AZ333" s="42">
        <f t="shared" si="914"/>
        <v>0</v>
      </c>
      <c r="BA333" s="42">
        <f t="shared" si="969"/>
        <v>0</v>
      </c>
      <c r="BB333" s="42">
        <f t="shared" si="970"/>
        <v>0</v>
      </c>
      <c r="BC333" s="42">
        <f t="shared" si="971"/>
        <v>0</v>
      </c>
      <c r="BD333" s="42">
        <f t="shared" si="915"/>
        <v>0</v>
      </c>
      <c r="BE333" s="43">
        <f t="shared" si="916"/>
        <v>92.09</v>
      </c>
      <c r="BF333" s="44"/>
      <c r="BG333" s="45">
        <f t="shared" si="917"/>
        <v>0</v>
      </c>
      <c r="BH333" s="45">
        <f t="shared" si="918"/>
        <v>0</v>
      </c>
      <c r="BI333" s="45">
        <f t="shared" si="919"/>
        <v>0</v>
      </c>
      <c r="BJ333" s="46">
        <f t="shared" si="882"/>
        <v>72</v>
      </c>
      <c r="BK333" s="46">
        <f t="shared" si="883"/>
        <v>2</v>
      </c>
      <c r="BL333" s="46">
        <f t="shared" si="884"/>
        <v>20.09</v>
      </c>
    </row>
    <row r="334" spans="1:64" ht="30" customHeight="1" x14ac:dyDescent="0.25">
      <c r="A334" s="84" t="str">
        <f t="shared" si="962"/>
        <v>Д</v>
      </c>
      <c r="B334" s="84" t="str">
        <f t="shared" si="32"/>
        <v>Б</v>
      </c>
      <c r="C334" s="101" t="s">
        <v>1469</v>
      </c>
      <c r="D334" s="16" t="str">
        <f t="shared" si="972"/>
        <v>'04.03.01</v>
      </c>
      <c r="E334" s="17" t="str">
        <f t="shared" si="34"/>
        <v>Химия</v>
      </c>
      <c r="F334" s="9" t="s">
        <v>413</v>
      </c>
      <c r="G334" s="9" t="s">
        <v>42</v>
      </c>
      <c r="H334" s="10"/>
      <c r="I334" s="10"/>
      <c r="J334" s="115" t="s">
        <v>3302</v>
      </c>
      <c r="K334" s="109">
        <v>1</v>
      </c>
      <c r="L334" s="109">
        <v>18</v>
      </c>
      <c r="M334" s="113" t="s">
        <v>23</v>
      </c>
      <c r="N334" s="109">
        <v>2</v>
      </c>
      <c r="O334" s="109"/>
      <c r="P334" s="109"/>
      <c r="Q334" s="113"/>
      <c r="R334" s="109"/>
      <c r="S334" s="109"/>
      <c r="T334" s="109"/>
      <c r="U334" s="109"/>
      <c r="V334" s="11"/>
      <c r="W334" s="83" t="str">
        <f t="shared" si="963"/>
        <v>НХМбд</v>
      </c>
      <c r="X334" s="114" t="s">
        <v>3353</v>
      </c>
      <c r="Y334" s="109">
        <v>6</v>
      </c>
      <c r="Z334" s="109">
        <v>3</v>
      </c>
      <c r="AA334" s="83">
        <f t="shared" si="973"/>
        <v>73</v>
      </c>
      <c r="AB334" s="11">
        <v>65</v>
      </c>
      <c r="AC334" s="11">
        <v>8</v>
      </c>
      <c r="AD334" s="81">
        <f t="shared" si="964"/>
        <v>73</v>
      </c>
      <c r="AE334" s="82">
        <f t="shared" si="974"/>
        <v>1</v>
      </c>
      <c r="AF334" s="82">
        <f t="shared" si="975"/>
        <v>1</v>
      </c>
      <c r="AG334" s="102" t="s">
        <v>3250</v>
      </c>
      <c r="AH334" s="113" t="s">
        <v>201</v>
      </c>
      <c r="AI334" s="113" t="s">
        <v>212</v>
      </c>
      <c r="AJ334" s="121" t="s">
        <v>3257</v>
      </c>
      <c r="AK334" s="8"/>
      <c r="AL334" s="42">
        <f t="shared" si="965"/>
        <v>36</v>
      </c>
      <c r="AM334" s="42">
        <f t="shared" si="906"/>
        <v>0</v>
      </c>
      <c r="AN334" s="42">
        <f t="shared" si="907"/>
        <v>0</v>
      </c>
      <c r="AO334" s="42">
        <f t="shared" si="976"/>
        <v>0</v>
      </c>
      <c r="AP334" s="42">
        <f t="shared" si="908"/>
        <v>0</v>
      </c>
      <c r="AQ334" s="42">
        <f t="shared" si="909"/>
        <v>0</v>
      </c>
      <c r="AR334" s="42">
        <f t="shared" si="966"/>
        <v>5.4</v>
      </c>
      <c r="AS334" s="42">
        <f t="shared" si="910"/>
        <v>0</v>
      </c>
      <c r="AT334" s="42">
        <f t="shared" si="911"/>
        <v>0</v>
      </c>
      <c r="AU334" s="42">
        <f t="shared" si="912"/>
        <v>0</v>
      </c>
      <c r="AV334" s="42">
        <f>IF(M334="ПП",РПП*AA334*(U334/1.5),IF(M334="ВП",ВПр*AA334*(U334/1.5),IF(M334="РПА",РПА*AA334*(U334/1.5),IF(M334="КПА",КПА*AA334*(U334/1.5),0))))</f>
        <v>0</v>
      </c>
      <c r="AW334" s="42">
        <f t="shared" si="913"/>
        <v>0</v>
      </c>
      <c r="AX334" s="42">
        <f t="shared" si="967"/>
        <v>0</v>
      </c>
      <c r="AY334" s="42">
        <f t="shared" si="968"/>
        <v>0</v>
      </c>
      <c r="AZ334" s="42">
        <f t="shared" si="914"/>
        <v>0</v>
      </c>
      <c r="BA334" s="42">
        <f t="shared" si="969"/>
        <v>0</v>
      </c>
      <c r="BB334" s="42">
        <f t="shared" si="970"/>
        <v>0</v>
      </c>
      <c r="BC334" s="42">
        <f t="shared" si="971"/>
        <v>0</v>
      </c>
      <c r="BD334" s="42">
        <f t="shared" si="915"/>
        <v>0</v>
      </c>
      <c r="BE334" s="43">
        <f t="shared" si="916"/>
        <v>41.4</v>
      </c>
      <c r="BF334" s="44"/>
      <c r="BG334" s="45">
        <f t="shared" si="917"/>
        <v>36</v>
      </c>
      <c r="BH334" s="45">
        <f t="shared" si="918"/>
        <v>1</v>
      </c>
      <c r="BI334" s="45">
        <f t="shared" si="919"/>
        <v>5.4</v>
      </c>
      <c r="BJ334" s="46">
        <f t="shared" si="882"/>
        <v>0</v>
      </c>
      <c r="BK334" s="46">
        <f t="shared" si="883"/>
        <v>0</v>
      </c>
      <c r="BL334" s="46">
        <f t="shared" si="884"/>
        <v>0</v>
      </c>
    </row>
    <row r="335" spans="1:64" ht="30" customHeight="1" x14ac:dyDescent="0.25">
      <c r="A335" s="84" t="str">
        <f t="shared" si="962"/>
        <v>Д</v>
      </c>
      <c r="B335" s="84" t="str">
        <f t="shared" si="32"/>
        <v>Б</v>
      </c>
      <c r="C335" s="101" t="s">
        <v>1469</v>
      </c>
      <c r="D335" s="16" t="str">
        <f t="shared" si="972"/>
        <v>'04.03.01</v>
      </c>
      <c r="E335" s="17" t="str">
        <f t="shared" si="34"/>
        <v>Химия</v>
      </c>
      <c r="F335" s="9" t="s">
        <v>413</v>
      </c>
      <c r="G335" s="9" t="s">
        <v>42</v>
      </c>
      <c r="H335" s="10"/>
      <c r="I335" s="10"/>
      <c r="J335" s="115" t="s">
        <v>3302</v>
      </c>
      <c r="K335" s="117">
        <v>1</v>
      </c>
      <c r="L335" s="109">
        <v>18</v>
      </c>
      <c r="M335" s="113" t="s">
        <v>94</v>
      </c>
      <c r="N335" s="117"/>
      <c r="O335" s="117">
        <v>4</v>
      </c>
      <c r="P335" s="117"/>
      <c r="Q335" s="113" t="s">
        <v>102</v>
      </c>
      <c r="R335" s="117"/>
      <c r="S335" s="117"/>
      <c r="T335" s="117"/>
      <c r="U335" s="117"/>
      <c r="V335" s="12"/>
      <c r="W335" s="83" t="str">
        <f t="shared" si="963"/>
        <v>НХМбд</v>
      </c>
      <c r="X335" s="114" t="s">
        <v>3246</v>
      </c>
      <c r="Y335" s="109">
        <v>1</v>
      </c>
      <c r="Z335" s="109">
        <v>1</v>
      </c>
      <c r="AA335" s="83">
        <f t="shared" si="973"/>
        <v>13</v>
      </c>
      <c r="AB335" s="11">
        <v>11</v>
      </c>
      <c r="AC335" s="12">
        <v>2</v>
      </c>
      <c r="AD335" s="81">
        <f t="shared" si="964"/>
        <v>12</v>
      </c>
      <c r="AE335" s="82">
        <f t="shared" si="974"/>
        <v>1</v>
      </c>
      <c r="AF335" s="82">
        <f t="shared" si="975"/>
        <v>1.0833333333333333</v>
      </c>
      <c r="AG335" s="102" t="s">
        <v>3250</v>
      </c>
      <c r="AH335" s="113" t="s">
        <v>201</v>
      </c>
      <c r="AI335" s="113" t="s">
        <v>212</v>
      </c>
      <c r="AJ335" s="121" t="s">
        <v>3257</v>
      </c>
      <c r="AK335" s="8"/>
      <c r="AL335" s="42">
        <f t="shared" si="965"/>
        <v>0</v>
      </c>
      <c r="AM335" s="42">
        <f t="shared" si="906"/>
        <v>0</v>
      </c>
      <c r="AN335" s="42">
        <f t="shared" si="907"/>
        <v>72</v>
      </c>
      <c r="AO335" s="42">
        <f t="shared" si="976"/>
        <v>4.29</v>
      </c>
      <c r="AP335" s="42">
        <f t="shared" si="908"/>
        <v>6.5</v>
      </c>
      <c r="AQ335" s="42">
        <f t="shared" si="909"/>
        <v>1</v>
      </c>
      <c r="AR335" s="42">
        <f t="shared" si="966"/>
        <v>0</v>
      </c>
      <c r="AS335" s="42">
        <f t="shared" si="910"/>
        <v>0</v>
      </c>
      <c r="AT335" s="42">
        <f t="shared" si="911"/>
        <v>0</v>
      </c>
      <c r="AU335" s="42">
        <f t="shared" si="912"/>
        <v>0</v>
      </c>
      <c r="AV335" s="42">
        <f>IF(M335="ПП",РПП*AA335*(U335/1.5),IF(M335="ВП",ВПр*AA335*(U335/1.5),IF(M335="РПА",РПА*AA335*(U335/1.5),IF(M335="КПА",КПА*AA335*(U335/1.5),0))))</f>
        <v>0</v>
      </c>
      <c r="AW335" s="42">
        <f t="shared" si="913"/>
        <v>0</v>
      </c>
      <c r="AX335" s="42">
        <f t="shared" si="967"/>
        <v>0</v>
      </c>
      <c r="AY335" s="42">
        <f t="shared" si="968"/>
        <v>0</v>
      </c>
      <c r="AZ335" s="42">
        <f t="shared" si="914"/>
        <v>0</v>
      </c>
      <c r="BA335" s="42">
        <f t="shared" si="969"/>
        <v>0</v>
      </c>
      <c r="BB335" s="42">
        <f t="shared" si="970"/>
        <v>0</v>
      </c>
      <c r="BC335" s="42">
        <f t="shared" si="971"/>
        <v>0</v>
      </c>
      <c r="BD335" s="42">
        <f t="shared" si="915"/>
        <v>0</v>
      </c>
      <c r="BE335" s="43">
        <f t="shared" si="916"/>
        <v>83.79</v>
      </c>
      <c r="BF335" s="44"/>
      <c r="BG335" s="45">
        <f t="shared" si="917"/>
        <v>72</v>
      </c>
      <c r="BH335" s="45">
        <f t="shared" si="918"/>
        <v>2</v>
      </c>
      <c r="BI335" s="45">
        <f t="shared" si="919"/>
        <v>11.79</v>
      </c>
      <c r="BJ335" s="46">
        <f t="shared" si="882"/>
        <v>0</v>
      </c>
      <c r="BK335" s="46">
        <f t="shared" si="883"/>
        <v>0</v>
      </c>
      <c r="BL335" s="46">
        <f t="shared" si="884"/>
        <v>0</v>
      </c>
    </row>
    <row r="336" spans="1:64" ht="30" customHeight="1" x14ac:dyDescent="0.25">
      <c r="A336" s="84" t="str">
        <f t="shared" si="962"/>
        <v>Д</v>
      </c>
      <c r="B336" s="84" t="str">
        <f t="shared" si="32"/>
        <v>Б</v>
      </c>
      <c r="C336" s="101" t="s">
        <v>1469</v>
      </c>
      <c r="D336" s="16" t="str">
        <f t="shared" si="972"/>
        <v>'04.03.01</v>
      </c>
      <c r="E336" s="17" t="str">
        <f t="shared" si="34"/>
        <v>Химия</v>
      </c>
      <c r="F336" s="9" t="s">
        <v>413</v>
      </c>
      <c r="G336" s="9" t="s">
        <v>42</v>
      </c>
      <c r="H336" s="10"/>
      <c r="I336" s="10"/>
      <c r="J336" s="115" t="s">
        <v>3302</v>
      </c>
      <c r="K336" s="109">
        <v>1</v>
      </c>
      <c r="L336" s="109">
        <v>18</v>
      </c>
      <c r="M336" s="113" t="s">
        <v>94</v>
      </c>
      <c r="N336" s="109"/>
      <c r="O336" s="117">
        <v>4</v>
      </c>
      <c r="P336" s="109"/>
      <c r="Q336" s="113" t="s">
        <v>102</v>
      </c>
      <c r="R336" s="109"/>
      <c r="S336" s="109"/>
      <c r="T336" s="109"/>
      <c r="U336" s="109"/>
      <c r="V336" s="13"/>
      <c r="W336" s="83" t="str">
        <f t="shared" si="963"/>
        <v>НХМбд</v>
      </c>
      <c r="X336" s="114" t="s">
        <v>3246</v>
      </c>
      <c r="Y336" s="109">
        <v>1</v>
      </c>
      <c r="Z336" s="109"/>
      <c r="AA336" s="83">
        <f t="shared" si="973"/>
        <v>12</v>
      </c>
      <c r="AB336" s="11">
        <v>11</v>
      </c>
      <c r="AC336" s="13">
        <v>1</v>
      </c>
      <c r="AD336" s="81">
        <f t="shared" si="964"/>
        <v>12</v>
      </c>
      <c r="AE336" s="82">
        <f t="shared" si="974"/>
        <v>1</v>
      </c>
      <c r="AF336" s="82">
        <f t="shared" si="975"/>
        <v>1</v>
      </c>
      <c r="AG336" s="102" t="s">
        <v>3250</v>
      </c>
      <c r="AH336" s="113" t="s">
        <v>201</v>
      </c>
      <c r="AI336" s="113" t="s">
        <v>212</v>
      </c>
      <c r="AJ336" s="121" t="s">
        <v>3257</v>
      </c>
      <c r="AK336" s="8"/>
      <c r="AL336" s="42">
        <f t="shared" si="965"/>
        <v>0</v>
      </c>
      <c r="AM336" s="42">
        <f t="shared" si="906"/>
        <v>0</v>
      </c>
      <c r="AN336" s="42">
        <f t="shared" si="907"/>
        <v>72</v>
      </c>
      <c r="AO336" s="42">
        <f t="shared" si="976"/>
        <v>3.96</v>
      </c>
      <c r="AP336" s="42">
        <f t="shared" si="908"/>
        <v>6</v>
      </c>
      <c r="AQ336" s="42">
        <f t="shared" si="909"/>
        <v>0</v>
      </c>
      <c r="AR336" s="42">
        <f t="shared" si="966"/>
        <v>0</v>
      </c>
      <c r="AS336" s="42">
        <f t="shared" si="910"/>
        <v>0</v>
      </c>
      <c r="AT336" s="42">
        <f t="shared" si="911"/>
        <v>0</v>
      </c>
      <c r="AU336" s="42">
        <f t="shared" si="912"/>
        <v>0</v>
      </c>
      <c r="AV336" s="42">
        <f>IF(M336="ПП",РПП*AA336*(U336/1.5),IF(M336="ВП",ВПр*AA336*(U336/1.5),IF(M336="РПА",РПА*AA336*(U336/1.5),IF(M336="КПА",КПА*AA336*(U336/1.5),0))))</f>
        <v>0</v>
      </c>
      <c r="AW336" s="42">
        <f t="shared" si="913"/>
        <v>0</v>
      </c>
      <c r="AX336" s="42">
        <f t="shared" si="967"/>
        <v>0</v>
      </c>
      <c r="AY336" s="42">
        <f t="shared" si="968"/>
        <v>0</v>
      </c>
      <c r="AZ336" s="42">
        <f t="shared" si="914"/>
        <v>0</v>
      </c>
      <c r="BA336" s="42">
        <f t="shared" si="969"/>
        <v>0</v>
      </c>
      <c r="BB336" s="42">
        <f t="shared" si="970"/>
        <v>0</v>
      </c>
      <c r="BC336" s="42">
        <f t="shared" si="971"/>
        <v>0</v>
      </c>
      <c r="BD336" s="42">
        <f t="shared" si="915"/>
        <v>0</v>
      </c>
      <c r="BE336" s="43">
        <f t="shared" si="916"/>
        <v>81.96</v>
      </c>
      <c r="BF336" s="44"/>
      <c r="BG336" s="45">
        <f t="shared" si="917"/>
        <v>72</v>
      </c>
      <c r="BH336" s="45">
        <f t="shared" si="918"/>
        <v>2</v>
      </c>
      <c r="BI336" s="45">
        <f t="shared" si="919"/>
        <v>9.9600000000000009</v>
      </c>
      <c r="BJ336" s="46">
        <f t="shared" si="882"/>
        <v>0</v>
      </c>
      <c r="BK336" s="46">
        <f t="shared" si="883"/>
        <v>0</v>
      </c>
      <c r="BL336" s="46">
        <f t="shared" si="884"/>
        <v>0</v>
      </c>
    </row>
    <row r="337" spans="1:64" ht="30" customHeight="1" x14ac:dyDescent="0.25">
      <c r="A337" s="84" t="str">
        <f t="shared" si="962"/>
        <v>Д</v>
      </c>
      <c r="B337" s="84" t="str">
        <f t="shared" ref="B337:B338" si="977">IF(C337&gt;0, VLOOKUP(C337,Код_ООП,11,FALSE),0)</f>
        <v>Б</v>
      </c>
      <c r="C337" s="101" t="s">
        <v>1469</v>
      </c>
      <c r="D337" s="16" t="str">
        <f t="shared" ref="D337:D338" si="978">IF(C337&gt;0, VLOOKUP(C337,Код_ООП,2,FALSE),0)</f>
        <v>'04.03.01</v>
      </c>
      <c r="E337" s="17" t="str">
        <f t="shared" ref="E337:E338" si="979">IF(C337&gt;0, VLOOKUP(C337,Код_ООП,13,FALSE),0)</f>
        <v>Химия</v>
      </c>
      <c r="F337" s="9" t="s">
        <v>413</v>
      </c>
      <c r="G337" s="9" t="s">
        <v>42</v>
      </c>
      <c r="H337" s="10"/>
      <c r="I337" s="10"/>
      <c r="J337" s="115" t="s">
        <v>3302</v>
      </c>
      <c r="K337" s="109">
        <v>1</v>
      </c>
      <c r="L337" s="109">
        <v>18</v>
      </c>
      <c r="M337" s="113" t="s">
        <v>94</v>
      </c>
      <c r="N337" s="109"/>
      <c r="O337" s="117">
        <v>4</v>
      </c>
      <c r="P337" s="109"/>
      <c r="Q337" s="113" t="s">
        <v>102</v>
      </c>
      <c r="R337" s="109"/>
      <c r="S337" s="109"/>
      <c r="T337" s="109"/>
      <c r="U337" s="109"/>
      <c r="V337" s="13"/>
      <c r="W337" s="83" t="str">
        <f t="shared" si="963"/>
        <v>НХМбд</v>
      </c>
      <c r="X337" s="114" t="s">
        <v>3247</v>
      </c>
      <c r="Y337" s="109">
        <v>1</v>
      </c>
      <c r="Z337" s="109">
        <v>1</v>
      </c>
      <c r="AA337" s="83">
        <f t="shared" ref="AA337:AA338" si="980">AB337+AC337</f>
        <v>13</v>
      </c>
      <c r="AB337" s="11">
        <v>11</v>
      </c>
      <c r="AC337" s="13">
        <v>2</v>
      </c>
      <c r="AD337" s="81">
        <f t="shared" si="964"/>
        <v>12</v>
      </c>
      <c r="AE337" s="82">
        <f t="shared" ref="AE337:AE338" si="981">IF(AF337&gt;1,1,AF337)</f>
        <v>1</v>
      </c>
      <c r="AF337" s="82">
        <f t="shared" ref="AF337:AF338" si="982">AA337/AD337</f>
        <v>1.0833333333333333</v>
      </c>
      <c r="AG337" s="102" t="s">
        <v>3250</v>
      </c>
      <c r="AH337" s="113" t="s">
        <v>201</v>
      </c>
      <c r="AI337" s="113" t="s">
        <v>212</v>
      </c>
      <c r="AJ337" s="121" t="s">
        <v>3257</v>
      </c>
      <c r="AK337" s="8"/>
      <c r="AL337" s="42">
        <f t="shared" si="965"/>
        <v>0</v>
      </c>
      <c r="AM337" s="42">
        <f t="shared" ref="AM337:AM338" si="983">IF(OR(M337="пр",M337="ия",M337="сп"),P337*AE337*L337,0)</f>
        <v>0</v>
      </c>
      <c r="AN337" s="42">
        <f t="shared" ref="AN337:AN338" si="984">IF(OR(M337="лаб",M337="клн"),O337*AE337*L337,0)</f>
        <v>72</v>
      </c>
      <c r="AO337" s="42">
        <f t="shared" ref="AO337:AO338" si="985">(IF((AND(OR(K337=1,K337=2,K337=3,K337=4,K337=5,K337=6,K337=7,K337=8,K337=9,K337=10,K337=11,K337=12),OR(Q337="Зач",Q337="Экз"))),ТКиРА*AA337,0)+IF(SUM(N337:P337)&lt;&gt;0,IF(Q337="ТК",ТКиРА*AA337,0),0))*(IF(F337="ФТД",0,1))</f>
        <v>4.29</v>
      </c>
      <c r="AP337" s="42">
        <f t="shared" ref="AP337:AP338" si="986">IF(SUM(O337:P337)&lt;&gt;0,IF(Q337="Зач",ПАБРС*AA337,0),0)+IF(N337&lt;&gt;0,IF(Q337="Экз",ПАБРС*AA337,0),0)</f>
        <v>6.5</v>
      </c>
      <c r="AQ337" s="42">
        <f t="shared" ref="AQ337:AQ338" si="987">(IF(AP337&lt;&gt;0,ОфВед*(IF(OR(M337="лек",M337="лаб"),Z337,AE337)),0))*(IF(F337="ФТД",0,1))</f>
        <v>1</v>
      </c>
      <c r="AR337" s="42">
        <f t="shared" si="966"/>
        <v>0</v>
      </c>
      <c r="AS337" s="42">
        <f t="shared" ref="AS337:AS338" si="988">IF(OR(M337="лаб",M337="пр"),IF(R337="К",AA337*ВПКР,IF(R337="М",AA337*ВПИБ,0)),0)</f>
        <v>0</v>
      </c>
      <c r="AT337" s="42">
        <f t="shared" ref="AT337:AT338" si="989">IF(OR(M337="лаб",M337="пр"),IF(S337="К",AA337*ВПКП,0),0)</f>
        <v>0</v>
      </c>
      <c r="AU337" s="42">
        <f t="shared" ref="AU337:AU338" si="990">IF(M337="УП",T337/1.5*AA337*РУП,IF(M337="УПМ",T337/1.5*AA337*РУПЛеч,0))</f>
        <v>0</v>
      </c>
      <c r="AV337" s="42">
        <f>IF(M337="ПП",РПП*AA337*(U337/1.5),IF(M337="ВП",ВПр*AA337*(U337/1.5),IF(M337="РПА",РПА*AA337*(U337/1.5),IF(M337="КПА",КПА*AA337*(U337/1.5),0))))</f>
        <v>0</v>
      </c>
      <c r="AW337" s="42">
        <f t="shared" ref="AW337:AW338" si="991">IF(M337="НР",(AB337*НИРМ+AC337*НИРМИн)*(V337/1.5),IF(M337="НИ",(AB337*НИРА+AC337*НИРАИ)*(V337/1.5),0))</f>
        <v>0</v>
      </c>
      <c r="AX337" s="42">
        <f t="shared" si="967"/>
        <v>0</v>
      </c>
      <c r="AY337" s="42">
        <f t="shared" si="968"/>
        <v>0</v>
      </c>
      <c r="AZ337" s="42">
        <f t="shared" ref="AZ337:AZ338" si="992">IF(AND(Q337="КЭ",M337="ЧК"),AA337*КдЭк,0)</f>
        <v>0</v>
      </c>
      <c r="BA337" s="42">
        <f t="shared" si="969"/>
        <v>0</v>
      </c>
      <c r="BB337" s="42">
        <f t="shared" si="970"/>
        <v>0</v>
      </c>
      <c r="BC337" s="42">
        <f t="shared" si="971"/>
        <v>0</v>
      </c>
      <c r="BD337" s="42">
        <f t="shared" ref="BD337:BD338" si="993">IF(M337="ЧГ",AA337*ЧГ,IF(M337="ПГ",AA337*ПГ,IF(M337="ТЕСТ",ТГИЭ*AE337,IF(M337="СГ",AA337*СГ,0))))</f>
        <v>0</v>
      </c>
      <c r="BE337" s="43">
        <f t="shared" ref="BE337:BE338" si="994">SUM(AL337:BD337)</f>
        <v>83.79</v>
      </c>
      <c r="BF337" s="44"/>
      <c r="BG337" s="45">
        <f t="shared" ref="BG337:BG338" si="995">IF(OR(K337="1;1",K337="1;2",K337=1,K337="3;1",K337="3;2",K337=3,K337="5;1",K337="5;2",K337=5,K337="7;1",K337="7;2",K337=7,K337="9;1",K337="9;2",K337=9,K337=11),SUM(AL337:AN337),0)</f>
        <v>72</v>
      </c>
      <c r="BH337" s="45">
        <f t="shared" ref="BH337:BH338" si="996">IF(BG337&lt;&gt;0,SUM(N337:P337)/2,0)</f>
        <v>2</v>
      </c>
      <c r="BI337" s="45">
        <f t="shared" ref="BI337:BI338" si="997">IF(OR(K337="1;1",K337="1;2",K337=1,K337="3;1",K337="3;2",K337=3,K337="5;1",K337="5;2",K337=5,K337="7;1",K337="7;2",K337=7,K337="9;1",K337="9;2",K337=9,K337=11),SUM(AO337:BD337),0)</f>
        <v>11.79</v>
      </c>
      <c r="BJ337" s="46">
        <f t="shared" si="882"/>
        <v>0</v>
      </c>
      <c r="BK337" s="46">
        <f t="shared" si="883"/>
        <v>0</v>
      </c>
      <c r="BL337" s="46">
        <f t="shared" si="884"/>
        <v>0</v>
      </c>
    </row>
    <row r="338" spans="1:64" ht="30" customHeight="1" x14ac:dyDescent="0.25">
      <c r="A338" s="84" t="str">
        <f t="shared" si="962"/>
        <v>Д</v>
      </c>
      <c r="B338" s="84" t="str">
        <f t="shared" si="977"/>
        <v>Б</v>
      </c>
      <c r="C338" s="101" t="s">
        <v>1469</v>
      </c>
      <c r="D338" s="16" t="str">
        <f t="shared" si="978"/>
        <v>'04.03.01</v>
      </c>
      <c r="E338" s="17" t="str">
        <f t="shared" si="979"/>
        <v>Химия</v>
      </c>
      <c r="F338" s="9" t="s">
        <v>413</v>
      </c>
      <c r="G338" s="9" t="s">
        <v>42</v>
      </c>
      <c r="H338" s="10"/>
      <c r="I338" s="10"/>
      <c r="J338" s="115" t="s">
        <v>3302</v>
      </c>
      <c r="K338" s="109">
        <v>1</v>
      </c>
      <c r="L338" s="109">
        <v>18</v>
      </c>
      <c r="M338" s="113" t="s">
        <v>94</v>
      </c>
      <c r="N338" s="109"/>
      <c r="O338" s="117">
        <v>4</v>
      </c>
      <c r="P338" s="109"/>
      <c r="Q338" s="113" t="s">
        <v>102</v>
      </c>
      <c r="R338" s="109"/>
      <c r="S338" s="109"/>
      <c r="T338" s="109"/>
      <c r="U338" s="109"/>
      <c r="V338" s="11"/>
      <c r="W338" s="83" t="str">
        <f t="shared" si="963"/>
        <v>НХМбд</v>
      </c>
      <c r="X338" s="114" t="s">
        <v>3247</v>
      </c>
      <c r="Y338" s="109">
        <v>1</v>
      </c>
      <c r="Z338" s="109"/>
      <c r="AA338" s="83">
        <f t="shared" si="980"/>
        <v>12</v>
      </c>
      <c r="AB338" s="11">
        <v>11</v>
      </c>
      <c r="AC338" s="13">
        <v>1</v>
      </c>
      <c r="AD338" s="81">
        <f t="shared" si="964"/>
        <v>12</v>
      </c>
      <c r="AE338" s="82">
        <f t="shared" si="981"/>
        <v>1</v>
      </c>
      <c r="AF338" s="82">
        <f t="shared" si="982"/>
        <v>1</v>
      </c>
      <c r="AG338" s="102" t="s">
        <v>3250</v>
      </c>
      <c r="AH338" s="113" t="s">
        <v>201</v>
      </c>
      <c r="AI338" s="113" t="s">
        <v>212</v>
      </c>
      <c r="AJ338" s="121" t="s">
        <v>3257</v>
      </c>
      <c r="AK338" s="8"/>
      <c r="AL338" s="42">
        <f t="shared" si="965"/>
        <v>0</v>
      </c>
      <c r="AM338" s="42">
        <f t="shared" si="983"/>
        <v>0</v>
      </c>
      <c r="AN338" s="42">
        <f t="shared" si="984"/>
        <v>72</v>
      </c>
      <c r="AO338" s="42">
        <f t="shared" si="985"/>
        <v>3.96</v>
      </c>
      <c r="AP338" s="42">
        <f t="shared" si="986"/>
        <v>6</v>
      </c>
      <c r="AQ338" s="42">
        <f t="shared" si="987"/>
        <v>0</v>
      </c>
      <c r="AR338" s="42">
        <f t="shared" si="966"/>
        <v>0</v>
      </c>
      <c r="AS338" s="42">
        <f t="shared" si="988"/>
        <v>0</v>
      </c>
      <c r="AT338" s="42">
        <f t="shared" si="989"/>
        <v>0</v>
      </c>
      <c r="AU338" s="42">
        <f t="shared" si="990"/>
        <v>0</v>
      </c>
      <c r="AV338" s="42">
        <f>IF(M338="ПП",РПП*AA338*(U338/1.5),IF(M338="ВП",ВПр*AA338*(U338/1.5),IF(M338="РПА",РПА*AA338*(U338/1.5),IF(M338="КПА",КПА*AA338*(U338/1.5),0))))</f>
        <v>0</v>
      </c>
      <c r="AW338" s="42">
        <f t="shared" si="991"/>
        <v>0</v>
      </c>
      <c r="AX338" s="42">
        <f t="shared" si="967"/>
        <v>0</v>
      </c>
      <c r="AY338" s="42">
        <f t="shared" si="968"/>
        <v>0</v>
      </c>
      <c r="AZ338" s="42">
        <f t="shared" si="992"/>
        <v>0</v>
      </c>
      <c r="BA338" s="42">
        <f t="shared" si="969"/>
        <v>0</v>
      </c>
      <c r="BB338" s="42">
        <f t="shared" si="970"/>
        <v>0</v>
      </c>
      <c r="BC338" s="42">
        <f t="shared" si="971"/>
        <v>0</v>
      </c>
      <c r="BD338" s="42">
        <f t="shared" si="993"/>
        <v>0</v>
      </c>
      <c r="BE338" s="43">
        <f t="shared" si="994"/>
        <v>81.96</v>
      </c>
      <c r="BF338" s="44"/>
      <c r="BG338" s="45">
        <f t="shared" si="995"/>
        <v>72</v>
      </c>
      <c r="BH338" s="45">
        <f t="shared" si="996"/>
        <v>2</v>
      </c>
      <c r="BI338" s="45">
        <f t="shared" si="997"/>
        <v>9.9600000000000009</v>
      </c>
      <c r="BJ338" s="46">
        <f t="shared" ref="BJ338:BJ395" si="998">IF(OR(K338="2;3",K338="2;4",K338=2,K338="4;3",K338="4;4",K338=4,K338="6;3",K338="6;4",K338=6,K338="8;3",K338="8;4",K338=8,K338="10;3",K338="10;4",K338=10,K338=12),SUM(AL338:AN338),0)</f>
        <v>0</v>
      </c>
      <c r="BK338" s="46">
        <f t="shared" ref="BK338:BK395" si="999">IF(BJ338&lt;&gt;0,SUM(N338:P338)/2,0)</f>
        <v>0</v>
      </c>
      <c r="BL338" s="46">
        <f t="shared" ref="BL338:BL395" si="1000">IF(OR(K338="2;3",K338="2;4",K338=2,K338="4;3",K338="4;4",K338=4,K338="6;3",K338="6;4",K338=6,K338="8;3",K338="8;4",K338=8,K338="10;3",K338="10;4",K338=10,K338=12),SUM(AO338:BD338),0)</f>
        <v>0</v>
      </c>
    </row>
    <row r="339" spans="1:64" ht="30" customHeight="1" x14ac:dyDescent="0.25">
      <c r="A339" s="84" t="str">
        <f t="shared" si="962"/>
        <v>Д</v>
      </c>
      <c r="B339" s="84" t="str">
        <f t="shared" si="32"/>
        <v>Б</v>
      </c>
      <c r="C339" s="101" t="s">
        <v>1469</v>
      </c>
      <c r="D339" s="16" t="str">
        <f t="shared" si="972"/>
        <v>'04.03.01</v>
      </c>
      <c r="E339" s="17" t="str">
        <f t="shared" si="34"/>
        <v>Химия</v>
      </c>
      <c r="F339" s="9" t="s">
        <v>413</v>
      </c>
      <c r="G339" s="9" t="s">
        <v>42</v>
      </c>
      <c r="H339" s="10"/>
      <c r="I339" s="10"/>
      <c r="J339" s="115" t="s">
        <v>3302</v>
      </c>
      <c r="K339" s="109">
        <v>1</v>
      </c>
      <c r="L339" s="109">
        <v>18</v>
      </c>
      <c r="M339" s="113" t="s">
        <v>94</v>
      </c>
      <c r="N339" s="109"/>
      <c r="O339" s="117">
        <v>4</v>
      </c>
      <c r="P339" s="109"/>
      <c r="Q339" s="113" t="s">
        <v>102</v>
      </c>
      <c r="R339" s="109"/>
      <c r="S339" s="109"/>
      <c r="T339" s="109"/>
      <c r="U339" s="109"/>
      <c r="V339" s="13"/>
      <c r="W339" s="83" t="str">
        <f t="shared" si="963"/>
        <v>НХМбд</v>
      </c>
      <c r="X339" s="114" t="s">
        <v>3248</v>
      </c>
      <c r="Y339" s="109">
        <v>1</v>
      </c>
      <c r="Z339" s="109">
        <v>1</v>
      </c>
      <c r="AA339" s="83">
        <f t="shared" si="973"/>
        <v>12</v>
      </c>
      <c r="AB339" s="11">
        <v>11</v>
      </c>
      <c r="AC339" s="13">
        <v>1</v>
      </c>
      <c r="AD339" s="81">
        <f t="shared" si="964"/>
        <v>12</v>
      </c>
      <c r="AE339" s="82">
        <f t="shared" si="974"/>
        <v>1</v>
      </c>
      <c r="AF339" s="82">
        <f t="shared" si="975"/>
        <v>1</v>
      </c>
      <c r="AG339" s="102" t="s">
        <v>3250</v>
      </c>
      <c r="AH339" s="113" t="s">
        <v>201</v>
      </c>
      <c r="AI339" s="113" t="s">
        <v>212</v>
      </c>
      <c r="AJ339" s="121" t="s">
        <v>3257</v>
      </c>
      <c r="AK339" s="8"/>
      <c r="AL339" s="42">
        <f t="shared" si="965"/>
        <v>0</v>
      </c>
      <c r="AM339" s="42">
        <f t="shared" si="906"/>
        <v>0</v>
      </c>
      <c r="AN339" s="42">
        <f t="shared" si="907"/>
        <v>72</v>
      </c>
      <c r="AO339" s="42">
        <f t="shared" si="976"/>
        <v>3.96</v>
      </c>
      <c r="AP339" s="42">
        <f t="shared" si="908"/>
        <v>6</v>
      </c>
      <c r="AQ339" s="42">
        <f t="shared" si="909"/>
        <v>1</v>
      </c>
      <c r="AR339" s="42">
        <f t="shared" si="966"/>
        <v>0</v>
      </c>
      <c r="AS339" s="42">
        <f t="shared" si="910"/>
        <v>0</v>
      </c>
      <c r="AT339" s="42">
        <f t="shared" si="911"/>
        <v>0</v>
      </c>
      <c r="AU339" s="42">
        <f t="shared" si="912"/>
        <v>0</v>
      </c>
      <c r="AV339" s="42">
        <f>IF(M339="ПП",РПП*AA339*(U339/1.5),IF(M339="ВП",ВПр*AA339*(U339/1.5),IF(M339="РПА",РПА*AA339*(U339/1.5),IF(M339="КПА",КПА*AA339*(U339/1.5),0))))</f>
        <v>0</v>
      </c>
      <c r="AW339" s="42">
        <f t="shared" si="913"/>
        <v>0</v>
      </c>
      <c r="AX339" s="42">
        <f t="shared" si="967"/>
        <v>0</v>
      </c>
      <c r="AY339" s="42">
        <f t="shared" si="968"/>
        <v>0</v>
      </c>
      <c r="AZ339" s="42">
        <f t="shared" si="914"/>
        <v>0</v>
      </c>
      <c r="BA339" s="42">
        <f t="shared" si="969"/>
        <v>0</v>
      </c>
      <c r="BB339" s="42">
        <f t="shared" si="970"/>
        <v>0</v>
      </c>
      <c r="BC339" s="42">
        <f t="shared" si="971"/>
        <v>0</v>
      </c>
      <c r="BD339" s="42">
        <f t="shared" si="915"/>
        <v>0</v>
      </c>
      <c r="BE339" s="43">
        <f t="shared" si="916"/>
        <v>82.96</v>
      </c>
      <c r="BF339" s="44"/>
      <c r="BG339" s="45">
        <f t="shared" si="917"/>
        <v>72</v>
      </c>
      <c r="BH339" s="45">
        <f t="shared" si="918"/>
        <v>2</v>
      </c>
      <c r="BI339" s="45">
        <f t="shared" si="919"/>
        <v>10.96</v>
      </c>
      <c r="BJ339" s="46">
        <f t="shared" si="998"/>
        <v>0</v>
      </c>
      <c r="BK339" s="46">
        <f t="shared" si="999"/>
        <v>0</v>
      </c>
      <c r="BL339" s="46">
        <f t="shared" si="1000"/>
        <v>0</v>
      </c>
    </row>
    <row r="340" spans="1:64" ht="30" customHeight="1" x14ac:dyDescent="0.25">
      <c r="A340" s="84" t="str">
        <f t="shared" si="962"/>
        <v>Д</v>
      </c>
      <c r="B340" s="84" t="str">
        <f t="shared" ref="B340:B402" si="1001">IF(C340&gt;0, VLOOKUP(C340,Код_ООП,11,FALSE),0)</f>
        <v>Б</v>
      </c>
      <c r="C340" s="101" t="s">
        <v>1469</v>
      </c>
      <c r="D340" s="16" t="str">
        <f t="shared" ref="D340:D402" si="1002">IF(C340&gt;0, VLOOKUP(C340,Код_ООП,2,FALSE),0)</f>
        <v>'04.03.01</v>
      </c>
      <c r="E340" s="17" t="str">
        <f t="shared" ref="E340:E402" si="1003">IF(C340&gt;0, VLOOKUP(C340,Код_ООП,13,FALSE),0)</f>
        <v>Химия</v>
      </c>
      <c r="F340" s="9" t="s">
        <v>413</v>
      </c>
      <c r="G340" s="9" t="s">
        <v>42</v>
      </c>
      <c r="H340" s="10"/>
      <c r="I340" s="10"/>
      <c r="J340" s="115" t="s">
        <v>3302</v>
      </c>
      <c r="K340" s="109">
        <v>1</v>
      </c>
      <c r="L340" s="109">
        <v>18</v>
      </c>
      <c r="M340" s="113" t="s">
        <v>94</v>
      </c>
      <c r="N340" s="109"/>
      <c r="O340" s="117">
        <v>4</v>
      </c>
      <c r="P340" s="109"/>
      <c r="Q340" s="113" t="s">
        <v>102</v>
      </c>
      <c r="R340" s="109"/>
      <c r="S340" s="109"/>
      <c r="T340" s="109"/>
      <c r="U340" s="109"/>
      <c r="V340" s="11"/>
      <c r="W340" s="83" t="str">
        <f t="shared" si="963"/>
        <v>НХМбд</v>
      </c>
      <c r="X340" s="114" t="s">
        <v>3248</v>
      </c>
      <c r="Y340" s="109">
        <v>1</v>
      </c>
      <c r="Z340" s="109"/>
      <c r="AA340" s="83">
        <f t="shared" ref="AA340:AA402" si="1004">AB340+AC340</f>
        <v>11</v>
      </c>
      <c r="AB340" s="11">
        <v>10</v>
      </c>
      <c r="AC340" s="13">
        <v>1</v>
      </c>
      <c r="AD340" s="81">
        <f t="shared" si="964"/>
        <v>12</v>
      </c>
      <c r="AE340" s="82">
        <f t="shared" ref="AE340:AE402" si="1005">IF(AF340&gt;1,1,AF340)</f>
        <v>0.91666666666666663</v>
      </c>
      <c r="AF340" s="82">
        <f t="shared" ref="AF340:AF402" si="1006">AA340/AD340</f>
        <v>0.91666666666666663</v>
      </c>
      <c r="AG340" s="102" t="s">
        <v>3250</v>
      </c>
      <c r="AH340" s="113" t="s">
        <v>201</v>
      </c>
      <c r="AI340" s="113" t="s">
        <v>212</v>
      </c>
      <c r="AJ340" s="121" t="s">
        <v>3257</v>
      </c>
      <c r="AK340" s="8"/>
      <c r="AL340" s="42">
        <f t="shared" si="965"/>
        <v>0</v>
      </c>
      <c r="AM340" s="42">
        <f t="shared" si="906"/>
        <v>0</v>
      </c>
      <c r="AN340" s="42">
        <f t="shared" si="907"/>
        <v>66</v>
      </c>
      <c r="AO340" s="42">
        <f t="shared" si="976"/>
        <v>3.6300000000000003</v>
      </c>
      <c r="AP340" s="42">
        <f t="shared" si="908"/>
        <v>5.5</v>
      </c>
      <c r="AQ340" s="42">
        <f t="shared" si="909"/>
        <v>0</v>
      </c>
      <c r="AR340" s="42">
        <f t="shared" si="966"/>
        <v>0</v>
      </c>
      <c r="AS340" s="42">
        <f t="shared" si="910"/>
        <v>0</v>
      </c>
      <c r="AT340" s="42">
        <f t="shared" si="911"/>
        <v>0</v>
      </c>
      <c r="AU340" s="42">
        <f t="shared" si="912"/>
        <v>0</v>
      </c>
      <c r="AV340" s="42">
        <f>IF(M340="ПП",РПП*AA340*(U340/1.5),IF(M340="ВП",ВПр*AA340*(U340/1.5),IF(M340="РПА",РПА*AA340*(U340/1.5),IF(M340="КПА",КПА*AA340*(U340/1.5),0))))</f>
        <v>0</v>
      </c>
      <c r="AW340" s="42">
        <f t="shared" si="913"/>
        <v>0</v>
      </c>
      <c r="AX340" s="42">
        <f t="shared" si="967"/>
        <v>0</v>
      </c>
      <c r="AY340" s="42">
        <f t="shared" si="968"/>
        <v>0</v>
      </c>
      <c r="AZ340" s="42">
        <f t="shared" si="914"/>
        <v>0</v>
      </c>
      <c r="BA340" s="42">
        <f t="shared" si="969"/>
        <v>0</v>
      </c>
      <c r="BB340" s="42">
        <f t="shared" si="970"/>
        <v>0</v>
      </c>
      <c r="BC340" s="42">
        <f t="shared" si="971"/>
        <v>0</v>
      </c>
      <c r="BD340" s="42">
        <f t="shared" si="915"/>
        <v>0</v>
      </c>
      <c r="BE340" s="43">
        <f t="shared" si="916"/>
        <v>75.13</v>
      </c>
      <c r="BF340" s="44"/>
      <c r="BG340" s="45">
        <f t="shared" si="917"/>
        <v>66</v>
      </c>
      <c r="BH340" s="45">
        <f t="shared" si="918"/>
        <v>2</v>
      </c>
      <c r="BI340" s="45">
        <f t="shared" si="919"/>
        <v>9.1300000000000008</v>
      </c>
      <c r="BJ340" s="46">
        <f t="shared" si="998"/>
        <v>0</v>
      </c>
      <c r="BK340" s="46">
        <f t="shared" si="999"/>
        <v>0</v>
      </c>
      <c r="BL340" s="46">
        <f t="shared" si="1000"/>
        <v>0</v>
      </c>
    </row>
    <row r="341" spans="1:64" ht="30" customHeight="1" x14ac:dyDescent="0.25">
      <c r="A341" s="84" t="str">
        <f t="shared" si="962"/>
        <v>Д</v>
      </c>
      <c r="B341" s="84" t="str">
        <f t="shared" si="1001"/>
        <v>Б</v>
      </c>
      <c r="C341" s="101" t="s">
        <v>1473</v>
      </c>
      <c r="D341" s="16" t="str">
        <f t="shared" si="1002"/>
        <v>'38.03.05</v>
      </c>
      <c r="E341" s="17" t="str">
        <f t="shared" si="1003"/>
        <v>Бизнес-информатика</v>
      </c>
      <c r="F341" s="9" t="s">
        <v>413</v>
      </c>
      <c r="G341" s="9" t="s">
        <v>22</v>
      </c>
      <c r="H341" s="10"/>
      <c r="I341" s="10"/>
      <c r="J341" s="24" t="s">
        <v>3197</v>
      </c>
      <c r="K341" s="11">
        <v>1</v>
      </c>
      <c r="L341" s="11">
        <v>18</v>
      </c>
      <c r="M341" s="8" t="s">
        <v>23</v>
      </c>
      <c r="N341" s="11">
        <v>1</v>
      </c>
      <c r="O341" s="11"/>
      <c r="P341" s="11"/>
      <c r="Q341" s="8" t="s">
        <v>103</v>
      </c>
      <c r="R341" s="11"/>
      <c r="S341" s="11"/>
      <c r="T341" s="23"/>
      <c r="U341" s="11"/>
      <c r="V341" s="11"/>
      <c r="W341" s="83" t="str">
        <f t="shared" si="963"/>
        <v>НБИбд</v>
      </c>
      <c r="X341" s="110" t="s">
        <v>3249</v>
      </c>
      <c r="Y341" s="11">
        <v>4</v>
      </c>
      <c r="Z341" s="11">
        <v>3</v>
      </c>
      <c r="AA341" s="83">
        <f t="shared" si="1004"/>
        <v>55</v>
      </c>
      <c r="AB341" s="11">
        <v>50</v>
      </c>
      <c r="AC341" s="11">
        <v>5</v>
      </c>
      <c r="AD341" s="81">
        <f t="shared" si="964"/>
        <v>55</v>
      </c>
      <c r="AE341" s="82">
        <f t="shared" si="1005"/>
        <v>1</v>
      </c>
      <c r="AF341" s="82">
        <f t="shared" si="1006"/>
        <v>1</v>
      </c>
      <c r="AG341" s="102" t="s">
        <v>3250</v>
      </c>
      <c r="AH341" s="113" t="s">
        <v>204</v>
      </c>
      <c r="AI341" s="113" t="s">
        <v>212</v>
      </c>
      <c r="AJ341" s="119" t="s">
        <v>3251</v>
      </c>
      <c r="AK341" s="8"/>
      <c r="AL341" s="42">
        <f t="shared" si="965"/>
        <v>18</v>
      </c>
      <c r="AM341" s="42">
        <f t="shared" si="906"/>
        <v>0</v>
      </c>
      <c r="AN341" s="42">
        <f t="shared" si="907"/>
        <v>0</v>
      </c>
      <c r="AO341" s="42">
        <f t="shared" si="976"/>
        <v>18.150000000000002</v>
      </c>
      <c r="AP341" s="42">
        <f t="shared" si="908"/>
        <v>27.5</v>
      </c>
      <c r="AQ341" s="42">
        <f t="shared" si="909"/>
        <v>3</v>
      </c>
      <c r="AR341" s="42">
        <f t="shared" si="966"/>
        <v>2.7</v>
      </c>
      <c r="AS341" s="42">
        <f t="shared" si="910"/>
        <v>0</v>
      </c>
      <c r="AT341" s="42">
        <f t="shared" si="911"/>
        <v>0</v>
      </c>
      <c r="AU341" s="42">
        <f t="shared" si="912"/>
        <v>0</v>
      </c>
      <c r="AV341" s="42">
        <f>IF(M341="ПП",РПП*AA341*(U341/1.5),IF(M341="ВП",ВПр*AA341*(U341/1.5),IF(M341="РПА",РПА*AA341*(U341/1.5),IF(M341="КПА",КПА*AA341*(U341/1.5),0))))</f>
        <v>0</v>
      </c>
      <c r="AW341" s="42">
        <f t="shared" si="913"/>
        <v>0</v>
      </c>
      <c r="AX341" s="42">
        <f t="shared" si="967"/>
        <v>0</v>
      </c>
      <c r="AY341" s="42">
        <f t="shared" si="968"/>
        <v>0</v>
      </c>
      <c r="AZ341" s="42">
        <f t="shared" si="914"/>
        <v>0</v>
      </c>
      <c r="BA341" s="42">
        <f t="shared" si="969"/>
        <v>0</v>
      </c>
      <c r="BB341" s="42">
        <f t="shared" si="970"/>
        <v>0</v>
      </c>
      <c r="BC341" s="42">
        <f t="shared" si="971"/>
        <v>0</v>
      </c>
      <c r="BD341" s="42">
        <f t="shared" si="915"/>
        <v>0</v>
      </c>
      <c r="BE341" s="43">
        <f t="shared" si="916"/>
        <v>69.350000000000009</v>
      </c>
      <c r="BF341" s="44"/>
      <c r="BG341" s="45">
        <f t="shared" si="917"/>
        <v>18</v>
      </c>
      <c r="BH341" s="45">
        <f t="shared" si="918"/>
        <v>0.5</v>
      </c>
      <c r="BI341" s="45">
        <f t="shared" si="919"/>
        <v>51.350000000000009</v>
      </c>
      <c r="BJ341" s="46">
        <f t="shared" si="998"/>
        <v>0</v>
      </c>
      <c r="BK341" s="46">
        <f t="shared" si="999"/>
        <v>0</v>
      </c>
      <c r="BL341" s="46">
        <f t="shared" si="1000"/>
        <v>0</v>
      </c>
    </row>
    <row r="342" spans="1:64" ht="30" customHeight="1" x14ac:dyDescent="0.25">
      <c r="A342" s="84" t="str">
        <f t="shared" si="962"/>
        <v>Д</v>
      </c>
      <c r="B342" s="84" t="str">
        <f t="shared" si="1001"/>
        <v>Б</v>
      </c>
      <c r="C342" s="101" t="s">
        <v>1473</v>
      </c>
      <c r="D342" s="16" t="str">
        <f t="shared" si="1002"/>
        <v>'38.03.05</v>
      </c>
      <c r="E342" s="17" t="str">
        <f t="shared" si="1003"/>
        <v>Бизнес-информатика</v>
      </c>
      <c r="F342" s="9" t="s">
        <v>413</v>
      </c>
      <c r="G342" s="9" t="s">
        <v>22</v>
      </c>
      <c r="H342" s="10"/>
      <c r="I342" s="10"/>
      <c r="J342" s="24" t="s">
        <v>3197</v>
      </c>
      <c r="K342" s="11">
        <v>1</v>
      </c>
      <c r="L342" s="11">
        <v>18</v>
      </c>
      <c r="M342" s="8" t="s">
        <v>24</v>
      </c>
      <c r="N342" s="11"/>
      <c r="O342" s="11"/>
      <c r="P342" s="11">
        <v>2</v>
      </c>
      <c r="Q342" s="8"/>
      <c r="R342" s="11"/>
      <c r="S342" s="11"/>
      <c r="T342" s="23"/>
      <c r="U342" s="11"/>
      <c r="V342" s="11"/>
      <c r="W342" s="83" t="str">
        <f t="shared" si="963"/>
        <v>НБИбд</v>
      </c>
      <c r="X342" s="110" t="s">
        <v>3246</v>
      </c>
      <c r="Y342" s="11">
        <v>2</v>
      </c>
      <c r="Z342" s="11">
        <v>1</v>
      </c>
      <c r="AA342" s="83">
        <f t="shared" si="1004"/>
        <v>19</v>
      </c>
      <c r="AB342" s="11">
        <v>17</v>
      </c>
      <c r="AC342" s="11">
        <v>2</v>
      </c>
      <c r="AD342" s="81">
        <f t="shared" si="964"/>
        <v>24</v>
      </c>
      <c r="AE342" s="82">
        <f t="shared" si="1005"/>
        <v>0.79166666666666663</v>
      </c>
      <c r="AF342" s="82">
        <f t="shared" si="1006"/>
        <v>0.79166666666666663</v>
      </c>
      <c r="AG342" s="102" t="s">
        <v>3250</v>
      </c>
      <c r="AH342" s="113" t="s">
        <v>204</v>
      </c>
      <c r="AI342" s="113" t="s">
        <v>212</v>
      </c>
      <c r="AJ342" s="119" t="s">
        <v>3251</v>
      </c>
      <c r="AK342" s="8"/>
      <c r="AL342" s="42">
        <f t="shared" si="965"/>
        <v>0</v>
      </c>
      <c r="AM342" s="42">
        <f t="shared" si="906"/>
        <v>28.5</v>
      </c>
      <c r="AN342" s="42">
        <f t="shared" si="907"/>
        <v>0</v>
      </c>
      <c r="AO342" s="42">
        <f t="shared" si="976"/>
        <v>0</v>
      </c>
      <c r="AP342" s="42">
        <f t="shared" si="908"/>
        <v>0</v>
      </c>
      <c r="AQ342" s="42">
        <f t="shared" si="909"/>
        <v>0</v>
      </c>
      <c r="AR342" s="42">
        <f t="shared" si="966"/>
        <v>0</v>
      </c>
      <c r="AS342" s="42">
        <f t="shared" si="910"/>
        <v>0</v>
      </c>
      <c r="AT342" s="42">
        <f t="shared" si="911"/>
        <v>0</v>
      </c>
      <c r="AU342" s="42">
        <f t="shared" si="912"/>
        <v>0</v>
      </c>
      <c r="AV342" s="42">
        <f>IF(M342="ПП",РПП*AA342*(U342/1.5),IF(M342="ВП",ВПр*AA342*(U342/1.5),IF(M342="РПА",РПА*AA342*(U342/1.5),IF(M342="КПА",КПА*AA342*(U342/1.5),0))))</f>
        <v>0</v>
      </c>
      <c r="AW342" s="42">
        <f t="shared" si="913"/>
        <v>0</v>
      </c>
      <c r="AX342" s="42">
        <f t="shared" si="967"/>
        <v>0</v>
      </c>
      <c r="AY342" s="42">
        <f t="shared" si="968"/>
        <v>0</v>
      </c>
      <c r="AZ342" s="42">
        <f t="shared" si="914"/>
        <v>0</v>
      </c>
      <c r="BA342" s="42">
        <f t="shared" si="969"/>
        <v>0</v>
      </c>
      <c r="BB342" s="42">
        <f t="shared" si="970"/>
        <v>0</v>
      </c>
      <c r="BC342" s="42">
        <f t="shared" si="971"/>
        <v>0</v>
      </c>
      <c r="BD342" s="42">
        <f t="shared" si="915"/>
        <v>0</v>
      </c>
      <c r="BE342" s="43">
        <f t="shared" si="916"/>
        <v>28.5</v>
      </c>
      <c r="BF342" s="44"/>
      <c r="BG342" s="45">
        <f t="shared" si="917"/>
        <v>28.5</v>
      </c>
      <c r="BH342" s="45">
        <f t="shared" si="918"/>
        <v>1</v>
      </c>
      <c r="BI342" s="45">
        <f t="shared" si="919"/>
        <v>0</v>
      </c>
      <c r="BJ342" s="46">
        <f t="shared" si="998"/>
        <v>0</v>
      </c>
      <c r="BK342" s="46">
        <f t="shared" si="999"/>
        <v>0</v>
      </c>
      <c r="BL342" s="46">
        <f t="shared" si="1000"/>
        <v>0</v>
      </c>
    </row>
    <row r="343" spans="1:64" ht="30" customHeight="1" x14ac:dyDescent="0.25">
      <c r="A343" s="84" t="str">
        <f t="shared" si="962"/>
        <v>Д</v>
      </c>
      <c r="B343" s="84" t="str">
        <f t="shared" si="1001"/>
        <v>Б</v>
      </c>
      <c r="C343" s="101" t="s">
        <v>1473</v>
      </c>
      <c r="D343" s="16" t="str">
        <f t="shared" si="1002"/>
        <v>'38.03.05</v>
      </c>
      <c r="E343" s="17" t="str">
        <f t="shared" si="1003"/>
        <v>Бизнес-информатика</v>
      </c>
      <c r="F343" s="9" t="s">
        <v>413</v>
      </c>
      <c r="G343" s="9" t="s">
        <v>22</v>
      </c>
      <c r="H343" s="10"/>
      <c r="I343" s="10"/>
      <c r="J343" s="24" t="s">
        <v>3197</v>
      </c>
      <c r="K343" s="11">
        <v>1</v>
      </c>
      <c r="L343" s="11">
        <v>18</v>
      </c>
      <c r="M343" s="8" t="s">
        <v>24</v>
      </c>
      <c r="N343" s="11"/>
      <c r="O343" s="11"/>
      <c r="P343" s="11">
        <v>2</v>
      </c>
      <c r="Q343" s="8"/>
      <c r="R343" s="11"/>
      <c r="S343" s="11"/>
      <c r="T343" s="23"/>
      <c r="U343" s="11"/>
      <c r="V343" s="11"/>
      <c r="W343" s="83" t="str">
        <f t="shared" si="963"/>
        <v>НБИбд</v>
      </c>
      <c r="X343" s="110" t="s">
        <v>3247</v>
      </c>
      <c r="Y343" s="11">
        <v>1</v>
      </c>
      <c r="Z343" s="11">
        <v>1</v>
      </c>
      <c r="AA343" s="83">
        <f t="shared" si="1004"/>
        <v>19</v>
      </c>
      <c r="AB343" s="11">
        <v>17</v>
      </c>
      <c r="AC343" s="11">
        <v>2</v>
      </c>
      <c r="AD343" s="81">
        <f t="shared" si="964"/>
        <v>24</v>
      </c>
      <c r="AE343" s="82">
        <f t="shared" si="1005"/>
        <v>0.79166666666666663</v>
      </c>
      <c r="AF343" s="82">
        <f t="shared" si="1006"/>
        <v>0.79166666666666663</v>
      </c>
      <c r="AG343" s="102" t="s">
        <v>3250</v>
      </c>
      <c r="AH343" s="113" t="s">
        <v>204</v>
      </c>
      <c r="AI343" s="113" t="s">
        <v>212</v>
      </c>
      <c r="AJ343" s="121" t="s">
        <v>3251</v>
      </c>
      <c r="AK343" s="8"/>
      <c r="AL343" s="42">
        <f t="shared" si="965"/>
        <v>0</v>
      </c>
      <c r="AM343" s="42">
        <f t="shared" si="906"/>
        <v>28.5</v>
      </c>
      <c r="AN343" s="42">
        <f t="shared" si="907"/>
        <v>0</v>
      </c>
      <c r="AO343" s="42">
        <f t="shared" si="976"/>
        <v>0</v>
      </c>
      <c r="AP343" s="42">
        <f t="shared" si="908"/>
        <v>0</v>
      </c>
      <c r="AQ343" s="42">
        <f t="shared" si="909"/>
        <v>0</v>
      </c>
      <c r="AR343" s="42">
        <f t="shared" si="966"/>
        <v>0</v>
      </c>
      <c r="AS343" s="42">
        <f t="shared" si="910"/>
        <v>0</v>
      </c>
      <c r="AT343" s="42">
        <f t="shared" si="911"/>
        <v>0</v>
      </c>
      <c r="AU343" s="42">
        <f t="shared" si="912"/>
        <v>0</v>
      </c>
      <c r="AV343" s="42">
        <f>IF(M343="ПП",РПП*AA343*(U343/1.5),IF(M343="ВП",ВПр*AA343*(U343/1.5),IF(M343="РПА",РПА*AA343*(U343/1.5),IF(M343="КПА",КПА*AA343*(U343/1.5),0))))</f>
        <v>0</v>
      </c>
      <c r="AW343" s="42">
        <f t="shared" si="913"/>
        <v>0</v>
      </c>
      <c r="AX343" s="42">
        <f t="shared" si="967"/>
        <v>0</v>
      </c>
      <c r="AY343" s="42">
        <f t="shared" si="968"/>
        <v>0</v>
      </c>
      <c r="AZ343" s="42">
        <f t="shared" si="914"/>
        <v>0</v>
      </c>
      <c r="BA343" s="42">
        <f t="shared" si="969"/>
        <v>0</v>
      </c>
      <c r="BB343" s="42">
        <f t="shared" si="970"/>
        <v>0</v>
      </c>
      <c r="BC343" s="42">
        <f t="shared" si="971"/>
        <v>0</v>
      </c>
      <c r="BD343" s="42">
        <f t="shared" si="915"/>
        <v>0</v>
      </c>
      <c r="BE343" s="43">
        <f t="shared" si="916"/>
        <v>28.5</v>
      </c>
      <c r="BF343" s="44"/>
      <c r="BG343" s="45">
        <f t="shared" si="917"/>
        <v>28.5</v>
      </c>
      <c r="BH343" s="45">
        <f t="shared" si="918"/>
        <v>1</v>
      </c>
      <c r="BI343" s="45">
        <f t="shared" si="919"/>
        <v>0</v>
      </c>
      <c r="BJ343" s="46">
        <f t="shared" si="998"/>
        <v>0</v>
      </c>
      <c r="BK343" s="46">
        <f t="shared" si="999"/>
        <v>0</v>
      </c>
      <c r="BL343" s="46">
        <f t="shared" si="1000"/>
        <v>0</v>
      </c>
    </row>
    <row r="344" spans="1:64" ht="30" customHeight="1" x14ac:dyDescent="0.25">
      <c r="A344" s="84" t="str">
        <f t="shared" si="962"/>
        <v>Д</v>
      </c>
      <c r="B344" s="84" t="str">
        <f t="shared" si="1001"/>
        <v>Б</v>
      </c>
      <c r="C344" s="101" t="s">
        <v>1473</v>
      </c>
      <c r="D344" s="16" t="str">
        <f t="shared" si="1002"/>
        <v>'38.03.05</v>
      </c>
      <c r="E344" s="17" t="str">
        <f t="shared" si="1003"/>
        <v>Бизнес-информатика</v>
      </c>
      <c r="F344" s="9" t="s">
        <v>413</v>
      </c>
      <c r="G344" s="9" t="s">
        <v>22</v>
      </c>
      <c r="H344" s="10"/>
      <c r="I344" s="10"/>
      <c r="J344" s="24" t="s">
        <v>3197</v>
      </c>
      <c r="K344" s="11">
        <v>1</v>
      </c>
      <c r="L344" s="11">
        <v>18</v>
      </c>
      <c r="M344" s="8" t="s">
        <v>24</v>
      </c>
      <c r="N344" s="11"/>
      <c r="O344" s="11"/>
      <c r="P344" s="11">
        <v>2</v>
      </c>
      <c r="Q344" s="8"/>
      <c r="R344" s="11"/>
      <c r="S344" s="11"/>
      <c r="T344" s="23"/>
      <c r="U344" s="11"/>
      <c r="V344" s="11"/>
      <c r="W344" s="83" t="str">
        <f t="shared" si="963"/>
        <v>НБИбд</v>
      </c>
      <c r="X344" s="110" t="s">
        <v>3248</v>
      </c>
      <c r="Y344" s="11">
        <v>1</v>
      </c>
      <c r="Z344" s="11">
        <v>1</v>
      </c>
      <c r="AA344" s="83">
        <f t="shared" si="1004"/>
        <v>17</v>
      </c>
      <c r="AB344" s="11">
        <v>16</v>
      </c>
      <c r="AC344" s="11">
        <v>1</v>
      </c>
      <c r="AD344" s="81">
        <f t="shared" si="964"/>
        <v>24</v>
      </c>
      <c r="AE344" s="82">
        <f t="shared" si="1005"/>
        <v>0.70833333333333337</v>
      </c>
      <c r="AF344" s="82">
        <f t="shared" si="1006"/>
        <v>0.70833333333333337</v>
      </c>
      <c r="AG344" s="102" t="s">
        <v>3250</v>
      </c>
      <c r="AH344" s="113" t="s">
        <v>204</v>
      </c>
      <c r="AI344" s="113" t="s">
        <v>212</v>
      </c>
      <c r="AJ344" s="119" t="s">
        <v>3251</v>
      </c>
      <c r="AK344" s="8"/>
      <c r="AL344" s="42">
        <f t="shared" si="965"/>
        <v>0</v>
      </c>
      <c r="AM344" s="42">
        <f t="shared" si="906"/>
        <v>25.5</v>
      </c>
      <c r="AN344" s="42">
        <f t="shared" si="907"/>
        <v>0</v>
      </c>
      <c r="AO344" s="42">
        <f t="shared" si="976"/>
        <v>0</v>
      </c>
      <c r="AP344" s="42">
        <f t="shared" si="908"/>
        <v>0</v>
      </c>
      <c r="AQ344" s="42">
        <f t="shared" si="909"/>
        <v>0</v>
      </c>
      <c r="AR344" s="42">
        <f t="shared" si="966"/>
        <v>0</v>
      </c>
      <c r="AS344" s="42">
        <f t="shared" si="910"/>
        <v>0</v>
      </c>
      <c r="AT344" s="42">
        <f t="shared" si="911"/>
        <v>0</v>
      </c>
      <c r="AU344" s="42">
        <f t="shared" si="912"/>
        <v>0</v>
      </c>
      <c r="AV344" s="42">
        <f>IF(M344="ПП",РПП*AA344*(U344/1.5),IF(M344="ВП",ВПр*AA344*(U344/1.5),IF(M344="РПА",РПА*AA344*(U344/1.5),IF(M344="КПА",КПА*AA344*(U344/1.5),0))))</f>
        <v>0</v>
      </c>
      <c r="AW344" s="42">
        <f t="shared" si="913"/>
        <v>0</v>
      </c>
      <c r="AX344" s="42">
        <f t="shared" si="967"/>
        <v>0</v>
      </c>
      <c r="AY344" s="42">
        <f t="shared" si="968"/>
        <v>0</v>
      </c>
      <c r="AZ344" s="42">
        <f t="shared" si="914"/>
        <v>0</v>
      </c>
      <c r="BA344" s="42">
        <f t="shared" si="969"/>
        <v>0</v>
      </c>
      <c r="BB344" s="42">
        <f t="shared" si="970"/>
        <v>0</v>
      </c>
      <c r="BC344" s="42">
        <f t="shared" si="971"/>
        <v>0</v>
      </c>
      <c r="BD344" s="42">
        <f t="shared" si="915"/>
        <v>0</v>
      </c>
      <c r="BE344" s="43">
        <f t="shared" si="916"/>
        <v>25.5</v>
      </c>
      <c r="BF344" s="44"/>
      <c r="BG344" s="45">
        <f t="shared" si="917"/>
        <v>25.5</v>
      </c>
      <c r="BH344" s="45">
        <f t="shared" si="918"/>
        <v>1</v>
      </c>
      <c r="BI344" s="45">
        <f t="shared" si="919"/>
        <v>0</v>
      </c>
      <c r="BJ344" s="46">
        <f t="shared" si="998"/>
        <v>0</v>
      </c>
      <c r="BK344" s="46">
        <f t="shared" si="999"/>
        <v>0</v>
      </c>
      <c r="BL344" s="46">
        <f t="shared" si="1000"/>
        <v>0</v>
      </c>
    </row>
    <row r="345" spans="1:64" ht="30" customHeight="1" x14ac:dyDescent="0.25">
      <c r="A345" s="84" t="str">
        <f t="shared" si="962"/>
        <v>Д</v>
      </c>
      <c r="B345" s="84" t="str">
        <f t="shared" si="1001"/>
        <v>Б</v>
      </c>
      <c r="C345" s="101" t="s">
        <v>1473</v>
      </c>
      <c r="D345" s="16" t="str">
        <f t="shared" si="1002"/>
        <v>'38.03.05</v>
      </c>
      <c r="E345" s="17" t="str">
        <f t="shared" si="1003"/>
        <v>Бизнес-информатика</v>
      </c>
      <c r="F345" s="9" t="s">
        <v>413</v>
      </c>
      <c r="G345" s="9" t="s">
        <v>22</v>
      </c>
      <c r="H345" s="10"/>
      <c r="I345" s="10"/>
      <c r="J345" s="24" t="s">
        <v>3198</v>
      </c>
      <c r="K345" s="11">
        <v>1</v>
      </c>
      <c r="L345" s="11">
        <v>18</v>
      </c>
      <c r="M345" s="8" t="s">
        <v>23</v>
      </c>
      <c r="N345" s="11">
        <v>1</v>
      </c>
      <c r="O345" s="11"/>
      <c r="P345" s="11"/>
      <c r="Q345" s="8" t="s">
        <v>103</v>
      </c>
      <c r="R345" s="11"/>
      <c r="S345" s="11"/>
      <c r="T345" s="23"/>
      <c r="U345" s="11"/>
      <c r="V345" s="11"/>
      <c r="W345" s="83" t="str">
        <f t="shared" si="963"/>
        <v>НБИбд</v>
      </c>
      <c r="X345" s="110" t="s">
        <v>3249</v>
      </c>
      <c r="Y345" s="11">
        <v>4</v>
      </c>
      <c r="Z345" s="11">
        <v>3</v>
      </c>
      <c r="AA345" s="83">
        <f t="shared" si="1004"/>
        <v>55</v>
      </c>
      <c r="AB345" s="11">
        <v>50</v>
      </c>
      <c r="AC345" s="11">
        <v>5</v>
      </c>
      <c r="AD345" s="81">
        <f t="shared" si="964"/>
        <v>55</v>
      </c>
      <c r="AE345" s="82">
        <f t="shared" si="1005"/>
        <v>1</v>
      </c>
      <c r="AF345" s="82">
        <f t="shared" si="1006"/>
        <v>1</v>
      </c>
      <c r="AG345" s="102" t="s">
        <v>3250</v>
      </c>
      <c r="AH345" s="113" t="s">
        <v>204</v>
      </c>
      <c r="AI345" s="113" t="s">
        <v>212</v>
      </c>
      <c r="AJ345" s="120" t="s">
        <v>3251</v>
      </c>
      <c r="AK345" s="8"/>
      <c r="AL345" s="42">
        <f t="shared" si="965"/>
        <v>18</v>
      </c>
      <c r="AM345" s="42">
        <f t="shared" si="906"/>
        <v>0</v>
      </c>
      <c r="AN345" s="42">
        <f t="shared" si="907"/>
        <v>0</v>
      </c>
      <c r="AO345" s="42">
        <f t="shared" si="976"/>
        <v>18.150000000000002</v>
      </c>
      <c r="AP345" s="42">
        <f t="shared" si="908"/>
        <v>27.5</v>
      </c>
      <c r="AQ345" s="42">
        <f t="shared" si="909"/>
        <v>3</v>
      </c>
      <c r="AR345" s="42">
        <f t="shared" si="966"/>
        <v>2.7</v>
      </c>
      <c r="AS345" s="42">
        <f t="shared" si="910"/>
        <v>0</v>
      </c>
      <c r="AT345" s="42">
        <f t="shared" si="911"/>
        <v>0</v>
      </c>
      <c r="AU345" s="42">
        <f t="shared" si="912"/>
        <v>0</v>
      </c>
      <c r="AV345" s="42">
        <f>IF(M345="ПП",РПП*AA345*(U345/1.5),IF(M345="ВП",ВПр*AA345*(U345/1.5),IF(M345="РПА",РПА*AA345*(U345/1.5),IF(M345="КПА",КПА*AA345*(U345/1.5),0))))</f>
        <v>0</v>
      </c>
      <c r="AW345" s="42">
        <f t="shared" si="913"/>
        <v>0</v>
      </c>
      <c r="AX345" s="42">
        <f t="shared" si="967"/>
        <v>0</v>
      </c>
      <c r="AY345" s="42">
        <f t="shared" si="968"/>
        <v>0</v>
      </c>
      <c r="AZ345" s="42">
        <f t="shared" si="914"/>
        <v>0</v>
      </c>
      <c r="BA345" s="42">
        <f t="shared" si="969"/>
        <v>0</v>
      </c>
      <c r="BB345" s="42">
        <f t="shared" si="970"/>
        <v>0</v>
      </c>
      <c r="BC345" s="42">
        <f t="shared" si="971"/>
        <v>0</v>
      </c>
      <c r="BD345" s="42">
        <f t="shared" si="915"/>
        <v>0</v>
      </c>
      <c r="BE345" s="43">
        <f t="shared" si="916"/>
        <v>69.350000000000009</v>
      </c>
      <c r="BF345" s="44"/>
      <c r="BG345" s="45">
        <f t="shared" si="917"/>
        <v>18</v>
      </c>
      <c r="BH345" s="45">
        <f t="shared" si="918"/>
        <v>0.5</v>
      </c>
      <c r="BI345" s="45">
        <f t="shared" si="919"/>
        <v>51.350000000000009</v>
      </c>
      <c r="BJ345" s="46">
        <f t="shared" si="998"/>
        <v>0</v>
      </c>
      <c r="BK345" s="46">
        <f t="shared" si="999"/>
        <v>0</v>
      </c>
      <c r="BL345" s="46">
        <f t="shared" si="1000"/>
        <v>0</v>
      </c>
    </row>
    <row r="346" spans="1:64" ht="30" customHeight="1" x14ac:dyDescent="0.25">
      <c r="A346" s="84" t="str">
        <f t="shared" si="962"/>
        <v>Д</v>
      </c>
      <c r="B346" s="84" t="str">
        <f t="shared" si="1001"/>
        <v>Б</v>
      </c>
      <c r="C346" s="101" t="s">
        <v>1473</v>
      </c>
      <c r="D346" s="16" t="str">
        <f t="shared" si="1002"/>
        <v>'38.03.05</v>
      </c>
      <c r="E346" s="17" t="str">
        <f t="shared" si="1003"/>
        <v>Бизнес-информатика</v>
      </c>
      <c r="F346" s="9" t="s">
        <v>413</v>
      </c>
      <c r="G346" s="9" t="s">
        <v>22</v>
      </c>
      <c r="H346" s="10"/>
      <c r="I346" s="10"/>
      <c r="J346" s="24" t="s">
        <v>3198</v>
      </c>
      <c r="K346" s="11">
        <v>1</v>
      </c>
      <c r="L346" s="11">
        <v>18</v>
      </c>
      <c r="M346" s="8" t="s">
        <v>24</v>
      </c>
      <c r="N346" s="11"/>
      <c r="O346" s="11"/>
      <c r="P346" s="11">
        <v>2</v>
      </c>
      <c r="Q346" s="8"/>
      <c r="R346" s="11"/>
      <c r="S346" s="11"/>
      <c r="T346" s="11"/>
      <c r="U346" s="11"/>
      <c r="V346" s="11"/>
      <c r="W346" s="83" t="str">
        <f t="shared" si="963"/>
        <v>НБИбд</v>
      </c>
      <c r="X346" s="110" t="s">
        <v>3246</v>
      </c>
      <c r="Y346" s="11">
        <v>1</v>
      </c>
      <c r="Z346" s="11">
        <v>1</v>
      </c>
      <c r="AA346" s="83">
        <f t="shared" si="1004"/>
        <v>19</v>
      </c>
      <c r="AB346" s="11">
        <v>17</v>
      </c>
      <c r="AC346" s="11">
        <v>2</v>
      </c>
      <c r="AD346" s="81">
        <f t="shared" si="964"/>
        <v>24</v>
      </c>
      <c r="AE346" s="82">
        <f t="shared" si="1005"/>
        <v>0.79166666666666663</v>
      </c>
      <c r="AF346" s="82">
        <f t="shared" si="1006"/>
        <v>0.79166666666666663</v>
      </c>
      <c r="AG346" s="102" t="s">
        <v>3250</v>
      </c>
      <c r="AH346" s="113" t="s">
        <v>204</v>
      </c>
      <c r="AI346" s="113" t="s">
        <v>212</v>
      </c>
      <c r="AJ346" s="119" t="s">
        <v>3369</v>
      </c>
      <c r="AK346" s="8"/>
      <c r="AL346" s="42">
        <f t="shared" si="965"/>
        <v>0</v>
      </c>
      <c r="AM346" s="42">
        <f t="shared" si="906"/>
        <v>28.5</v>
      </c>
      <c r="AN346" s="42">
        <f t="shared" si="907"/>
        <v>0</v>
      </c>
      <c r="AO346" s="42">
        <f t="shared" si="976"/>
        <v>0</v>
      </c>
      <c r="AP346" s="42">
        <f t="shared" si="908"/>
        <v>0</v>
      </c>
      <c r="AQ346" s="42">
        <f t="shared" si="909"/>
        <v>0</v>
      </c>
      <c r="AR346" s="42">
        <f t="shared" si="966"/>
        <v>0</v>
      </c>
      <c r="AS346" s="42">
        <f t="shared" si="910"/>
        <v>0</v>
      </c>
      <c r="AT346" s="42">
        <f t="shared" si="911"/>
        <v>0</v>
      </c>
      <c r="AU346" s="42">
        <f t="shared" si="912"/>
        <v>0</v>
      </c>
      <c r="AV346" s="42">
        <f>IF(M346="ПП",РПП*AA346*(U346/1.5),IF(M346="ВП",ВПр*AA346*(U346/1.5),IF(M346="РПА",РПА*AA346*(U346/1.5),IF(M346="КПА",КПА*AA346*(U346/1.5),0))))</f>
        <v>0</v>
      </c>
      <c r="AW346" s="42">
        <f t="shared" si="913"/>
        <v>0</v>
      </c>
      <c r="AX346" s="42">
        <f t="shared" si="967"/>
        <v>0</v>
      </c>
      <c r="AY346" s="42">
        <f t="shared" si="968"/>
        <v>0</v>
      </c>
      <c r="AZ346" s="42">
        <f t="shared" si="914"/>
        <v>0</v>
      </c>
      <c r="BA346" s="42">
        <f t="shared" si="969"/>
        <v>0</v>
      </c>
      <c r="BB346" s="42">
        <f t="shared" si="970"/>
        <v>0</v>
      </c>
      <c r="BC346" s="42">
        <f t="shared" si="971"/>
        <v>0</v>
      </c>
      <c r="BD346" s="42">
        <f t="shared" si="915"/>
        <v>0</v>
      </c>
      <c r="BE346" s="43">
        <f t="shared" si="916"/>
        <v>28.5</v>
      </c>
      <c r="BF346" s="44"/>
      <c r="BG346" s="45">
        <f t="shared" si="917"/>
        <v>28.5</v>
      </c>
      <c r="BH346" s="45">
        <f t="shared" si="918"/>
        <v>1</v>
      </c>
      <c r="BI346" s="45">
        <f t="shared" si="919"/>
        <v>0</v>
      </c>
      <c r="BJ346" s="46">
        <f t="shared" si="998"/>
        <v>0</v>
      </c>
      <c r="BK346" s="46">
        <f t="shared" si="999"/>
        <v>0</v>
      </c>
      <c r="BL346" s="46">
        <f t="shared" si="1000"/>
        <v>0</v>
      </c>
    </row>
    <row r="347" spans="1:64" ht="30" customHeight="1" x14ac:dyDescent="0.25">
      <c r="A347" s="84" t="str">
        <f t="shared" si="962"/>
        <v>Д</v>
      </c>
      <c r="B347" s="84" t="str">
        <f t="shared" si="1001"/>
        <v>Б</v>
      </c>
      <c r="C347" s="101" t="s">
        <v>1473</v>
      </c>
      <c r="D347" s="16" t="str">
        <f t="shared" si="1002"/>
        <v>'38.03.05</v>
      </c>
      <c r="E347" s="17" t="str">
        <f t="shared" si="1003"/>
        <v>Бизнес-информатика</v>
      </c>
      <c r="F347" s="9" t="s">
        <v>413</v>
      </c>
      <c r="G347" s="9" t="s">
        <v>22</v>
      </c>
      <c r="H347" s="10"/>
      <c r="I347" s="10"/>
      <c r="J347" s="24" t="s">
        <v>3198</v>
      </c>
      <c r="K347" s="11">
        <v>1</v>
      </c>
      <c r="L347" s="11">
        <v>18</v>
      </c>
      <c r="M347" s="8" t="s">
        <v>24</v>
      </c>
      <c r="N347" s="11"/>
      <c r="O347" s="11"/>
      <c r="P347" s="11">
        <v>2</v>
      </c>
      <c r="Q347" s="8"/>
      <c r="R347" s="11"/>
      <c r="S347" s="11"/>
      <c r="T347" s="11"/>
      <c r="U347" s="11"/>
      <c r="V347" s="11"/>
      <c r="W347" s="83" t="str">
        <f t="shared" si="963"/>
        <v>НБИбд</v>
      </c>
      <c r="X347" s="110" t="s">
        <v>3247</v>
      </c>
      <c r="Y347" s="11">
        <v>1</v>
      </c>
      <c r="Z347" s="11">
        <v>1</v>
      </c>
      <c r="AA347" s="83">
        <f t="shared" si="1004"/>
        <v>19</v>
      </c>
      <c r="AB347" s="11">
        <v>17</v>
      </c>
      <c r="AC347" s="11">
        <v>2</v>
      </c>
      <c r="AD347" s="81">
        <f t="shared" si="964"/>
        <v>24</v>
      </c>
      <c r="AE347" s="82">
        <f t="shared" si="1005"/>
        <v>0.79166666666666663</v>
      </c>
      <c r="AF347" s="82">
        <f t="shared" si="1006"/>
        <v>0.79166666666666663</v>
      </c>
      <c r="AG347" s="102" t="s">
        <v>3250</v>
      </c>
      <c r="AH347" s="113" t="s">
        <v>204</v>
      </c>
      <c r="AI347" s="113" t="s">
        <v>212</v>
      </c>
      <c r="AJ347" s="119" t="s">
        <v>3369</v>
      </c>
      <c r="AK347" s="8"/>
      <c r="AL347" s="42">
        <f t="shared" si="965"/>
        <v>0</v>
      </c>
      <c r="AM347" s="42">
        <f t="shared" si="906"/>
        <v>28.5</v>
      </c>
      <c r="AN347" s="42">
        <f t="shared" si="907"/>
        <v>0</v>
      </c>
      <c r="AO347" s="42">
        <f t="shared" si="976"/>
        <v>0</v>
      </c>
      <c r="AP347" s="42">
        <f t="shared" si="908"/>
        <v>0</v>
      </c>
      <c r="AQ347" s="42">
        <f t="shared" si="909"/>
        <v>0</v>
      </c>
      <c r="AR347" s="42">
        <f t="shared" si="966"/>
        <v>0</v>
      </c>
      <c r="AS347" s="42">
        <f t="shared" si="910"/>
        <v>0</v>
      </c>
      <c r="AT347" s="42">
        <f t="shared" si="911"/>
        <v>0</v>
      </c>
      <c r="AU347" s="42">
        <f t="shared" si="912"/>
        <v>0</v>
      </c>
      <c r="AV347" s="42">
        <f>IF(M347="ПП",РПП*AA347*(U347/1.5),IF(M347="ВП",ВПр*AA347*(U347/1.5),IF(M347="РПА",РПА*AA347*(U347/1.5),IF(M347="КПА",КПА*AA347*(U347/1.5),0))))</f>
        <v>0</v>
      </c>
      <c r="AW347" s="42">
        <f t="shared" si="913"/>
        <v>0</v>
      </c>
      <c r="AX347" s="42">
        <f t="shared" si="967"/>
        <v>0</v>
      </c>
      <c r="AY347" s="42">
        <f t="shared" si="968"/>
        <v>0</v>
      </c>
      <c r="AZ347" s="42">
        <f t="shared" si="914"/>
        <v>0</v>
      </c>
      <c r="BA347" s="42">
        <f t="shared" si="969"/>
        <v>0</v>
      </c>
      <c r="BB347" s="42">
        <f t="shared" si="970"/>
        <v>0</v>
      </c>
      <c r="BC347" s="42">
        <f t="shared" si="971"/>
        <v>0</v>
      </c>
      <c r="BD347" s="42">
        <f t="shared" si="915"/>
        <v>0</v>
      </c>
      <c r="BE347" s="43">
        <f t="shared" si="916"/>
        <v>28.5</v>
      </c>
      <c r="BF347" s="44"/>
      <c r="BG347" s="45">
        <f t="shared" si="917"/>
        <v>28.5</v>
      </c>
      <c r="BH347" s="45">
        <f t="shared" si="918"/>
        <v>1</v>
      </c>
      <c r="BI347" s="45">
        <f t="shared" si="919"/>
        <v>0</v>
      </c>
      <c r="BJ347" s="46">
        <f t="shared" si="998"/>
        <v>0</v>
      </c>
      <c r="BK347" s="46">
        <f t="shared" si="999"/>
        <v>0</v>
      </c>
      <c r="BL347" s="46">
        <f t="shared" si="1000"/>
        <v>0</v>
      </c>
    </row>
    <row r="348" spans="1:64" ht="30" customHeight="1" x14ac:dyDescent="0.25">
      <c r="A348" s="84" t="str">
        <f t="shared" si="962"/>
        <v>Д</v>
      </c>
      <c r="B348" s="84" t="str">
        <f t="shared" si="1001"/>
        <v>Б</v>
      </c>
      <c r="C348" s="101" t="s">
        <v>1473</v>
      </c>
      <c r="D348" s="16" t="str">
        <f t="shared" si="1002"/>
        <v>'38.03.05</v>
      </c>
      <c r="E348" s="17" t="str">
        <f t="shared" si="1003"/>
        <v>Бизнес-информатика</v>
      </c>
      <c r="F348" s="9" t="s">
        <v>413</v>
      </c>
      <c r="G348" s="9" t="s">
        <v>22</v>
      </c>
      <c r="H348" s="10"/>
      <c r="I348" s="10"/>
      <c r="J348" s="24" t="s">
        <v>3198</v>
      </c>
      <c r="K348" s="11">
        <v>1</v>
      </c>
      <c r="L348" s="11">
        <v>18</v>
      </c>
      <c r="M348" s="8" t="s">
        <v>24</v>
      </c>
      <c r="N348" s="11"/>
      <c r="O348" s="11"/>
      <c r="P348" s="11">
        <v>2</v>
      </c>
      <c r="Q348" s="8"/>
      <c r="R348" s="11"/>
      <c r="S348" s="11"/>
      <c r="T348" s="11"/>
      <c r="U348" s="11"/>
      <c r="V348" s="11"/>
      <c r="W348" s="83" t="str">
        <f t="shared" si="963"/>
        <v>НБИбд</v>
      </c>
      <c r="X348" s="110" t="s">
        <v>3248</v>
      </c>
      <c r="Y348" s="11">
        <v>1</v>
      </c>
      <c r="Z348" s="11">
        <v>1</v>
      </c>
      <c r="AA348" s="83">
        <f t="shared" si="1004"/>
        <v>17</v>
      </c>
      <c r="AB348" s="11">
        <v>16</v>
      </c>
      <c r="AC348" s="11">
        <v>1</v>
      </c>
      <c r="AD348" s="81">
        <f t="shared" si="964"/>
        <v>24</v>
      </c>
      <c r="AE348" s="82">
        <f t="shared" si="1005"/>
        <v>0.70833333333333337</v>
      </c>
      <c r="AF348" s="82">
        <f t="shared" si="1006"/>
        <v>0.70833333333333337</v>
      </c>
      <c r="AG348" s="102" t="s">
        <v>3250</v>
      </c>
      <c r="AH348" s="113" t="s">
        <v>204</v>
      </c>
      <c r="AI348" s="113" t="s">
        <v>212</v>
      </c>
      <c r="AJ348" s="119" t="s">
        <v>3369</v>
      </c>
      <c r="AK348" s="8"/>
      <c r="AL348" s="42">
        <f t="shared" si="965"/>
        <v>0</v>
      </c>
      <c r="AM348" s="42">
        <f t="shared" si="906"/>
        <v>25.5</v>
      </c>
      <c r="AN348" s="42">
        <f t="shared" si="907"/>
        <v>0</v>
      </c>
      <c r="AO348" s="42">
        <f t="shared" si="976"/>
        <v>0</v>
      </c>
      <c r="AP348" s="42">
        <f t="shared" si="908"/>
        <v>0</v>
      </c>
      <c r="AQ348" s="42">
        <f t="shared" si="909"/>
        <v>0</v>
      </c>
      <c r="AR348" s="42">
        <f t="shared" si="966"/>
        <v>0</v>
      </c>
      <c r="AS348" s="42">
        <f t="shared" si="910"/>
        <v>0</v>
      </c>
      <c r="AT348" s="42">
        <f t="shared" si="911"/>
        <v>0</v>
      </c>
      <c r="AU348" s="42">
        <f t="shared" si="912"/>
        <v>0</v>
      </c>
      <c r="AV348" s="42">
        <f>IF(M348="ПП",РПП*AA348*(U348/1.5),IF(M348="ВП",ВПр*AA348*(U348/1.5),IF(M348="РПА",РПА*AA348*(U348/1.5),IF(M348="КПА",КПА*AA348*(U348/1.5),0))))</f>
        <v>0</v>
      </c>
      <c r="AW348" s="42">
        <f t="shared" si="913"/>
        <v>0</v>
      </c>
      <c r="AX348" s="42">
        <f t="shared" si="967"/>
        <v>0</v>
      </c>
      <c r="AY348" s="42">
        <f t="shared" si="968"/>
        <v>0</v>
      </c>
      <c r="AZ348" s="42">
        <f t="shared" si="914"/>
        <v>0</v>
      </c>
      <c r="BA348" s="42">
        <f t="shared" si="969"/>
        <v>0</v>
      </c>
      <c r="BB348" s="42">
        <f t="shared" si="970"/>
        <v>0</v>
      </c>
      <c r="BC348" s="42">
        <f t="shared" si="971"/>
        <v>0</v>
      </c>
      <c r="BD348" s="42">
        <f t="shared" si="915"/>
        <v>0</v>
      </c>
      <c r="BE348" s="43">
        <f t="shared" si="916"/>
        <v>25.5</v>
      </c>
      <c r="BF348" s="44"/>
      <c r="BG348" s="45">
        <f t="shared" si="917"/>
        <v>25.5</v>
      </c>
      <c r="BH348" s="45">
        <f t="shared" si="918"/>
        <v>1</v>
      </c>
      <c r="BI348" s="45">
        <f t="shared" si="919"/>
        <v>0</v>
      </c>
      <c r="BJ348" s="46">
        <f t="shared" si="998"/>
        <v>0</v>
      </c>
      <c r="BK348" s="46">
        <f t="shared" si="999"/>
        <v>0</v>
      </c>
      <c r="BL348" s="46">
        <f t="shared" si="1000"/>
        <v>0</v>
      </c>
    </row>
    <row r="349" spans="1:64" ht="30" customHeight="1" x14ac:dyDescent="0.25">
      <c r="A349" s="84" t="str">
        <f t="shared" si="962"/>
        <v>Д</v>
      </c>
      <c r="B349" s="84" t="str">
        <f t="shared" si="1001"/>
        <v>Б</v>
      </c>
      <c r="C349" s="101" t="s">
        <v>1473</v>
      </c>
      <c r="D349" s="16" t="str">
        <f t="shared" si="1002"/>
        <v>'38.03.05</v>
      </c>
      <c r="E349" s="17" t="str">
        <f t="shared" si="1003"/>
        <v>Бизнес-информатика</v>
      </c>
      <c r="F349" s="9" t="s">
        <v>413</v>
      </c>
      <c r="G349" s="9" t="s">
        <v>22</v>
      </c>
      <c r="H349" s="10"/>
      <c r="I349" s="10"/>
      <c r="J349" s="24" t="s">
        <v>3198</v>
      </c>
      <c r="K349" s="11">
        <v>2</v>
      </c>
      <c r="L349" s="11">
        <v>18</v>
      </c>
      <c r="M349" s="8" t="s">
        <v>23</v>
      </c>
      <c r="N349" s="11">
        <v>2</v>
      </c>
      <c r="O349" s="11"/>
      <c r="P349" s="11"/>
      <c r="Q349" s="8" t="s">
        <v>103</v>
      </c>
      <c r="R349" s="11"/>
      <c r="S349" s="11"/>
      <c r="T349" s="11"/>
      <c r="U349" s="11"/>
      <c r="V349" s="11"/>
      <c r="W349" s="83" t="str">
        <f t="shared" si="963"/>
        <v>НБИбд</v>
      </c>
      <c r="X349" s="110" t="s">
        <v>3249</v>
      </c>
      <c r="Y349" s="11">
        <v>4</v>
      </c>
      <c r="Z349" s="11">
        <v>3</v>
      </c>
      <c r="AA349" s="83">
        <f t="shared" si="1004"/>
        <v>55</v>
      </c>
      <c r="AB349" s="11">
        <v>50</v>
      </c>
      <c r="AC349" s="11">
        <v>5</v>
      </c>
      <c r="AD349" s="81">
        <f t="shared" si="964"/>
        <v>55</v>
      </c>
      <c r="AE349" s="82">
        <f t="shared" si="1005"/>
        <v>1</v>
      </c>
      <c r="AF349" s="82">
        <f t="shared" si="1006"/>
        <v>1</v>
      </c>
      <c r="AG349" s="102" t="s">
        <v>3250</v>
      </c>
      <c r="AH349" s="113" t="s">
        <v>204</v>
      </c>
      <c r="AI349" s="113" t="s">
        <v>212</v>
      </c>
      <c r="AJ349" s="119" t="s">
        <v>3252</v>
      </c>
      <c r="AK349" s="8"/>
      <c r="AL349" s="42">
        <f t="shared" si="965"/>
        <v>36</v>
      </c>
      <c r="AM349" s="42">
        <f t="shared" si="906"/>
        <v>0</v>
      </c>
      <c r="AN349" s="42">
        <f t="shared" si="907"/>
        <v>0</v>
      </c>
      <c r="AO349" s="42">
        <f t="shared" si="976"/>
        <v>18.150000000000002</v>
      </c>
      <c r="AP349" s="42">
        <f t="shared" si="908"/>
        <v>27.5</v>
      </c>
      <c r="AQ349" s="42">
        <f t="shared" si="909"/>
        <v>3</v>
      </c>
      <c r="AR349" s="42">
        <f t="shared" si="966"/>
        <v>5.4</v>
      </c>
      <c r="AS349" s="42">
        <f t="shared" si="910"/>
        <v>0</v>
      </c>
      <c r="AT349" s="42">
        <f t="shared" si="911"/>
        <v>0</v>
      </c>
      <c r="AU349" s="42">
        <f t="shared" si="912"/>
        <v>0</v>
      </c>
      <c r="AV349" s="42">
        <f>IF(M349="ПП",РПП*AA349*(U349/1.5),IF(M349="ВП",ВПр*AA349*(U349/1.5),IF(M349="РПА",РПА*AA349*(U349/1.5),IF(M349="КПА",КПА*AA349*(U349/1.5),0))))</f>
        <v>0</v>
      </c>
      <c r="AW349" s="42">
        <f t="shared" si="913"/>
        <v>0</v>
      </c>
      <c r="AX349" s="42">
        <f t="shared" si="967"/>
        <v>0</v>
      </c>
      <c r="AY349" s="42">
        <f t="shared" si="968"/>
        <v>0</v>
      </c>
      <c r="AZ349" s="42">
        <f t="shared" si="914"/>
        <v>0</v>
      </c>
      <c r="BA349" s="42">
        <f t="shared" si="969"/>
        <v>0</v>
      </c>
      <c r="BB349" s="42">
        <f t="shared" si="970"/>
        <v>0</v>
      </c>
      <c r="BC349" s="42">
        <f t="shared" si="971"/>
        <v>0</v>
      </c>
      <c r="BD349" s="42">
        <f t="shared" si="915"/>
        <v>0</v>
      </c>
      <c r="BE349" s="43">
        <f t="shared" si="916"/>
        <v>90.050000000000011</v>
      </c>
      <c r="BF349" s="44"/>
      <c r="BG349" s="45">
        <f t="shared" si="917"/>
        <v>0</v>
      </c>
      <c r="BH349" s="45">
        <f t="shared" si="918"/>
        <v>0</v>
      </c>
      <c r="BI349" s="45">
        <f t="shared" si="919"/>
        <v>0</v>
      </c>
      <c r="BJ349" s="46">
        <f t="shared" si="998"/>
        <v>36</v>
      </c>
      <c r="BK349" s="46">
        <f t="shared" si="999"/>
        <v>1</v>
      </c>
      <c r="BL349" s="46">
        <f t="shared" si="1000"/>
        <v>54.050000000000004</v>
      </c>
    </row>
    <row r="350" spans="1:64" ht="30" customHeight="1" x14ac:dyDescent="0.25">
      <c r="A350" s="84" t="str">
        <f t="shared" si="962"/>
        <v>Д</v>
      </c>
      <c r="B350" s="84" t="str">
        <f t="shared" si="1001"/>
        <v>Б</v>
      </c>
      <c r="C350" s="101" t="s">
        <v>1473</v>
      </c>
      <c r="D350" s="16" t="str">
        <f t="shared" si="1002"/>
        <v>'38.03.05</v>
      </c>
      <c r="E350" s="17" t="str">
        <f t="shared" si="1003"/>
        <v>Бизнес-информатика</v>
      </c>
      <c r="F350" s="9" t="s">
        <v>413</v>
      </c>
      <c r="G350" s="9" t="s">
        <v>22</v>
      </c>
      <c r="H350" s="10"/>
      <c r="I350" s="10"/>
      <c r="J350" s="24" t="s">
        <v>3198</v>
      </c>
      <c r="K350" s="11">
        <v>2</v>
      </c>
      <c r="L350" s="11">
        <v>18</v>
      </c>
      <c r="M350" s="8" t="s">
        <v>24</v>
      </c>
      <c r="N350" s="11"/>
      <c r="O350" s="11"/>
      <c r="P350" s="11">
        <v>2</v>
      </c>
      <c r="Q350" s="8"/>
      <c r="R350" s="11"/>
      <c r="S350" s="11"/>
      <c r="T350" s="11"/>
      <c r="U350" s="11"/>
      <c r="V350" s="11"/>
      <c r="W350" s="83" t="str">
        <f t="shared" si="963"/>
        <v>НБИбд</v>
      </c>
      <c r="X350" s="110" t="s">
        <v>3246</v>
      </c>
      <c r="Y350" s="11">
        <v>2</v>
      </c>
      <c r="Z350" s="11">
        <v>1</v>
      </c>
      <c r="AA350" s="83">
        <f t="shared" si="1004"/>
        <v>19</v>
      </c>
      <c r="AB350" s="11">
        <v>17</v>
      </c>
      <c r="AC350" s="11">
        <v>2</v>
      </c>
      <c r="AD350" s="81">
        <f t="shared" si="964"/>
        <v>24</v>
      </c>
      <c r="AE350" s="82">
        <f t="shared" si="1005"/>
        <v>0.79166666666666663</v>
      </c>
      <c r="AF350" s="82">
        <f t="shared" si="1006"/>
        <v>0.79166666666666663</v>
      </c>
      <c r="AG350" s="102" t="s">
        <v>3250</v>
      </c>
      <c r="AH350" s="113" t="s">
        <v>204</v>
      </c>
      <c r="AI350" s="113" t="s">
        <v>212</v>
      </c>
      <c r="AJ350" s="125" t="s">
        <v>3369</v>
      </c>
      <c r="AK350" s="8"/>
      <c r="AL350" s="42">
        <f t="shared" si="965"/>
        <v>0</v>
      </c>
      <c r="AM350" s="42">
        <f t="shared" si="906"/>
        <v>28.5</v>
      </c>
      <c r="AN350" s="42">
        <f t="shared" si="907"/>
        <v>0</v>
      </c>
      <c r="AO350" s="42">
        <f t="shared" si="976"/>
        <v>0</v>
      </c>
      <c r="AP350" s="42">
        <f t="shared" si="908"/>
        <v>0</v>
      </c>
      <c r="AQ350" s="42">
        <f t="shared" si="909"/>
        <v>0</v>
      </c>
      <c r="AR350" s="42">
        <f t="shared" si="966"/>
        <v>0</v>
      </c>
      <c r="AS350" s="42">
        <f t="shared" si="910"/>
        <v>0</v>
      </c>
      <c r="AT350" s="42">
        <f t="shared" si="911"/>
        <v>0</v>
      </c>
      <c r="AU350" s="42">
        <f t="shared" si="912"/>
        <v>0</v>
      </c>
      <c r="AV350" s="42">
        <f>IF(M350="ПП",РПП*AA350*(U350/1.5),IF(M350="ВП",ВПр*AA350*(U350/1.5),IF(M350="РПА",РПА*AA350*(U350/1.5),IF(M350="КПА",КПА*AA350*(U350/1.5),0))))</f>
        <v>0</v>
      </c>
      <c r="AW350" s="42">
        <f t="shared" si="913"/>
        <v>0</v>
      </c>
      <c r="AX350" s="42">
        <f t="shared" si="967"/>
        <v>0</v>
      </c>
      <c r="AY350" s="42">
        <f t="shared" si="968"/>
        <v>0</v>
      </c>
      <c r="AZ350" s="42">
        <f t="shared" si="914"/>
        <v>0</v>
      </c>
      <c r="BA350" s="42">
        <f t="shared" si="969"/>
        <v>0</v>
      </c>
      <c r="BB350" s="42">
        <f t="shared" si="970"/>
        <v>0</v>
      </c>
      <c r="BC350" s="42">
        <f t="shared" si="971"/>
        <v>0</v>
      </c>
      <c r="BD350" s="42">
        <f t="shared" si="915"/>
        <v>0</v>
      </c>
      <c r="BE350" s="43">
        <f t="shared" si="916"/>
        <v>28.5</v>
      </c>
      <c r="BF350" s="44"/>
      <c r="BG350" s="45">
        <f t="shared" si="917"/>
        <v>0</v>
      </c>
      <c r="BH350" s="45">
        <f t="shared" si="918"/>
        <v>0</v>
      </c>
      <c r="BI350" s="45">
        <f t="shared" si="919"/>
        <v>0</v>
      </c>
      <c r="BJ350" s="46">
        <f t="shared" si="998"/>
        <v>28.5</v>
      </c>
      <c r="BK350" s="46">
        <f t="shared" si="999"/>
        <v>1</v>
      </c>
      <c r="BL350" s="46">
        <f t="shared" si="1000"/>
        <v>0</v>
      </c>
    </row>
    <row r="351" spans="1:64" ht="30" customHeight="1" x14ac:dyDescent="0.25">
      <c r="A351" s="84" t="str">
        <f t="shared" si="962"/>
        <v>Д</v>
      </c>
      <c r="B351" s="84" t="str">
        <f t="shared" si="1001"/>
        <v>Б</v>
      </c>
      <c r="C351" s="101" t="s">
        <v>1473</v>
      </c>
      <c r="D351" s="16" t="str">
        <f t="shared" si="1002"/>
        <v>'38.03.05</v>
      </c>
      <c r="E351" s="17" t="str">
        <f t="shared" si="1003"/>
        <v>Бизнес-информатика</v>
      </c>
      <c r="F351" s="9" t="s">
        <v>413</v>
      </c>
      <c r="G351" s="9" t="s">
        <v>22</v>
      </c>
      <c r="H351" s="10"/>
      <c r="I351" s="10"/>
      <c r="J351" s="24" t="s">
        <v>3198</v>
      </c>
      <c r="K351" s="11">
        <v>2</v>
      </c>
      <c r="L351" s="11">
        <v>18</v>
      </c>
      <c r="M351" s="8" t="s">
        <v>24</v>
      </c>
      <c r="N351" s="11"/>
      <c r="O351" s="11"/>
      <c r="P351" s="11">
        <v>2</v>
      </c>
      <c r="Q351" s="8"/>
      <c r="R351" s="12"/>
      <c r="S351" s="12"/>
      <c r="T351" s="12"/>
      <c r="U351" s="12"/>
      <c r="V351" s="12"/>
      <c r="W351" s="83" t="str">
        <f t="shared" si="963"/>
        <v>НБИбд</v>
      </c>
      <c r="X351" s="110" t="s">
        <v>3247</v>
      </c>
      <c r="Y351" s="11">
        <v>2</v>
      </c>
      <c r="Z351" s="11">
        <v>1</v>
      </c>
      <c r="AA351" s="83">
        <f t="shared" si="1004"/>
        <v>19</v>
      </c>
      <c r="AB351" s="11">
        <v>17</v>
      </c>
      <c r="AC351" s="11">
        <v>2</v>
      </c>
      <c r="AD351" s="81">
        <f t="shared" si="964"/>
        <v>24</v>
      </c>
      <c r="AE351" s="82">
        <f t="shared" si="1005"/>
        <v>0.79166666666666663</v>
      </c>
      <c r="AF351" s="82">
        <f t="shared" si="1006"/>
        <v>0.79166666666666663</v>
      </c>
      <c r="AG351" s="102" t="s">
        <v>3250</v>
      </c>
      <c r="AH351" s="113" t="s">
        <v>204</v>
      </c>
      <c r="AI351" s="113" t="s">
        <v>212</v>
      </c>
      <c r="AJ351" s="121" t="s">
        <v>3369</v>
      </c>
      <c r="AK351" s="8"/>
      <c r="AL351" s="42">
        <f t="shared" si="965"/>
        <v>0</v>
      </c>
      <c r="AM351" s="42">
        <f t="shared" si="906"/>
        <v>28.5</v>
      </c>
      <c r="AN351" s="42">
        <f t="shared" si="907"/>
        <v>0</v>
      </c>
      <c r="AO351" s="42">
        <f t="shared" si="976"/>
        <v>0</v>
      </c>
      <c r="AP351" s="42">
        <f t="shared" si="908"/>
        <v>0</v>
      </c>
      <c r="AQ351" s="42">
        <f t="shared" si="909"/>
        <v>0</v>
      </c>
      <c r="AR351" s="42">
        <f t="shared" si="966"/>
        <v>0</v>
      </c>
      <c r="AS351" s="42">
        <f t="shared" si="910"/>
        <v>0</v>
      </c>
      <c r="AT351" s="42">
        <f t="shared" si="911"/>
        <v>0</v>
      </c>
      <c r="AU351" s="42">
        <f t="shared" si="912"/>
        <v>0</v>
      </c>
      <c r="AV351" s="42">
        <f>IF(M351="ПП",РПП*AA351*(U351/1.5),IF(M351="ВП",ВПр*AA351*(U351/1.5),IF(M351="РПА",РПА*AA351*(U351/1.5),IF(M351="КПА",КПА*AA351*(U351/1.5),0))))</f>
        <v>0</v>
      </c>
      <c r="AW351" s="42">
        <f t="shared" si="913"/>
        <v>0</v>
      </c>
      <c r="AX351" s="42">
        <f t="shared" si="967"/>
        <v>0</v>
      </c>
      <c r="AY351" s="42">
        <f t="shared" si="968"/>
        <v>0</v>
      </c>
      <c r="AZ351" s="42">
        <f t="shared" si="914"/>
        <v>0</v>
      </c>
      <c r="BA351" s="42">
        <f t="shared" si="969"/>
        <v>0</v>
      </c>
      <c r="BB351" s="42">
        <f t="shared" si="970"/>
        <v>0</v>
      </c>
      <c r="BC351" s="42">
        <f t="shared" si="971"/>
        <v>0</v>
      </c>
      <c r="BD351" s="42">
        <f t="shared" si="915"/>
        <v>0</v>
      </c>
      <c r="BE351" s="43">
        <f t="shared" si="916"/>
        <v>28.5</v>
      </c>
      <c r="BF351" s="44"/>
      <c r="BG351" s="45">
        <f t="shared" si="917"/>
        <v>0</v>
      </c>
      <c r="BH351" s="45">
        <f t="shared" si="918"/>
        <v>0</v>
      </c>
      <c r="BI351" s="45">
        <f t="shared" si="919"/>
        <v>0</v>
      </c>
      <c r="BJ351" s="46">
        <f t="shared" si="998"/>
        <v>28.5</v>
      </c>
      <c r="BK351" s="46">
        <f t="shared" si="999"/>
        <v>1</v>
      </c>
      <c r="BL351" s="46">
        <f t="shared" si="1000"/>
        <v>0</v>
      </c>
    </row>
    <row r="352" spans="1:64" ht="30" customHeight="1" x14ac:dyDescent="0.25">
      <c r="A352" s="84" t="str">
        <f t="shared" si="962"/>
        <v>Д</v>
      </c>
      <c r="B352" s="84" t="str">
        <f t="shared" si="1001"/>
        <v>Б</v>
      </c>
      <c r="C352" s="101" t="s">
        <v>1473</v>
      </c>
      <c r="D352" s="16" t="str">
        <f t="shared" si="1002"/>
        <v>'38.03.05</v>
      </c>
      <c r="E352" s="17" t="str">
        <f t="shared" si="1003"/>
        <v>Бизнес-информатика</v>
      </c>
      <c r="F352" s="9" t="s">
        <v>413</v>
      </c>
      <c r="G352" s="9" t="s">
        <v>22</v>
      </c>
      <c r="H352" s="10"/>
      <c r="I352" s="10"/>
      <c r="J352" s="24" t="s">
        <v>3198</v>
      </c>
      <c r="K352" s="11">
        <v>2</v>
      </c>
      <c r="L352" s="11">
        <v>18</v>
      </c>
      <c r="M352" s="8" t="s">
        <v>24</v>
      </c>
      <c r="N352" s="11"/>
      <c r="O352" s="11"/>
      <c r="P352" s="11">
        <v>2</v>
      </c>
      <c r="Q352" s="8"/>
      <c r="R352" s="11"/>
      <c r="S352" s="11"/>
      <c r="T352" s="23"/>
      <c r="U352" s="11"/>
      <c r="V352" s="11"/>
      <c r="W352" s="83" t="str">
        <f t="shared" si="963"/>
        <v>НБИбд</v>
      </c>
      <c r="X352" s="110" t="s">
        <v>3248</v>
      </c>
      <c r="Y352" s="11">
        <v>1</v>
      </c>
      <c r="Z352" s="11">
        <v>1</v>
      </c>
      <c r="AA352" s="83">
        <f t="shared" si="1004"/>
        <v>17</v>
      </c>
      <c r="AB352" s="11">
        <v>16</v>
      </c>
      <c r="AC352" s="11">
        <v>1</v>
      </c>
      <c r="AD352" s="81">
        <f t="shared" si="964"/>
        <v>24</v>
      </c>
      <c r="AE352" s="82">
        <f t="shared" si="1005"/>
        <v>0.70833333333333337</v>
      </c>
      <c r="AF352" s="82">
        <f t="shared" si="1006"/>
        <v>0.70833333333333337</v>
      </c>
      <c r="AG352" s="102" t="s">
        <v>3250</v>
      </c>
      <c r="AH352" s="113" t="s">
        <v>204</v>
      </c>
      <c r="AI352" s="113" t="s">
        <v>212</v>
      </c>
      <c r="AJ352" s="119" t="s">
        <v>3369</v>
      </c>
      <c r="AK352" s="8"/>
      <c r="AL352" s="42">
        <f t="shared" si="965"/>
        <v>0</v>
      </c>
      <c r="AM352" s="42">
        <f t="shared" si="906"/>
        <v>25.5</v>
      </c>
      <c r="AN352" s="42">
        <f t="shared" si="907"/>
        <v>0</v>
      </c>
      <c r="AO352" s="42">
        <f t="shared" si="976"/>
        <v>0</v>
      </c>
      <c r="AP352" s="42">
        <f t="shared" si="908"/>
        <v>0</v>
      </c>
      <c r="AQ352" s="42">
        <f t="shared" si="909"/>
        <v>0</v>
      </c>
      <c r="AR352" s="42">
        <f t="shared" si="966"/>
        <v>0</v>
      </c>
      <c r="AS352" s="42">
        <f t="shared" si="910"/>
        <v>0</v>
      </c>
      <c r="AT352" s="42">
        <f t="shared" si="911"/>
        <v>0</v>
      </c>
      <c r="AU352" s="42">
        <f t="shared" si="912"/>
        <v>0</v>
      </c>
      <c r="AV352" s="42">
        <f>IF(M352="ПП",РПП*AA352*(U352/1.5),IF(M352="ВП",ВПр*AA352*(U352/1.5),IF(M352="РПА",РПА*AA352*(U352/1.5),IF(M352="КПА",КПА*AA352*(U352/1.5),0))))</f>
        <v>0</v>
      </c>
      <c r="AW352" s="42">
        <f t="shared" si="913"/>
        <v>0</v>
      </c>
      <c r="AX352" s="42">
        <f t="shared" si="967"/>
        <v>0</v>
      </c>
      <c r="AY352" s="42">
        <f t="shared" si="968"/>
        <v>0</v>
      </c>
      <c r="AZ352" s="42">
        <f t="shared" si="914"/>
        <v>0</v>
      </c>
      <c r="BA352" s="42">
        <f t="shared" si="969"/>
        <v>0</v>
      </c>
      <c r="BB352" s="42">
        <f t="shared" si="970"/>
        <v>0</v>
      </c>
      <c r="BC352" s="42">
        <f t="shared" si="971"/>
        <v>0</v>
      </c>
      <c r="BD352" s="42">
        <f t="shared" si="915"/>
        <v>0</v>
      </c>
      <c r="BE352" s="43">
        <f t="shared" si="916"/>
        <v>25.5</v>
      </c>
      <c r="BF352" s="44"/>
      <c r="BG352" s="45">
        <f t="shared" si="917"/>
        <v>0</v>
      </c>
      <c r="BH352" s="45">
        <f t="shared" si="918"/>
        <v>0</v>
      </c>
      <c r="BI352" s="45">
        <f t="shared" si="919"/>
        <v>0</v>
      </c>
      <c r="BJ352" s="46">
        <f t="shared" si="998"/>
        <v>25.5</v>
      </c>
      <c r="BK352" s="46">
        <f t="shared" si="999"/>
        <v>1</v>
      </c>
      <c r="BL352" s="46">
        <f t="shared" si="1000"/>
        <v>0</v>
      </c>
    </row>
    <row r="353" spans="1:64" ht="30" customHeight="1" x14ac:dyDescent="0.25">
      <c r="A353" s="84" t="str">
        <f t="shared" si="962"/>
        <v>Д</v>
      </c>
      <c r="B353" s="84" t="str">
        <f t="shared" ref="B353" si="1007">IF(C353&gt;0, VLOOKUP(C353,Код_ООП,11,FALSE),0)</f>
        <v>Б</v>
      </c>
      <c r="C353" s="101" t="s">
        <v>1473</v>
      </c>
      <c r="D353" s="16" t="str">
        <f t="shared" ref="D353" si="1008">IF(C353&gt;0, VLOOKUP(C353,Код_ООП,2,FALSE),0)</f>
        <v>'38.03.05</v>
      </c>
      <c r="E353" s="17" t="str">
        <f t="shared" ref="E353" si="1009">IF(C353&gt;0, VLOOKUP(C353,Код_ООП,13,FALSE),0)</f>
        <v>Бизнес-информатика</v>
      </c>
      <c r="F353" s="9" t="s">
        <v>413</v>
      </c>
      <c r="G353" s="9" t="s">
        <v>22</v>
      </c>
      <c r="H353" s="10"/>
      <c r="I353" s="10"/>
      <c r="J353" s="24" t="s">
        <v>3310</v>
      </c>
      <c r="K353" s="12">
        <v>2</v>
      </c>
      <c r="L353" s="11">
        <v>18</v>
      </c>
      <c r="M353" s="8" t="s">
        <v>94</v>
      </c>
      <c r="N353" s="12"/>
      <c r="O353" s="12">
        <v>2</v>
      </c>
      <c r="P353" s="12"/>
      <c r="Q353" s="8" t="s">
        <v>102</v>
      </c>
      <c r="R353" s="11"/>
      <c r="S353" s="11"/>
      <c r="T353" s="23"/>
      <c r="U353" s="11"/>
      <c r="V353" s="11"/>
      <c r="W353" s="83" t="str">
        <f t="shared" si="963"/>
        <v>НБИбд</v>
      </c>
      <c r="X353" s="110" t="s">
        <v>3246</v>
      </c>
      <c r="Y353" s="11">
        <v>4</v>
      </c>
      <c r="Z353" s="11">
        <v>3</v>
      </c>
      <c r="AA353" s="83">
        <f t="shared" ref="AA353" si="1010">AB353+AC353</f>
        <v>10</v>
      </c>
      <c r="AB353" s="11">
        <v>9</v>
      </c>
      <c r="AC353" s="11">
        <v>1</v>
      </c>
      <c r="AD353" s="81">
        <f t="shared" si="964"/>
        <v>12</v>
      </c>
      <c r="AE353" s="82">
        <f t="shared" ref="AE353" si="1011">IF(AF353&gt;1,1,AF353)</f>
        <v>0.83333333333333337</v>
      </c>
      <c r="AF353" s="82">
        <f t="shared" ref="AF353" si="1012">AA353/AD353</f>
        <v>0.83333333333333337</v>
      </c>
      <c r="AG353" s="102" t="s">
        <v>3250</v>
      </c>
      <c r="AH353" s="113" t="s">
        <v>203</v>
      </c>
      <c r="AI353" s="113" t="s">
        <v>213</v>
      </c>
      <c r="AJ353" s="119" t="s">
        <v>3347</v>
      </c>
      <c r="AK353" s="8"/>
      <c r="AL353" s="42">
        <f t="shared" si="965"/>
        <v>0</v>
      </c>
      <c r="AM353" s="42">
        <f t="shared" ref="AM353" si="1013">IF(OR(M353="пр",M353="ия",M353="сп"),P353*AE353*L353,0)</f>
        <v>0</v>
      </c>
      <c r="AN353" s="42">
        <f t="shared" ref="AN353" si="1014">IF(OR(M353="лаб",M353="клн"),O353*AE353*L353,0)</f>
        <v>30</v>
      </c>
      <c r="AO353" s="42">
        <f t="shared" ref="AO353" si="1015">(IF((AND(OR(K353=1,K353=2,K353=3,K353=4,K353=5,K353=6,K353=7,K353=8,K353=9,K353=10,K353=11,K353=12),OR(Q353="Зач",Q353="Экз"))),ТКиРА*AA353,0)+IF(SUM(N353:P353)&lt;&gt;0,IF(Q353="ТК",ТКиРА*AA353,0),0))*(IF(F353="ФТД",0,1))</f>
        <v>3.3000000000000003</v>
      </c>
      <c r="AP353" s="42">
        <f t="shared" ref="AP353" si="1016">IF(SUM(O353:P353)&lt;&gt;0,IF(Q353="Зач",ПАБРС*AA353,0),0)+IF(N353&lt;&gt;0,IF(Q353="Экз",ПАБРС*AA353,0),0)</f>
        <v>5</v>
      </c>
      <c r="AQ353" s="42">
        <f t="shared" ref="AQ353" si="1017">(IF(AP353&lt;&gt;0,ОфВед*(IF(OR(M353="лек",M353="лаб"),Z353,AE353)),0))*(IF(F353="ФТД",0,1))</f>
        <v>3</v>
      </c>
      <c r="AR353" s="42">
        <f t="shared" si="966"/>
        <v>0</v>
      </c>
      <c r="AS353" s="42">
        <f t="shared" ref="AS353" si="1018">IF(OR(M353="лаб",M353="пр"),IF(R353="К",AA353*ВПКР,IF(R353="М",AA353*ВПИБ,0)),0)</f>
        <v>0</v>
      </c>
      <c r="AT353" s="42">
        <f t="shared" ref="AT353" si="1019">IF(OR(M353="лаб",M353="пр"),IF(S353="К",AA353*ВПКП,0),0)</f>
        <v>0</v>
      </c>
      <c r="AU353" s="42">
        <f t="shared" ref="AU353" si="1020">IF(M353="УП",T353/1.5*AA353*РУП,IF(M353="УПМ",T353/1.5*AA353*РУПЛеч,0))</f>
        <v>0</v>
      </c>
      <c r="AV353" s="42">
        <f>IF(M353="ПП",РПП*AA353*(U353/1.5),IF(M353="ВП",ВПр*AA353*(U353/1.5),IF(M353="РПА",РПА*AA353*(U353/1.5),IF(M353="КПА",КПА*AA353*(U353/1.5),0))))</f>
        <v>0</v>
      </c>
      <c r="AW353" s="42">
        <f t="shared" ref="AW353" si="1021">IF(M353="НР",(AB353*НИРМ+AC353*НИРМИн)*(V353/1.5),IF(M353="НИ",(AB353*НИРА+AC353*НИРАИ)*(V353/1.5),0))</f>
        <v>0</v>
      </c>
      <c r="AX353" s="42">
        <f t="shared" si="967"/>
        <v>0</v>
      </c>
      <c r="AY353" s="42">
        <f t="shared" si="968"/>
        <v>0</v>
      </c>
      <c r="AZ353" s="42">
        <f t="shared" ref="AZ353" si="1022">IF(AND(Q353="КЭ",M353="ЧК"),AA353*КдЭк,0)</f>
        <v>0</v>
      </c>
      <c r="BA353" s="42">
        <f t="shared" si="969"/>
        <v>0</v>
      </c>
      <c r="BB353" s="42">
        <f t="shared" si="970"/>
        <v>0</v>
      </c>
      <c r="BC353" s="42">
        <f t="shared" si="971"/>
        <v>0</v>
      </c>
      <c r="BD353" s="42">
        <f t="shared" ref="BD353" si="1023">IF(M353="ЧГ",AA353*ЧГ,IF(M353="ПГ",AA353*ПГ,IF(M353="ТЕСТ",ТГИЭ*AE353,IF(M353="СГ",AA353*СГ,0))))</f>
        <v>0</v>
      </c>
      <c r="BE353" s="43">
        <f t="shared" ref="BE353" si="1024">SUM(AL353:BD353)</f>
        <v>41.3</v>
      </c>
      <c r="BF353" s="44"/>
      <c r="BG353" s="45">
        <f t="shared" ref="BG353" si="1025">IF(OR(K353="1;1",K353="1;2",K353=1,K353="3;1",K353="3;2",K353=3,K353="5;1",K353="5;2",K353=5,K353="7;1",K353="7;2",K353=7,K353="9;1",K353="9;2",K353=9,K353=11),SUM(AL353:AN353),0)</f>
        <v>0</v>
      </c>
      <c r="BH353" s="45">
        <f t="shared" ref="BH353" si="1026">IF(BG353&lt;&gt;0,SUM(N353:P353)/2,0)</f>
        <v>0</v>
      </c>
      <c r="BI353" s="45">
        <f t="shared" ref="BI353" si="1027">IF(OR(K353="1;1",K353="1;2",K353=1,K353="3;1",K353="3;2",K353=3,K353="5;1",K353="5;2",K353=5,K353="7;1",K353="7;2",K353=7,K353="9;1",K353="9;2",K353=9,K353=11),SUM(AO353:BD353),0)</f>
        <v>0</v>
      </c>
      <c r="BJ353" s="46">
        <f t="shared" si="998"/>
        <v>30</v>
      </c>
      <c r="BK353" s="46">
        <f t="shared" si="999"/>
        <v>1</v>
      </c>
      <c r="BL353" s="46">
        <f t="shared" si="1000"/>
        <v>11.3</v>
      </c>
    </row>
    <row r="354" spans="1:64" ht="30" customHeight="1" x14ac:dyDescent="0.25">
      <c r="A354" s="84" t="str">
        <f t="shared" si="962"/>
        <v>Д</v>
      </c>
      <c r="B354" s="84" t="str">
        <f t="shared" si="1001"/>
        <v>Б</v>
      </c>
      <c r="C354" s="101" t="s">
        <v>1473</v>
      </c>
      <c r="D354" s="16" t="str">
        <f t="shared" si="1002"/>
        <v>'38.03.05</v>
      </c>
      <c r="E354" s="17" t="str">
        <f t="shared" si="1003"/>
        <v>Бизнес-информатика</v>
      </c>
      <c r="F354" s="9" t="s">
        <v>413</v>
      </c>
      <c r="G354" s="9" t="s">
        <v>22</v>
      </c>
      <c r="H354" s="10"/>
      <c r="I354" s="10"/>
      <c r="J354" s="24" t="s">
        <v>3310</v>
      </c>
      <c r="K354" s="12">
        <v>2</v>
      </c>
      <c r="L354" s="11">
        <v>18</v>
      </c>
      <c r="M354" s="8" t="s">
        <v>94</v>
      </c>
      <c r="N354" s="12"/>
      <c r="O354" s="12">
        <v>2</v>
      </c>
      <c r="P354" s="12"/>
      <c r="Q354" s="8" t="s">
        <v>102</v>
      </c>
      <c r="R354" s="11"/>
      <c r="S354" s="11"/>
      <c r="T354" s="23"/>
      <c r="U354" s="11"/>
      <c r="V354" s="11"/>
      <c r="W354" s="83" t="str">
        <f t="shared" si="963"/>
        <v>НБИбд</v>
      </c>
      <c r="X354" s="110" t="s">
        <v>3246</v>
      </c>
      <c r="Y354" s="11">
        <v>4</v>
      </c>
      <c r="Z354" s="11">
        <v>3</v>
      </c>
      <c r="AA354" s="83">
        <f t="shared" si="1004"/>
        <v>9</v>
      </c>
      <c r="AB354" s="11">
        <v>8</v>
      </c>
      <c r="AC354" s="11">
        <v>1</v>
      </c>
      <c r="AD354" s="81">
        <f t="shared" si="964"/>
        <v>12</v>
      </c>
      <c r="AE354" s="82">
        <f t="shared" si="1005"/>
        <v>0.75</v>
      </c>
      <c r="AF354" s="82">
        <f t="shared" si="1006"/>
        <v>0.75</v>
      </c>
      <c r="AG354" s="102" t="s">
        <v>3250</v>
      </c>
      <c r="AH354" s="113" t="s">
        <v>203</v>
      </c>
      <c r="AI354" s="113" t="s">
        <v>213</v>
      </c>
      <c r="AJ354" s="119" t="s">
        <v>3347</v>
      </c>
      <c r="AK354" s="8"/>
      <c r="AL354" s="42">
        <f t="shared" si="965"/>
        <v>0</v>
      </c>
      <c r="AM354" s="42">
        <f t="shared" si="906"/>
        <v>0</v>
      </c>
      <c r="AN354" s="42">
        <f t="shared" si="907"/>
        <v>27</v>
      </c>
      <c r="AO354" s="42">
        <f t="shared" si="976"/>
        <v>2.97</v>
      </c>
      <c r="AP354" s="42">
        <f t="shared" si="908"/>
        <v>4.5</v>
      </c>
      <c r="AQ354" s="42">
        <f t="shared" si="909"/>
        <v>3</v>
      </c>
      <c r="AR354" s="42">
        <f t="shared" si="966"/>
        <v>0</v>
      </c>
      <c r="AS354" s="42">
        <f t="shared" si="910"/>
        <v>0</v>
      </c>
      <c r="AT354" s="42">
        <f t="shared" si="911"/>
        <v>0</v>
      </c>
      <c r="AU354" s="42">
        <f t="shared" si="912"/>
        <v>0</v>
      </c>
      <c r="AV354" s="42">
        <f>IF(M354="ПП",РПП*AA354*(U354/1.5),IF(M354="ВП",ВПр*AA354*(U354/1.5),IF(M354="РПА",РПА*AA354*(U354/1.5),IF(M354="КПА",КПА*AA354*(U354/1.5),0))))</f>
        <v>0</v>
      </c>
      <c r="AW354" s="42">
        <f t="shared" si="913"/>
        <v>0</v>
      </c>
      <c r="AX354" s="42">
        <f t="shared" si="967"/>
        <v>0</v>
      </c>
      <c r="AY354" s="42">
        <f t="shared" si="968"/>
        <v>0</v>
      </c>
      <c r="AZ354" s="42">
        <f t="shared" si="914"/>
        <v>0</v>
      </c>
      <c r="BA354" s="42">
        <f t="shared" si="969"/>
        <v>0</v>
      </c>
      <c r="BB354" s="42">
        <f t="shared" si="970"/>
        <v>0</v>
      </c>
      <c r="BC354" s="42">
        <f t="shared" si="971"/>
        <v>0</v>
      </c>
      <c r="BD354" s="42">
        <f t="shared" si="915"/>
        <v>0</v>
      </c>
      <c r="BE354" s="43">
        <f t="shared" si="916"/>
        <v>37.47</v>
      </c>
      <c r="BF354" s="44"/>
      <c r="BG354" s="45">
        <f t="shared" si="917"/>
        <v>0</v>
      </c>
      <c r="BH354" s="45">
        <f t="shared" si="918"/>
        <v>0</v>
      </c>
      <c r="BI354" s="45">
        <f t="shared" si="919"/>
        <v>0</v>
      </c>
      <c r="BJ354" s="46">
        <f t="shared" si="998"/>
        <v>27</v>
      </c>
      <c r="BK354" s="46">
        <f t="shared" si="999"/>
        <v>1</v>
      </c>
      <c r="BL354" s="46">
        <f t="shared" si="1000"/>
        <v>10.47</v>
      </c>
    </row>
    <row r="355" spans="1:64" ht="30" customHeight="1" x14ac:dyDescent="0.25">
      <c r="A355" s="84" t="str">
        <f t="shared" si="962"/>
        <v>Д</v>
      </c>
      <c r="B355" s="84" t="str">
        <f t="shared" ref="B355" si="1028">IF(C355&gt;0, VLOOKUP(C355,Код_ООП,11,FALSE),0)</f>
        <v>Б</v>
      </c>
      <c r="C355" s="101" t="s">
        <v>1473</v>
      </c>
      <c r="D355" s="16" t="str">
        <f t="shared" ref="D355" si="1029">IF(C355&gt;0, VLOOKUP(C355,Код_ООП,2,FALSE),0)</f>
        <v>'38.03.05</v>
      </c>
      <c r="E355" s="17" t="str">
        <f t="shared" ref="E355" si="1030">IF(C355&gt;0, VLOOKUP(C355,Код_ООП,13,FALSE),0)</f>
        <v>Бизнес-информатика</v>
      </c>
      <c r="F355" s="9" t="s">
        <v>413</v>
      </c>
      <c r="G355" s="9" t="s">
        <v>22</v>
      </c>
      <c r="H355" s="10"/>
      <c r="I355" s="10"/>
      <c r="J355" s="24" t="s">
        <v>3310</v>
      </c>
      <c r="K355" s="11">
        <v>2</v>
      </c>
      <c r="L355" s="11">
        <v>18</v>
      </c>
      <c r="M355" s="8" t="s">
        <v>94</v>
      </c>
      <c r="N355" s="11"/>
      <c r="O355" s="11">
        <v>2</v>
      </c>
      <c r="P355" s="11"/>
      <c r="Q355" s="8" t="s">
        <v>102</v>
      </c>
      <c r="R355" s="11"/>
      <c r="S355" s="11"/>
      <c r="T355" s="11"/>
      <c r="U355" s="11"/>
      <c r="V355" s="11"/>
      <c r="W355" s="83" t="str">
        <f t="shared" si="963"/>
        <v>НБИбд</v>
      </c>
      <c r="X355" s="110" t="s">
        <v>3247</v>
      </c>
      <c r="Y355" s="11">
        <v>4</v>
      </c>
      <c r="Z355" s="11">
        <v>3</v>
      </c>
      <c r="AA355" s="83">
        <f t="shared" ref="AA355" si="1031">AB355+AC355</f>
        <v>19</v>
      </c>
      <c r="AB355" s="11">
        <v>17</v>
      </c>
      <c r="AC355" s="11">
        <v>2</v>
      </c>
      <c r="AD355" s="81">
        <f t="shared" si="964"/>
        <v>12</v>
      </c>
      <c r="AE355" s="82">
        <f t="shared" ref="AE355" si="1032">IF(AF355&gt;1,1,AF355)</f>
        <v>1</v>
      </c>
      <c r="AF355" s="82">
        <f t="shared" ref="AF355" si="1033">AA355/AD355</f>
        <v>1.5833333333333333</v>
      </c>
      <c r="AG355" s="102" t="s">
        <v>3250</v>
      </c>
      <c r="AH355" s="113" t="s">
        <v>203</v>
      </c>
      <c r="AI355" s="113" t="s">
        <v>213</v>
      </c>
      <c r="AJ355" s="119" t="s">
        <v>3347</v>
      </c>
      <c r="AK355" s="8"/>
      <c r="AL355" s="42">
        <f t="shared" si="965"/>
        <v>0</v>
      </c>
      <c r="AM355" s="42">
        <f t="shared" ref="AM355" si="1034">IF(OR(M355="пр",M355="ия",M355="сп"),P355*AE355*L355,0)</f>
        <v>0</v>
      </c>
      <c r="AN355" s="42">
        <f t="shared" ref="AN355" si="1035">IF(OR(M355="лаб",M355="клн"),O355*AE355*L355,0)</f>
        <v>36</v>
      </c>
      <c r="AO355" s="42">
        <f t="shared" ref="AO355" si="1036">(IF((AND(OR(K355=1,K355=2,K355=3,K355=4,K355=5,K355=6,K355=7,K355=8,K355=9,K355=10,K355=11,K355=12),OR(Q355="Зач",Q355="Экз"))),ТКиРА*AA355,0)+IF(SUM(N355:P355)&lt;&gt;0,IF(Q355="ТК",ТКиРА*AA355,0),0))*(IF(F355="ФТД",0,1))</f>
        <v>6.2700000000000005</v>
      </c>
      <c r="AP355" s="42">
        <f t="shared" ref="AP355" si="1037">IF(SUM(O355:P355)&lt;&gt;0,IF(Q355="Зач",ПАБРС*AA355,0),0)+IF(N355&lt;&gt;0,IF(Q355="Экз",ПАБРС*AA355,0),0)</f>
        <v>9.5</v>
      </c>
      <c r="AQ355" s="42">
        <f t="shared" ref="AQ355" si="1038">(IF(AP355&lt;&gt;0,ОфВед*(IF(OR(M355="лек",M355="лаб"),Z355,AE355)),0))*(IF(F355="ФТД",0,1))</f>
        <v>3</v>
      </c>
      <c r="AR355" s="42">
        <f t="shared" si="966"/>
        <v>0</v>
      </c>
      <c r="AS355" s="42">
        <f t="shared" ref="AS355" si="1039">IF(OR(M355="лаб",M355="пр"),IF(R355="К",AA355*ВПКР,IF(R355="М",AA355*ВПИБ,0)),0)</f>
        <v>0</v>
      </c>
      <c r="AT355" s="42">
        <f t="shared" ref="AT355" si="1040">IF(OR(M355="лаб",M355="пр"),IF(S355="К",AA355*ВПКП,0),0)</f>
        <v>0</v>
      </c>
      <c r="AU355" s="42">
        <f t="shared" ref="AU355" si="1041">IF(M355="УП",T355/1.5*AA355*РУП,IF(M355="УПМ",T355/1.5*AA355*РУПЛеч,0))</f>
        <v>0</v>
      </c>
      <c r="AV355" s="42">
        <f>IF(M355="ПП",РПП*AA355*(U355/1.5),IF(M355="ВП",ВПр*AA355*(U355/1.5),IF(M355="РПА",РПА*AA355*(U355/1.5),IF(M355="КПА",КПА*AA355*(U355/1.5),0))))</f>
        <v>0</v>
      </c>
      <c r="AW355" s="42">
        <f t="shared" ref="AW355" si="1042">IF(M355="НР",(AB355*НИРМ+AC355*НИРМИн)*(V355/1.5),IF(M355="НИ",(AB355*НИРА+AC355*НИРАИ)*(V355/1.5),0))</f>
        <v>0</v>
      </c>
      <c r="AX355" s="42">
        <f t="shared" si="967"/>
        <v>0</v>
      </c>
      <c r="AY355" s="42">
        <f t="shared" si="968"/>
        <v>0</v>
      </c>
      <c r="AZ355" s="42">
        <f t="shared" ref="AZ355" si="1043">IF(AND(Q355="КЭ",M355="ЧК"),AA355*КдЭк,0)</f>
        <v>0</v>
      </c>
      <c r="BA355" s="42">
        <f t="shared" si="969"/>
        <v>0</v>
      </c>
      <c r="BB355" s="42">
        <f t="shared" si="970"/>
        <v>0</v>
      </c>
      <c r="BC355" s="42">
        <f t="shared" si="971"/>
        <v>0</v>
      </c>
      <c r="BD355" s="42">
        <f t="shared" ref="BD355" si="1044">IF(M355="ЧГ",AA355*ЧГ,IF(M355="ПГ",AA355*ПГ,IF(M355="ТЕСТ",ТГИЭ*AE355,IF(M355="СГ",AA355*СГ,0))))</f>
        <v>0</v>
      </c>
      <c r="BE355" s="43">
        <f t="shared" ref="BE355" si="1045">SUM(AL355:BD355)</f>
        <v>54.77</v>
      </c>
      <c r="BF355" s="44"/>
      <c r="BG355" s="45">
        <f t="shared" ref="BG355" si="1046">IF(OR(K355="1;1",K355="1;2",K355=1,K355="3;1",K355="3;2",K355=3,K355="5;1",K355="5;2",K355=5,K355="7;1",K355="7;2",K355=7,K355="9;1",K355="9;2",K355=9,K355=11),SUM(AL355:AN355),0)</f>
        <v>0</v>
      </c>
      <c r="BH355" s="45">
        <f t="shared" ref="BH355" si="1047">IF(BG355&lt;&gt;0,SUM(N355:P355)/2,0)</f>
        <v>0</v>
      </c>
      <c r="BI355" s="45">
        <f t="shared" ref="BI355" si="1048">IF(OR(K355="1;1",K355="1;2",K355=1,K355="3;1",K355="3;2",K355=3,K355="5;1",K355="5;2",K355=5,K355="7;1",K355="7;2",K355=7,K355="9;1",K355="9;2",K355=9,K355=11),SUM(AO355:BD355),0)</f>
        <v>0</v>
      </c>
      <c r="BJ355" s="46">
        <f t="shared" si="998"/>
        <v>36</v>
      </c>
      <c r="BK355" s="46">
        <f t="shared" si="999"/>
        <v>1</v>
      </c>
      <c r="BL355" s="46">
        <f t="shared" si="1000"/>
        <v>18.77</v>
      </c>
    </row>
    <row r="356" spans="1:64" ht="30" customHeight="1" x14ac:dyDescent="0.25">
      <c r="A356" s="84" t="str">
        <f t="shared" si="962"/>
        <v>Д</v>
      </c>
      <c r="B356" s="84" t="str">
        <f t="shared" si="1001"/>
        <v>Б</v>
      </c>
      <c r="C356" s="101" t="s">
        <v>1473</v>
      </c>
      <c r="D356" s="16" t="str">
        <f t="shared" si="1002"/>
        <v>'38.03.05</v>
      </c>
      <c r="E356" s="17" t="str">
        <f t="shared" si="1003"/>
        <v>Бизнес-информатика</v>
      </c>
      <c r="F356" s="9" t="s">
        <v>413</v>
      </c>
      <c r="G356" s="9" t="s">
        <v>22</v>
      </c>
      <c r="H356" s="10"/>
      <c r="I356" s="10"/>
      <c r="J356" s="24" t="s">
        <v>3310</v>
      </c>
      <c r="K356" s="11">
        <v>2</v>
      </c>
      <c r="L356" s="11">
        <v>18</v>
      </c>
      <c r="M356" s="8" t="s">
        <v>94</v>
      </c>
      <c r="N356" s="11"/>
      <c r="O356" s="11">
        <v>2</v>
      </c>
      <c r="P356" s="11"/>
      <c r="Q356" s="8" t="s">
        <v>102</v>
      </c>
      <c r="R356" s="11"/>
      <c r="S356" s="11"/>
      <c r="T356" s="11"/>
      <c r="U356" s="11"/>
      <c r="V356" s="11"/>
      <c r="W356" s="83" t="str">
        <f t="shared" si="963"/>
        <v>НБИбд</v>
      </c>
      <c r="X356" s="110" t="s">
        <v>3247</v>
      </c>
      <c r="Y356" s="11"/>
      <c r="Z356" s="11"/>
      <c r="AA356" s="83">
        <f t="shared" si="1004"/>
        <v>0</v>
      </c>
      <c r="AB356" s="11"/>
      <c r="AC356" s="11"/>
      <c r="AD356" s="81">
        <f t="shared" si="964"/>
        <v>12</v>
      </c>
      <c r="AE356" s="82">
        <f t="shared" si="1005"/>
        <v>0</v>
      </c>
      <c r="AF356" s="82">
        <f t="shared" si="1006"/>
        <v>0</v>
      </c>
      <c r="AG356" s="102" t="s">
        <v>3250</v>
      </c>
      <c r="AH356" s="113" t="s">
        <v>203</v>
      </c>
      <c r="AI356" s="113" t="s">
        <v>213</v>
      </c>
      <c r="AJ356" s="119" t="s">
        <v>3347</v>
      </c>
      <c r="AK356" s="8"/>
      <c r="AL356" s="42">
        <f t="shared" si="965"/>
        <v>0</v>
      </c>
      <c r="AM356" s="42">
        <f t="shared" si="906"/>
        <v>0</v>
      </c>
      <c r="AN356" s="42">
        <f t="shared" si="907"/>
        <v>0</v>
      </c>
      <c r="AO356" s="42">
        <f t="shared" si="976"/>
        <v>0</v>
      </c>
      <c r="AP356" s="42">
        <f t="shared" si="908"/>
        <v>0</v>
      </c>
      <c r="AQ356" s="42">
        <f t="shared" si="909"/>
        <v>0</v>
      </c>
      <c r="AR356" s="42">
        <f t="shared" si="966"/>
        <v>0</v>
      </c>
      <c r="AS356" s="42">
        <f t="shared" si="910"/>
        <v>0</v>
      </c>
      <c r="AT356" s="42">
        <f t="shared" si="911"/>
        <v>0</v>
      </c>
      <c r="AU356" s="42">
        <f t="shared" si="912"/>
        <v>0</v>
      </c>
      <c r="AV356" s="42">
        <f>IF(M356="ПП",РПП*AA356*(U356/1.5),IF(M356="ВП",ВПр*AA356*(U356/1.5),IF(M356="РПА",РПА*AA356*(U356/1.5),IF(M356="КПА",КПА*AA356*(U356/1.5),0))))</f>
        <v>0</v>
      </c>
      <c r="AW356" s="42">
        <f t="shared" si="913"/>
        <v>0</v>
      </c>
      <c r="AX356" s="42">
        <f t="shared" si="967"/>
        <v>0</v>
      </c>
      <c r="AY356" s="42">
        <f t="shared" si="968"/>
        <v>0</v>
      </c>
      <c r="AZ356" s="42">
        <f t="shared" si="914"/>
        <v>0</v>
      </c>
      <c r="BA356" s="42">
        <f t="shared" si="969"/>
        <v>0</v>
      </c>
      <c r="BB356" s="42">
        <f t="shared" si="970"/>
        <v>0</v>
      </c>
      <c r="BC356" s="42">
        <f t="shared" si="971"/>
        <v>0</v>
      </c>
      <c r="BD356" s="42">
        <f t="shared" si="915"/>
        <v>0</v>
      </c>
      <c r="BE356" s="43">
        <f t="shared" si="916"/>
        <v>0</v>
      </c>
      <c r="BF356" s="44"/>
      <c r="BG356" s="45">
        <f t="shared" si="917"/>
        <v>0</v>
      </c>
      <c r="BH356" s="45">
        <f t="shared" si="918"/>
        <v>0</v>
      </c>
      <c r="BI356" s="45">
        <f t="shared" si="919"/>
        <v>0</v>
      </c>
      <c r="BJ356" s="46">
        <f t="shared" si="998"/>
        <v>0</v>
      </c>
      <c r="BK356" s="46">
        <f t="shared" si="999"/>
        <v>0</v>
      </c>
      <c r="BL356" s="46">
        <f t="shared" si="1000"/>
        <v>0</v>
      </c>
    </row>
    <row r="357" spans="1:64" ht="30" customHeight="1" x14ac:dyDescent="0.25">
      <c r="A357" s="84" t="str">
        <f t="shared" si="962"/>
        <v>Д</v>
      </c>
      <c r="B357" s="84" t="str">
        <f t="shared" ref="B357" si="1049">IF(C357&gt;0, VLOOKUP(C357,Код_ООП,11,FALSE),0)</f>
        <v>Б</v>
      </c>
      <c r="C357" s="101" t="s">
        <v>1473</v>
      </c>
      <c r="D357" s="16" t="str">
        <f t="shared" ref="D357" si="1050">IF(C357&gt;0, VLOOKUP(C357,Код_ООП,2,FALSE),0)</f>
        <v>'38.03.05</v>
      </c>
      <c r="E357" s="17" t="str">
        <f t="shared" ref="E357" si="1051">IF(C357&gt;0, VLOOKUP(C357,Код_ООП,13,FALSE),0)</f>
        <v>Бизнес-информатика</v>
      </c>
      <c r="F357" s="9" t="s">
        <v>413</v>
      </c>
      <c r="G357" s="9" t="s">
        <v>22</v>
      </c>
      <c r="H357" s="10"/>
      <c r="I357" s="10"/>
      <c r="J357" s="24" t="s">
        <v>3310</v>
      </c>
      <c r="K357" s="11">
        <v>2</v>
      </c>
      <c r="L357" s="11">
        <v>18</v>
      </c>
      <c r="M357" s="8" t="s">
        <v>94</v>
      </c>
      <c r="N357" s="11"/>
      <c r="O357" s="11">
        <v>2</v>
      </c>
      <c r="P357" s="11"/>
      <c r="Q357" s="8" t="s">
        <v>102</v>
      </c>
      <c r="R357" s="11"/>
      <c r="S357" s="11"/>
      <c r="T357" s="11"/>
      <c r="U357" s="11"/>
      <c r="V357" s="11"/>
      <c r="W357" s="83" t="str">
        <f t="shared" si="963"/>
        <v>НБИбд</v>
      </c>
      <c r="X357" s="110" t="s">
        <v>3248</v>
      </c>
      <c r="Y357" s="11">
        <v>4</v>
      </c>
      <c r="Z357" s="11">
        <v>3</v>
      </c>
      <c r="AA357" s="83">
        <f t="shared" ref="AA357" si="1052">AB357+AC357</f>
        <v>17</v>
      </c>
      <c r="AB357" s="11">
        <v>16</v>
      </c>
      <c r="AC357" s="11">
        <v>1</v>
      </c>
      <c r="AD357" s="81">
        <f t="shared" si="964"/>
        <v>12</v>
      </c>
      <c r="AE357" s="82">
        <f t="shared" ref="AE357" si="1053">IF(AF357&gt;1,1,AF357)</f>
        <v>1</v>
      </c>
      <c r="AF357" s="82">
        <f t="shared" ref="AF357" si="1054">AA357/AD357</f>
        <v>1.4166666666666667</v>
      </c>
      <c r="AG357" s="102" t="s">
        <v>3250</v>
      </c>
      <c r="AH357" s="113" t="s">
        <v>203</v>
      </c>
      <c r="AI357" s="113" t="s">
        <v>213</v>
      </c>
      <c r="AJ357" s="119" t="s">
        <v>3347</v>
      </c>
      <c r="AK357" s="8"/>
      <c r="AL357" s="42">
        <f t="shared" si="965"/>
        <v>0</v>
      </c>
      <c r="AM357" s="42">
        <f t="shared" ref="AM357" si="1055">IF(OR(M357="пр",M357="ия",M357="сп"),P357*AE357*L357,0)</f>
        <v>0</v>
      </c>
      <c r="AN357" s="42">
        <f t="shared" ref="AN357" si="1056">IF(OR(M357="лаб",M357="клн"),O357*AE357*L357,0)</f>
        <v>36</v>
      </c>
      <c r="AO357" s="42">
        <f t="shared" ref="AO357" si="1057">(IF((AND(OR(K357=1,K357=2,K357=3,K357=4,K357=5,K357=6,K357=7,K357=8,K357=9,K357=10,K357=11,K357=12),OR(Q357="Зач",Q357="Экз"))),ТКиРА*AA357,0)+IF(SUM(N357:P357)&lt;&gt;0,IF(Q357="ТК",ТКиРА*AA357,0),0))*(IF(F357="ФТД",0,1))</f>
        <v>5.61</v>
      </c>
      <c r="AP357" s="42">
        <f t="shared" ref="AP357" si="1058">IF(SUM(O357:P357)&lt;&gt;0,IF(Q357="Зач",ПАБРС*AA357,0),0)+IF(N357&lt;&gt;0,IF(Q357="Экз",ПАБРС*AA357,0),0)</f>
        <v>8.5</v>
      </c>
      <c r="AQ357" s="42">
        <f t="shared" ref="AQ357" si="1059">(IF(AP357&lt;&gt;0,ОфВед*(IF(OR(M357="лек",M357="лаб"),Z357,AE357)),0))*(IF(F357="ФТД",0,1))</f>
        <v>3</v>
      </c>
      <c r="AR357" s="42">
        <f t="shared" si="966"/>
        <v>0</v>
      </c>
      <c r="AS357" s="42">
        <f t="shared" ref="AS357" si="1060">IF(OR(M357="лаб",M357="пр"),IF(R357="К",AA357*ВПКР,IF(R357="М",AA357*ВПИБ,0)),0)</f>
        <v>0</v>
      </c>
      <c r="AT357" s="42">
        <f t="shared" ref="AT357" si="1061">IF(OR(M357="лаб",M357="пр"),IF(S357="К",AA357*ВПКП,0),0)</f>
        <v>0</v>
      </c>
      <c r="AU357" s="42">
        <f t="shared" ref="AU357" si="1062">IF(M357="УП",T357/1.5*AA357*РУП,IF(M357="УПМ",T357/1.5*AA357*РУПЛеч,0))</f>
        <v>0</v>
      </c>
      <c r="AV357" s="42">
        <f>IF(M357="ПП",РПП*AA357*(U357/1.5),IF(M357="ВП",ВПр*AA357*(U357/1.5),IF(M357="РПА",РПА*AA357*(U357/1.5),IF(M357="КПА",КПА*AA357*(U357/1.5),0))))</f>
        <v>0</v>
      </c>
      <c r="AW357" s="42">
        <f t="shared" ref="AW357" si="1063">IF(M357="НР",(AB357*НИРМ+AC357*НИРМИн)*(V357/1.5),IF(M357="НИ",(AB357*НИРА+AC357*НИРАИ)*(V357/1.5),0))</f>
        <v>0</v>
      </c>
      <c r="AX357" s="42">
        <f t="shared" si="967"/>
        <v>0</v>
      </c>
      <c r="AY357" s="42">
        <f t="shared" si="968"/>
        <v>0</v>
      </c>
      <c r="AZ357" s="42">
        <f t="shared" ref="AZ357" si="1064">IF(AND(Q357="КЭ",M357="ЧК"),AA357*КдЭк,0)</f>
        <v>0</v>
      </c>
      <c r="BA357" s="42">
        <f t="shared" si="969"/>
        <v>0</v>
      </c>
      <c r="BB357" s="42">
        <f t="shared" si="970"/>
        <v>0</v>
      </c>
      <c r="BC357" s="42">
        <f t="shared" si="971"/>
        <v>0</v>
      </c>
      <c r="BD357" s="42">
        <f t="shared" ref="BD357" si="1065">IF(M357="ЧГ",AA357*ЧГ,IF(M357="ПГ",AA357*ПГ,IF(M357="ТЕСТ",ТГИЭ*AE357,IF(M357="СГ",AA357*СГ,0))))</f>
        <v>0</v>
      </c>
      <c r="BE357" s="43">
        <f t="shared" ref="BE357" si="1066">SUM(AL357:BD357)</f>
        <v>53.11</v>
      </c>
      <c r="BF357" s="44"/>
      <c r="BG357" s="45">
        <f t="shared" ref="BG357" si="1067">IF(OR(K357="1;1",K357="1;2",K357=1,K357="3;1",K357="3;2",K357=3,K357="5;1",K357="5;2",K357=5,K357="7;1",K357="7;2",K357=7,K357="9;1",K357="9;2",K357=9,K357=11),SUM(AL357:AN357),0)</f>
        <v>0</v>
      </c>
      <c r="BH357" s="45">
        <f t="shared" ref="BH357" si="1068">IF(BG357&lt;&gt;0,SUM(N357:P357)/2,0)</f>
        <v>0</v>
      </c>
      <c r="BI357" s="45">
        <f t="shared" ref="BI357" si="1069">IF(OR(K357="1;1",K357="1;2",K357=1,K357="3;1",K357="3;2",K357=3,K357="5;1",K357="5;2",K357=5,K357="7;1",K357="7;2",K357=7,K357="9;1",K357="9;2",K357=9,K357=11),SUM(AO357:BD357),0)</f>
        <v>0</v>
      </c>
      <c r="BJ357" s="46">
        <f t="shared" si="998"/>
        <v>36</v>
      </c>
      <c r="BK357" s="46">
        <f t="shared" si="999"/>
        <v>1</v>
      </c>
      <c r="BL357" s="46">
        <f t="shared" si="1000"/>
        <v>17.11</v>
      </c>
    </row>
    <row r="358" spans="1:64" ht="30" customHeight="1" x14ac:dyDescent="0.25">
      <c r="A358" s="84" t="str">
        <f t="shared" si="962"/>
        <v>Д</v>
      </c>
      <c r="B358" s="84" t="str">
        <f t="shared" si="1001"/>
        <v>Б</v>
      </c>
      <c r="C358" s="101" t="s">
        <v>1473</v>
      </c>
      <c r="D358" s="16" t="str">
        <f t="shared" si="1002"/>
        <v>'38.03.05</v>
      </c>
      <c r="E358" s="17" t="str">
        <f t="shared" si="1003"/>
        <v>Бизнес-информатика</v>
      </c>
      <c r="F358" s="9" t="s">
        <v>413</v>
      </c>
      <c r="G358" s="9" t="s">
        <v>22</v>
      </c>
      <c r="H358" s="10"/>
      <c r="I358" s="10"/>
      <c r="J358" s="24" t="s">
        <v>3310</v>
      </c>
      <c r="K358" s="11">
        <v>2</v>
      </c>
      <c r="L358" s="11">
        <v>18</v>
      </c>
      <c r="M358" s="8" t="s">
        <v>94</v>
      </c>
      <c r="N358" s="11"/>
      <c r="O358" s="11">
        <v>2</v>
      </c>
      <c r="P358" s="11"/>
      <c r="Q358" s="8" t="s">
        <v>102</v>
      </c>
      <c r="R358" s="11"/>
      <c r="S358" s="11"/>
      <c r="T358" s="11"/>
      <c r="U358" s="11"/>
      <c r="V358" s="11"/>
      <c r="W358" s="83" t="str">
        <f t="shared" si="963"/>
        <v>НБИбд</v>
      </c>
      <c r="X358" s="110" t="s">
        <v>3248</v>
      </c>
      <c r="Y358" s="11"/>
      <c r="Z358" s="11"/>
      <c r="AA358" s="83">
        <f t="shared" si="1004"/>
        <v>0</v>
      </c>
      <c r="AB358" s="11"/>
      <c r="AC358" s="11"/>
      <c r="AD358" s="81">
        <f t="shared" si="964"/>
        <v>12</v>
      </c>
      <c r="AE358" s="82">
        <f t="shared" si="1005"/>
        <v>0</v>
      </c>
      <c r="AF358" s="82">
        <f t="shared" si="1006"/>
        <v>0</v>
      </c>
      <c r="AG358" s="102" t="s">
        <v>3250</v>
      </c>
      <c r="AH358" s="113" t="s">
        <v>203</v>
      </c>
      <c r="AI358" s="113" t="s">
        <v>213</v>
      </c>
      <c r="AJ358" s="119" t="s">
        <v>3347</v>
      </c>
      <c r="AK358" s="8"/>
      <c r="AL358" s="42">
        <f t="shared" si="965"/>
        <v>0</v>
      </c>
      <c r="AM358" s="42">
        <f t="shared" ref="AM358:AM409" si="1070">IF(OR(M358="пр",M358="ия",M358="сп"),P358*AE358*L358,0)</f>
        <v>0</v>
      </c>
      <c r="AN358" s="42">
        <f t="shared" ref="AN358:AN409" si="1071">IF(OR(M358="лаб",M358="клн"),O358*AE358*L358,0)</f>
        <v>0</v>
      </c>
      <c r="AO358" s="42">
        <f t="shared" si="976"/>
        <v>0</v>
      </c>
      <c r="AP358" s="42">
        <f t="shared" ref="AP358:AP409" si="1072">IF(SUM(O358:P358)&lt;&gt;0,IF(Q358="Зач",ПАБРС*AA358,0),0)+IF(N358&lt;&gt;0,IF(Q358="Экз",ПАБРС*AA358,0),0)</f>
        <v>0</v>
      </c>
      <c r="AQ358" s="42">
        <f t="shared" ref="AQ358:AQ409" si="1073">(IF(AP358&lt;&gt;0,ОфВед*(IF(OR(M358="лек",M358="лаб"),Z358,AE358)),0))*(IF(F358="ФТД",0,1))</f>
        <v>0</v>
      </c>
      <c r="AR358" s="42">
        <f t="shared" si="966"/>
        <v>0</v>
      </c>
      <c r="AS358" s="42">
        <f t="shared" ref="AS358:AS409" si="1074">IF(OR(M358="лаб",M358="пр"),IF(R358="К",AA358*ВПКР,IF(R358="М",AA358*ВПИБ,0)),0)</f>
        <v>0</v>
      </c>
      <c r="AT358" s="42">
        <f t="shared" ref="AT358:AT409" si="1075">IF(OR(M358="лаб",M358="пр"),IF(S358="К",AA358*ВПКП,0),0)</f>
        <v>0</v>
      </c>
      <c r="AU358" s="42">
        <f t="shared" ref="AU358:AU409" si="1076">IF(M358="УП",T358/1.5*AA358*РУП,IF(M358="УПМ",T358/1.5*AA358*РУПЛеч,0))</f>
        <v>0</v>
      </c>
      <c r="AV358" s="42">
        <f>IF(M358="ПП",РПП*AA358*(U358/1.5),IF(M358="ВП",ВПр*AA358*(U358/1.5),IF(M358="РПА",РПА*AA358*(U358/1.5),IF(M358="КПА",КПА*AA358*(U358/1.5),0))))</f>
        <v>0</v>
      </c>
      <c r="AW358" s="42">
        <f t="shared" ref="AW358:AW409" si="1077">IF(M358="НР",(AB358*НИРМ+AC358*НИРМИн)*(V358/1.5),IF(M358="НИ",(AB358*НИРА+AC358*НИРАИ)*(V358/1.5),0))</f>
        <v>0</v>
      </c>
      <c r="AX358" s="42">
        <f t="shared" si="967"/>
        <v>0</v>
      </c>
      <c r="AY358" s="42">
        <f t="shared" si="968"/>
        <v>0</v>
      </c>
      <c r="AZ358" s="42">
        <f t="shared" ref="AZ358:AZ409" si="1078">IF(AND(Q358="КЭ",M358="ЧК"),AA358*КдЭк,0)</f>
        <v>0</v>
      </c>
      <c r="BA358" s="42">
        <f t="shared" si="969"/>
        <v>0</v>
      </c>
      <c r="BB358" s="42">
        <f t="shared" si="970"/>
        <v>0</v>
      </c>
      <c r="BC358" s="42">
        <f t="shared" si="971"/>
        <v>0</v>
      </c>
      <c r="BD358" s="42">
        <f t="shared" ref="BD358:BD409" si="1079">IF(M358="ЧГ",AA358*ЧГ,IF(M358="ПГ",AA358*ПГ,IF(M358="ТЕСТ",ТГИЭ*AE358,IF(M358="СГ",AA358*СГ,0))))</f>
        <v>0</v>
      </c>
      <c r="BE358" s="43">
        <f t="shared" ref="BE358:BE409" si="1080">SUM(AL358:BD358)</f>
        <v>0</v>
      </c>
      <c r="BF358" s="44"/>
      <c r="BG358" s="45">
        <f t="shared" ref="BG358:BG409" si="1081">IF(OR(K358="1;1",K358="1;2",K358=1,K358="3;1",K358="3;2",K358=3,K358="5;1",K358="5;2",K358=5,K358="7;1",K358="7;2",K358=7,K358="9;1",K358="9;2",K358=9,K358=11),SUM(AL358:AN358),0)</f>
        <v>0</v>
      </c>
      <c r="BH358" s="45">
        <f t="shared" ref="BH358:BH409" si="1082">IF(BG358&lt;&gt;0,SUM(N358:P358)/2,0)</f>
        <v>0</v>
      </c>
      <c r="BI358" s="45">
        <f t="shared" ref="BI358:BI409" si="1083">IF(OR(K358="1;1",K358="1;2",K358=1,K358="3;1",K358="3;2",K358=3,K358="5;1",K358="5;2",K358=5,K358="7;1",K358="7;2",K358=7,K358="9;1",K358="9;2",K358=9,K358=11),SUM(AO358:BD358),0)</f>
        <v>0</v>
      </c>
      <c r="BJ358" s="46">
        <f t="shared" si="998"/>
        <v>0</v>
      </c>
      <c r="BK358" s="46">
        <f t="shared" si="999"/>
        <v>0</v>
      </c>
      <c r="BL358" s="46">
        <f t="shared" si="1000"/>
        <v>0</v>
      </c>
    </row>
    <row r="359" spans="1:64" ht="30" customHeight="1" x14ac:dyDescent="0.25">
      <c r="A359" s="84" t="str">
        <f t="shared" si="962"/>
        <v>Д</v>
      </c>
      <c r="B359" s="84" t="str">
        <f t="shared" si="1001"/>
        <v>Б</v>
      </c>
      <c r="C359" s="101" t="s">
        <v>1473</v>
      </c>
      <c r="D359" s="16" t="str">
        <f t="shared" si="1002"/>
        <v>'38.03.05</v>
      </c>
      <c r="E359" s="17" t="str">
        <f t="shared" si="1003"/>
        <v>Бизнес-информатика</v>
      </c>
      <c r="F359" s="9" t="s">
        <v>413</v>
      </c>
      <c r="G359" s="9" t="s">
        <v>42</v>
      </c>
      <c r="H359" s="10"/>
      <c r="I359" s="10"/>
      <c r="J359" s="24" t="s">
        <v>3303</v>
      </c>
      <c r="K359" s="11">
        <v>3</v>
      </c>
      <c r="L359" s="11">
        <v>18</v>
      </c>
      <c r="M359" s="8" t="s">
        <v>23</v>
      </c>
      <c r="N359" s="11">
        <v>1</v>
      </c>
      <c r="O359" s="11"/>
      <c r="P359" s="11"/>
      <c r="Q359" s="8" t="s">
        <v>103</v>
      </c>
      <c r="R359" s="11"/>
      <c r="S359" s="11"/>
      <c r="T359" s="11"/>
      <c r="U359" s="11"/>
      <c r="V359" s="11"/>
      <c r="W359" s="83" t="str">
        <f t="shared" si="963"/>
        <v>НБИбд</v>
      </c>
      <c r="X359" s="110" t="s">
        <v>3237</v>
      </c>
      <c r="Y359" s="11">
        <v>3</v>
      </c>
      <c r="Z359" s="11">
        <v>2</v>
      </c>
      <c r="AA359" s="83">
        <f t="shared" si="1004"/>
        <v>36</v>
      </c>
      <c r="AB359" s="11">
        <v>30</v>
      </c>
      <c r="AC359" s="11">
        <v>6</v>
      </c>
      <c r="AD359" s="81">
        <f t="shared" si="964"/>
        <v>36</v>
      </c>
      <c r="AE359" s="82">
        <f t="shared" si="1005"/>
        <v>1</v>
      </c>
      <c r="AF359" s="82">
        <f t="shared" si="1006"/>
        <v>1</v>
      </c>
      <c r="AG359" s="102" t="s">
        <v>3250</v>
      </c>
      <c r="AH359" s="113" t="s">
        <v>204</v>
      </c>
      <c r="AI359" s="113" t="s">
        <v>212</v>
      </c>
      <c r="AJ359" s="125" t="s">
        <v>3346</v>
      </c>
      <c r="AK359" s="8" t="s">
        <v>949</v>
      </c>
      <c r="AL359" s="42">
        <f t="shared" si="965"/>
        <v>18</v>
      </c>
      <c r="AM359" s="42">
        <f t="shared" si="1070"/>
        <v>0</v>
      </c>
      <c r="AN359" s="42">
        <f t="shared" si="1071"/>
        <v>0</v>
      </c>
      <c r="AO359" s="42">
        <f t="shared" si="976"/>
        <v>11.88</v>
      </c>
      <c r="AP359" s="42">
        <f t="shared" si="1072"/>
        <v>18</v>
      </c>
      <c r="AQ359" s="42">
        <f t="shared" si="1073"/>
        <v>2</v>
      </c>
      <c r="AR359" s="42">
        <f t="shared" si="966"/>
        <v>1.8</v>
      </c>
      <c r="AS359" s="42">
        <f t="shared" si="1074"/>
        <v>0</v>
      </c>
      <c r="AT359" s="42">
        <f t="shared" si="1075"/>
        <v>0</v>
      </c>
      <c r="AU359" s="42">
        <f t="shared" si="1076"/>
        <v>0</v>
      </c>
      <c r="AV359" s="42">
        <f>IF(M359="ПП",РПП*AA359*(U359/1.5),IF(M359="ВП",ВПр*AA359*(U359/1.5),IF(M359="РПА",РПА*AA359*(U359/1.5),IF(M359="КПА",КПА*AA359*(U359/1.5),0))))</f>
        <v>0</v>
      </c>
      <c r="AW359" s="42">
        <f t="shared" si="1077"/>
        <v>0</v>
      </c>
      <c r="AX359" s="42">
        <f t="shared" si="967"/>
        <v>0</v>
      </c>
      <c r="AY359" s="42">
        <f t="shared" si="968"/>
        <v>0</v>
      </c>
      <c r="AZ359" s="42">
        <f t="shared" si="1078"/>
        <v>0</v>
      </c>
      <c r="BA359" s="42">
        <f t="shared" si="969"/>
        <v>0</v>
      </c>
      <c r="BB359" s="42">
        <f t="shared" si="970"/>
        <v>0</v>
      </c>
      <c r="BC359" s="42">
        <f t="shared" si="971"/>
        <v>0</v>
      </c>
      <c r="BD359" s="42">
        <f t="shared" si="1079"/>
        <v>0</v>
      </c>
      <c r="BE359" s="43">
        <f t="shared" si="1080"/>
        <v>51.68</v>
      </c>
      <c r="BF359" s="44"/>
      <c r="BG359" s="45">
        <f t="shared" si="1081"/>
        <v>18</v>
      </c>
      <c r="BH359" s="45">
        <f t="shared" si="1082"/>
        <v>0.5</v>
      </c>
      <c r="BI359" s="45">
        <f t="shared" si="1083"/>
        <v>33.68</v>
      </c>
      <c r="BJ359" s="46">
        <f t="shared" si="998"/>
        <v>0</v>
      </c>
      <c r="BK359" s="46">
        <f t="shared" si="999"/>
        <v>0</v>
      </c>
      <c r="BL359" s="46">
        <f t="shared" si="1000"/>
        <v>0</v>
      </c>
    </row>
    <row r="360" spans="1:64" ht="30" customHeight="1" x14ac:dyDescent="0.25">
      <c r="A360" s="84" t="str">
        <f t="shared" si="962"/>
        <v>Д</v>
      </c>
      <c r="B360" s="84" t="str">
        <f t="shared" si="1001"/>
        <v>Б</v>
      </c>
      <c r="C360" s="101" t="s">
        <v>1473</v>
      </c>
      <c r="D360" s="16" t="str">
        <f t="shared" si="1002"/>
        <v>'38.03.05</v>
      </c>
      <c r="E360" s="17" t="str">
        <f t="shared" si="1003"/>
        <v>Бизнес-информатика</v>
      </c>
      <c r="F360" s="9" t="s">
        <v>413</v>
      </c>
      <c r="G360" s="9" t="s">
        <v>42</v>
      </c>
      <c r="H360" s="10"/>
      <c r="I360" s="10"/>
      <c r="J360" s="24" t="s">
        <v>3303</v>
      </c>
      <c r="K360" s="11">
        <v>3</v>
      </c>
      <c r="L360" s="11">
        <v>18</v>
      </c>
      <c r="M360" s="8" t="s">
        <v>24</v>
      </c>
      <c r="N360" s="11"/>
      <c r="O360" s="11"/>
      <c r="P360" s="11">
        <v>2</v>
      </c>
      <c r="Q360" s="8"/>
      <c r="R360" s="11"/>
      <c r="S360" s="11"/>
      <c r="T360" s="11"/>
      <c r="U360" s="11"/>
      <c r="V360" s="11"/>
      <c r="W360" s="83" t="str">
        <f t="shared" si="963"/>
        <v>НБИбд</v>
      </c>
      <c r="X360" s="110" t="s">
        <v>3234</v>
      </c>
      <c r="Y360" s="11">
        <v>2</v>
      </c>
      <c r="Z360" s="11">
        <v>1</v>
      </c>
      <c r="AA360" s="83">
        <f t="shared" si="1004"/>
        <v>18</v>
      </c>
      <c r="AB360" s="11">
        <v>15</v>
      </c>
      <c r="AC360" s="11">
        <v>3</v>
      </c>
      <c r="AD360" s="81">
        <f t="shared" si="964"/>
        <v>24</v>
      </c>
      <c r="AE360" s="82">
        <f t="shared" si="1005"/>
        <v>0.75</v>
      </c>
      <c r="AF360" s="82">
        <f t="shared" si="1006"/>
        <v>0.75</v>
      </c>
      <c r="AG360" s="102" t="s">
        <v>3250</v>
      </c>
      <c r="AH360" s="113" t="s">
        <v>203</v>
      </c>
      <c r="AI360" s="113" t="s">
        <v>214</v>
      </c>
      <c r="AJ360" s="119" t="s">
        <v>3346</v>
      </c>
      <c r="AK360" s="8"/>
      <c r="AL360" s="42">
        <f t="shared" si="965"/>
        <v>0</v>
      </c>
      <c r="AM360" s="42">
        <f t="shared" si="1070"/>
        <v>27</v>
      </c>
      <c r="AN360" s="42">
        <f t="shared" si="1071"/>
        <v>0</v>
      </c>
      <c r="AO360" s="42">
        <f t="shared" si="976"/>
        <v>0</v>
      </c>
      <c r="AP360" s="42">
        <f t="shared" si="1072"/>
        <v>0</v>
      </c>
      <c r="AQ360" s="42">
        <f t="shared" si="1073"/>
        <v>0</v>
      </c>
      <c r="AR360" s="42">
        <f t="shared" si="966"/>
        <v>0</v>
      </c>
      <c r="AS360" s="42">
        <f t="shared" si="1074"/>
        <v>0</v>
      </c>
      <c r="AT360" s="42">
        <f t="shared" si="1075"/>
        <v>0</v>
      </c>
      <c r="AU360" s="42">
        <f t="shared" si="1076"/>
        <v>0</v>
      </c>
      <c r="AV360" s="42">
        <f>IF(M360="ПП",РПП*AA360*(U360/1.5),IF(M360="ВП",ВПр*AA360*(U360/1.5),IF(M360="РПА",РПА*AA360*(U360/1.5),IF(M360="КПА",КПА*AA360*(U360/1.5),0))))</f>
        <v>0</v>
      </c>
      <c r="AW360" s="42">
        <f t="shared" si="1077"/>
        <v>0</v>
      </c>
      <c r="AX360" s="42">
        <f t="shared" si="967"/>
        <v>0</v>
      </c>
      <c r="AY360" s="42">
        <f t="shared" si="968"/>
        <v>0</v>
      </c>
      <c r="AZ360" s="42">
        <f t="shared" si="1078"/>
        <v>0</v>
      </c>
      <c r="BA360" s="42">
        <f t="shared" si="969"/>
        <v>0</v>
      </c>
      <c r="BB360" s="42">
        <f t="shared" si="970"/>
        <v>0</v>
      </c>
      <c r="BC360" s="42">
        <f t="shared" si="971"/>
        <v>0</v>
      </c>
      <c r="BD360" s="42">
        <f t="shared" si="1079"/>
        <v>0</v>
      </c>
      <c r="BE360" s="43">
        <f t="shared" si="1080"/>
        <v>27</v>
      </c>
      <c r="BF360" s="44"/>
      <c r="BG360" s="45">
        <f t="shared" si="1081"/>
        <v>27</v>
      </c>
      <c r="BH360" s="45">
        <f t="shared" si="1082"/>
        <v>1</v>
      </c>
      <c r="BI360" s="45">
        <f t="shared" si="1083"/>
        <v>0</v>
      </c>
      <c r="BJ360" s="46">
        <f t="shared" si="998"/>
        <v>0</v>
      </c>
      <c r="BK360" s="46">
        <f t="shared" si="999"/>
        <v>0</v>
      </c>
      <c r="BL360" s="46">
        <f t="shared" si="1000"/>
        <v>0</v>
      </c>
    </row>
    <row r="361" spans="1:64" ht="30" customHeight="1" x14ac:dyDescent="0.25">
      <c r="A361" s="84" t="str">
        <f t="shared" si="962"/>
        <v>Д</v>
      </c>
      <c r="B361" s="84" t="str">
        <f t="shared" si="1001"/>
        <v>Б</v>
      </c>
      <c r="C361" s="101" t="s">
        <v>1473</v>
      </c>
      <c r="D361" s="16" t="str">
        <f t="shared" si="1002"/>
        <v>'38.03.05</v>
      </c>
      <c r="E361" s="17" t="str">
        <f t="shared" si="1003"/>
        <v>Бизнес-информатика</v>
      </c>
      <c r="F361" s="9" t="s">
        <v>413</v>
      </c>
      <c r="G361" s="9" t="s">
        <v>42</v>
      </c>
      <c r="H361" s="10"/>
      <c r="I361" s="10"/>
      <c r="J361" s="24" t="s">
        <v>3303</v>
      </c>
      <c r="K361" s="11">
        <v>3</v>
      </c>
      <c r="L361" s="11">
        <v>18</v>
      </c>
      <c r="M361" s="8" t="s">
        <v>24</v>
      </c>
      <c r="N361" s="11"/>
      <c r="O361" s="11"/>
      <c r="P361" s="11">
        <v>2</v>
      </c>
      <c r="Q361" s="8"/>
      <c r="R361" s="11"/>
      <c r="S361" s="11"/>
      <c r="T361" s="11"/>
      <c r="U361" s="11"/>
      <c r="V361" s="11"/>
      <c r="W361" s="83" t="str">
        <f t="shared" si="963"/>
        <v>НБИбд</v>
      </c>
      <c r="X361" s="110" t="s">
        <v>3235</v>
      </c>
      <c r="Y361" s="11">
        <v>1</v>
      </c>
      <c r="Z361" s="11">
        <v>1</v>
      </c>
      <c r="AA361" s="83">
        <f t="shared" si="1004"/>
        <v>18</v>
      </c>
      <c r="AB361" s="11">
        <v>15</v>
      </c>
      <c r="AC361" s="11">
        <v>3</v>
      </c>
      <c r="AD361" s="81">
        <f t="shared" si="964"/>
        <v>24</v>
      </c>
      <c r="AE361" s="82">
        <f t="shared" si="1005"/>
        <v>0.75</v>
      </c>
      <c r="AF361" s="82">
        <f t="shared" si="1006"/>
        <v>0.75</v>
      </c>
      <c r="AG361" s="102" t="s">
        <v>3250</v>
      </c>
      <c r="AH361" s="113" t="s">
        <v>203</v>
      </c>
      <c r="AI361" s="113" t="s">
        <v>214</v>
      </c>
      <c r="AJ361" s="119" t="s">
        <v>3346</v>
      </c>
      <c r="AK361" s="8"/>
      <c r="AL361" s="42">
        <f t="shared" si="965"/>
        <v>0</v>
      </c>
      <c r="AM361" s="42">
        <f t="shared" si="1070"/>
        <v>27</v>
      </c>
      <c r="AN361" s="42">
        <f t="shared" si="1071"/>
        <v>0</v>
      </c>
      <c r="AO361" s="42">
        <f t="shared" si="976"/>
        <v>0</v>
      </c>
      <c r="AP361" s="42">
        <f t="shared" si="1072"/>
        <v>0</v>
      </c>
      <c r="AQ361" s="42">
        <f t="shared" si="1073"/>
        <v>0</v>
      </c>
      <c r="AR361" s="42">
        <f t="shared" si="966"/>
        <v>0</v>
      </c>
      <c r="AS361" s="42">
        <f t="shared" si="1074"/>
        <v>0</v>
      </c>
      <c r="AT361" s="42">
        <f t="shared" si="1075"/>
        <v>0</v>
      </c>
      <c r="AU361" s="42">
        <f t="shared" si="1076"/>
        <v>0</v>
      </c>
      <c r="AV361" s="42">
        <f>IF(M361="ПП",РПП*AA361*(U361/1.5),IF(M361="ВП",ВПр*AA361*(U361/1.5),IF(M361="РПА",РПА*AA361*(U361/1.5),IF(M361="КПА",КПА*AA361*(U361/1.5),0))))</f>
        <v>0</v>
      </c>
      <c r="AW361" s="42">
        <f t="shared" si="1077"/>
        <v>0</v>
      </c>
      <c r="AX361" s="42">
        <f t="shared" si="967"/>
        <v>0</v>
      </c>
      <c r="AY361" s="42">
        <f t="shared" si="968"/>
        <v>0</v>
      </c>
      <c r="AZ361" s="42">
        <f t="shared" si="1078"/>
        <v>0</v>
      </c>
      <c r="BA361" s="42">
        <f t="shared" si="969"/>
        <v>0</v>
      </c>
      <c r="BB361" s="42">
        <f t="shared" si="970"/>
        <v>0</v>
      </c>
      <c r="BC361" s="42">
        <f t="shared" si="971"/>
        <v>0</v>
      </c>
      <c r="BD361" s="42">
        <f t="shared" si="1079"/>
        <v>0</v>
      </c>
      <c r="BE361" s="43">
        <f t="shared" si="1080"/>
        <v>27</v>
      </c>
      <c r="BF361" s="44"/>
      <c r="BG361" s="45">
        <f t="shared" si="1081"/>
        <v>27</v>
      </c>
      <c r="BH361" s="45">
        <f t="shared" si="1082"/>
        <v>1</v>
      </c>
      <c r="BI361" s="45">
        <f t="shared" si="1083"/>
        <v>0</v>
      </c>
      <c r="BJ361" s="46">
        <f t="shared" si="998"/>
        <v>0</v>
      </c>
      <c r="BK361" s="46">
        <f t="shared" si="999"/>
        <v>0</v>
      </c>
      <c r="BL361" s="46">
        <f t="shared" si="1000"/>
        <v>0</v>
      </c>
    </row>
    <row r="362" spans="1:64" ht="30" customHeight="1" x14ac:dyDescent="0.25">
      <c r="A362" s="84" t="str">
        <f t="shared" si="962"/>
        <v>Д</v>
      </c>
      <c r="B362" s="84" t="str">
        <f t="shared" si="1001"/>
        <v>Б</v>
      </c>
      <c r="C362" s="101" t="s">
        <v>1473</v>
      </c>
      <c r="D362" s="16" t="str">
        <f t="shared" si="1002"/>
        <v>'38.03.05</v>
      </c>
      <c r="E362" s="17" t="str">
        <f t="shared" si="1003"/>
        <v>Бизнес-информатика</v>
      </c>
      <c r="F362" s="9" t="s">
        <v>413</v>
      </c>
      <c r="G362" s="9" t="s">
        <v>42</v>
      </c>
      <c r="H362" s="10" t="s">
        <v>3233</v>
      </c>
      <c r="I362" s="10"/>
      <c r="J362" s="24" t="s">
        <v>3204</v>
      </c>
      <c r="K362" s="11">
        <v>1</v>
      </c>
      <c r="L362" s="11">
        <v>18</v>
      </c>
      <c r="M362" s="8" t="s">
        <v>23</v>
      </c>
      <c r="N362" s="11">
        <v>1</v>
      </c>
      <c r="O362" s="11"/>
      <c r="P362" s="11"/>
      <c r="Q362" s="8"/>
      <c r="R362" s="11"/>
      <c r="S362" s="11"/>
      <c r="T362" s="11"/>
      <c r="U362" s="11"/>
      <c r="V362" s="11"/>
      <c r="W362" s="83" t="str">
        <f t="shared" si="963"/>
        <v>НБИбд</v>
      </c>
      <c r="X362" s="110" t="s">
        <v>3273</v>
      </c>
      <c r="Y362" s="11">
        <v>4</v>
      </c>
      <c r="Z362" s="11">
        <v>3</v>
      </c>
      <c r="AA362" s="83">
        <f t="shared" si="1004"/>
        <v>55</v>
      </c>
      <c r="AB362" s="11">
        <v>50</v>
      </c>
      <c r="AC362" s="11">
        <v>5</v>
      </c>
      <c r="AD362" s="81">
        <f t="shared" si="964"/>
        <v>55</v>
      </c>
      <c r="AE362" s="82">
        <f t="shared" si="1005"/>
        <v>1</v>
      </c>
      <c r="AF362" s="82">
        <f t="shared" si="1006"/>
        <v>1</v>
      </c>
      <c r="AG362" s="102" t="s">
        <v>3250</v>
      </c>
      <c r="AH362" s="113" t="s">
        <v>204</v>
      </c>
      <c r="AI362" s="113" t="s">
        <v>212</v>
      </c>
      <c r="AJ362" s="119" t="s">
        <v>3255</v>
      </c>
      <c r="AK362" s="8"/>
      <c r="AL362" s="42">
        <f t="shared" si="965"/>
        <v>18</v>
      </c>
      <c r="AM362" s="42">
        <f t="shared" si="1070"/>
        <v>0</v>
      </c>
      <c r="AN362" s="42">
        <f t="shared" si="1071"/>
        <v>0</v>
      </c>
      <c r="AO362" s="42">
        <f t="shared" si="976"/>
        <v>0</v>
      </c>
      <c r="AP362" s="42">
        <f t="shared" si="1072"/>
        <v>0</v>
      </c>
      <c r="AQ362" s="42">
        <f t="shared" si="1073"/>
        <v>0</v>
      </c>
      <c r="AR362" s="42">
        <f t="shared" si="966"/>
        <v>2.7</v>
      </c>
      <c r="AS362" s="42">
        <f t="shared" si="1074"/>
        <v>0</v>
      </c>
      <c r="AT362" s="42">
        <f t="shared" si="1075"/>
        <v>0</v>
      </c>
      <c r="AU362" s="42">
        <f t="shared" si="1076"/>
        <v>0</v>
      </c>
      <c r="AV362" s="42">
        <f>IF(M362="ПП",РПП*AA362*(U362/1.5),IF(M362="ВП",ВПр*AA362*(U362/1.5),IF(M362="РПА",РПА*AA362*(U362/1.5),IF(M362="КПА",КПА*AA362*(U362/1.5),0))))</f>
        <v>0</v>
      </c>
      <c r="AW362" s="42">
        <f t="shared" si="1077"/>
        <v>0</v>
      </c>
      <c r="AX362" s="42">
        <f t="shared" si="967"/>
        <v>0</v>
      </c>
      <c r="AY362" s="42">
        <f t="shared" si="968"/>
        <v>0</v>
      </c>
      <c r="AZ362" s="42">
        <f t="shared" si="1078"/>
        <v>0</v>
      </c>
      <c r="BA362" s="42">
        <f t="shared" si="969"/>
        <v>0</v>
      </c>
      <c r="BB362" s="42">
        <f t="shared" si="970"/>
        <v>0</v>
      </c>
      <c r="BC362" s="42">
        <f t="shared" si="971"/>
        <v>0</v>
      </c>
      <c r="BD362" s="42">
        <f t="shared" si="1079"/>
        <v>0</v>
      </c>
      <c r="BE362" s="43">
        <f t="shared" si="1080"/>
        <v>20.7</v>
      </c>
      <c r="BF362" s="44"/>
      <c r="BG362" s="45">
        <f t="shared" si="1081"/>
        <v>18</v>
      </c>
      <c r="BH362" s="45">
        <f t="shared" si="1082"/>
        <v>0.5</v>
      </c>
      <c r="BI362" s="45">
        <f t="shared" si="1083"/>
        <v>2.7</v>
      </c>
      <c r="BJ362" s="46">
        <f t="shared" si="998"/>
        <v>0</v>
      </c>
      <c r="BK362" s="46">
        <f t="shared" si="999"/>
        <v>0</v>
      </c>
      <c r="BL362" s="46">
        <f t="shared" si="1000"/>
        <v>0</v>
      </c>
    </row>
    <row r="363" spans="1:64" ht="30" customHeight="1" x14ac:dyDescent="0.25">
      <c r="A363" s="84" t="str">
        <f t="shared" si="962"/>
        <v>Д</v>
      </c>
      <c r="B363" s="84" t="str">
        <f t="shared" si="1001"/>
        <v>Б</v>
      </c>
      <c r="C363" s="101" t="s">
        <v>1473</v>
      </c>
      <c r="D363" s="16" t="str">
        <f t="shared" si="1002"/>
        <v>'38.03.05</v>
      </c>
      <c r="E363" s="17" t="str">
        <f t="shared" si="1003"/>
        <v>Бизнес-информатика</v>
      </c>
      <c r="F363" s="9" t="s">
        <v>413</v>
      </c>
      <c r="G363" s="9" t="s">
        <v>42</v>
      </c>
      <c r="H363" s="10" t="s">
        <v>3233</v>
      </c>
      <c r="I363" s="10"/>
      <c r="J363" s="24" t="s">
        <v>3204</v>
      </c>
      <c r="K363" s="11">
        <v>1</v>
      </c>
      <c r="L363" s="11">
        <v>18</v>
      </c>
      <c r="M363" s="8" t="s">
        <v>94</v>
      </c>
      <c r="N363" s="11"/>
      <c r="O363" s="11">
        <v>2</v>
      </c>
      <c r="P363" s="11"/>
      <c r="Q363" s="8" t="s">
        <v>102</v>
      </c>
      <c r="R363" s="11"/>
      <c r="S363" s="11"/>
      <c r="T363" s="11"/>
      <c r="U363" s="11"/>
      <c r="V363" s="11"/>
      <c r="W363" s="83" t="str">
        <f t="shared" si="963"/>
        <v>НБИбд</v>
      </c>
      <c r="X363" s="110" t="s">
        <v>3246</v>
      </c>
      <c r="Y363" s="11">
        <v>1</v>
      </c>
      <c r="Z363" s="11">
        <v>1</v>
      </c>
      <c r="AA363" s="83">
        <f t="shared" si="1004"/>
        <v>13</v>
      </c>
      <c r="AB363" s="11">
        <v>12</v>
      </c>
      <c r="AC363" s="11">
        <v>1</v>
      </c>
      <c r="AD363" s="81">
        <f t="shared" si="964"/>
        <v>12</v>
      </c>
      <c r="AE363" s="82">
        <f t="shared" si="1005"/>
        <v>1</v>
      </c>
      <c r="AF363" s="82">
        <f t="shared" si="1006"/>
        <v>1.0833333333333333</v>
      </c>
      <c r="AG363" s="102" t="s">
        <v>3250</v>
      </c>
      <c r="AH363" s="113" t="s">
        <v>204</v>
      </c>
      <c r="AI363" s="113" t="s">
        <v>212</v>
      </c>
      <c r="AJ363" s="119" t="s">
        <v>3255</v>
      </c>
      <c r="AK363" s="8"/>
      <c r="AL363" s="42">
        <f t="shared" si="965"/>
        <v>0</v>
      </c>
      <c r="AM363" s="42">
        <f t="shared" si="1070"/>
        <v>0</v>
      </c>
      <c r="AN363" s="42">
        <f t="shared" si="1071"/>
        <v>36</v>
      </c>
      <c r="AO363" s="42">
        <f t="shared" si="976"/>
        <v>4.29</v>
      </c>
      <c r="AP363" s="42">
        <f t="shared" si="1072"/>
        <v>6.5</v>
      </c>
      <c r="AQ363" s="42">
        <f t="shared" si="1073"/>
        <v>1</v>
      </c>
      <c r="AR363" s="42">
        <f t="shared" si="966"/>
        <v>0</v>
      </c>
      <c r="AS363" s="42">
        <f t="shared" si="1074"/>
        <v>0</v>
      </c>
      <c r="AT363" s="42">
        <f t="shared" si="1075"/>
        <v>0</v>
      </c>
      <c r="AU363" s="42">
        <f t="shared" si="1076"/>
        <v>0</v>
      </c>
      <c r="AV363" s="42">
        <f>IF(M363="ПП",РПП*AA363*(U363/1.5),IF(M363="ВП",ВПр*AA363*(U363/1.5),IF(M363="РПА",РПА*AA363*(U363/1.5),IF(M363="КПА",КПА*AA363*(U363/1.5),0))))</f>
        <v>0</v>
      </c>
      <c r="AW363" s="42">
        <f t="shared" si="1077"/>
        <v>0</v>
      </c>
      <c r="AX363" s="42">
        <f t="shared" si="967"/>
        <v>0</v>
      </c>
      <c r="AY363" s="42">
        <f t="shared" si="968"/>
        <v>0</v>
      </c>
      <c r="AZ363" s="42">
        <f t="shared" si="1078"/>
        <v>0</v>
      </c>
      <c r="BA363" s="42">
        <f t="shared" si="969"/>
        <v>0</v>
      </c>
      <c r="BB363" s="42">
        <f t="shared" si="970"/>
        <v>0</v>
      </c>
      <c r="BC363" s="42">
        <f t="shared" si="971"/>
        <v>0</v>
      </c>
      <c r="BD363" s="42">
        <f t="shared" si="1079"/>
        <v>0</v>
      </c>
      <c r="BE363" s="43">
        <f t="shared" si="1080"/>
        <v>47.79</v>
      </c>
      <c r="BF363" s="44"/>
      <c r="BG363" s="45">
        <f t="shared" si="1081"/>
        <v>36</v>
      </c>
      <c r="BH363" s="45">
        <f t="shared" si="1082"/>
        <v>1</v>
      </c>
      <c r="BI363" s="45">
        <f t="shared" si="1083"/>
        <v>11.79</v>
      </c>
      <c r="BJ363" s="46">
        <f t="shared" si="998"/>
        <v>0</v>
      </c>
      <c r="BK363" s="46">
        <f t="shared" si="999"/>
        <v>0</v>
      </c>
      <c r="BL363" s="46">
        <f t="shared" si="1000"/>
        <v>0</v>
      </c>
    </row>
    <row r="364" spans="1:64" ht="30" customHeight="1" x14ac:dyDescent="0.25">
      <c r="A364" s="84" t="str">
        <f t="shared" si="962"/>
        <v>Д</v>
      </c>
      <c r="B364" s="84" t="str">
        <f t="shared" si="1001"/>
        <v>Б</v>
      </c>
      <c r="C364" s="101" t="s">
        <v>1473</v>
      </c>
      <c r="D364" s="16" t="str">
        <f t="shared" si="1002"/>
        <v>'38.03.05</v>
      </c>
      <c r="E364" s="17" t="str">
        <f t="shared" si="1003"/>
        <v>Бизнес-информатика</v>
      </c>
      <c r="F364" s="9" t="s">
        <v>413</v>
      </c>
      <c r="G364" s="9" t="s">
        <v>42</v>
      </c>
      <c r="H364" s="10" t="s">
        <v>3233</v>
      </c>
      <c r="I364" s="10"/>
      <c r="J364" s="24" t="s">
        <v>3204</v>
      </c>
      <c r="K364" s="11">
        <v>1</v>
      </c>
      <c r="L364" s="11">
        <v>18</v>
      </c>
      <c r="M364" s="8" t="s">
        <v>94</v>
      </c>
      <c r="N364" s="11"/>
      <c r="O364" s="11">
        <v>2</v>
      </c>
      <c r="P364" s="11"/>
      <c r="Q364" s="8" t="s">
        <v>102</v>
      </c>
      <c r="R364" s="12"/>
      <c r="S364" s="12"/>
      <c r="T364" s="12"/>
      <c r="U364" s="12"/>
      <c r="V364" s="12"/>
      <c r="W364" s="83" t="str">
        <f t="shared" si="963"/>
        <v>НБИбд</v>
      </c>
      <c r="X364" s="110" t="s">
        <v>3246</v>
      </c>
      <c r="Y364" s="11">
        <v>1</v>
      </c>
      <c r="Z364" s="11"/>
      <c r="AA364" s="83">
        <f t="shared" si="1004"/>
        <v>14</v>
      </c>
      <c r="AB364" s="11">
        <v>12</v>
      </c>
      <c r="AC364" s="11">
        <v>2</v>
      </c>
      <c r="AD364" s="81">
        <f t="shared" si="964"/>
        <v>12</v>
      </c>
      <c r="AE364" s="82">
        <f t="shared" si="1005"/>
        <v>1</v>
      </c>
      <c r="AF364" s="82">
        <f t="shared" si="1006"/>
        <v>1.1666666666666667</v>
      </c>
      <c r="AG364" s="102" t="s">
        <v>3250</v>
      </c>
      <c r="AH364" s="113" t="s">
        <v>204</v>
      </c>
      <c r="AI364" s="113" t="s">
        <v>212</v>
      </c>
      <c r="AJ364" s="119" t="s">
        <v>3255</v>
      </c>
      <c r="AK364" s="8"/>
      <c r="AL364" s="42">
        <f t="shared" si="965"/>
        <v>0</v>
      </c>
      <c r="AM364" s="42">
        <f t="shared" si="1070"/>
        <v>0</v>
      </c>
      <c r="AN364" s="42">
        <f t="shared" si="1071"/>
        <v>36</v>
      </c>
      <c r="AO364" s="42">
        <f t="shared" si="976"/>
        <v>4.62</v>
      </c>
      <c r="AP364" s="42">
        <f t="shared" si="1072"/>
        <v>7</v>
      </c>
      <c r="AQ364" s="42">
        <f t="shared" si="1073"/>
        <v>0</v>
      </c>
      <c r="AR364" s="42">
        <f t="shared" si="966"/>
        <v>0</v>
      </c>
      <c r="AS364" s="42">
        <f t="shared" si="1074"/>
        <v>0</v>
      </c>
      <c r="AT364" s="42">
        <f t="shared" si="1075"/>
        <v>0</v>
      </c>
      <c r="AU364" s="42">
        <f t="shared" si="1076"/>
        <v>0</v>
      </c>
      <c r="AV364" s="42">
        <f>IF(M364="ПП",РПП*AA364*(U364/1.5),IF(M364="ВП",ВПр*AA364*(U364/1.5),IF(M364="РПА",РПА*AA364*(U364/1.5),IF(M364="КПА",КПА*AA364*(U364/1.5),0))))</f>
        <v>0</v>
      </c>
      <c r="AW364" s="42">
        <f t="shared" si="1077"/>
        <v>0</v>
      </c>
      <c r="AX364" s="42">
        <f t="shared" si="967"/>
        <v>0</v>
      </c>
      <c r="AY364" s="42">
        <f t="shared" si="968"/>
        <v>0</v>
      </c>
      <c r="AZ364" s="42">
        <f t="shared" si="1078"/>
        <v>0</v>
      </c>
      <c r="BA364" s="42">
        <f t="shared" si="969"/>
        <v>0</v>
      </c>
      <c r="BB364" s="42">
        <f t="shared" si="970"/>
        <v>0</v>
      </c>
      <c r="BC364" s="42">
        <f t="shared" si="971"/>
        <v>0</v>
      </c>
      <c r="BD364" s="42">
        <f t="shared" si="1079"/>
        <v>0</v>
      </c>
      <c r="BE364" s="43">
        <f t="shared" si="1080"/>
        <v>47.62</v>
      </c>
      <c r="BF364" s="44"/>
      <c r="BG364" s="45">
        <f t="shared" si="1081"/>
        <v>36</v>
      </c>
      <c r="BH364" s="45">
        <f t="shared" si="1082"/>
        <v>1</v>
      </c>
      <c r="BI364" s="45">
        <f t="shared" si="1083"/>
        <v>11.620000000000001</v>
      </c>
      <c r="BJ364" s="46">
        <f t="shared" si="998"/>
        <v>0</v>
      </c>
      <c r="BK364" s="46">
        <f t="shared" si="999"/>
        <v>0</v>
      </c>
      <c r="BL364" s="46">
        <f t="shared" si="1000"/>
        <v>0</v>
      </c>
    </row>
    <row r="365" spans="1:64" ht="30" customHeight="1" x14ac:dyDescent="0.25">
      <c r="A365" s="84" t="str">
        <f t="shared" si="962"/>
        <v>Д</v>
      </c>
      <c r="B365" s="84" t="str">
        <f t="shared" si="1001"/>
        <v>Б</v>
      </c>
      <c r="C365" s="101" t="s">
        <v>1473</v>
      </c>
      <c r="D365" s="16" t="str">
        <f t="shared" si="1002"/>
        <v>'38.03.05</v>
      </c>
      <c r="E365" s="17" t="str">
        <f t="shared" si="1003"/>
        <v>Бизнес-информатика</v>
      </c>
      <c r="F365" s="9" t="s">
        <v>413</v>
      </c>
      <c r="G365" s="9" t="s">
        <v>42</v>
      </c>
      <c r="H365" s="10" t="s">
        <v>3233</v>
      </c>
      <c r="I365" s="10"/>
      <c r="J365" s="24" t="s">
        <v>3204</v>
      </c>
      <c r="K365" s="11">
        <v>1</v>
      </c>
      <c r="L365" s="11">
        <v>18</v>
      </c>
      <c r="M365" s="8" t="s">
        <v>94</v>
      </c>
      <c r="N365" s="11"/>
      <c r="O365" s="11">
        <v>2</v>
      </c>
      <c r="P365" s="11"/>
      <c r="Q365" s="8" t="s">
        <v>102</v>
      </c>
      <c r="R365" s="11"/>
      <c r="S365" s="11"/>
      <c r="T365" s="23"/>
      <c r="U365" s="11"/>
      <c r="V365" s="11"/>
      <c r="W365" s="83" t="str">
        <f t="shared" si="963"/>
        <v>НБИбд</v>
      </c>
      <c r="X365" s="110" t="s">
        <v>3247</v>
      </c>
      <c r="Y365" s="11">
        <v>1</v>
      </c>
      <c r="Z365" s="11">
        <v>1</v>
      </c>
      <c r="AA365" s="83">
        <f t="shared" si="1004"/>
        <v>14</v>
      </c>
      <c r="AB365" s="11">
        <v>13</v>
      </c>
      <c r="AC365" s="11">
        <v>1</v>
      </c>
      <c r="AD365" s="81">
        <f t="shared" si="964"/>
        <v>12</v>
      </c>
      <c r="AE365" s="82">
        <f t="shared" si="1005"/>
        <v>1</v>
      </c>
      <c r="AF365" s="82">
        <f t="shared" si="1006"/>
        <v>1.1666666666666667</v>
      </c>
      <c r="AG365" s="102" t="s">
        <v>3250</v>
      </c>
      <c r="AH365" s="113" t="s">
        <v>203</v>
      </c>
      <c r="AI365" s="113" t="s">
        <v>213</v>
      </c>
      <c r="AJ365" s="125" t="s">
        <v>3344</v>
      </c>
      <c r="AK365" s="8"/>
      <c r="AL365" s="42">
        <f t="shared" si="965"/>
        <v>0</v>
      </c>
      <c r="AM365" s="42">
        <f t="shared" si="1070"/>
        <v>0</v>
      </c>
      <c r="AN365" s="42">
        <f t="shared" si="1071"/>
        <v>36</v>
      </c>
      <c r="AO365" s="42">
        <f t="shared" si="976"/>
        <v>4.62</v>
      </c>
      <c r="AP365" s="42">
        <f t="shared" si="1072"/>
        <v>7</v>
      </c>
      <c r="AQ365" s="42">
        <f t="shared" si="1073"/>
        <v>1</v>
      </c>
      <c r="AR365" s="42">
        <f t="shared" si="966"/>
        <v>0</v>
      </c>
      <c r="AS365" s="42">
        <f t="shared" si="1074"/>
        <v>0</v>
      </c>
      <c r="AT365" s="42">
        <f t="shared" si="1075"/>
        <v>0</v>
      </c>
      <c r="AU365" s="42">
        <f t="shared" si="1076"/>
        <v>0</v>
      </c>
      <c r="AV365" s="42">
        <f>IF(M365="ПП",РПП*AA365*(U365/1.5),IF(M365="ВП",ВПр*AA365*(U365/1.5),IF(M365="РПА",РПА*AA365*(U365/1.5),IF(M365="КПА",КПА*AA365*(U365/1.5),0))))</f>
        <v>0</v>
      </c>
      <c r="AW365" s="42">
        <f t="shared" si="1077"/>
        <v>0</v>
      </c>
      <c r="AX365" s="42">
        <f t="shared" si="967"/>
        <v>0</v>
      </c>
      <c r="AY365" s="42">
        <f t="shared" si="968"/>
        <v>0</v>
      </c>
      <c r="AZ365" s="42">
        <f t="shared" si="1078"/>
        <v>0</v>
      </c>
      <c r="BA365" s="42">
        <f t="shared" si="969"/>
        <v>0</v>
      </c>
      <c r="BB365" s="42">
        <f t="shared" si="970"/>
        <v>0</v>
      </c>
      <c r="BC365" s="42">
        <f t="shared" si="971"/>
        <v>0</v>
      </c>
      <c r="BD365" s="42">
        <f t="shared" si="1079"/>
        <v>0</v>
      </c>
      <c r="BE365" s="43">
        <f t="shared" si="1080"/>
        <v>48.62</v>
      </c>
      <c r="BF365" s="44"/>
      <c r="BG365" s="45">
        <f t="shared" si="1081"/>
        <v>36</v>
      </c>
      <c r="BH365" s="45">
        <f t="shared" si="1082"/>
        <v>1</v>
      </c>
      <c r="BI365" s="45">
        <f t="shared" si="1083"/>
        <v>12.620000000000001</v>
      </c>
      <c r="BJ365" s="46">
        <f t="shared" si="998"/>
        <v>0</v>
      </c>
      <c r="BK365" s="46">
        <f t="shared" si="999"/>
        <v>0</v>
      </c>
      <c r="BL365" s="46">
        <f t="shared" si="1000"/>
        <v>0</v>
      </c>
    </row>
    <row r="366" spans="1:64" ht="30" customHeight="1" x14ac:dyDescent="0.25">
      <c r="A366" s="84" t="str">
        <f t="shared" si="962"/>
        <v>Д</v>
      </c>
      <c r="B366" s="84" t="str">
        <f t="shared" si="1001"/>
        <v>Б</v>
      </c>
      <c r="C366" s="101" t="s">
        <v>1473</v>
      </c>
      <c r="D366" s="16" t="str">
        <f t="shared" si="1002"/>
        <v>'38.03.05</v>
      </c>
      <c r="E366" s="17" t="str">
        <f t="shared" si="1003"/>
        <v>Бизнес-информатика</v>
      </c>
      <c r="F366" s="9" t="s">
        <v>413</v>
      </c>
      <c r="G366" s="9" t="s">
        <v>42</v>
      </c>
      <c r="H366" s="10" t="s">
        <v>3233</v>
      </c>
      <c r="I366" s="10"/>
      <c r="J366" s="24" t="s">
        <v>3204</v>
      </c>
      <c r="K366" s="12">
        <v>1</v>
      </c>
      <c r="L366" s="11">
        <v>18</v>
      </c>
      <c r="M366" s="8" t="s">
        <v>94</v>
      </c>
      <c r="N366" s="12"/>
      <c r="O366" s="11">
        <v>2</v>
      </c>
      <c r="P366" s="12"/>
      <c r="Q366" s="8" t="s">
        <v>102</v>
      </c>
      <c r="R366" s="11"/>
      <c r="S366" s="11"/>
      <c r="T366" s="23"/>
      <c r="U366" s="11"/>
      <c r="V366" s="11"/>
      <c r="W366" s="83" t="str">
        <f t="shared" si="963"/>
        <v>НБИбд</v>
      </c>
      <c r="X366" s="110" t="s">
        <v>3247</v>
      </c>
      <c r="Y366" s="11"/>
      <c r="Z366" s="11"/>
      <c r="AA366" s="83">
        <f t="shared" si="1004"/>
        <v>0</v>
      </c>
      <c r="AB366" s="11"/>
      <c r="AC366" s="11"/>
      <c r="AD366" s="81">
        <f t="shared" si="964"/>
        <v>12</v>
      </c>
      <c r="AE366" s="82">
        <f t="shared" si="1005"/>
        <v>0</v>
      </c>
      <c r="AF366" s="82">
        <f t="shared" si="1006"/>
        <v>0</v>
      </c>
      <c r="AG366" s="102" t="s">
        <v>3250</v>
      </c>
      <c r="AH366" s="113" t="s">
        <v>203</v>
      </c>
      <c r="AI366" s="113" t="s">
        <v>213</v>
      </c>
      <c r="AJ366" s="119" t="s">
        <v>3344</v>
      </c>
      <c r="AK366" s="8"/>
      <c r="AL366" s="42">
        <f t="shared" si="965"/>
        <v>0</v>
      </c>
      <c r="AM366" s="42">
        <f t="shared" si="1070"/>
        <v>0</v>
      </c>
      <c r="AN366" s="42">
        <f t="shared" si="1071"/>
        <v>0</v>
      </c>
      <c r="AO366" s="42">
        <f t="shared" si="976"/>
        <v>0</v>
      </c>
      <c r="AP366" s="42">
        <f t="shared" si="1072"/>
        <v>0</v>
      </c>
      <c r="AQ366" s="42">
        <f t="shared" si="1073"/>
        <v>0</v>
      </c>
      <c r="AR366" s="42">
        <f t="shared" si="966"/>
        <v>0</v>
      </c>
      <c r="AS366" s="42">
        <f t="shared" si="1074"/>
        <v>0</v>
      </c>
      <c r="AT366" s="42">
        <f t="shared" si="1075"/>
        <v>0</v>
      </c>
      <c r="AU366" s="42">
        <f t="shared" si="1076"/>
        <v>0</v>
      </c>
      <c r="AV366" s="42">
        <f>IF(M366="ПП",РПП*AA366*(U366/1.5),IF(M366="ВП",ВПр*AA366*(U366/1.5),IF(M366="РПА",РПА*AA366*(U366/1.5),IF(M366="КПА",КПА*AA366*(U366/1.5),0))))</f>
        <v>0</v>
      </c>
      <c r="AW366" s="42">
        <f t="shared" si="1077"/>
        <v>0</v>
      </c>
      <c r="AX366" s="42">
        <f t="shared" si="967"/>
        <v>0</v>
      </c>
      <c r="AY366" s="42">
        <f t="shared" si="968"/>
        <v>0</v>
      </c>
      <c r="AZ366" s="42">
        <f t="shared" si="1078"/>
        <v>0</v>
      </c>
      <c r="BA366" s="42">
        <f t="shared" si="969"/>
        <v>0</v>
      </c>
      <c r="BB366" s="42">
        <f t="shared" si="970"/>
        <v>0</v>
      </c>
      <c r="BC366" s="42">
        <f t="shared" si="971"/>
        <v>0</v>
      </c>
      <c r="BD366" s="42">
        <f t="shared" si="1079"/>
        <v>0</v>
      </c>
      <c r="BE366" s="43">
        <f t="shared" si="1080"/>
        <v>0</v>
      </c>
      <c r="BF366" s="44"/>
      <c r="BG366" s="45">
        <f t="shared" si="1081"/>
        <v>0</v>
      </c>
      <c r="BH366" s="45">
        <f t="shared" si="1082"/>
        <v>0</v>
      </c>
      <c r="BI366" s="45">
        <f t="shared" si="1083"/>
        <v>0</v>
      </c>
      <c r="BJ366" s="46">
        <f t="shared" si="998"/>
        <v>0</v>
      </c>
      <c r="BK366" s="46">
        <f t="shared" si="999"/>
        <v>0</v>
      </c>
      <c r="BL366" s="46">
        <f t="shared" si="1000"/>
        <v>0</v>
      </c>
    </row>
    <row r="367" spans="1:64" ht="30" customHeight="1" x14ac:dyDescent="0.25">
      <c r="A367" s="84" t="str">
        <f t="shared" si="962"/>
        <v>Д</v>
      </c>
      <c r="B367" s="84" t="str">
        <f t="shared" si="1001"/>
        <v>Б</v>
      </c>
      <c r="C367" s="101" t="s">
        <v>1473</v>
      </c>
      <c r="D367" s="16" t="str">
        <f t="shared" si="1002"/>
        <v>'38.03.05</v>
      </c>
      <c r="E367" s="17" t="str">
        <f t="shared" si="1003"/>
        <v>Бизнес-информатика</v>
      </c>
      <c r="F367" s="9" t="s">
        <v>413</v>
      </c>
      <c r="G367" s="9" t="s">
        <v>42</v>
      </c>
      <c r="H367" s="10" t="s">
        <v>3233</v>
      </c>
      <c r="I367" s="10"/>
      <c r="J367" s="24" t="s">
        <v>3204</v>
      </c>
      <c r="K367" s="11">
        <v>1</v>
      </c>
      <c r="L367" s="11">
        <v>18</v>
      </c>
      <c r="M367" s="8" t="s">
        <v>94</v>
      </c>
      <c r="N367" s="11"/>
      <c r="O367" s="11">
        <v>2</v>
      </c>
      <c r="P367" s="11"/>
      <c r="Q367" s="8" t="s">
        <v>102</v>
      </c>
      <c r="R367" s="11"/>
      <c r="S367" s="11"/>
      <c r="T367" s="11"/>
      <c r="U367" s="11"/>
      <c r="V367" s="11"/>
      <c r="W367" s="83" t="str">
        <f t="shared" si="963"/>
        <v>НБИбд</v>
      </c>
      <c r="X367" s="110" t="s">
        <v>3248</v>
      </c>
      <c r="Y367" s="11">
        <v>1</v>
      </c>
      <c r="Z367" s="11">
        <v>1</v>
      </c>
      <c r="AA367" s="83">
        <f t="shared" si="1004"/>
        <v>14</v>
      </c>
      <c r="AB367" s="11">
        <v>13</v>
      </c>
      <c r="AC367" s="11">
        <v>1</v>
      </c>
      <c r="AD367" s="81">
        <f t="shared" si="964"/>
        <v>12</v>
      </c>
      <c r="AE367" s="82">
        <f t="shared" si="1005"/>
        <v>1</v>
      </c>
      <c r="AF367" s="82">
        <f t="shared" si="1006"/>
        <v>1.1666666666666667</v>
      </c>
      <c r="AG367" s="102" t="s">
        <v>3250</v>
      </c>
      <c r="AH367" s="113" t="s">
        <v>204</v>
      </c>
      <c r="AI367" s="113" t="s">
        <v>212</v>
      </c>
      <c r="AJ367" s="119" t="s">
        <v>3255</v>
      </c>
      <c r="AK367" s="8"/>
      <c r="AL367" s="42">
        <f t="shared" si="965"/>
        <v>0</v>
      </c>
      <c r="AM367" s="42">
        <f t="shared" si="1070"/>
        <v>0</v>
      </c>
      <c r="AN367" s="42">
        <f t="shared" si="1071"/>
        <v>36</v>
      </c>
      <c r="AO367" s="42">
        <f t="shared" si="976"/>
        <v>4.62</v>
      </c>
      <c r="AP367" s="42">
        <f t="shared" si="1072"/>
        <v>7</v>
      </c>
      <c r="AQ367" s="42">
        <f t="shared" si="1073"/>
        <v>1</v>
      </c>
      <c r="AR367" s="42">
        <f t="shared" si="966"/>
        <v>0</v>
      </c>
      <c r="AS367" s="42">
        <f t="shared" si="1074"/>
        <v>0</v>
      </c>
      <c r="AT367" s="42">
        <f t="shared" si="1075"/>
        <v>0</v>
      </c>
      <c r="AU367" s="42">
        <f t="shared" si="1076"/>
        <v>0</v>
      </c>
      <c r="AV367" s="42">
        <f>IF(M367="ПП",РПП*AA367*(U367/1.5),IF(M367="ВП",ВПр*AA367*(U367/1.5),IF(M367="РПА",РПА*AA367*(U367/1.5),IF(M367="КПА",КПА*AA367*(U367/1.5),0))))</f>
        <v>0</v>
      </c>
      <c r="AW367" s="42">
        <f t="shared" si="1077"/>
        <v>0</v>
      </c>
      <c r="AX367" s="42">
        <f t="shared" si="967"/>
        <v>0</v>
      </c>
      <c r="AY367" s="42">
        <f t="shared" si="968"/>
        <v>0</v>
      </c>
      <c r="AZ367" s="42">
        <f t="shared" si="1078"/>
        <v>0</v>
      </c>
      <c r="BA367" s="42">
        <f t="shared" si="969"/>
        <v>0</v>
      </c>
      <c r="BB367" s="42">
        <f t="shared" si="970"/>
        <v>0</v>
      </c>
      <c r="BC367" s="42">
        <f t="shared" si="971"/>
        <v>0</v>
      </c>
      <c r="BD367" s="42">
        <f t="shared" si="1079"/>
        <v>0</v>
      </c>
      <c r="BE367" s="43">
        <f t="shared" si="1080"/>
        <v>48.62</v>
      </c>
      <c r="BF367" s="44"/>
      <c r="BG367" s="45">
        <f t="shared" si="1081"/>
        <v>36</v>
      </c>
      <c r="BH367" s="45">
        <f t="shared" si="1082"/>
        <v>1</v>
      </c>
      <c r="BI367" s="45">
        <f t="shared" si="1083"/>
        <v>12.620000000000001</v>
      </c>
      <c r="BJ367" s="46">
        <f t="shared" si="998"/>
        <v>0</v>
      </c>
      <c r="BK367" s="46">
        <f t="shared" si="999"/>
        <v>0</v>
      </c>
      <c r="BL367" s="46">
        <f t="shared" si="1000"/>
        <v>0</v>
      </c>
    </row>
    <row r="368" spans="1:64" ht="30" customHeight="1" x14ac:dyDescent="0.25">
      <c r="A368" s="84" t="str">
        <f t="shared" si="962"/>
        <v>Д</v>
      </c>
      <c r="B368" s="84" t="str">
        <f t="shared" si="1001"/>
        <v>Б</v>
      </c>
      <c r="C368" s="101" t="s">
        <v>1473</v>
      </c>
      <c r="D368" s="16" t="str">
        <f t="shared" si="1002"/>
        <v>'38.03.05</v>
      </c>
      <c r="E368" s="17" t="str">
        <f t="shared" si="1003"/>
        <v>Бизнес-информатика</v>
      </c>
      <c r="F368" s="9" t="s">
        <v>413</v>
      </c>
      <c r="G368" s="9" t="s">
        <v>42</v>
      </c>
      <c r="H368" s="10" t="s">
        <v>3233</v>
      </c>
      <c r="I368" s="10"/>
      <c r="J368" s="24" t="s">
        <v>3204</v>
      </c>
      <c r="K368" s="11">
        <v>1</v>
      </c>
      <c r="L368" s="11">
        <v>18</v>
      </c>
      <c r="M368" s="8" t="s">
        <v>94</v>
      </c>
      <c r="N368" s="11"/>
      <c r="O368" s="11">
        <v>2</v>
      </c>
      <c r="P368" s="11"/>
      <c r="Q368" s="8" t="s">
        <v>102</v>
      </c>
      <c r="R368" s="11"/>
      <c r="S368" s="11"/>
      <c r="T368" s="11"/>
      <c r="U368" s="11"/>
      <c r="V368" s="11"/>
      <c r="W368" s="83" t="str">
        <f t="shared" si="963"/>
        <v>НБИбд</v>
      </c>
      <c r="X368" s="110" t="s">
        <v>3248</v>
      </c>
      <c r="Y368" s="11"/>
      <c r="Z368" s="11"/>
      <c r="AA368" s="83">
        <f t="shared" si="1004"/>
        <v>0</v>
      </c>
      <c r="AB368" s="11"/>
      <c r="AC368" s="11"/>
      <c r="AD368" s="81">
        <f t="shared" si="964"/>
        <v>12</v>
      </c>
      <c r="AE368" s="82">
        <f t="shared" si="1005"/>
        <v>0</v>
      </c>
      <c r="AF368" s="82">
        <f t="shared" si="1006"/>
        <v>0</v>
      </c>
      <c r="AG368" s="102" t="s">
        <v>3250</v>
      </c>
      <c r="AH368" s="113" t="s">
        <v>204</v>
      </c>
      <c r="AI368" s="113" t="s">
        <v>212</v>
      </c>
      <c r="AJ368" s="119" t="s">
        <v>3255</v>
      </c>
      <c r="AK368" s="8"/>
      <c r="AL368" s="42">
        <f t="shared" si="965"/>
        <v>0</v>
      </c>
      <c r="AM368" s="42">
        <f t="shared" si="1070"/>
        <v>0</v>
      </c>
      <c r="AN368" s="42">
        <f t="shared" si="1071"/>
        <v>0</v>
      </c>
      <c r="AO368" s="42">
        <f t="shared" si="976"/>
        <v>0</v>
      </c>
      <c r="AP368" s="42">
        <f t="shared" si="1072"/>
        <v>0</v>
      </c>
      <c r="AQ368" s="42">
        <f t="shared" si="1073"/>
        <v>0</v>
      </c>
      <c r="AR368" s="42">
        <f t="shared" si="966"/>
        <v>0</v>
      </c>
      <c r="AS368" s="42">
        <f t="shared" si="1074"/>
        <v>0</v>
      </c>
      <c r="AT368" s="42">
        <f t="shared" si="1075"/>
        <v>0</v>
      </c>
      <c r="AU368" s="42">
        <f t="shared" si="1076"/>
        <v>0</v>
      </c>
      <c r="AV368" s="42">
        <f>IF(M368="ПП",РПП*AA368*(U368/1.5),IF(M368="ВП",ВПр*AA368*(U368/1.5),IF(M368="РПА",РПА*AA368*(U368/1.5),IF(M368="КПА",КПА*AA368*(U368/1.5),0))))</f>
        <v>0</v>
      </c>
      <c r="AW368" s="42">
        <f t="shared" si="1077"/>
        <v>0</v>
      </c>
      <c r="AX368" s="42">
        <f t="shared" si="967"/>
        <v>0</v>
      </c>
      <c r="AY368" s="42">
        <f t="shared" si="968"/>
        <v>0</v>
      </c>
      <c r="AZ368" s="42">
        <f t="shared" si="1078"/>
        <v>0</v>
      </c>
      <c r="BA368" s="42">
        <f t="shared" si="969"/>
        <v>0</v>
      </c>
      <c r="BB368" s="42">
        <f t="shared" si="970"/>
        <v>0</v>
      </c>
      <c r="BC368" s="42">
        <f t="shared" si="971"/>
        <v>0</v>
      </c>
      <c r="BD368" s="42">
        <f t="shared" si="1079"/>
        <v>0</v>
      </c>
      <c r="BE368" s="43">
        <f t="shared" si="1080"/>
        <v>0</v>
      </c>
      <c r="BF368" s="44"/>
      <c r="BG368" s="45">
        <f t="shared" si="1081"/>
        <v>0</v>
      </c>
      <c r="BH368" s="45">
        <f t="shared" si="1082"/>
        <v>0</v>
      </c>
      <c r="BI368" s="45">
        <f t="shared" si="1083"/>
        <v>0</v>
      </c>
      <c r="BJ368" s="46">
        <f t="shared" si="998"/>
        <v>0</v>
      </c>
      <c r="BK368" s="46">
        <f t="shared" si="999"/>
        <v>0</v>
      </c>
      <c r="BL368" s="46">
        <f t="shared" si="1000"/>
        <v>0</v>
      </c>
    </row>
    <row r="369" spans="1:64" ht="30" customHeight="1" x14ac:dyDescent="0.25">
      <c r="A369" s="84" t="str">
        <f t="shared" si="962"/>
        <v>Д</v>
      </c>
      <c r="B369" s="84" t="str">
        <f t="shared" si="1001"/>
        <v>Б</v>
      </c>
      <c r="C369" s="101" t="s">
        <v>1473</v>
      </c>
      <c r="D369" s="16" t="str">
        <f t="shared" si="1002"/>
        <v>'38.03.05</v>
      </c>
      <c r="E369" s="17" t="str">
        <f t="shared" si="1003"/>
        <v>Бизнес-информатика</v>
      </c>
      <c r="F369" s="9" t="s">
        <v>413</v>
      </c>
      <c r="G369" s="9" t="s">
        <v>42</v>
      </c>
      <c r="H369" s="10" t="s">
        <v>3233</v>
      </c>
      <c r="I369" s="10"/>
      <c r="J369" s="24" t="s">
        <v>3304</v>
      </c>
      <c r="K369" s="11">
        <v>3</v>
      </c>
      <c r="L369" s="11">
        <v>18</v>
      </c>
      <c r="M369" s="8" t="s">
        <v>23</v>
      </c>
      <c r="N369" s="11">
        <v>1</v>
      </c>
      <c r="O369" s="11"/>
      <c r="P369" s="11"/>
      <c r="Q369" s="8" t="s">
        <v>103</v>
      </c>
      <c r="R369" s="11"/>
      <c r="S369" s="11"/>
      <c r="T369" s="11"/>
      <c r="U369" s="11"/>
      <c r="V369" s="11"/>
      <c r="W369" s="83" t="str">
        <f t="shared" si="963"/>
        <v>НБИбд</v>
      </c>
      <c r="X369" s="110" t="s">
        <v>3237</v>
      </c>
      <c r="Y369" s="11">
        <v>3</v>
      </c>
      <c r="Z369" s="11">
        <v>2</v>
      </c>
      <c r="AA369" s="83">
        <f t="shared" si="1004"/>
        <v>36</v>
      </c>
      <c r="AB369" s="11">
        <v>30</v>
      </c>
      <c r="AC369" s="11">
        <v>6</v>
      </c>
      <c r="AD369" s="81">
        <f t="shared" si="964"/>
        <v>36</v>
      </c>
      <c r="AE369" s="82">
        <f t="shared" si="1005"/>
        <v>1</v>
      </c>
      <c r="AF369" s="82">
        <f t="shared" si="1006"/>
        <v>1</v>
      </c>
      <c r="AG369" s="102" t="s">
        <v>3250</v>
      </c>
      <c r="AH369" s="113" t="s">
        <v>204</v>
      </c>
      <c r="AI369" s="113" t="s">
        <v>213</v>
      </c>
      <c r="AJ369" s="121" t="s">
        <v>3259</v>
      </c>
      <c r="AK369" s="8"/>
      <c r="AL369" s="42">
        <f t="shared" si="965"/>
        <v>18</v>
      </c>
      <c r="AM369" s="42">
        <f t="shared" si="1070"/>
        <v>0</v>
      </c>
      <c r="AN369" s="42">
        <f t="shared" si="1071"/>
        <v>0</v>
      </c>
      <c r="AO369" s="42">
        <f t="shared" si="976"/>
        <v>11.88</v>
      </c>
      <c r="AP369" s="42">
        <f t="shared" si="1072"/>
        <v>18</v>
      </c>
      <c r="AQ369" s="42">
        <f t="shared" si="1073"/>
        <v>2</v>
      </c>
      <c r="AR369" s="42">
        <f t="shared" si="966"/>
        <v>1.8</v>
      </c>
      <c r="AS369" s="42">
        <f t="shared" si="1074"/>
        <v>0</v>
      </c>
      <c r="AT369" s="42">
        <f t="shared" si="1075"/>
        <v>0</v>
      </c>
      <c r="AU369" s="42">
        <f t="shared" si="1076"/>
        <v>0</v>
      </c>
      <c r="AV369" s="42">
        <f>IF(M369="ПП",РПП*AA369*(U369/1.5),IF(M369="ВП",ВПр*AA369*(U369/1.5),IF(M369="РПА",РПА*AA369*(U369/1.5),IF(M369="КПА",КПА*AA369*(U369/1.5),0))))</f>
        <v>0</v>
      </c>
      <c r="AW369" s="42">
        <f t="shared" si="1077"/>
        <v>0</v>
      </c>
      <c r="AX369" s="42">
        <f t="shared" si="967"/>
        <v>0</v>
      </c>
      <c r="AY369" s="42">
        <f t="shared" si="968"/>
        <v>0</v>
      </c>
      <c r="AZ369" s="42">
        <f t="shared" si="1078"/>
        <v>0</v>
      </c>
      <c r="BA369" s="42">
        <f t="shared" si="969"/>
        <v>0</v>
      </c>
      <c r="BB369" s="42">
        <f t="shared" si="970"/>
        <v>0</v>
      </c>
      <c r="BC369" s="42">
        <f t="shared" si="971"/>
        <v>0</v>
      </c>
      <c r="BD369" s="42">
        <f t="shared" si="1079"/>
        <v>0</v>
      </c>
      <c r="BE369" s="43">
        <f t="shared" si="1080"/>
        <v>51.68</v>
      </c>
      <c r="BF369" s="44"/>
      <c r="BG369" s="45">
        <f t="shared" si="1081"/>
        <v>18</v>
      </c>
      <c r="BH369" s="45">
        <f t="shared" si="1082"/>
        <v>0.5</v>
      </c>
      <c r="BI369" s="45">
        <f t="shared" si="1083"/>
        <v>33.68</v>
      </c>
      <c r="BJ369" s="46">
        <f t="shared" si="998"/>
        <v>0</v>
      </c>
      <c r="BK369" s="46">
        <f t="shared" si="999"/>
        <v>0</v>
      </c>
      <c r="BL369" s="46">
        <f t="shared" si="1000"/>
        <v>0</v>
      </c>
    </row>
    <row r="370" spans="1:64" ht="30" customHeight="1" x14ac:dyDescent="0.25">
      <c r="A370" s="84" t="str">
        <f t="shared" si="962"/>
        <v>Д</v>
      </c>
      <c r="B370" s="84" t="str">
        <f t="shared" si="1001"/>
        <v>Б</v>
      </c>
      <c r="C370" s="101" t="s">
        <v>1473</v>
      </c>
      <c r="D370" s="16" t="str">
        <f t="shared" si="1002"/>
        <v>'38.03.05</v>
      </c>
      <c r="E370" s="17" t="str">
        <f t="shared" si="1003"/>
        <v>Бизнес-информатика</v>
      </c>
      <c r="F370" s="9" t="s">
        <v>413</v>
      </c>
      <c r="G370" s="9" t="s">
        <v>42</v>
      </c>
      <c r="H370" s="10" t="s">
        <v>3233</v>
      </c>
      <c r="I370" s="10"/>
      <c r="J370" s="24" t="s">
        <v>3304</v>
      </c>
      <c r="K370" s="11">
        <v>3</v>
      </c>
      <c r="L370" s="11">
        <v>18</v>
      </c>
      <c r="M370" s="8" t="s">
        <v>24</v>
      </c>
      <c r="N370" s="11"/>
      <c r="O370" s="11"/>
      <c r="P370" s="11">
        <v>1</v>
      </c>
      <c r="Q370" s="8"/>
      <c r="R370" s="11"/>
      <c r="S370" s="11"/>
      <c r="T370" s="11"/>
      <c r="U370" s="11"/>
      <c r="V370" s="11"/>
      <c r="W370" s="83" t="str">
        <f t="shared" si="963"/>
        <v>НБИбд</v>
      </c>
      <c r="X370" s="110" t="s">
        <v>3234</v>
      </c>
      <c r="Y370" s="11">
        <v>2</v>
      </c>
      <c r="Z370" s="11">
        <v>1</v>
      </c>
      <c r="AA370" s="83">
        <f t="shared" si="1004"/>
        <v>18</v>
      </c>
      <c r="AB370" s="11">
        <v>15</v>
      </c>
      <c r="AC370" s="11">
        <v>3</v>
      </c>
      <c r="AD370" s="81">
        <f t="shared" si="964"/>
        <v>24</v>
      </c>
      <c r="AE370" s="82">
        <f t="shared" si="1005"/>
        <v>0.75</v>
      </c>
      <c r="AF370" s="82">
        <f t="shared" si="1006"/>
        <v>0.75</v>
      </c>
      <c r="AG370" s="102" t="s">
        <v>3250</v>
      </c>
      <c r="AH370" s="113" t="s">
        <v>204</v>
      </c>
      <c r="AI370" s="113" t="s">
        <v>213</v>
      </c>
      <c r="AJ370" s="121" t="s">
        <v>3259</v>
      </c>
      <c r="AK370" s="8"/>
      <c r="AL370" s="42">
        <f t="shared" si="965"/>
        <v>0</v>
      </c>
      <c r="AM370" s="42">
        <f t="shared" si="1070"/>
        <v>13.5</v>
      </c>
      <c r="AN370" s="42">
        <f t="shared" si="1071"/>
        <v>0</v>
      </c>
      <c r="AO370" s="42">
        <f t="shared" si="976"/>
        <v>0</v>
      </c>
      <c r="AP370" s="42">
        <f t="shared" si="1072"/>
        <v>0</v>
      </c>
      <c r="AQ370" s="42">
        <f t="shared" si="1073"/>
        <v>0</v>
      </c>
      <c r="AR370" s="42">
        <f t="shared" si="966"/>
        <v>0</v>
      </c>
      <c r="AS370" s="42">
        <f t="shared" si="1074"/>
        <v>0</v>
      </c>
      <c r="AT370" s="42">
        <f t="shared" si="1075"/>
        <v>0</v>
      </c>
      <c r="AU370" s="42">
        <f t="shared" si="1076"/>
        <v>0</v>
      </c>
      <c r="AV370" s="42">
        <f>IF(M370="ПП",РПП*AA370*(U370/1.5),IF(M370="ВП",ВПр*AA370*(U370/1.5),IF(M370="РПА",РПА*AA370*(U370/1.5),IF(M370="КПА",КПА*AA370*(U370/1.5),0))))</f>
        <v>0</v>
      </c>
      <c r="AW370" s="42">
        <f t="shared" si="1077"/>
        <v>0</v>
      </c>
      <c r="AX370" s="42">
        <f t="shared" si="967"/>
        <v>0</v>
      </c>
      <c r="AY370" s="42">
        <f t="shared" si="968"/>
        <v>0</v>
      </c>
      <c r="AZ370" s="42">
        <f t="shared" si="1078"/>
        <v>0</v>
      </c>
      <c r="BA370" s="42">
        <f t="shared" si="969"/>
        <v>0</v>
      </c>
      <c r="BB370" s="42">
        <f t="shared" si="970"/>
        <v>0</v>
      </c>
      <c r="BC370" s="42">
        <f t="shared" si="971"/>
        <v>0</v>
      </c>
      <c r="BD370" s="42">
        <f t="shared" si="1079"/>
        <v>0</v>
      </c>
      <c r="BE370" s="43">
        <f t="shared" si="1080"/>
        <v>13.5</v>
      </c>
      <c r="BF370" s="44"/>
      <c r="BG370" s="45">
        <f t="shared" si="1081"/>
        <v>13.5</v>
      </c>
      <c r="BH370" s="45">
        <f t="shared" si="1082"/>
        <v>0.5</v>
      </c>
      <c r="BI370" s="45">
        <f t="shared" si="1083"/>
        <v>0</v>
      </c>
      <c r="BJ370" s="46">
        <f t="shared" si="998"/>
        <v>0</v>
      </c>
      <c r="BK370" s="46">
        <f t="shared" si="999"/>
        <v>0</v>
      </c>
      <c r="BL370" s="46">
        <f t="shared" si="1000"/>
        <v>0</v>
      </c>
    </row>
    <row r="371" spans="1:64" ht="30" customHeight="1" x14ac:dyDescent="0.25">
      <c r="A371" s="84" t="str">
        <f t="shared" si="962"/>
        <v>Д</v>
      </c>
      <c r="B371" s="84" t="str">
        <f t="shared" si="1001"/>
        <v>Б</v>
      </c>
      <c r="C371" s="101" t="s">
        <v>1473</v>
      </c>
      <c r="D371" s="16" t="str">
        <f t="shared" si="1002"/>
        <v>'38.03.05</v>
      </c>
      <c r="E371" s="17" t="str">
        <f t="shared" si="1003"/>
        <v>Бизнес-информатика</v>
      </c>
      <c r="F371" s="9" t="s">
        <v>413</v>
      </c>
      <c r="G371" s="9" t="s">
        <v>42</v>
      </c>
      <c r="H371" s="10" t="s">
        <v>3233</v>
      </c>
      <c r="I371" s="10"/>
      <c r="J371" s="24" t="s">
        <v>3304</v>
      </c>
      <c r="K371" s="11">
        <v>3</v>
      </c>
      <c r="L371" s="11">
        <v>18</v>
      </c>
      <c r="M371" s="8" t="s">
        <v>24</v>
      </c>
      <c r="N371" s="11"/>
      <c r="O371" s="11"/>
      <c r="P371" s="11">
        <v>1</v>
      </c>
      <c r="Q371" s="8"/>
      <c r="R371" s="11"/>
      <c r="S371" s="11"/>
      <c r="T371" s="11"/>
      <c r="U371" s="11"/>
      <c r="V371" s="11"/>
      <c r="W371" s="83" t="str">
        <f t="shared" si="963"/>
        <v>НБИбд</v>
      </c>
      <c r="X371" s="110" t="s">
        <v>3235</v>
      </c>
      <c r="Y371" s="11">
        <v>1</v>
      </c>
      <c r="Z371" s="11">
        <v>1</v>
      </c>
      <c r="AA371" s="83">
        <f t="shared" si="1004"/>
        <v>18</v>
      </c>
      <c r="AB371" s="11">
        <v>15</v>
      </c>
      <c r="AC371" s="11">
        <v>3</v>
      </c>
      <c r="AD371" s="81">
        <f t="shared" si="964"/>
        <v>24</v>
      </c>
      <c r="AE371" s="82">
        <f t="shared" si="1005"/>
        <v>0.75</v>
      </c>
      <c r="AF371" s="82">
        <f t="shared" si="1006"/>
        <v>0.75</v>
      </c>
      <c r="AG371" s="102" t="s">
        <v>3250</v>
      </c>
      <c r="AH371" s="113" t="s">
        <v>204</v>
      </c>
      <c r="AI371" s="113" t="s">
        <v>213</v>
      </c>
      <c r="AJ371" s="121" t="s">
        <v>3259</v>
      </c>
      <c r="AK371" s="8"/>
      <c r="AL371" s="42">
        <f t="shared" si="965"/>
        <v>0</v>
      </c>
      <c r="AM371" s="42">
        <f t="shared" si="1070"/>
        <v>13.5</v>
      </c>
      <c r="AN371" s="42">
        <f t="shared" si="1071"/>
        <v>0</v>
      </c>
      <c r="AO371" s="42">
        <f t="shared" si="976"/>
        <v>0</v>
      </c>
      <c r="AP371" s="42">
        <f t="shared" si="1072"/>
        <v>0</v>
      </c>
      <c r="AQ371" s="42">
        <f t="shared" si="1073"/>
        <v>0</v>
      </c>
      <c r="AR371" s="42">
        <f t="shared" si="966"/>
        <v>0</v>
      </c>
      <c r="AS371" s="42">
        <f t="shared" si="1074"/>
        <v>0</v>
      </c>
      <c r="AT371" s="42">
        <f t="shared" si="1075"/>
        <v>0</v>
      </c>
      <c r="AU371" s="42">
        <f t="shared" si="1076"/>
        <v>0</v>
      </c>
      <c r="AV371" s="42">
        <f>IF(M371="ПП",РПП*AA371*(U371/1.5),IF(M371="ВП",ВПр*AA371*(U371/1.5),IF(M371="РПА",РПА*AA371*(U371/1.5),IF(M371="КПА",КПА*AA371*(U371/1.5),0))))</f>
        <v>0</v>
      </c>
      <c r="AW371" s="42">
        <f t="shared" si="1077"/>
        <v>0</v>
      </c>
      <c r="AX371" s="42">
        <f t="shared" si="967"/>
        <v>0</v>
      </c>
      <c r="AY371" s="42">
        <f t="shared" si="968"/>
        <v>0</v>
      </c>
      <c r="AZ371" s="42">
        <f t="shared" si="1078"/>
        <v>0</v>
      </c>
      <c r="BA371" s="42">
        <f t="shared" si="969"/>
        <v>0</v>
      </c>
      <c r="BB371" s="42">
        <f t="shared" si="970"/>
        <v>0</v>
      </c>
      <c r="BC371" s="42">
        <f t="shared" si="971"/>
        <v>0</v>
      </c>
      <c r="BD371" s="42">
        <f t="shared" si="1079"/>
        <v>0</v>
      </c>
      <c r="BE371" s="43">
        <f t="shared" si="1080"/>
        <v>13.5</v>
      </c>
      <c r="BF371" s="44"/>
      <c r="BG371" s="45">
        <f t="shared" si="1081"/>
        <v>13.5</v>
      </c>
      <c r="BH371" s="45">
        <f t="shared" si="1082"/>
        <v>0.5</v>
      </c>
      <c r="BI371" s="45">
        <f t="shared" si="1083"/>
        <v>0</v>
      </c>
      <c r="BJ371" s="46">
        <f t="shared" si="998"/>
        <v>0</v>
      </c>
      <c r="BK371" s="46">
        <f t="shared" si="999"/>
        <v>0</v>
      </c>
      <c r="BL371" s="46">
        <f t="shared" si="1000"/>
        <v>0</v>
      </c>
    </row>
    <row r="372" spans="1:64" ht="30" customHeight="1" x14ac:dyDescent="0.25">
      <c r="A372" s="84" t="str">
        <f t="shared" si="962"/>
        <v>Д</v>
      </c>
      <c r="B372" s="84" t="str">
        <f t="shared" si="1001"/>
        <v>Б</v>
      </c>
      <c r="C372" s="101" t="s">
        <v>1473</v>
      </c>
      <c r="D372" s="16" t="str">
        <f t="shared" si="1002"/>
        <v>'38.03.05</v>
      </c>
      <c r="E372" s="17" t="str">
        <f t="shared" si="1003"/>
        <v>Бизнес-информатика</v>
      </c>
      <c r="F372" s="9" t="s">
        <v>413</v>
      </c>
      <c r="G372" s="9" t="s">
        <v>42</v>
      </c>
      <c r="H372" s="10" t="s">
        <v>3233</v>
      </c>
      <c r="I372" s="10"/>
      <c r="J372" s="24" t="s">
        <v>3205</v>
      </c>
      <c r="K372" s="11">
        <v>3</v>
      </c>
      <c r="L372" s="11">
        <v>18</v>
      </c>
      <c r="M372" s="8" t="s">
        <v>23</v>
      </c>
      <c r="N372" s="11">
        <v>1</v>
      </c>
      <c r="O372" s="11"/>
      <c r="P372" s="11"/>
      <c r="Q372" s="8"/>
      <c r="R372" s="12"/>
      <c r="S372" s="12"/>
      <c r="T372" s="12"/>
      <c r="U372" s="12"/>
      <c r="V372" s="12"/>
      <c r="W372" s="83" t="str">
        <f t="shared" si="963"/>
        <v>НБИбд</v>
      </c>
      <c r="X372" s="110" t="s">
        <v>3237</v>
      </c>
      <c r="Y372" s="11">
        <v>3</v>
      </c>
      <c r="Z372" s="11">
        <v>2</v>
      </c>
      <c r="AA372" s="83">
        <f t="shared" si="1004"/>
        <v>36</v>
      </c>
      <c r="AB372" s="11">
        <v>30</v>
      </c>
      <c r="AC372" s="11">
        <v>6</v>
      </c>
      <c r="AD372" s="81">
        <f t="shared" si="964"/>
        <v>36</v>
      </c>
      <c r="AE372" s="82">
        <f t="shared" si="1005"/>
        <v>1</v>
      </c>
      <c r="AF372" s="82">
        <f t="shared" si="1006"/>
        <v>1</v>
      </c>
      <c r="AG372" s="102" t="s">
        <v>3250</v>
      </c>
      <c r="AH372" s="113" t="s">
        <v>204</v>
      </c>
      <c r="AI372" s="113" t="s">
        <v>212</v>
      </c>
      <c r="AJ372" s="121" t="s">
        <v>3255</v>
      </c>
      <c r="AK372" s="8"/>
      <c r="AL372" s="42">
        <f t="shared" si="965"/>
        <v>18</v>
      </c>
      <c r="AM372" s="42">
        <f t="shared" si="1070"/>
        <v>0</v>
      </c>
      <c r="AN372" s="42">
        <f t="shared" si="1071"/>
        <v>0</v>
      </c>
      <c r="AO372" s="42">
        <f t="shared" si="976"/>
        <v>0</v>
      </c>
      <c r="AP372" s="42">
        <f t="shared" si="1072"/>
        <v>0</v>
      </c>
      <c r="AQ372" s="42">
        <f t="shared" si="1073"/>
        <v>0</v>
      </c>
      <c r="AR372" s="42">
        <f t="shared" si="966"/>
        <v>1.8</v>
      </c>
      <c r="AS372" s="42">
        <f t="shared" si="1074"/>
        <v>0</v>
      </c>
      <c r="AT372" s="42">
        <f t="shared" si="1075"/>
        <v>0</v>
      </c>
      <c r="AU372" s="42">
        <f t="shared" si="1076"/>
        <v>0</v>
      </c>
      <c r="AV372" s="42">
        <f>IF(M372="ПП",РПП*AA372*(U372/1.5),IF(M372="ВП",ВПр*AA372*(U372/1.5),IF(M372="РПА",РПА*AA372*(U372/1.5),IF(M372="КПА",КПА*AA372*(U372/1.5),0))))</f>
        <v>0</v>
      </c>
      <c r="AW372" s="42">
        <f t="shared" si="1077"/>
        <v>0</v>
      </c>
      <c r="AX372" s="42">
        <f t="shared" si="967"/>
        <v>0</v>
      </c>
      <c r="AY372" s="42">
        <f t="shared" si="968"/>
        <v>0</v>
      </c>
      <c r="AZ372" s="42">
        <f t="shared" si="1078"/>
        <v>0</v>
      </c>
      <c r="BA372" s="42">
        <f t="shared" si="969"/>
        <v>0</v>
      </c>
      <c r="BB372" s="42">
        <f t="shared" si="970"/>
        <v>0</v>
      </c>
      <c r="BC372" s="42">
        <f t="shared" si="971"/>
        <v>0</v>
      </c>
      <c r="BD372" s="42">
        <f t="shared" si="1079"/>
        <v>0</v>
      </c>
      <c r="BE372" s="43">
        <f t="shared" si="1080"/>
        <v>19.8</v>
      </c>
      <c r="BF372" s="44"/>
      <c r="BG372" s="45">
        <f t="shared" si="1081"/>
        <v>18</v>
      </c>
      <c r="BH372" s="45">
        <f t="shared" si="1082"/>
        <v>0.5</v>
      </c>
      <c r="BI372" s="45">
        <f t="shared" si="1083"/>
        <v>1.8</v>
      </c>
      <c r="BJ372" s="46">
        <f t="shared" si="998"/>
        <v>0</v>
      </c>
      <c r="BK372" s="46">
        <f t="shared" si="999"/>
        <v>0</v>
      </c>
      <c r="BL372" s="46">
        <f t="shared" si="1000"/>
        <v>0</v>
      </c>
    </row>
    <row r="373" spans="1:64" ht="30" customHeight="1" x14ac:dyDescent="0.25">
      <c r="A373" s="84" t="str">
        <f t="shared" si="962"/>
        <v>Д</v>
      </c>
      <c r="B373" s="84" t="str">
        <f t="shared" si="1001"/>
        <v>Б</v>
      </c>
      <c r="C373" s="101" t="s">
        <v>1473</v>
      </c>
      <c r="D373" s="16" t="str">
        <f t="shared" si="1002"/>
        <v>'38.03.05</v>
      </c>
      <c r="E373" s="17" t="str">
        <f t="shared" si="1003"/>
        <v>Бизнес-информатика</v>
      </c>
      <c r="F373" s="9" t="s">
        <v>413</v>
      </c>
      <c r="G373" s="9" t="s">
        <v>42</v>
      </c>
      <c r="H373" s="10" t="s">
        <v>3233</v>
      </c>
      <c r="I373" s="10"/>
      <c r="J373" s="24" t="s">
        <v>3205</v>
      </c>
      <c r="K373" s="11">
        <v>3</v>
      </c>
      <c r="L373" s="11">
        <v>18</v>
      </c>
      <c r="M373" s="8" t="s">
        <v>94</v>
      </c>
      <c r="N373" s="11"/>
      <c r="O373" s="11">
        <v>2</v>
      </c>
      <c r="P373" s="11"/>
      <c r="Q373" s="8" t="s">
        <v>102</v>
      </c>
      <c r="R373" s="11"/>
      <c r="S373" s="11"/>
      <c r="T373" s="23"/>
      <c r="U373" s="11"/>
      <c r="V373" s="11"/>
      <c r="W373" s="83" t="str">
        <f t="shared" si="963"/>
        <v>НБИбд</v>
      </c>
      <c r="X373" s="110" t="s">
        <v>3234</v>
      </c>
      <c r="Y373" s="11">
        <v>1</v>
      </c>
      <c r="Z373" s="11">
        <v>1</v>
      </c>
      <c r="AA373" s="83">
        <f t="shared" si="1004"/>
        <v>12</v>
      </c>
      <c r="AB373" s="11">
        <v>10</v>
      </c>
      <c r="AC373" s="11">
        <v>2</v>
      </c>
      <c r="AD373" s="81">
        <f t="shared" si="964"/>
        <v>12</v>
      </c>
      <c r="AE373" s="82">
        <f t="shared" si="1005"/>
        <v>1</v>
      </c>
      <c r="AF373" s="82">
        <f t="shared" si="1006"/>
        <v>1</v>
      </c>
      <c r="AG373" s="102" t="s">
        <v>3250</v>
      </c>
      <c r="AH373" s="113" t="s">
        <v>203</v>
      </c>
      <c r="AI373" s="113" t="s">
        <v>213</v>
      </c>
      <c r="AJ373" s="121" t="s">
        <v>3262</v>
      </c>
      <c r="AK373" s="8"/>
      <c r="AL373" s="42">
        <f t="shared" si="965"/>
        <v>0</v>
      </c>
      <c r="AM373" s="42">
        <f t="shared" si="1070"/>
        <v>0</v>
      </c>
      <c r="AN373" s="42">
        <f t="shared" si="1071"/>
        <v>36</v>
      </c>
      <c r="AO373" s="42">
        <f t="shared" si="976"/>
        <v>3.96</v>
      </c>
      <c r="AP373" s="42">
        <f t="shared" si="1072"/>
        <v>6</v>
      </c>
      <c r="AQ373" s="42">
        <f t="shared" si="1073"/>
        <v>1</v>
      </c>
      <c r="AR373" s="42">
        <f t="shared" si="966"/>
        <v>0</v>
      </c>
      <c r="AS373" s="42">
        <f t="shared" si="1074"/>
        <v>0</v>
      </c>
      <c r="AT373" s="42">
        <f t="shared" si="1075"/>
        <v>0</v>
      </c>
      <c r="AU373" s="42">
        <f t="shared" si="1076"/>
        <v>0</v>
      </c>
      <c r="AV373" s="42">
        <f>IF(M373="ПП",РПП*AA373*(U373/1.5),IF(M373="ВП",ВПр*AA373*(U373/1.5),IF(M373="РПА",РПА*AA373*(U373/1.5),IF(M373="КПА",КПА*AA373*(U373/1.5),0))))</f>
        <v>0</v>
      </c>
      <c r="AW373" s="42">
        <f t="shared" si="1077"/>
        <v>0</v>
      </c>
      <c r="AX373" s="42">
        <f t="shared" si="967"/>
        <v>0</v>
      </c>
      <c r="AY373" s="42">
        <f t="shared" si="968"/>
        <v>0</v>
      </c>
      <c r="AZ373" s="42">
        <f t="shared" si="1078"/>
        <v>0</v>
      </c>
      <c r="BA373" s="42">
        <f t="shared" si="969"/>
        <v>0</v>
      </c>
      <c r="BB373" s="42">
        <f t="shared" si="970"/>
        <v>0</v>
      </c>
      <c r="BC373" s="42">
        <f t="shared" si="971"/>
        <v>0</v>
      </c>
      <c r="BD373" s="42">
        <f t="shared" si="1079"/>
        <v>0</v>
      </c>
      <c r="BE373" s="43">
        <f t="shared" si="1080"/>
        <v>46.96</v>
      </c>
      <c r="BF373" s="44"/>
      <c r="BG373" s="45">
        <f t="shared" si="1081"/>
        <v>36</v>
      </c>
      <c r="BH373" s="45">
        <f t="shared" si="1082"/>
        <v>1</v>
      </c>
      <c r="BI373" s="45">
        <f t="shared" si="1083"/>
        <v>10.96</v>
      </c>
      <c r="BJ373" s="46">
        <f t="shared" si="998"/>
        <v>0</v>
      </c>
      <c r="BK373" s="46">
        <f t="shared" si="999"/>
        <v>0</v>
      </c>
      <c r="BL373" s="46">
        <f t="shared" si="1000"/>
        <v>0</v>
      </c>
    </row>
    <row r="374" spans="1:64" ht="30" customHeight="1" x14ac:dyDescent="0.25">
      <c r="A374" s="84" t="str">
        <f t="shared" si="962"/>
        <v>Д</v>
      </c>
      <c r="B374" s="84" t="str">
        <f t="shared" si="1001"/>
        <v>Б</v>
      </c>
      <c r="C374" s="101" t="s">
        <v>1473</v>
      </c>
      <c r="D374" s="16" t="str">
        <f t="shared" si="1002"/>
        <v>'38.03.05</v>
      </c>
      <c r="E374" s="17" t="str">
        <f t="shared" si="1003"/>
        <v>Бизнес-информатика</v>
      </c>
      <c r="F374" s="9" t="s">
        <v>413</v>
      </c>
      <c r="G374" s="9" t="s">
        <v>42</v>
      </c>
      <c r="H374" s="10" t="s">
        <v>3233</v>
      </c>
      <c r="I374" s="10"/>
      <c r="J374" s="24" t="s">
        <v>3205</v>
      </c>
      <c r="K374" s="12">
        <v>3</v>
      </c>
      <c r="L374" s="11">
        <v>18</v>
      </c>
      <c r="M374" s="8" t="s">
        <v>94</v>
      </c>
      <c r="N374" s="12"/>
      <c r="O374" s="11">
        <v>2</v>
      </c>
      <c r="P374" s="12"/>
      <c r="Q374" s="8" t="s">
        <v>102</v>
      </c>
      <c r="R374" s="11"/>
      <c r="S374" s="11"/>
      <c r="T374" s="23"/>
      <c r="U374" s="11"/>
      <c r="V374" s="11"/>
      <c r="W374" s="83" t="str">
        <f t="shared" si="963"/>
        <v>НБИбд</v>
      </c>
      <c r="X374" s="110" t="s">
        <v>3234</v>
      </c>
      <c r="Y374" s="11">
        <v>1</v>
      </c>
      <c r="Z374" s="11"/>
      <c r="AA374" s="83">
        <f t="shared" si="1004"/>
        <v>12</v>
      </c>
      <c r="AB374" s="11">
        <v>10</v>
      </c>
      <c r="AC374" s="11">
        <v>2</v>
      </c>
      <c r="AD374" s="81">
        <f t="shared" si="964"/>
        <v>12</v>
      </c>
      <c r="AE374" s="82">
        <f t="shared" si="1005"/>
        <v>1</v>
      </c>
      <c r="AF374" s="82">
        <f t="shared" si="1006"/>
        <v>1</v>
      </c>
      <c r="AG374" s="102" t="s">
        <v>3250</v>
      </c>
      <c r="AH374" s="113" t="s">
        <v>203</v>
      </c>
      <c r="AI374" s="113" t="s">
        <v>213</v>
      </c>
      <c r="AJ374" s="121" t="s">
        <v>3262</v>
      </c>
      <c r="AK374" s="8"/>
      <c r="AL374" s="42">
        <f t="shared" si="965"/>
        <v>0</v>
      </c>
      <c r="AM374" s="42">
        <f t="shared" si="1070"/>
        <v>0</v>
      </c>
      <c r="AN374" s="42">
        <f t="shared" si="1071"/>
        <v>36</v>
      </c>
      <c r="AO374" s="42">
        <f t="shared" si="976"/>
        <v>3.96</v>
      </c>
      <c r="AP374" s="42">
        <f t="shared" si="1072"/>
        <v>6</v>
      </c>
      <c r="AQ374" s="42">
        <f t="shared" si="1073"/>
        <v>0</v>
      </c>
      <c r="AR374" s="42">
        <f t="shared" si="966"/>
        <v>0</v>
      </c>
      <c r="AS374" s="42">
        <f t="shared" si="1074"/>
        <v>0</v>
      </c>
      <c r="AT374" s="42">
        <f t="shared" si="1075"/>
        <v>0</v>
      </c>
      <c r="AU374" s="42">
        <f t="shared" si="1076"/>
        <v>0</v>
      </c>
      <c r="AV374" s="42">
        <f>IF(M374="ПП",РПП*AA374*(U374/1.5),IF(M374="ВП",ВПр*AA374*(U374/1.5),IF(M374="РПА",РПА*AA374*(U374/1.5),IF(M374="КПА",КПА*AA374*(U374/1.5),0))))</f>
        <v>0</v>
      </c>
      <c r="AW374" s="42">
        <f t="shared" si="1077"/>
        <v>0</v>
      </c>
      <c r="AX374" s="42">
        <f t="shared" si="967"/>
        <v>0</v>
      </c>
      <c r="AY374" s="42">
        <f t="shared" si="968"/>
        <v>0</v>
      </c>
      <c r="AZ374" s="42">
        <f t="shared" si="1078"/>
        <v>0</v>
      </c>
      <c r="BA374" s="42">
        <f t="shared" si="969"/>
        <v>0</v>
      </c>
      <c r="BB374" s="42">
        <f t="shared" si="970"/>
        <v>0</v>
      </c>
      <c r="BC374" s="42">
        <f t="shared" si="971"/>
        <v>0</v>
      </c>
      <c r="BD374" s="42">
        <f t="shared" si="1079"/>
        <v>0</v>
      </c>
      <c r="BE374" s="43">
        <f t="shared" si="1080"/>
        <v>45.96</v>
      </c>
      <c r="BF374" s="44"/>
      <c r="BG374" s="45">
        <f t="shared" si="1081"/>
        <v>36</v>
      </c>
      <c r="BH374" s="45">
        <f t="shared" si="1082"/>
        <v>1</v>
      </c>
      <c r="BI374" s="45">
        <f t="shared" si="1083"/>
        <v>9.9600000000000009</v>
      </c>
      <c r="BJ374" s="46">
        <f t="shared" si="998"/>
        <v>0</v>
      </c>
      <c r="BK374" s="46">
        <f t="shared" si="999"/>
        <v>0</v>
      </c>
      <c r="BL374" s="46">
        <f t="shared" si="1000"/>
        <v>0</v>
      </c>
    </row>
    <row r="375" spans="1:64" ht="30" customHeight="1" x14ac:dyDescent="0.25">
      <c r="A375" s="84" t="str">
        <f t="shared" si="962"/>
        <v>Д</v>
      </c>
      <c r="B375" s="84" t="str">
        <f t="shared" si="1001"/>
        <v>Б</v>
      </c>
      <c r="C375" s="101" t="s">
        <v>1473</v>
      </c>
      <c r="D375" s="16" t="str">
        <f t="shared" si="1002"/>
        <v>'38.03.05</v>
      </c>
      <c r="E375" s="17" t="str">
        <f t="shared" si="1003"/>
        <v>Бизнес-информатика</v>
      </c>
      <c r="F375" s="9" t="s">
        <v>413</v>
      </c>
      <c r="G375" s="9" t="s">
        <v>42</v>
      </c>
      <c r="H375" s="10" t="s">
        <v>3233</v>
      </c>
      <c r="I375" s="10"/>
      <c r="J375" s="24" t="s">
        <v>3205</v>
      </c>
      <c r="K375" s="11">
        <v>3</v>
      </c>
      <c r="L375" s="11">
        <v>18</v>
      </c>
      <c r="M375" s="8" t="s">
        <v>94</v>
      </c>
      <c r="N375" s="11"/>
      <c r="O375" s="11">
        <v>2</v>
      </c>
      <c r="P375" s="11"/>
      <c r="Q375" s="8" t="s">
        <v>102</v>
      </c>
      <c r="R375" s="11"/>
      <c r="S375" s="11"/>
      <c r="T375" s="11"/>
      <c r="U375" s="11"/>
      <c r="V375" s="11"/>
      <c r="W375" s="83" t="str">
        <f t="shared" si="963"/>
        <v>НБИбд</v>
      </c>
      <c r="X375" s="110" t="s">
        <v>3235</v>
      </c>
      <c r="Y375" s="11">
        <v>1</v>
      </c>
      <c r="Z375" s="11">
        <v>1</v>
      </c>
      <c r="AA375" s="83">
        <f t="shared" si="1004"/>
        <v>12</v>
      </c>
      <c r="AB375" s="11">
        <v>10</v>
      </c>
      <c r="AC375" s="11">
        <v>2</v>
      </c>
      <c r="AD375" s="81">
        <f t="shared" si="964"/>
        <v>12</v>
      </c>
      <c r="AE375" s="82">
        <f t="shared" si="1005"/>
        <v>1</v>
      </c>
      <c r="AF375" s="82">
        <f t="shared" si="1006"/>
        <v>1</v>
      </c>
      <c r="AG375" s="102" t="s">
        <v>3250</v>
      </c>
      <c r="AH375" s="113" t="s">
        <v>203</v>
      </c>
      <c r="AI375" s="113" t="s">
        <v>213</v>
      </c>
      <c r="AJ375" s="121" t="s">
        <v>3262</v>
      </c>
      <c r="AK375" s="8"/>
      <c r="AL375" s="42">
        <f t="shared" si="965"/>
        <v>0</v>
      </c>
      <c r="AM375" s="42">
        <f t="shared" si="1070"/>
        <v>0</v>
      </c>
      <c r="AN375" s="42">
        <f t="shared" si="1071"/>
        <v>36</v>
      </c>
      <c r="AO375" s="42">
        <f t="shared" si="976"/>
        <v>3.96</v>
      </c>
      <c r="AP375" s="42">
        <f t="shared" si="1072"/>
        <v>6</v>
      </c>
      <c r="AQ375" s="42">
        <f t="shared" si="1073"/>
        <v>1</v>
      </c>
      <c r="AR375" s="42">
        <f t="shared" si="966"/>
        <v>0</v>
      </c>
      <c r="AS375" s="42">
        <f t="shared" si="1074"/>
        <v>0</v>
      </c>
      <c r="AT375" s="42">
        <f t="shared" si="1075"/>
        <v>0</v>
      </c>
      <c r="AU375" s="42">
        <f t="shared" si="1076"/>
        <v>0</v>
      </c>
      <c r="AV375" s="42">
        <f>IF(M375="ПП",РПП*AA375*(U375/1.5),IF(M375="ВП",ВПр*AA375*(U375/1.5),IF(M375="РПА",РПА*AA375*(U375/1.5),IF(M375="КПА",КПА*AA375*(U375/1.5),0))))</f>
        <v>0</v>
      </c>
      <c r="AW375" s="42">
        <f t="shared" si="1077"/>
        <v>0</v>
      </c>
      <c r="AX375" s="42">
        <f t="shared" si="967"/>
        <v>0</v>
      </c>
      <c r="AY375" s="42">
        <f t="shared" si="968"/>
        <v>0</v>
      </c>
      <c r="AZ375" s="42">
        <f t="shared" si="1078"/>
        <v>0</v>
      </c>
      <c r="BA375" s="42">
        <f t="shared" si="969"/>
        <v>0</v>
      </c>
      <c r="BB375" s="42">
        <f t="shared" si="970"/>
        <v>0</v>
      </c>
      <c r="BC375" s="42">
        <f t="shared" si="971"/>
        <v>0</v>
      </c>
      <c r="BD375" s="42">
        <f t="shared" si="1079"/>
        <v>0</v>
      </c>
      <c r="BE375" s="43">
        <f t="shared" si="1080"/>
        <v>46.96</v>
      </c>
      <c r="BF375" s="44"/>
      <c r="BG375" s="45">
        <f t="shared" si="1081"/>
        <v>36</v>
      </c>
      <c r="BH375" s="45">
        <f t="shared" si="1082"/>
        <v>1</v>
      </c>
      <c r="BI375" s="45">
        <f t="shared" si="1083"/>
        <v>10.96</v>
      </c>
      <c r="BJ375" s="46">
        <f t="shared" si="998"/>
        <v>0</v>
      </c>
      <c r="BK375" s="46">
        <f t="shared" si="999"/>
        <v>0</v>
      </c>
      <c r="BL375" s="46">
        <f t="shared" si="1000"/>
        <v>0</v>
      </c>
    </row>
    <row r="376" spans="1:64" ht="30" customHeight="1" x14ac:dyDescent="0.25">
      <c r="A376" s="84" t="str">
        <f t="shared" si="962"/>
        <v>Д</v>
      </c>
      <c r="B376" s="84" t="str">
        <f t="shared" si="1001"/>
        <v>Б</v>
      </c>
      <c r="C376" s="101" t="s">
        <v>1473</v>
      </c>
      <c r="D376" s="16" t="str">
        <f t="shared" si="1002"/>
        <v>'38.03.05</v>
      </c>
      <c r="E376" s="17" t="str">
        <f t="shared" si="1003"/>
        <v>Бизнес-информатика</v>
      </c>
      <c r="F376" s="9" t="s">
        <v>413</v>
      </c>
      <c r="G376" s="9" t="s">
        <v>42</v>
      </c>
      <c r="H376" s="10" t="s">
        <v>3233</v>
      </c>
      <c r="I376" s="10"/>
      <c r="J376" s="24" t="s">
        <v>3205</v>
      </c>
      <c r="K376" s="11">
        <v>3</v>
      </c>
      <c r="L376" s="11">
        <v>18</v>
      </c>
      <c r="M376" s="8" t="s">
        <v>94</v>
      </c>
      <c r="N376" s="11"/>
      <c r="O376" s="11">
        <v>2</v>
      </c>
      <c r="P376" s="11"/>
      <c r="Q376" s="8" t="s">
        <v>102</v>
      </c>
      <c r="R376" s="11"/>
      <c r="S376" s="11"/>
      <c r="T376" s="11"/>
      <c r="U376" s="11"/>
      <c r="V376" s="11"/>
      <c r="W376" s="83" t="str">
        <f t="shared" si="963"/>
        <v>НБИбд</v>
      </c>
      <c r="X376" s="110" t="s">
        <v>3235</v>
      </c>
      <c r="Y376" s="11"/>
      <c r="Z376" s="11"/>
      <c r="AA376" s="83">
        <f t="shared" si="1004"/>
        <v>0</v>
      </c>
      <c r="AB376" s="11"/>
      <c r="AC376" s="11"/>
      <c r="AD376" s="81">
        <f t="shared" si="964"/>
        <v>12</v>
      </c>
      <c r="AE376" s="82">
        <f t="shared" si="1005"/>
        <v>0</v>
      </c>
      <c r="AF376" s="82">
        <f t="shared" si="1006"/>
        <v>0</v>
      </c>
      <c r="AG376" s="102" t="s">
        <v>3250</v>
      </c>
      <c r="AH376" s="113" t="s">
        <v>203</v>
      </c>
      <c r="AI376" s="113" t="s">
        <v>213</v>
      </c>
      <c r="AJ376" s="121" t="s">
        <v>3262</v>
      </c>
      <c r="AK376" s="8"/>
      <c r="AL376" s="42">
        <f t="shared" si="965"/>
        <v>0</v>
      </c>
      <c r="AM376" s="42">
        <f t="shared" si="1070"/>
        <v>0</v>
      </c>
      <c r="AN376" s="42">
        <f t="shared" si="1071"/>
        <v>0</v>
      </c>
      <c r="AO376" s="42">
        <f t="shared" si="976"/>
        <v>0</v>
      </c>
      <c r="AP376" s="42">
        <f t="shared" si="1072"/>
        <v>0</v>
      </c>
      <c r="AQ376" s="42">
        <f t="shared" si="1073"/>
        <v>0</v>
      </c>
      <c r="AR376" s="42">
        <f t="shared" si="966"/>
        <v>0</v>
      </c>
      <c r="AS376" s="42">
        <f t="shared" si="1074"/>
        <v>0</v>
      </c>
      <c r="AT376" s="42">
        <f t="shared" si="1075"/>
        <v>0</v>
      </c>
      <c r="AU376" s="42">
        <f t="shared" si="1076"/>
        <v>0</v>
      </c>
      <c r="AV376" s="42">
        <f>IF(M376="ПП",РПП*AA376*(U376/1.5),IF(M376="ВП",ВПр*AA376*(U376/1.5),IF(M376="РПА",РПА*AA376*(U376/1.5),IF(M376="КПА",КПА*AA376*(U376/1.5),0))))</f>
        <v>0</v>
      </c>
      <c r="AW376" s="42">
        <f t="shared" si="1077"/>
        <v>0</v>
      </c>
      <c r="AX376" s="42">
        <f t="shared" si="967"/>
        <v>0</v>
      </c>
      <c r="AY376" s="42">
        <f t="shared" si="968"/>
        <v>0</v>
      </c>
      <c r="AZ376" s="42">
        <f t="shared" si="1078"/>
        <v>0</v>
      </c>
      <c r="BA376" s="42">
        <f t="shared" si="969"/>
        <v>0</v>
      </c>
      <c r="BB376" s="42">
        <f t="shared" si="970"/>
        <v>0</v>
      </c>
      <c r="BC376" s="42">
        <f t="shared" si="971"/>
        <v>0</v>
      </c>
      <c r="BD376" s="42">
        <f t="shared" si="1079"/>
        <v>0</v>
      </c>
      <c r="BE376" s="43">
        <f t="shared" si="1080"/>
        <v>0</v>
      </c>
      <c r="BF376" s="44"/>
      <c r="BG376" s="45">
        <f t="shared" si="1081"/>
        <v>0</v>
      </c>
      <c r="BH376" s="45">
        <f t="shared" si="1082"/>
        <v>0</v>
      </c>
      <c r="BI376" s="45">
        <f t="shared" si="1083"/>
        <v>0</v>
      </c>
      <c r="BJ376" s="46">
        <f t="shared" si="998"/>
        <v>0</v>
      </c>
      <c r="BK376" s="46">
        <f t="shared" si="999"/>
        <v>0</v>
      </c>
      <c r="BL376" s="46">
        <f t="shared" si="1000"/>
        <v>0</v>
      </c>
    </row>
    <row r="377" spans="1:64" ht="30" customHeight="1" x14ac:dyDescent="0.25">
      <c r="A377" s="84" t="str">
        <f t="shared" si="962"/>
        <v>Д</v>
      </c>
      <c r="B377" s="84" t="str">
        <f t="shared" si="1001"/>
        <v>Б</v>
      </c>
      <c r="C377" s="101" t="s">
        <v>1473</v>
      </c>
      <c r="D377" s="16" t="str">
        <f t="shared" si="1002"/>
        <v>'38.03.05</v>
      </c>
      <c r="E377" s="17" t="str">
        <f t="shared" si="1003"/>
        <v>Бизнес-информатика</v>
      </c>
      <c r="F377" s="9" t="s">
        <v>413</v>
      </c>
      <c r="G377" s="9" t="s">
        <v>42</v>
      </c>
      <c r="H377" s="10" t="s">
        <v>3233</v>
      </c>
      <c r="I377" s="10"/>
      <c r="J377" s="24" t="s">
        <v>3208</v>
      </c>
      <c r="K377" s="11">
        <v>5</v>
      </c>
      <c r="L377" s="11">
        <v>18</v>
      </c>
      <c r="M377" s="8" t="s">
        <v>23</v>
      </c>
      <c r="N377" s="11">
        <v>1</v>
      </c>
      <c r="O377" s="11"/>
      <c r="P377" s="11"/>
      <c r="Q377" s="8" t="s">
        <v>103</v>
      </c>
      <c r="R377" s="12"/>
      <c r="S377" s="12"/>
      <c r="T377" s="12"/>
      <c r="U377" s="12"/>
      <c r="V377" s="12"/>
      <c r="W377" s="83" t="str">
        <f t="shared" si="963"/>
        <v>НБИбд</v>
      </c>
      <c r="X377" s="110" t="s">
        <v>3241</v>
      </c>
      <c r="Y377" s="11">
        <v>2</v>
      </c>
      <c r="Z377" s="11">
        <v>1</v>
      </c>
      <c r="AA377" s="83">
        <f t="shared" si="1004"/>
        <v>32</v>
      </c>
      <c r="AB377" s="11">
        <v>30</v>
      </c>
      <c r="AC377" s="12">
        <v>2</v>
      </c>
      <c r="AD377" s="81">
        <f t="shared" si="964"/>
        <v>32</v>
      </c>
      <c r="AE377" s="82">
        <f t="shared" si="1005"/>
        <v>1</v>
      </c>
      <c r="AF377" s="82">
        <f t="shared" si="1006"/>
        <v>1</v>
      </c>
      <c r="AG377" s="102" t="s">
        <v>3250</v>
      </c>
      <c r="AH377" s="113" t="s">
        <v>204</v>
      </c>
      <c r="AI377" s="113" t="s">
        <v>212</v>
      </c>
      <c r="AJ377" s="121" t="s">
        <v>3256</v>
      </c>
      <c r="AK377" s="8"/>
      <c r="AL377" s="42">
        <f t="shared" si="965"/>
        <v>18</v>
      </c>
      <c r="AM377" s="42">
        <f t="shared" si="1070"/>
        <v>0</v>
      </c>
      <c r="AN377" s="42">
        <f t="shared" si="1071"/>
        <v>0</v>
      </c>
      <c r="AO377" s="42">
        <f t="shared" si="976"/>
        <v>10.56</v>
      </c>
      <c r="AP377" s="42">
        <f t="shared" si="1072"/>
        <v>16</v>
      </c>
      <c r="AQ377" s="42">
        <f t="shared" si="1073"/>
        <v>1</v>
      </c>
      <c r="AR377" s="42">
        <f t="shared" si="966"/>
        <v>0.9</v>
      </c>
      <c r="AS377" s="42">
        <f t="shared" si="1074"/>
        <v>0</v>
      </c>
      <c r="AT377" s="42">
        <f t="shared" si="1075"/>
        <v>0</v>
      </c>
      <c r="AU377" s="42">
        <f t="shared" si="1076"/>
        <v>0</v>
      </c>
      <c r="AV377" s="42">
        <f>IF(M377="ПП",РПП*AA377*(U377/1.5),IF(M377="ВП",ВПр*AA377*(U377/1.5),IF(M377="РПА",РПА*AA377*(U377/1.5),IF(M377="КПА",КПА*AA377*(U377/1.5),0))))</f>
        <v>0</v>
      </c>
      <c r="AW377" s="42">
        <f t="shared" si="1077"/>
        <v>0</v>
      </c>
      <c r="AX377" s="42">
        <f t="shared" si="967"/>
        <v>0</v>
      </c>
      <c r="AY377" s="42">
        <f t="shared" si="968"/>
        <v>0</v>
      </c>
      <c r="AZ377" s="42">
        <f t="shared" si="1078"/>
        <v>0</v>
      </c>
      <c r="BA377" s="42">
        <f t="shared" si="969"/>
        <v>0</v>
      </c>
      <c r="BB377" s="42">
        <f t="shared" si="970"/>
        <v>0</v>
      </c>
      <c r="BC377" s="42">
        <f t="shared" si="971"/>
        <v>0</v>
      </c>
      <c r="BD377" s="42">
        <f t="shared" si="1079"/>
        <v>0</v>
      </c>
      <c r="BE377" s="43">
        <f t="shared" si="1080"/>
        <v>46.46</v>
      </c>
      <c r="BF377" s="44"/>
      <c r="BG377" s="45">
        <f t="shared" si="1081"/>
        <v>18</v>
      </c>
      <c r="BH377" s="45">
        <f t="shared" si="1082"/>
        <v>0.5</v>
      </c>
      <c r="BI377" s="45">
        <f t="shared" si="1083"/>
        <v>28.46</v>
      </c>
      <c r="BJ377" s="46">
        <f t="shared" si="998"/>
        <v>0</v>
      </c>
      <c r="BK377" s="46">
        <f t="shared" si="999"/>
        <v>0</v>
      </c>
      <c r="BL377" s="46">
        <f t="shared" si="1000"/>
        <v>0</v>
      </c>
    </row>
    <row r="378" spans="1:64" ht="30" customHeight="1" x14ac:dyDescent="0.25">
      <c r="A378" s="84" t="str">
        <f t="shared" si="962"/>
        <v>Д</v>
      </c>
      <c r="B378" s="84" t="str">
        <f t="shared" si="1001"/>
        <v>Б</v>
      </c>
      <c r="C378" s="101" t="s">
        <v>1473</v>
      </c>
      <c r="D378" s="16" t="str">
        <f t="shared" si="1002"/>
        <v>'38.03.05</v>
      </c>
      <c r="E378" s="17" t="str">
        <f t="shared" si="1003"/>
        <v>Бизнес-информатика</v>
      </c>
      <c r="F378" s="9" t="s">
        <v>413</v>
      </c>
      <c r="G378" s="9" t="s">
        <v>42</v>
      </c>
      <c r="H378" s="10" t="s">
        <v>3233</v>
      </c>
      <c r="I378" s="10"/>
      <c r="J378" s="24" t="s">
        <v>3208</v>
      </c>
      <c r="K378" s="11">
        <v>5</v>
      </c>
      <c r="L378" s="11">
        <v>18</v>
      </c>
      <c r="M378" s="8" t="s">
        <v>94</v>
      </c>
      <c r="N378" s="11"/>
      <c r="O378" s="11">
        <v>2</v>
      </c>
      <c r="P378" s="11"/>
      <c r="Q378" s="8"/>
      <c r="R378" s="11"/>
      <c r="S378" s="11"/>
      <c r="T378" s="23"/>
      <c r="U378" s="11"/>
      <c r="V378" s="11"/>
      <c r="W378" s="83" t="str">
        <f t="shared" si="963"/>
        <v>НБИбд</v>
      </c>
      <c r="X378" s="110" t="s">
        <v>3241</v>
      </c>
      <c r="Y378" s="11">
        <v>1</v>
      </c>
      <c r="Z378" s="11">
        <v>1</v>
      </c>
      <c r="AA378" s="83">
        <f t="shared" si="1004"/>
        <v>16</v>
      </c>
      <c r="AB378" s="11">
        <v>15</v>
      </c>
      <c r="AC378" s="11">
        <v>1</v>
      </c>
      <c r="AD378" s="81">
        <f t="shared" si="964"/>
        <v>12</v>
      </c>
      <c r="AE378" s="82">
        <f t="shared" si="1005"/>
        <v>1</v>
      </c>
      <c r="AF378" s="82">
        <f t="shared" si="1006"/>
        <v>1.3333333333333333</v>
      </c>
      <c r="AG378" s="102" t="s">
        <v>3250</v>
      </c>
      <c r="AH378" s="113" t="s">
        <v>201</v>
      </c>
      <c r="AI378" s="113" t="s">
        <v>212</v>
      </c>
      <c r="AJ378" s="121" t="s">
        <v>3257</v>
      </c>
      <c r="AK378" s="8"/>
      <c r="AL378" s="42">
        <f t="shared" si="965"/>
        <v>0</v>
      </c>
      <c r="AM378" s="42">
        <f t="shared" si="1070"/>
        <v>0</v>
      </c>
      <c r="AN378" s="42">
        <f t="shared" si="1071"/>
        <v>36</v>
      </c>
      <c r="AO378" s="42">
        <f t="shared" si="976"/>
        <v>0</v>
      </c>
      <c r="AP378" s="42">
        <f t="shared" si="1072"/>
        <v>0</v>
      </c>
      <c r="AQ378" s="42">
        <f t="shared" si="1073"/>
        <v>0</v>
      </c>
      <c r="AR378" s="42">
        <f t="shared" si="966"/>
        <v>0</v>
      </c>
      <c r="AS378" s="42">
        <f t="shared" si="1074"/>
        <v>0</v>
      </c>
      <c r="AT378" s="42">
        <f t="shared" si="1075"/>
        <v>0</v>
      </c>
      <c r="AU378" s="42">
        <f t="shared" si="1076"/>
        <v>0</v>
      </c>
      <c r="AV378" s="42">
        <f>IF(M378="ПП",РПП*AA378*(U378/1.5),IF(M378="ВП",ВПр*AA378*(U378/1.5),IF(M378="РПА",РПА*AA378*(U378/1.5),IF(M378="КПА",КПА*AA378*(U378/1.5),0))))</f>
        <v>0</v>
      </c>
      <c r="AW378" s="42">
        <f t="shared" si="1077"/>
        <v>0</v>
      </c>
      <c r="AX378" s="42">
        <f t="shared" si="967"/>
        <v>0</v>
      </c>
      <c r="AY378" s="42">
        <f t="shared" si="968"/>
        <v>0</v>
      </c>
      <c r="AZ378" s="42">
        <f t="shared" si="1078"/>
        <v>0</v>
      </c>
      <c r="BA378" s="42">
        <f t="shared" si="969"/>
        <v>0</v>
      </c>
      <c r="BB378" s="42">
        <f t="shared" si="970"/>
        <v>0</v>
      </c>
      <c r="BC378" s="42">
        <f t="shared" si="971"/>
        <v>0</v>
      </c>
      <c r="BD378" s="42">
        <f t="shared" si="1079"/>
        <v>0</v>
      </c>
      <c r="BE378" s="43">
        <f t="shared" si="1080"/>
        <v>36</v>
      </c>
      <c r="BF378" s="44"/>
      <c r="BG378" s="45">
        <f t="shared" si="1081"/>
        <v>36</v>
      </c>
      <c r="BH378" s="45">
        <f t="shared" si="1082"/>
        <v>1</v>
      </c>
      <c r="BI378" s="45">
        <f t="shared" si="1083"/>
        <v>0</v>
      </c>
      <c r="BJ378" s="46">
        <f t="shared" si="998"/>
        <v>0</v>
      </c>
      <c r="BK378" s="46">
        <f t="shared" si="999"/>
        <v>0</v>
      </c>
      <c r="BL378" s="46">
        <f t="shared" si="1000"/>
        <v>0</v>
      </c>
    </row>
    <row r="379" spans="1:64" ht="30" customHeight="1" x14ac:dyDescent="0.25">
      <c r="A379" s="84" t="str">
        <f t="shared" si="962"/>
        <v>Д</v>
      </c>
      <c r="B379" s="84" t="str">
        <f t="shared" si="1001"/>
        <v>Б</v>
      </c>
      <c r="C379" s="101" t="s">
        <v>1473</v>
      </c>
      <c r="D379" s="16" t="str">
        <f t="shared" si="1002"/>
        <v>'38.03.05</v>
      </c>
      <c r="E379" s="17" t="str">
        <f t="shared" si="1003"/>
        <v>Бизнес-информатика</v>
      </c>
      <c r="F379" s="9" t="s">
        <v>413</v>
      </c>
      <c r="G379" s="9" t="s">
        <v>42</v>
      </c>
      <c r="H379" s="10" t="s">
        <v>3233</v>
      </c>
      <c r="I379" s="10"/>
      <c r="J379" s="24" t="s">
        <v>3208</v>
      </c>
      <c r="K379" s="11">
        <v>5</v>
      </c>
      <c r="L379" s="11">
        <v>18</v>
      </c>
      <c r="M379" s="8" t="s">
        <v>94</v>
      </c>
      <c r="N379" s="12"/>
      <c r="O379" s="11">
        <v>2</v>
      </c>
      <c r="P379" s="12"/>
      <c r="Q379" s="8"/>
      <c r="R379" s="11"/>
      <c r="S379" s="11"/>
      <c r="T379" s="23"/>
      <c r="U379" s="11"/>
      <c r="V379" s="11"/>
      <c r="W379" s="83" t="str">
        <f t="shared" si="963"/>
        <v>НБИбд</v>
      </c>
      <c r="X379" s="110" t="s">
        <v>3241</v>
      </c>
      <c r="Y379" s="11">
        <v>1</v>
      </c>
      <c r="Z379" s="11">
        <v>1</v>
      </c>
      <c r="AA379" s="83">
        <f t="shared" si="1004"/>
        <v>16</v>
      </c>
      <c r="AB379" s="11">
        <v>15</v>
      </c>
      <c r="AC379" s="11">
        <v>1</v>
      </c>
      <c r="AD379" s="81">
        <f t="shared" si="964"/>
        <v>12</v>
      </c>
      <c r="AE379" s="82">
        <f t="shared" si="1005"/>
        <v>1</v>
      </c>
      <c r="AF379" s="82">
        <f t="shared" si="1006"/>
        <v>1.3333333333333333</v>
      </c>
      <c r="AG379" s="102" t="s">
        <v>3250</v>
      </c>
      <c r="AH379" s="113" t="s">
        <v>201</v>
      </c>
      <c r="AI379" s="113" t="s">
        <v>212</v>
      </c>
      <c r="AJ379" s="121" t="s">
        <v>3257</v>
      </c>
      <c r="AK379" s="8"/>
      <c r="AL379" s="42">
        <f t="shared" si="965"/>
        <v>0</v>
      </c>
      <c r="AM379" s="42">
        <f t="shared" si="1070"/>
        <v>0</v>
      </c>
      <c r="AN379" s="42">
        <f t="shared" si="1071"/>
        <v>36</v>
      </c>
      <c r="AO379" s="42">
        <f t="shared" si="976"/>
        <v>0</v>
      </c>
      <c r="AP379" s="42">
        <f t="shared" si="1072"/>
        <v>0</v>
      </c>
      <c r="AQ379" s="42">
        <f t="shared" si="1073"/>
        <v>0</v>
      </c>
      <c r="AR379" s="42">
        <f t="shared" si="966"/>
        <v>0</v>
      </c>
      <c r="AS379" s="42">
        <f t="shared" si="1074"/>
        <v>0</v>
      </c>
      <c r="AT379" s="42">
        <f t="shared" si="1075"/>
        <v>0</v>
      </c>
      <c r="AU379" s="42">
        <f t="shared" si="1076"/>
        <v>0</v>
      </c>
      <c r="AV379" s="42">
        <f>IF(M379="ПП",РПП*AA379*(U379/1.5),IF(M379="ВП",ВПр*AA379*(U379/1.5),IF(M379="РПА",РПА*AA379*(U379/1.5),IF(M379="КПА",КПА*AA379*(U379/1.5),0))))</f>
        <v>0</v>
      </c>
      <c r="AW379" s="42">
        <f t="shared" si="1077"/>
        <v>0</v>
      </c>
      <c r="AX379" s="42">
        <f t="shared" si="967"/>
        <v>0</v>
      </c>
      <c r="AY379" s="42">
        <f t="shared" si="968"/>
        <v>0</v>
      </c>
      <c r="AZ379" s="42">
        <f t="shared" si="1078"/>
        <v>0</v>
      </c>
      <c r="BA379" s="42">
        <f t="shared" si="969"/>
        <v>0</v>
      </c>
      <c r="BB379" s="42">
        <f t="shared" si="970"/>
        <v>0</v>
      </c>
      <c r="BC379" s="42">
        <f t="shared" si="971"/>
        <v>0</v>
      </c>
      <c r="BD379" s="42">
        <f t="shared" si="1079"/>
        <v>0</v>
      </c>
      <c r="BE379" s="43">
        <f t="shared" si="1080"/>
        <v>36</v>
      </c>
      <c r="BF379" s="44"/>
      <c r="BG379" s="45">
        <f t="shared" si="1081"/>
        <v>36</v>
      </c>
      <c r="BH379" s="45">
        <f t="shared" si="1082"/>
        <v>1</v>
      </c>
      <c r="BI379" s="45">
        <f t="shared" si="1083"/>
        <v>0</v>
      </c>
      <c r="BJ379" s="46">
        <f t="shared" si="998"/>
        <v>0</v>
      </c>
      <c r="BK379" s="46">
        <f t="shared" si="999"/>
        <v>0</v>
      </c>
      <c r="BL379" s="46">
        <f t="shared" si="1000"/>
        <v>0</v>
      </c>
    </row>
    <row r="380" spans="1:64" ht="30" customHeight="1" x14ac:dyDescent="0.25">
      <c r="A380" s="84" t="str">
        <f t="shared" si="962"/>
        <v>Д</v>
      </c>
      <c r="B380" s="84" t="str">
        <f t="shared" si="1001"/>
        <v>Б</v>
      </c>
      <c r="C380" s="101" t="s">
        <v>1473</v>
      </c>
      <c r="D380" s="16" t="str">
        <f t="shared" si="1002"/>
        <v>'38.03.05</v>
      </c>
      <c r="E380" s="17" t="str">
        <f t="shared" si="1003"/>
        <v>Бизнес-информатика</v>
      </c>
      <c r="F380" s="9" t="s">
        <v>413</v>
      </c>
      <c r="G380" s="9" t="s">
        <v>42</v>
      </c>
      <c r="H380" s="10" t="s">
        <v>3233</v>
      </c>
      <c r="I380" s="10"/>
      <c r="J380" s="24" t="s">
        <v>3208</v>
      </c>
      <c r="K380" s="11">
        <v>5</v>
      </c>
      <c r="L380" s="11">
        <v>18</v>
      </c>
      <c r="M380" s="8" t="s">
        <v>94</v>
      </c>
      <c r="N380" s="11"/>
      <c r="O380" s="11">
        <v>2</v>
      </c>
      <c r="P380" s="11"/>
      <c r="Q380" s="8"/>
      <c r="R380" s="11"/>
      <c r="S380" s="11"/>
      <c r="T380" s="11"/>
      <c r="U380" s="11"/>
      <c r="V380" s="11"/>
      <c r="W380" s="83" t="str">
        <f t="shared" si="963"/>
        <v>НБИбд</v>
      </c>
      <c r="X380" s="110" t="s">
        <v>3242</v>
      </c>
      <c r="Y380" s="11"/>
      <c r="Z380" s="11"/>
      <c r="AA380" s="83">
        <f t="shared" si="1004"/>
        <v>0</v>
      </c>
      <c r="AB380" s="11"/>
      <c r="AC380" s="11"/>
      <c r="AD380" s="81">
        <f t="shared" si="964"/>
        <v>12</v>
      </c>
      <c r="AE380" s="82">
        <f t="shared" si="1005"/>
        <v>0</v>
      </c>
      <c r="AF380" s="82">
        <f t="shared" si="1006"/>
        <v>0</v>
      </c>
      <c r="AG380" s="102" t="s">
        <v>3250</v>
      </c>
      <c r="AH380" s="113" t="s">
        <v>201</v>
      </c>
      <c r="AI380" s="113" t="s">
        <v>212</v>
      </c>
      <c r="AJ380" s="121" t="s">
        <v>3257</v>
      </c>
      <c r="AK380" s="8"/>
      <c r="AL380" s="42">
        <f t="shared" si="965"/>
        <v>0</v>
      </c>
      <c r="AM380" s="42">
        <f t="shared" si="1070"/>
        <v>0</v>
      </c>
      <c r="AN380" s="42">
        <f t="shared" si="1071"/>
        <v>0</v>
      </c>
      <c r="AO380" s="42">
        <f t="shared" si="976"/>
        <v>0</v>
      </c>
      <c r="AP380" s="42">
        <f t="shared" si="1072"/>
        <v>0</v>
      </c>
      <c r="AQ380" s="42">
        <f t="shared" si="1073"/>
        <v>0</v>
      </c>
      <c r="AR380" s="42">
        <f t="shared" si="966"/>
        <v>0</v>
      </c>
      <c r="AS380" s="42">
        <f t="shared" si="1074"/>
        <v>0</v>
      </c>
      <c r="AT380" s="42">
        <f t="shared" si="1075"/>
        <v>0</v>
      </c>
      <c r="AU380" s="42">
        <f t="shared" si="1076"/>
        <v>0</v>
      </c>
      <c r="AV380" s="42">
        <f>IF(M380="ПП",РПП*AA380*(U380/1.5),IF(M380="ВП",ВПр*AA380*(U380/1.5),IF(M380="РПА",РПА*AA380*(U380/1.5),IF(M380="КПА",КПА*AA380*(U380/1.5),0))))</f>
        <v>0</v>
      </c>
      <c r="AW380" s="42">
        <f t="shared" si="1077"/>
        <v>0</v>
      </c>
      <c r="AX380" s="42">
        <f t="shared" si="967"/>
        <v>0</v>
      </c>
      <c r="AY380" s="42">
        <f t="shared" si="968"/>
        <v>0</v>
      </c>
      <c r="AZ380" s="42">
        <f t="shared" si="1078"/>
        <v>0</v>
      </c>
      <c r="BA380" s="42">
        <f t="shared" si="969"/>
        <v>0</v>
      </c>
      <c r="BB380" s="42">
        <f t="shared" si="970"/>
        <v>0</v>
      </c>
      <c r="BC380" s="42">
        <f t="shared" si="971"/>
        <v>0</v>
      </c>
      <c r="BD380" s="42">
        <f t="shared" si="1079"/>
        <v>0</v>
      </c>
      <c r="BE380" s="43">
        <f t="shared" si="1080"/>
        <v>0</v>
      </c>
      <c r="BF380" s="44"/>
      <c r="BG380" s="45">
        <f t="shared" si="1081"/>
        <v>0</v>
      </c>
      <c r="BH380" s="45">
        <f t="shared" si="1082"/>
        <v>0</v>
      </c>
      <c r="BI380" s="45">
        <f t="shared" si="1083"/>
        <v>0</v>
      </c>
      <c r="BJ380" s="46">
        <f t="shared" si="998"/>
        <v>0</v>
      </c>
      <c r="BK380" s="46">
        <f t="shared" si="999"/>
        <v>0</v>
      </c>
      <c r="BL380" s="46">
        <f t="shared" si="1000"/>
        <v>0</v>
      </c>
    </row>
    <row r="381" spans="1:64" ht="30" customHeight="1" x14ac:dyDescent="0.25">
      <c r="A381" s="84" t="str">
        <f t="shared" si="962"/>
        <v>Д</v>
      </c>
      <c r="B381" s="84" t="str">
        <f t="shared" si="1001"/>
        <v>Б</v>
      </c>
      <c r="C381" s="101" t="s">
        <v>1473</v>
      </c>
      <c r="D381" s="16" t="str">
        <f t="shared" si="1002"/>
        <v>'38.03.05</v>
      </c>
      <c r="E381" s="17" t="str">
        <f t="shared" si="1003"/>
        <v>Бизнес-информатика</v>
      </c>
      <c r="F381" s="9" t="s">
        <v>413</v>
      </c>
      <c r="G381" s="9" t="s">
        <v>42</v>
      </c>
      <c r="H381" s="10" t="s">
        <v>3233</v>
      </c>
      <c r="I381" s="10"/>
      <c r="J381" s="24" t="s">
        <v>3208</v>
      </c>
      <c r="K381" s="11">
        <v>5</v>
      </c>
      <c r="L381" s="11">
        <v>18</v>
      </c>
      <c r="M381" s="8" t="s">
        <v>94</v>
      </c>
      <c r="N381" s="11"/>
      <c r="O381" s="11">
        <v>2</v>
      </c>
      <c r="P381" s="11"/>
      <c r="Q381" s="8"/>
      <c r="R381" s="11"/>
      <c r="S381" s="11"/>
      <c r="T381" s="11"/>
      <c r="U381" s="11"/>
      <c r="V381" s="11"/>
      <c r="W381" s="83" t="str">
        <f t="shared" si="963"/>
        <v>НБИбд</v>
      </c>
      <c r="X381" s="110" t="s">
        <v>3242</v>
      </c>
      <c r="Y381" s="11"/>
      <c r="Z381" s="11"/>
      <c r="AA381" s="83">
        <f t="shared" si="1004"/>
        <v>0</v>
      </c>
      <c r="AB381" s="11"/>
      <c r="AC381" s="11"/>
      <c r="AD381" s="81">
        <f t="shared" si="964"/>
        <v>12</v>
      </c>
      <c r="AE381" s="82">
        <f t="shared" si="1005"/>
        <v>0</v>
      </c>
      <c r="AF381" s="82">
        <f t="shared" si="1006"/>
        <v>0</v>
      </c>
      <c r="AG381" s="102" t="s">
        <v>3250</v>
      </c>
      <c r="AH381" s="113" t="s">
        <v>201</v>
      </c>
      <c r="AI381" s="113" t="s">
        <v>212</v>
      </c>
      <c r="AJ381" s="126" t="s">
        <v>3257</v>
      </c>
      <c r="AK381" s="8"/>
      <c r="AL381" s="42">
        <f t="shared" si="965"/>
        <v>0</v>
      </c>
      <c r="AM381" s="42">
        <f t="shared" si="1070"/>
        <v>0</v>
      </c>
      <c r="AN381" s="42">
        <f t="shared" si="1071"/>
        <v>0</v>
      </c>
      <c r="AO381" s="42">
        <f t="shared" si="976"/>
        <v>0</v>
      </c>
      <c r="AP381" s="42">
        <f t="shared" si="1072"/>
        <v>0</v>
      </c>
      <c r="AQ381" s="42">
        <f t="shared" si="1073"/>
        <v>0</v>
      </c>
      <c r="AR381" s="42">
        <f t="shared" si="966"/>
        <v>0</v>
      </c>
      <c r="AS381" s="42">
        <f t="shared" si="1074"/>
        <v>0</v>
      </c>
      <c r="AT381" s="42">
        <f t="shared" si="1075"/>
        <v>0</v>
      </c>
      <c r="AU381" s="42">
        <f t="shared" si="1076"/>
        <v>0</v>
      </c>
      <c r="AV381" s="42">
        <f>IF(M381="ПП",РПП*AA381*(U381/1.5),IF(M381="ВП",ВПр*AA381*(U381/1.5),IF(M381="РПА",РПА*AA381*(U381/1.5),IF(M381="КПА",КПА*AA381*(U381/1.5),0))))</f>
        <v>0</v>
      </c>
      <c r="AW381" s="42">
        <f t="shared" si="1077"/>
        <v>0</v>
      </c>
      <c r="AX381" s="42">
        <f t="shared" si="967"/>
        <v>0</v>
      </c>
      <c r="AY381" s="42">
        <f t="shared" si="968"/>
        <v>0</v>
      </c>
      <c r="AZ381" s="42">
        <f t="shared" si="1078"/>
        <v>0</v>
      </c>
      <c r="BA381" s="42">
        <f t="shared" si="969"/>
        <v>0</v>
      </c>
      <c r="BB381" s="42">
        <f t="shared" si="970"/>
        <v>0</v>
      </c>
      <c r="BC381" s="42">
        <f t="shared" si="971"/>
        <v>0</v>
      </c>
      <c r="BD381" s="42">
        <f t="shared" si="1079"/>
        <v>0</v>
      </c>
      <c r="BE381" s="43">
        <f t="shared" si="1080"/>
        <v>0</v>
      </c>
      <c r="BF381" s="44"/>
      <c r="BG381" s="45">
        <f t="shared" si="1081"/>
        <v>0</v>
      </c>
      <c r="BH381" s="45">
        <f t="shared" si="1082"/>
        <v>0</v>
      </c>
      <c r="BI381" s="45">
        <f t="shared" si="1083"/>
        <v>0</v>
      </c>
      <c r="BJ381" s="46">
        <f t="shared" si="998"/>
        <v>0</v>
      </c>
      <c r="BK381" s="46">
        <f t="shared" si="999"/>
        <v>0</v>
      </c>
      <c r="BL381" s="46">
        <f t="shared" si="1000"/>
        <v>0</v>
      </c>
    </row>
    <row r="382" spans="1:64" ht="30" customHeight="1" x14ac:dyDescent="0.25">
      <c r="A382" s="84" t="str">
        <f t="shared" si="962"/>
        <v>Д</v>
      </c>
      <c r="B382" s="84" t="str">
        <f t="shared" si="1001"/>
        <v>Б</v>
      </c>
      <c r="C382" s="101" t="s">
        <v>1473</v>
      </c>
      <c r="D382" s="16" t="str">
        <f t="shared" si="1002"/>
        <v>'38.03.05</v>
      </c>
      <c r="E382" s="17" t="str">
        <f t="shared" si="1003"/>
        <v>Бизнес-информатика</v>
      </c>
      <c r="F382" s="9" t="s">
        <v>413</v>
      </c>
      <c r="G382" s="9" t="s">
        <v>42</v>
      </c>
      <c r="H382" s="10" t="s">
        <v>3233</v>
      </c>
      <c r="I382" s="10"/>
      <c r="J382" s="24" t="s">
        <v>3299</v>
      </c>
      <c r="K382" s="11">
        <v>5</v>
      </c>
      <c r="L382" s="11">
        <v>18</v>
      </c>
      <c r="M382" s="8" t="s">
        <v>23</v>
      </c>
      <c r="N382" s="11">
        <v>1</v>
      </c>
      <c r="O382" s="11"/>
      <c r="P382" s="11"/>
      <c r="Q382" s="8"/>
      <c r="R382" s="11"/>
      <c r="S382" s="11"/>
      <c r="T382" s="11"/>
      <c r="U382" s="11"/>
      <c r="V382" s="11"/>
      <c r="W382" s="83" t="str">
        <f t="shared" si="963"/>
        <v>НБИбд</v>
      </c>
      <c r="X382" s="110" t="s">
        <v>3241</v>
      </c>
      <c r="Y382" s="11">
        <v>2</v>
      </c>
      <c r="Z382" s="11">
        <v>1</v>
      </c>
      <c r="AA382" s="83">
        <f t="shared" si="1004"/>
        <v>32</v>
      </c>
      <c r="AB382" s="11">
        <v>30</v>
      </c>
      <c r="AC382" s="12">
        <v>2</v>
      </c>
      <c r="AD382" s="81">
        <f t="shared" si="964"/>
        <v>32</v>
      </c>
      <c r="AE382" s="82">
        <f t="shared" si="1005"/>
        <v>1</v>
      </c>
      <c r="AF382" s="82">
        <f t="shared" si="1006"/>
        <v>1</v>
      </c>
      <c r="AG382" s="102" t="s">
        <v>3250</v>
      </c>
      <c r="AH382" s="113" t="s">
        <v>204</v>
      </c>
      <c r="AI382" s="113" t="s">
        <v>213</v>
      </c>
      <c r="AJ382" s="121" t="s">
        <v>3259</v>
      </c>
      <c r="AK382" s="8"/>
      <c r="AL382" s="42">
        <f t="shared" si="965"/>
        <v>18</v>
      </c>
      <c r="AM382" s="42">
        <f t="shared" si="1070"/>
        <v>0</v>
      </c>
      <c r="AN382" s="42">
        <f t="shared" si="1071"/>
        <v>0</v>
      </c>
      <c r="AO382" s="42">
        <f t="shared" si="976"/>
        <v>0</v>
      </c>
      <c r="AP382" s="42">
        <f t="shared" si="1072"/>
        <v>0</v>
      </c>
      <c r="AQ382" s="42">
        <f t="shared" si="1073"/>
        <v>0</v>
      </c>
      <c r="AR382" s="42">
        <f t="shared" si="966"/>
        <v>0.9</v>
      </c>
      <c r="AS382" s="42">
        <f t="shared" si="1074"/>
        <v>0</v>
      </c>
      <c r="AT382" s="42">
        <f t="shared" si="1075"/>
        <v>0</v>
      </c>
      <c r="AU382" s="42">
        <f t="shared" si="1076"/>
        <v>0</v>
      </c>
      <c r="AV382" s="42">
        <f>IF(M382="ПП",РПП*AA382*(U382/1.5),IF(M382="ВП",ВПр*AA382*(U382/1.5),IF(M382="РПА",РПА*AA382*(U382/1.5),IF(M382="КПА",КПА*AA382*(U382/1.5),0))))</f>
        <v>0</v>
      </c>
      <c r="AW382" s="42">
        <f t="shared" si="1077"/>
        <v>0</v>
      </c>
      <c r="AX382" s="42">
        <f t="shared" si="967"/>
        <v>0</v>
      </c>
      <c r="AY382" s="42">
        <f t="shared" si="968"/>
        <v>0</v>
      </c>
      <c r="AZ382" s="42">
        <f t="shared" si="1078"/>
        <v>0</v>
      </c>
      <c r="BA382" s="42">
        <f t="shared" si="969"/>
        <v>0</v>
      </c>
      <c r="BB382" s="42">
        <f t="shared" si="970"/>
        <v>0</v>
      </c>
      <c r="BC382" s="42">
        <f t="shared" si="971"/>
        <v>0</v>
      </c>
      <c r="BD382" s="42">
        <f t="shared" si="1079"/>
        <v>0</v>
      </c>
      <c r="BE382" s="43">
        <f t="shared" si="1080"/>
        <v>18.899999999999999</v>
      </c>
      <c r="BF382" s="44"/>
      <c r="BG382" s="45">
        <f t="shared" si="1081"/>
        <v>18</v>
      </c>
      <c r="BH382" s="45">
        <f t="shared" si="1082"/>
        <v>0.5</v>
      </c>
      <c r="BI382" s="45">
        <f t="shared" si="1083"/>
        <v>0.9</v>
      </c>
      <c r="BJ382" s="46">
        <f t="shared" si="998"/>
        <v>0</v>
      </c>
      <c r="BK382" s="46">
        <f t="shared" si="999"/>
        <v>0</v>
      </c>
      <c r="BL382" s="46">
        <f t="shared" si="1000"/>
        <v>0</v>
      </c>
    </row>
    <row r="383" spans="1:64" ht="30" customHeight="1" x14ac:dyDescent="0.25">
      <c r="A383" s="84" t="str">
        <f t="shared" si="962"/>
        <v>Д</v>
      </c>
      <c r="B383" s="84" t="str">
        <f t="shared" si="1001"/>
        <v>Б</v>
      </c>
      <c r="C383" s="101" t="s">
        <v>1473</v>
      </c>
      <c r="D383" s="16" t="str">
        <f t="shared" si="1002"/>
        <v>'38.03.05</v>
      </c>
      <c r="E383" s="17" t="str">
        <f t="shared" si="1003"/>
        <v>Бизнес-информатика</v>
      </c>
      <c r="F383" s="9" t="s">
        <v>413</v>
      </c>
      <c r="G383" s="9" t="s">
        <v>42</v>
      </c>
      <c r="H383" s="10" t="s">
        <v>3233</v>
      </c>
      <c r="I383" s="10"/>
      <c r="J383" s="24" t="s">
        <v>3299</v>
      </c>
      <c r="K383" s="11">
        <v>5</v>
      </c>
      <c r="L383" s="11">
        <v>18</v>
      </c>
      <c r="M383" s="8" t="s">
        <v>94</v>
      </c>
      <c r="N383" s="11"/>
      <c r="O383" s="11">
        <v>2</v>
      </c>
      <c r="P383" s="11"/>
      <c r="Q383" s="8" t="s">
        <v>102</v>
      </c>
      <c r="R383" s="11"/>
      <c r="S383" s="11"/>
      <c r="T383" s="11"/>
      <c r="U383" s="11"/>
      <c r="V383" s="11"/>
      <c r="W383" s="83" t="str">
        <f t="shared" si="963"/>
        <v>НБИбд</v>
      </c>
      <c r="X383" s="110" t="s">
        <v>3241</v>
      </c>
      <c r="Y383" s="11">
        <v>1</v>
      </c>
      <c r="Z383" s="11">
        <v>1</v>
      </c>
      <c r="AA383" s="83">
        <f t="shared" si="1004"/>
        <v>16</v>
      </c>
      <c r="AB383" s="11">
        <v>15</v>
      </c>
      <c r="AC383" s="11">
        <v>1</v>
      </c>
      <c r="AD383" s="81">
        <f t="shared" si="964"/>
        <v>12</v>
      </c>
      <c r="AE383" s="82">
        <f t="shared" si="1005"/>
        <v>1</v>
      </c>
      <c r="AF383" s="82">
        <f t="shared" si="1006"/>
        <v>1.3333333333333333</v>
      </c>
      <c r="AG383" s="102" t="s">
        <v>3250</v>
      </c>
      <c r="AH383" s="113" t="s">
        <v>203</v>
      </c>
      <c r="AI383" s="113" t="s">
        <v>213</v>
      </c>
      <c r="AJ383" s="121" t="s">
        <v>3264</v>
      </c>
      <c r="AK383" s="8"/>
      <c r="AL383" s="42">
        <f t="shared" si="965"/>
        <v>0</v>
      </c>
      <c r="AM383" s="42">
        <f t="shared" si="1070"/>
        <v>0</v>
      </c>
      <c r="AN383" s="42">
        <f t="shared" si="1071"/>
        <v>36</v>
      </c>
      <c r="AO383" s="42">
        <f t="shared" si="976"/>
        <v>5.28</v>
      </c>
      <c r="AP383" s="42">
        <f t="shared" si="1072"/>
        <v>8</v>
      </c>
      <c r="AQ383" s="42">
        <f t="shared" si="1073"/>
        <v>1</v>
      </c>
      <c r="AR383" s="42">
        <f t="shared" si="966"/>
        <v>0</v>
      </c>
      <c r="AS383" s="42">
        <f t="shared" si="1074"/>
        <v>0</v>
      </c>
      <c r="AT383" s="42">
        <f t="shared" si="1075"/>
        <v>0</v>
      </c>
      <c r="AU383" s="42">
        <f t="shared" si="1076"/>
        <v>0</v>
      </c>
      <c r="AV383" s="42">
        <f>IF(M383="ПП",РПП*AA383*(U383/1.5),IF(M383="ВП",ВПр*AA383*(U383/1.5),IF(M383="РПА",РПА*AA383*(U383/1.5),IF(M383="КПА",КПА*AA383*(U383/1.5),0))))</f>
        <v>0</v>
      </c>
      <c r="AW383" s="42">
        <f t="shared" si="1077"/>
        <v>0</v>
      </c>
      <c r="AX383" s="42">
        <f t="shared" si="967"/>
        <v>0</v>
      </c>
      <c r="AY383" s="42">
        <f t="shared" si="968"/>
        <v>0</v>
      </c>
      <c r="AZ383" s="42">
        <f t="shared" si="1078"/>
        <v>0</v>
      </c>
      <c r="BA383" s="42">
        <f t="shared" si="969"/>
        <v>0</v>
      </c>
      <c r="BB383" s="42">
        <f t="shared" si="970"/>
        <v>0</v>
      </c>
      <c r="BC383" s="42">
        <f t="shared" si="971"/>
        <v>0</v>
      </c>
      <c r="BD383" s="42">
        <f t="shared" si="1079"/>
        <v>0</v>
      </c>
      <c r="BE383" s="43">
        <f t="shared" si="1080"/>
        <v>50.28</v>
      </c>
      <c r="BF383" s="44"/>
      <c r="BG383" s="45">
        <f t="shared" si="1081"/>
        <v>36</v>
      </c>
      <c r="BH383" s="45">
        <f t="shared" si="1082"/>
        <v>1</v>
      </c>
      <c r="BI383" s="45">
        <f t="shared" si="1083"/>
        <v>14.280000000000001</v>
      </c>
      <c r="BJ383" s="46">
        <f t="shared" si="998"/>
        <v>0</v>
      </c>
      <c r="BK383" s="46">
        <f t="shared" si="999"/>
        <v>0</v>
      </c>
      <c r="BL383" s="46">
        <f t="shared" si="1000"/>
        <v>0</v>
      </c>
    </row>
    <row r="384" spans="1:64" ht="30" customHeight="1" x14ac:dyDescent="0.25">
      <c r="A384" s="84" t="str">
        <f t="shared" si="962"/>
        <v>Д</v>
      </c>
      <c r="B384" s="84" t="str">
        <f t="shared" si="1001"/>
        <v>Б</v>
      </c>
      <c r="C384" s="101" t="s">
        <v>1473</v>
      </c>
      <c r="D384" s="16" t="str">
        <f t="shared" si="1002"/>
        <v>'38.03.05</v>
      </c>
      <c r="E384" s="17" t="str">
        <f t="shared" si="1003"/>
        <v>Бизнес-информатика</v>
      </c>
      <c r="F384" s="9" t="s">
        <v>413</v>
      </c>
      <c r="G384" s="9" t="s">
        <v>42</v>
      </c>
      <c r="H384" s="10" t="s">
        <v>3233</v>
      </c>
      <c r="I384" s="10"/>
      <c r="J384" s="24" t="s">
        <v>3299</v>
      </c>
      <c r="K384" s="11">
        <v>5</v>
      </c>
      <c r="L384" s="11">
        <v>18</v>
      </c>
      <c r="M384" s="8" t="s">
        <v>94</v>
      </c>
      <c r="N384" s="11"/>
      <c r="O384" s="11">
        <v>2</v>
      </c>
      <c r="P384" s="11"/>
      <c r="Q384" s="8" t="s">
        <v>102</v>
      </c>
      <c r="R384" s="11"/>
      <c r="S384" s="11"/>
      <c r="T384" s="11"/>
      <c r="U384" s="11"/>
      <c r="V384" s="11"/>
      <c r="W384" s="83" t="str">
        <f t="shared" si="963"/>
        <v>НБИбд</v>
      </c>
      <c r="X384" s="110" t="s">
        <v>3241</v>
      </c>
      <c r="Y384" s="11">
        <v>1</v>
      </c>
      <c r="Z384" s="11">
        <v>1</v>
      </c>
      <c r="AA384" s="83">
        <f t="shared" si="1004"/>
        <v>16</v>
      </c>
      <c r="AB384" s="11">
        <v>15</v>
      </c>
      <c r="AC384" s="11">
        <v>1</v>
      </c>
      <c r="AD384" s="81">
        <f t="shared" si="964"/>
        <v>12</v>
      </c>
      <c r="AE384" s="82">
        <f t="shared" si="1005"/>
        <v>1</v>
      </c>
      <c r="AF384" s="82">
        <f t="shared" si="1006"/>
        <v>1.3333333333333333</v>
      </c>
      <c r="AG384" s="102" t="s">
        <v>3250</v>
      </c>
      <c r="AH384" s="113" t="s">
        <v>203</v>
      </c>
      <c r="AI384" s="113" t="s">
        <v>213</v>
      </c>
      <c r="AJ384" s="121" t="s">
        <v>3264</v>
      </c>
      <c r="AK384" s="8"/>
      <c r="AL384" s="42">
        <f t="shared" si="965"/>
        <v>0</v>
      </c>
      <c r="AM384" s="42">
        <f t="shared" si="1070"/>
        <v>0</v>
      </c>
      <c r="AN384" s="42">
        <f t="shared" si="1071"/>
        <v>36</v>
      </c>
      <c r="AO384" s="42">
        <f t="shared" ref="AO384:AO437" si="1084">(IF((AND(OR(K384=1,K384=2,K384=3,K384=4,K384=5,K384=6,K384=7,K384=8,K384=9,K384=10,K384=11,K384=12),OR(Q384="Зач",Q384="Экз"))),ТКиРА*AA384,0)+IF(SUM(N384:P384)&lt;&gt;0,IF(Q384="ТК",ТКиРА*AA384,0),0))*(IF(F384="ФТД",0,1))</f>
        <v>5.28</v>
      </c>
      <c r="AP384" s="42">
        <f t="shared" si="1072"/>
        <v>8</v>
      </c>
      <c r="AQ384" s="42">
        <f t="shared" si="1073"/>
        <v>1</v>
      </c>
      <c r="AR384" s="42">
        <f t="shared" si="966"/>
        <v>0</v>
      </c>
      <c r="AS384" s="42">
        <f t="shared" si="1074"/>
        <v>0</v>
      </c>
      <c r="AT384" s="42">
        <f t="shared" si="1075"/>
        <v>0</v>
      </c>
      <c r="AU384" s="42">
        <f t="shared" si="1076"/>
        <v>0</v>
      </c>
      <c r="AV384" s="42">
        <f>IF(M384="ПП",РПП*AA384*(U384/1.5),IF(M384="ВП",ВПр*AA384*(U384/1.5),IF(M384="РПА",РПА*AA384*(U384/1.5),IF(M384="КПА",КПА*AA384*(U384/1.5),0))))</f>
        <v>0</v>
      </c>
      <c r="AW384" s="42">
        <f t="shared" si="1077"/>
        <v>0</v>
      </c>
      <c r="AX384" s="42">
        <f t="shared" si="967"/>
        <v>0</v>
      </c>
      <c r="AY384" s="42">
        <f t="shared" si="968"/>
        <v>0</v>
      </c>
      <c r="AZ384" s="42">
        <f t="shared" si="1078"/>
        <v>0</v>
      </c>
      <c r="BA384" s="42">
        <f t="shared" si="969"/>
        <v>0</v>
      </c>
      <c r="BB384" s="42">
        <f t="shared" si="970"/>
        <v>0</v>
      </c>
      <c r="BC384" s="42">
        <f t="shared" si="971"/>
        <v>0</v>
      </c>
      <c r="BD384" s="42">
        <f t="shared" si="1079"/>
        <v>0</v>
      </c>
      <c r="BE384" s="43">
        <f t="shared" si="1080"/>
        <v>50.28</v>
      </c>
      <c r="BF384" s="44"/>
      <c r="BG384" s="45">
        <f t="shared" si="1081"/>
        <v>36</v>
      </c>
      <c r="BH384" s="45">
        <f t="shared" si="1082"/>
        <v>1</v>
      </c>
      <c r="BI384" s="45">
        <f t="shared" si="1083"/>
        <v>14.280000000000001</v>
      </c>
      <c r="BJ384" s="46">
        <f t="shared" si="998"/>
        <v>0</v>
      </c>
      <c r="BK384" s="46">
        <f t="shared" si="999"/>
        <v>0</v>
      </c>
      <c r="BL384" s="46">
        <f t="shared" si="1000"/>
        <v>0</v>
      </c>
    </row>
    <row r="385" spans="1:64" ht="30" customHeight="1" x14ac:dyDescent="0.25">
      <c r="A385" s="84" t="str">
        <f t="shared" si="962"/>
        <v>Д</v>
      </c>
      <c r="B385" s="84" t="str">
        <f t="shared" si="1001"/>
        <v>Б</v>
      </c>
      <c r="C385" s="101" t="s">
        <v>1473</v>
      </c>
      <c r="D385" s="16" t="str">
        <f t="shared" si="1002"/>
        <v>'38.03.05</v>
      </c>
      <c r="E385" s="17" t="str">
        <f t="shared" si="1003"/>
        <v>Бизнес-информатика</v>
      </c>
      <c r="F385" s="9" t="s">
        <v>413</v>
      </c>
      <c r="G385" s="9" t="s">
        <v>42</v>
      </c>
      <c r="H385" s="10" t="s">
        <v>3233</v>
      </c>
      <c r="I385" s="10"/>
      <c r="J385" s="24" t="s">
        <v>3299</v>
      </c>
      <c r="K385" s="11">
        <v>5</v>
      </c>
      <c r="L385" s="11">
        <v>18</v>
      </c>
      <c r="M385" s="8" t="s">
        <v>94</v>
      </c>
      <c r="N385" s="11"/>
      <c r="O385" s="11">
        <v>2</v>
      </c>
      <c r="P385" s="11"/>
      <c r="Q385" s="8" t="s">
        <v>102</v>
      </c>
      <c r="R385" s="12"/>
      <c r="S385" s="12"/>
      <c r="T385" s="12"/>
      <c r="U385" s="12"/>
      <c r="V385" s="12"/>
      <c r="W385" s="83" t="str">
        <f t="shared" si="963"/>
        <v>НБИбд</v>
      </c>
      <c r="X385" s="110" t="s">
        <v>3242</v>
      </c>
      <c r="Y385" s="11"/>
      <c r="Z385" s="11"/>
      <c r="AA385" s="83">
        <f t="shared" si="1004"/>
        <v>0</v>
      </c>
      <c r="AB385" s="11"/>
      <c r="AC385" s="12"/>
      <c r="AD385" s="81">
        <f t="shared" si="964"/>
        <v>12</v>
      </c>
      <c r="AE385" s="82">
        <f t="shared" si="1005"/>
        <v>0</v>
      </c>
      <c r="AF385" s="82">
        <f t="shared" si="1006"/>
        <v>0</v>
      </c>
      <c r="AG385" s="102" t="s">
        <v>3250</v>
      </c>
      <c r="AH385" s="113" t="s">
        <v>203</v>
      </c>
      <c r="AI385" s="113" t="s">
        <v>213</v>
      </c>
      <c r="AJ385" s="121" t="s">
        <v>3264</v>
      </c>
      <c r="AK385" s="8"/>
      <c r="AL385" s="42">
        <f t="shared" si="965"/>
        <v>0</v>
      </c>
      <c r="AM385" s="42">
        <f t="shared" si="1070"/>
        <v>0</v>
      </c>
      <c r="AN385" s="42">
        <f t="shared" si="1071"/>
        <v>0</v>
      </c>
      <c r="AO385" s="42">
        <f t="shared" si="1084"/>
        <v>0</v>
      </c>
      <c r="AP385" s="42">
        <f t="shared" si="1072"/>
        <v>0</v>
      </c>
      <c r="AQ385" s="42">
        <f t="shared" si="1073"/>
        <v>0</v>
      </c>
      <c r="AR385" s="42">
        <f t="shared" si="966"/>
        <v>0</v>
      </c>
      <c r="AS385" s="42">
        <f t="shared" si="1074"/>
        <v>0</v>
      </c>
      <c r="AT385" s="42">
        <f t="shared" si="1075"/>
        <v>0</v>
      </c>
      <c r="AU385" s="42">
        <f t="shared" si="1076"/>
        <v>0</v>
      </c>
      <c r="AV385" s="42">
        <f>IF(M385="ПП",РПП*AA385*(U385/1.5),IF(M385="ВП",ВПр*AA385*(U385/1.5),IF(M385="РПА",РПА*AA385*(U385/1.5),IF(M385="КПА",КПА*AA385*(U385/1.5),0))))</f>
        <v>0</v>
      </c>
      <c r="AW385" s="42">
        <f t="shared" si="1077"/>
        <v>0</v>
      </c>
      <c r="AX385" s="42">
        <f t="shared" si="967"/>
        <v>0</v>
      </c>
      <c r="AY385" s="42">
        <f t="shared" si="968"/>
        <v>0</v>
      </c>
      <c r="AZ385" s="42">
        <f t="shared" si="1078"/>
        <v>0</v>
      </c>
      <c r="BA385" s="42">
        <f t="shared" si="969"/>
        <v>0</v>
      </c>
      <c r="BB385" s="42">
        <f t="shared" si="970"/>
        <v>0</v>
      </c>
      <c r="BC385" s="42">
        <f t="shared" si="971"/>
        <v>0</v>
      </c>
      <c r="BD385" s="42">
        <f t="shared" si="1079"/>
        <v>0</v>
      </c>
      <c r="BE385" s="43">
        <f t="shared" si="1080"/>
        <v>0</v>
      </c>
      <c r="BF385" s="44"/>
      <c r="BG385" s="45">
        <f t="shared" si="1081"/>
        <v>0</v>
      </c>
      <c r="BH385" s="45">
        <f t="shared" si="1082"/>
        <v>0</v>
      </c>
      <c r="BI385" s="45">
        <f t="shared" si="1083"/>
        <v>0</v>
      </c>
      <c r="BJ385" s="46">
        <f t="shared" si="998"/>
        <v>0</v>
      </c>
      <c r="BK385" s="46">
        <f t="shared" si="999"/>
        <v>0</v>
      </c>
      <c r="BL385" s="46">
        <f t="shared" si="1000"/>
        <v>0</v>
      </c>
    </row>
    <row r="386" spans="1:64" ht="30" customHeight="1" x14ac:dyDescent="0.25">
      <c r="A386" s="84" t="str">
        <f t="shared" si="962"/>
        <v>Д</v>
      </c>
      <c r="B386" s="84" t="str">
        <f t="shared" si="1001"/>
        <v>Б</v>
      </c>
      <c r="C386" s="101" t="s">
        <v>1473</v>
      </c>
      <c r="D386" s="16" t="str">
        <f t="shared" si="1002"/>
        <v>'38.03.05</v>
      </c>
      <c r="E386" s="17" t="str">
        <f t="shared" si="1003"/>
        <v>Бизнес-информатика</v>
      </c>
      <c r="F386" s="9" t="s">
        <v>413</v>
      </c>
      <c r="G386" s="9" t="s">
        <v>42</v>
      </c>
      <c r="H386" s="10" t="s">
        <v>3233</v>
      </c>
      <c r="I386" s="10"/>
      <c r="J386" s="24" t="s">
        <v>3299</v>
      </c>
      <c r="K386" s="11">
        <v>5</v>
      </c>
      <c r="L386" s="11">
        <v>18</v>
      </c>
      <c r="M386" s="8" t="s">
        <v>94</v>
      </c>
      <c r="N386" s="11"/>
      <c r="O386" s="11">
        <v>2</v>
      </c>
      <c r="P386" s="11"/>
      <c r="Q386" s="8" t="s">
        <v>102</v>
      </c>
      <c r="R386" s="11"/>
      <c r="S386" s="11"/>
      <c r="T386" s="23"/>
      <c r="U386" s="11"/>
      <c r="V386" s="11"/>
      <c r="W386" s="83" t="str">
        <f t="shared" si="963"/>
        <v>НБИбд</v>
      </c>
      <c r="X386" s="110" t="s">
        <v>3242</v>
      </c>
      <c r="Y386" s="11"/>
      <c r="Z386" s="11"/>
      <c r="AA386" s="83">
        <f t="shared" si="1004"/>
        <v>0</v>
      </c>
      <c r="AB386" s="11"/>
      <c r="AC386" s="11"/>
      <c r="AD386" s="81">
        <f t="shared" si="964"/>
        <v>12</v>
      </c>
      <c r="AE386" s="82">
        <f t="shared" si="1005"/>
        <v>0</v>
      </c>
      <c r="AF386" s="82">
        <f t="shared" si="1006"/>
        <v>0</v>
      </c>
      <c r="AG386" s="102" t="s">
        <v>3250</v>
      </c>
      <c r="AH386" s="113" t="s">
        <v>203</v>
      </c>
      <c r="AI386" s="113" t="s">
        <v>213</v>
      </c>
      <c r="AJ386" s="121" t="s">
        <v>3264</v>
      </c>
      <c r="AK386" s="8"/>
      <c r="AL386" s="42">
        <f t="shared" si="965"/>
        <v>0</v>
      </c>
      <c r="AM386" s="42">
        <f t="shared" si="1070"/>
        <v>0</v>
      </c>
      <c r="AN386" s="42">
        <f t="shared" si="1071"/>
        <v>0</v>
      </c>
      <c r="AO386" s="42">
        <f t="shared" si="1084"/>
        <v>0</v>
      </c>
      <c r="AP386" s="42">
        <f t="shared" si="1072"/>
        <v>0</v>
      </c>
      <c r="AQ386" s="42">
        <f t="shared" si="1073"/>
        <v>0</v>
      </c>
      <c r="AR386" s="42">
        <f t="shared" si="966"/>
        <v>0</v>
      </c>
      <c r="AS386" s="42">
        <f t="shared" si="1074"/>
        <v>0</v>
      </c>
      <c r="AT386" s="42">
        <f t="shared" si="1075"/>
        <v>0</v>
      </c>
      <c r="AU386" s="42">
        <f t="shared" si="1076"/>
        <v>0</v>
      </c>
      <c r="AV386" s="42">
        <f>IF(M386="ПП",РПП*AA386*(U386/1.5),IF(M386="ВП",ВПр*AA386*(U386/1.5),IF(M386="РПА",РПА*AA386*(U386/1.5),IF(M386="КПА",КПА*AA386*(U386/1.5),0))))</f>
        <v>0</v>
      </c>
      <c r="AW386" s="42">
        <f t="shared" si="1077"/>
        <v>0</v>
      </c>
      <c r="AX386" s="42">
        <f t="shared" si="967"/>
        <v>0</v>
      </c>
      <c r="AY386" s="42">
        <f t="shared" si="968"/>
        <v>0</v>
      </c>
      <c r="AZ386" s="42">
        <f t="shared" si="1078"/>
        <v>0</v>
      </c>
      <c r="BA386" s="42">
        <f t="shared" si="969"/>
        <v>0</v>
      </c>
      <c r="BB386" s="42">
        <f t="shared" si="970"/>
        <v>0</v>
      </c>
      <c r="BC386" s="42">
        <f t="shared" si="971"/>
        <v>0</v>
      </c>
      <c r="BD386" s="42">
        <f t="shared" si="1079"/>
        <v>0</v>
      </c>
      <c r="BE386" s="43">
        <f t="shared" si="1080"/>
        <v>0</v>
      </c>
      <c r="BF386" s="44"/>
      <c r="BG386" s="45">
        <f t="shared" si="1081"/>
        <v>0</v>
      </c>
      <c r="BH386" s="45">
        <f t="shared" si="1082"/>
        <v>0</v>
      </c>
      <c r="BI386" s="45">
        <f t="shared" si="1083"/>
        <v>0</v>
      </c>
      <c r="BJ386" s="46">
        <f t="shared" si="998"/>
        <v>0</v>
      </c>
      <c r="BK386" s="46">
        <f t="shared" si="999"/>
        <v>0</v>
      </c>
      <c r="BL386" s="46">
        <f t="shared" si="1000"/>
        <v>0</v>
      </c>
    </row>
    <row r="387" spans="1:64" ht="30" customHeight="1" x14ac:dyDescent="0.25">
      <c r="A387" s="84" t="str">
        <f t="shared" si="962"/>
        <v>Д</v>
      </c>
      <c r="B387" s="84" t="str">
        <f t="shared" si="1001"/>
        <v>Б</v>
      </c>
      <c r="C387" s="101" t="s">
        <v>1473</v>
      </c>
      <c r="D387" s="16" t="str">
        <f t="shared" si="1002"/>
        <v>'38.03.05</v>
      </c>
      <c r="E387" s="17" t="str">
        <f t="shared" si="1003"/>
        <v>Бизнес-информатика</v>
      </c>
      <c r="F387" s="9" t="s">
        <v>413</v>
      </c>
      <c r="G387" s="9" t="s">
        <v>503</v>
      </c>
      <c r="H387" s="10" t="s">
        <v>3233</v>
      </c>
      <c r="I387" s="10" t="s">
        <v>3231</v>
      </c>
      <c r="J387" s="24" t="s">
        <v>3222</v>
      </c>
      <c r="K387" s="11">
        <v>5</v>
      </c>
      <c r="L387" s="11">
        <v>18</v>
      </c>
      <c r="M387" s="8" t="s">
        <v>23</v>
      </c>
      <c r="N387" s="12">
        <v>1</v>
      </c>
      <c r="O387" s="12"/>
      <c r="P387" s="12"/>
      <c r="Q387" s="8"/>
      <c r="R387" s="11"/>
      <c r="S387" s="11"/>
      <c r="T387" s="23"/>
      <c r="U387" s="11"/>
      <c r="V387" s="11"/>
      <c r="W387" s="83" t="str">
        <f t="shared" si="963"/>
        <v>НБИбд</v>
      </c>
      <c r="X387" s="110" t="s">
        <v>3241</v>
      </c>
      <c r="Y387" s="11">
        <v>2</v>
      </c>
      <c r="Z387" s="11">
        <v>1</v>
      </c>
      <c r="AA387" s="83">
        <f t="shared" si="1004"/>
        <v>16</v>
      </c>
      <c r="AB387" s="11">
        <v>15</v>
      </c>
      <c r="AC387" s="11">
        <v>1</v>
      </c>
      <c r="AD387" s="81">
        <f t="shared" si="964"/>
        <v>16</v>
      </c>
      <c r="AE387" s="82">
        <f t="shared" si="1005"/>
        <v>1</v>
      </c>
      <c r="AF387" s="82">
        <f t="shared" si="1006"/>
        <v>1</v>
      </c>
      <c r="AG387" s="102" t="s">
        <v>3250</v>
      </c>
      <c r="AH387" s="113" t="s">
        <v>204</v>
      </c>
      <c r="AI387" s="113" t="s">
        <v>212</v>
      </c>
      <c r="AJ387" s="121" t="s">
        <v>3261</v>
      </c>
      <c r="AK387" s="8"/>
      <c r="AL387" s="42">
        <f t="shared" si="965"/>
        <v>18</v>
      </c>
      <c r="AM387" s="42">
        <f t="shared" si="1070"/>
        <v>0</v>
      </c>
      <c r="AN387" s="42">
        <f t="shared" si="1071"/>
        <v>0</v>
      </c>
      <c r="AO387" s="42">
        <f t="shared" si="1084"/>
        <v>0</v>
      </c>
      <c r="AP387" s="42">
        <f t="shared" si="1072"/>
        <v>0</v>
      </c>
      <c r="AQ387" s="42">
        <f t="shared" si="1073"/>
        <v>0</v>
      </c>
      <c r="AR387" s="42">
        <f t="shared" si="966"/>
        <v>0.9</v>
      </c>
      <c r="AS387" s="42">
        <f t="shared" si="1074"/>
        <v>0</v>
      </c>
      <c r="AT387" s="42">
        <f t="shared" si="1075"/>
        <v>0</v>
      </c>
      <c r="AU387" s="42">
        <f t="shared" si="1076"/>
        <v>0</v>
      </c>
      <c r="AV387" s="42">
        <f>IF(M387="ПП",РПП*AA387*(U387/1.5),IF(M387="ВП",ВПр*AA387*(U387/1.5),IF(M387="РПА",РПА*AA387*(U387/1.5),IF(M387="КПА",КПА*AA387*(U387/1.5),0))))</f>
        <v>0</v>
      </c>
      <c r="AW387" s="42">
        <f t="shared" si="1077"/>
        <v>0</v>
      </c>
      <c r="AX387" s="42">
        <f t="shared" si="967"/>
        <v>0</v>
      </c>
      <c r="AY387" s="42">
        <f t="shared" si="968"/>
        <v>0</v>
      </c>
      <c r="AZ387" s="42">
        <f t="shared" si="1078"/>
        <v>0</v>
      </c>
      <c r="BA387" s="42">
        <f t="shared" si="969"/>
        <v>0</v>
      </c>
      <c r="BB387" s="42">
        <f t="shared" si="970"/>
        <v>0</v>
      </c>
      <c r="BC387" s="42">
        <f t="shared" si="971"/>
        <v>0</v>
      </c>
      <c r="BD387" s="42">
        <f t="shared" si="1079"/>
        <v>0</v>
      </c>
      <c r="BE387" s="43">
        <f t="shared" si="1080"/>
        <v>18.899999999999999</v>
      </c>
      <c r="BF387" s="44"/>
      <c r="BG387" s="45">
        <f t="shared" si="1081"/>
        <v>18</v>
      </c>
      <c r="BH387" s="45">
        <f t="shared" si="1082"/>
        <v>0.5</v>
      </c>
      <c r="BI387" s="45">
        <f t="shared" si="1083"/>
        <v>0.9</v>
      </c>
      <c r="BJ387" s="46">
        <f t="shared" si="998"/>
        <v>0</v>
      </c>
      <c r="BK387" s="46">
        <f t="shared" si="999"/>
        <v>0</v>
      </c>
      <c r="BL387" s="46">
        <f t="shared" si="1000"/>
        <v>0</v>
      </c>
    </row>
    <row r="388" spans="1:64" ht="30" customHeight="1" x14ac:dyDescent="0.25">
      <c r="A388" s="84" t="str">
        <f t="shared" si="962"/>
        <v>Д</v>
      </c>
      <c r="B388" s="84" t="str">
        <f t="shared" si="1001"/>
        <v>Б</v>
      </c>
      <c r="C388" s="101" t="s">
        <v>1473</v>
      </c>
      <c r="D388" s="16" t="str">
        <f t="shared" si="1002"/>
        <v>'38.03.05</v>
      </c>
      <c r="E388" s="17" t="str">
        <f t="shared" si="1003"/>
        <v>Бизнес-информатика</v>
      </c>
      <c r="F388" s="9" t="s">
        <v>413</v>
      </c>
      <c r="G388" s="9" t="s">
        <v>503</v>
      </c>
      <c r="H388" s="10" t="s">
        <v>3233</v>
      </c>
      <c r="I388" s="10" t="s">
        <v>3231</v>
      </c>
      <c r="J388" s="24" t="s">
        <v>3222</v>
      </c>
      <c r="K388" s="11">
        <v>5</v>
      </c>
      <c r="L388" s="11">
        <v>18</v>
      </c>
      <c r="M388" s="8" t="s">
        <v>94</v>
      </c>
      <c r="N388" s="11"/>
      <c r="O388" s="11">
        <v>2</v>
      </c>
      <c r="P388" s="11"/>
      <c r="Q388" s="8" t="s">
        <v>102</v>
      </c>
      <c r="R388" s="11"/>
      <c r="S388" s="11"/>
      <c r="T388" s="11"/>
      <c r="U388" s="11"/>
      <c r="V388" s="11"/>
      <c r="W388" s="83" t="str">
        <f t="shared" si="963"/>
        <v>НБИбд</v>
      </c>
      <c r="X388" s="110" t="s">
        <v>3242</v>
      </c>
      <c r="Y388" s="11">
        <v>2</v>
      </c>
      <c r="Z388" s="11">
        <v>1</v>
      </c>
      <c r="AA388" s="83">
        <f t="shared" si="1004"/>
        <v>16</v>
      </c>
      <c r="AB388" s="11">
        <v>15</v>
      </c>
      <c r="AC388" s="11">
        <v>1</v>
      </c>
      <c r="AD388" s="81">
        <f t="shared" si="964"/>
        <v>12</v>
      </c>
      <c r="AE388" s="82">
        <f t="shared" si="1005"/>
        <v>1</v>
      </c>
      <c r="AF388" s="82">
        <f t="shared" si="1006"/>
        <v>1.3333333333333333</v>
      </c>
      <c r="AG388" s="102" t="s">
        <v>3250</v>
      </c>
      <c r="AH388" s="113" t="s">
        <v>203</v>
      </c>
      <c r="AI388" s="113" t="s">
        <v>213</v>
      </c>
      <c r="AJ388" s="121" t="s">
        <v>3264</v>
      </c>
      <c r="AK388" s="8"/>
      <c r="AL388" s="42">
        <f t="shared" si="965"/>
        <v>0</v>
      </c>
      <c r="AM388" s="42">
        <f t="shared" si="1070"/>
        <v>0</v>
      </c>
      <c r="AN388" s="42">
        <f t="shared" si="1071"/>
        <v>36</v>
      </c>
      <c r="AO388" s="42">
        <f t="shared" si="1084"/>
        <v>5.28</v>
      </c>
      <c r="AP388" s="42">
        <f t="shared" si="1072"/>
        <v>8</v>
      </c>
      <c r="AQ388" s="42">
        <f t="shared" si="1073"/>
        <v>1</v>
      </c>
      <c r="AR388" s="42">
        <f t="shared" si="966"/>
        <v>0</v>
      </c>
      <c r="AS388" s="42">
        <f t="shared" si="1074"/>
        <v>0</v>
      </c>
      <c r="AT388" s="42">
        <f t="shared" si="1075"/>
        <v>0</v>
      </c>
      <c r="AU388" s="42">
        <f t="shared" si="1076"/>
        <v>0</v>
      </c>
      <c r="AV388" s="42">
        <f>IF(M388="ПП",РПП*AA388*(U388/1.5),IF(M388="ВП",ВПр*AA388*(U388/1.5),IF(M388="РПА",РПА*AA388*(U388/1.5),IF(M388="КПА",КПА*AA388*(U388/1.5),0))))</f>
        <v>0</v>
      </c>
      <c r="AW388" s="42">
        <f t="shared" si="1077"/>
        <v>0</v>
      </c>
      <c r="AX388" s="42">
        <f t="shared" si="967"/>
        <v>0</v>
      </c>
      <c r="AY388" s="42">
        <f t="shared" si="968"/>
        <v>0</v>
      </c>
      <c r="AZ388" s="42">
        <f t="shared" si="1078"/>
        <v>0</v>
      </c>
      <c r="BA388" s="42">
        <f t="shared" si="969"/>
        <v>0</v>
      </c>
      <c r="BB388" s="42">
        <f t="shared" si="970"/>
        <v>0</v>
      </c>
      <c r="BC388" s="42">
        <f t="shared" si="971"/>
        <v>0</v>
      </c>
      <c r="BD388" s="42">
        <f t="shared" si="1079"/>
        <v>0</v>
      </c>
      <c r="BE388" s="43">
        <f t="shared" si="1080"/>
        <v>50.28</v>
      </c>
      <c r="BF388" s="44"/>
      <c r="BG388" s="45">
        <f t="shared" si="1081"/>
        <v>36</v>
      </c>
      <c r="BH388" s="45">
        <f t="shared" si="1082"/>
        <v>1</v>
      </c>
      <c r="BI388" s="45">
        <f t="shared" si="1083"/>
        <v>14.280000000000001</v>
      </c>
      <c r="BJ388" s="46">
        <f t="shared" si="998"/>
        <v>0</v>
      </c>
      <c r="BK388" s="46">
        <f t="shared" si="999"/>
        <v>0</v>
      </c>
      <c r="BL388" s="46">
        <f t="shared" si="1000"/>
        <v>0</v>
      </c>
    </row>
    <row r="389" spans="1:64" ht="30" customHeight="1" x14ac:dyDescent="0.25">
      <c r="A389" s="84" t="str">
        <f t="shared" si="962"/>
        <v>Д</v>
      </c>
      <c r="B389" s="84" t="str">
        <f t="shared" si="1001"/>
        <v>Б</v>
      </c>
      <c r="C389" s="101" t="s">
        <v>1473</v>
      </c>
      <c r="D389" s="16" t="str">
        <f t="shared" si="1002"/>
        <v>'38.03.05</v>
      </c>
      <c r="E389" s="17" t="str">
        <f t="shared" si="1003"/>
        <v>Бизнес-информатика</v>
      </c>
      <c r="F389" s="9" t="s">
        <v>413</v>
      </c>
      <c r="G389" s="9" t="s">
        <v>503</v>
      </c>
      <c r="H389" s="10" t="s">
        <v>3233</v>
      </c>
      <c r="I389" s="10" t="s">
        <v>3231</v>
      </c>
      <c r="J389" s="24" t="s">
        <v>3217</v>
      </c>
      <c r="K389" s="11">
        <v>5</v>
      </c>
      <c r="L389" s="11">
        <v>18</v>
      </c>
      <c r="M389" s="8" t="s">
        <v>23</v>
      </c>
      <c r="N389" s="11">
        <v>1</v>
      </c>
      <c r="O389" s="11"/>
      <c r="P389" s="11"/>
      <c r="Q389" s="8"/>
      <c r="R389" s="11"/>
      <c r="S389" s="11"/>
      <c r="T389" s="11"/>
      <c r="U389" s="11"/>
      <c r="V389" s="11"/>
      <c r="W389" s="83" t="str">
        <f t="shared" si="963"/>
        <v>НБИбд</v>
      </c>
      <c r="X389" s="110" t="s">
        <v>3241</v>
      </c>
      <c r="Y389" s="11">
        <v>2</v>
      </c>
      <c r="Z389" s="11">
        <v>1</v>
      </c>
      <c r="AA389" s="83">
        <f t="shared" si="1004"/>
        <v>16</v>
      </c>
      <c r="AB389" s="11">
        <v>15</v>
      </c>
      <c r="AC389" s="11">
        <v>1</v>
      </c>
      <c r="AD389" s="81">
        <f t="shared" si="964"/>
        <v>16</v>
      </c>
      <c r="AE389" s="82">
        <f t="shared" si="1005"/>
        <v>1</v>
      </c>
      <c r="AF389" s="82">
        <f t="shared" si="1006"/>
        <v>1</v>
      </c>
      <c r="AG389" s="102" t="s">
        <v>3250</v>
      </c>
      <c r="AH389" s="113" t="s">
        <v>201</v>
      </c>
      <c r="AI389" s="113" t="s">
        <v>213</v>
      </c>
      <c r="AJ389" s="121" t="s">
        <v>3260</v>
      </c>
      <c r="AK389" s="8"/>
      <c r="AL389" s="42">
        <f t="shared" si="965"/>
        <v>18</v>
      </c>
      <c r="AM389" s="42">
        <f t="shared" si="1070"/>
        <v>0</v>
      </c>
      <c r="AN389" s="42">
        <f t="shared" si="1071"/>
        <v>0</v>
      </c>
      <c r="AO389" s="42">
        <f t="shared" si="1084"/>
        <v>0</v>
      </c>
      <c r="AP389" s="42">
        <f t="shared" si="1072"/>
        <v>0</v>
      </c>
      <c r="AQ389" s="42">
        <f t="shared" si="1073"/>
        <v>0</v>
      </c>
      <c r="AR389" s="42">
        <f t="shared" si="966"/>
        <v>0.9</v>
      </c>
      <c r="AS389" s="42">
        <f t="shared" si="1074"/>
        <v>0</v>
      </c>
      <c r="AT389" s="42">
        <f t="shared" si="1075"/>
        <v>0</v>
      </c>
      <c r="AU389" s="42">
        <f t="shared" si="1076"/>
        <v>0</v>
      </c>
      <c r="AV389" s="42">
        <f>IF(M389="ПП",РПП*AA389*(U389/1.5),IF(M389="ВП",ВПр*AA389*(U389/1.5),IF(M389="РПА",РПА*AA389*(U389/1.5),IF(M389="КПА",КПА*AA389*(U389/1.5),0))))</f>
        <v>0</v>
      </c>
      <c r="AW389" s="42">
        <f t="shared" si="1077"/>
        <v>0</v>
      </c>
      <c r="AX389" s="42">
        <f t="shared" si="967"/>
        <v>0</v>
      </c>
      <c r="AY389" s="42">
        <f t="shared" si="968"/>
        <v>0</v>
      </c>
      <c r="AZ389" s="42">
        <f t="shared" si="1078"/>
        <v>0</v>
      </c>
      <c r="BA389" s="42">
        <f t="shared" si="969"/>
        <v>0</v>
      </c>
      <c r="BB389" s="42">
        <f t="shared" si="970"/>
        <v>0</v>
      </c>
      <c r="BC389" s="42">
        <f t="shared" si="971"/>
        <v>0</v>
      </c>
      <c r="BD389" s="42">
        <f t="shared" si="1079"/>
        <v>0</v>
      </c>
      <c r="BE389" s="43">
        <f t="shared" si="1080"/>
        <v>18.899999999999999</v>
      </c>
      <c r="BF389" s="44"/>
      <c r="BG389" s="45">
        <f t="shared" si="1081"/>
        <v>18</v>
      </c>
      <c r="BH389" s="45">
        <f t="shared" si="1082"/>
        <v>0.5</v>
      </c>
      <c r="BI389" s="45">
        <f t="shared" si="1083"/>
        <v>0.9</v>
      </c>
      <c r="BJ389" s="46">
        <f t="shared" si="998"/>
        <v>0</v>
      </c>
      <c r="BK389" s="46">
        <f t="shared" si="999"/>
        <v>0</v>
      </c>
      <c r="BL389" s="46">
        <f t="shared" si="1000"/>
        <v>0</v>
      </c>
    </row>
    <row r="390" spans="1:64" ht="30" customHeight="1" x14ac:dyDescent="0.25">
      <c r="A390" s="84" t="str">
        <f t="shared" ref="A390:A453" si="1085">IF(C390&gt;0, VLOOKUP(C390,Код_ООП,12,FALSE),0)</f>
        <v>Д</v>
      </c>
      <c r="B390" s="84" t="str">
        <f t="shared" si="1001"/>
        <v>Б</v>
      </c>
      <c r="C390" s="101" t="s">
        <v>1473</v>
      </c>
      <c r="D390" s="16" t="str">
        <f t="shared" si="1002"/>
        <v>'38.03.05</v>
      </c>
      <c r="E390" s="17" t="str">
        <f t="shared" si="1003"/>
        <v>Бизнес-информатика</v>
      </c>
      <c r="F390" s="9" t="s">
        <v>413</v>
      </c>
      <c r="G390" s="9" t="s">
        <v>503</v>
      </c>
      <c r="H390" s="10" t="s">
        <v>3233</v>
      </c>
      <c r="I390" s="10" t="s">
        <v>3231</v>
      </c>
      <c r="J390" s="24" t="s">
        <v>3217</v>
      </c>
      <c r="K390" s="11">
        <v>5</v>
      </c>
      <c r="L390" s="11">
        <v>18</v>
      </c>
      <c r="M390" s="8" t="s">
        <v>24</v>
      </c>
      <c r="N390" s="11"/>
      <c r="O390" s="11"/>
      <c r="P390" s="11">
        <v>1</v>
      </c>
      <c r="Q390" s="8" t="s">
        <v>102</v>
      </c>
      <c r="R390" s="11"/>
      <c r="S390" s="11"/>
      <c r="T390" s="11"/>
      <c r="U390" s="11"/>
      <c r="V390" s="11"/>
      <c r="W390" s="83" t="str">
        <f t="shared" ref="W390:W453" si="1086">MID(C390,1,5)</f>
        <v>НБИбд</v>
      </c>
      <c r="X390" s="110" t="s">
        <v>3241</v>
      </c>
      <c r="Y390" s="11">
        <v>2</v>
      </c>
      <c r="Z390" s="11">
        <v>1</v>
      </c>
      <c r="AA390" s="83">
        <f t="shared" si="1004"/>
        <v>16</v>
      </c>
      <c r="AB390" s="11">
        <v>15</v>
      </c>
      <c r="AC390" s="11">
        <v>1</v>
      </c>
      <c r="AD390" s="81">
        <f t="shared" ref="AD390:AD453" si="1087">IF(M390="сп",6,IF(M390="клн",8,IF(OR(M390="лаб",M390="ия"),12,IF(OR(M390="пр",M390="ТЕСТ"),IF(OR(B390="Б",B390="С"),24,12),IF(M390="лек",AA390,1)))))</f>
        <v>24</v>
      </c>
      <c r="AE390" s="82">
        <f t="shared" si="1005"/>
        <v>0.66666666666666663</v>
      </c>
      <c r="AF390" s="82">
        <f t="shared" si="1006"/>
        <v>0.66666666666666663</v>
      </c>
      <c r="AG390" s="102" t="s">
        <v>3250</v>
      </c>
      <c r="AH390" s="113" t="s">
        <v>201</v>
      </c>
      <c r="AI390" s="113" t="s">
        <v>213</v>
      </c>
      <c r="AJ390" s="121" t="s">
        <v>3260</v>
      </c>
      <c r="AK390" s="8"/>
      <c r="AL390" s="42">
        <f t="shared" ref="AL390:AL453" si="1088">IF(OR(M390="лек",M390="ТУИС"),(IF(NOT(B390="ЦМ"),N390*L390,0)),0)</f>
        <v>0</v>
      </c>
      <c r="AM390" s="42">
        <f t="shared" si="1070"/>
        <v>12</v>
      </c>
      <c r="AN390" s="42">
        <f t="shared" si="1071"/>
        <v>0</v>
      </c>
      <c r="AO390" s="42">
        <f t="shared" si="1084"/>
        <v>5.28</v>
      </c>
      <c r="AP390" s="42">
        <f t="shared" si="1072"/>
        <v>8</v>
      </c>
      <c r="AQ390" s="42">
        <f t="shared" si="1073"/>
        <v>0.66666666666666663</v>
      </c>
      <c r="AR390" s="42">
        <f t="shared" ref="AR390:AR453" si="1089">(IF(A390="Д",ТКЛД,IF(A390="В",ТКЛВ,IF(A390="З",ТКЛЗ,0))))*(IF(F390="ФТД",0,AL390))*Z390</f>
        <v>0</v>
      </c>
      <c r="AS390" s="42">
        <f t="shared" si="1074"/>
        <v>0</v>
      </c>
      <c r="AT390" s="42">
        <f t="shared" si="1075"/>
        <v>0</v>
      </c>
      <c r="AU390" s="42">
        <f t="shared" si="1076"/>
        <v>0</v>
      </c>
      <c r="AV390" s="42">
        <f>IF(M390="ПП",РПП*AA390*(U390/1.5),IF(M390="ВП",ВПр*AA390*(U390/1.5),IF(M390="РПА",РПА*AA390*(U390/1.5),IF(M390="КПА",КПА*AA390*(U390/1.5),0))))</f>
        <v>0</v>
      </c>
      <c r="AW390" s="42">
        <f t="shared" si="1077"/>
        <v>0</v>
      </c>
      <c r="AX390" s="42">
        <f t="shared" ref="AX390:AX453" si="1090">IF(AND(M390="ЦП",B390="ЦМ"),AA390*ЦП,0)</f>
        <v>0</v>
      </c>
      <c r="AY390" s="42">
        <f t="shared" ref="AY390:AY453" si="1091">IF(B390="А",IF(M390="РР",AA390*РефАсп,IF(M390="РРФ",AA390*РефФил,0)),0)</f>
        <v>0</v>
      </c>
      <c r="AZ390" s="42">
        <f t="shared" si="1078"/>
        <v>0</v>
      </c>
      <c r="BA390" s="42">
        <f t="shared" ref="BA390:BA453" si="1092">IF(AND(M390="НКД",B390="Д"),AA390*НКД,0)+IF(AND(M390="РПЛ",B390="А"),AA390*РукПЛ,0)+IF(AND(M390="РСтж",B390="А"),AB390*РукСт+AC390*РукИСт,0)+IF(M390="ФГТ",AB390*РукРФа+AC390*РукИна,0)</f>
        <v>0</v>
      </c>
      <c r="BB390" s="42">
        <f t="shared" ref="BB390:BB453" si="1093">IF(M390="РК",IF(OR(B390="С",B390="М",B390="ЦМ"),(AB390*РСМ+AC390*РСМИ),0),0)+IF(M390="РК",IF(B390="Б",(AB390*РБ+AC390*РБИ),0),0)+IF(M390="РК",IF(B390="А",(AB390*РНКР+AC390*РНКРИн),0),0)+IF(AND(Q390="ПАкр"),AA390*0.3)</f>
        <v>0</v>
      </c>
      <c r="BC390" s="42">
        <f t="shared" ref="BC390:BC453" si="1094">IF(M390="РДП",IF(B390="А",AA390*РРА,IF(OR(B390="С",B390="М",B390="ЦМ"),AA390*РРСМ,IF(B390="Б",AA390*РРБ,0))),IF(M390="РДИ",AA390*РДП,0))</f>
        <v>0</v>
      </c>
      <c r="BD390" s="42">
        <f t="shared" si="1079"/>
        <v>0</v>
      </c>
      <c r="BE390" s="43">
        <f t="shared" si="1080"/>
        <v>25.946666666666669</v>
      </c>
      <c r="BF390" s="44"/>
      <c r="BG390" s="45">
        <f t="shared" si="1081"/>
        <v>12</v>
      </c>
      <c r="BH390" s="45">
        <f t="shared" si="1082"/>
        <v>0.5</v>
      </c>
      <c r="BI390" s="45">
        <f t="shared" si="1083"/>
        <v>13.946666666666667</v>
      </c>
      <c r="BJ390" s="46">
        <f t="shared" si="998"/>
        <v>0</v>
      </c>
      <c r="BK390" s="46">
        <f t="shared" si="999"/>
        <v>0</v>
      </c>
      <c r="BL390" s="46">
        <f t="shared" si="1000"/>
        <v>0</v>
      </c>
    </row>
    <row r="391" spans="1:64" ht="30" customHeight="1" x14ac:dyDescent="0.25">
      <c r="A391" s="84" t="str">
        <f t="shared" si="1085"/>
        <v>Д</v>
      </c>
      <c r="B391" s="84" t="str">
        <f t="shared" si="1001"/>
        <v>Б</v>
      </c>
      <c r="C391" s="101" t="s">
        <v>1473</v>
      </c>
      <c r="D391" s="16" t="str">
        <f t="shared" si="1002"/>
        <v>'38.03.05</v>
      </c>
      <c r="E391" s="17" t="str">
        <f t="shared" si="1003"/>
        <v>Бизнес-информатика</v>
      </c>
      <c r="F391" s="9" t="s">
        <v>413</v>
      </c>
      <c r="G391" s="9" t="s">
        <v>503</v>
      </c>
      <c r="H391" s="10" t="s">
        <v>3233</v>
      </c>
      <c r="I391" s="10" t="s">
        <v>3231</v>
      </c>
      <c r="J391" s="24" t="s">
        <v>3267</v>
      </c>
      <c r="K391" s="11">
        <v>5</v>
      </c>
      <c r="L391" s="11">
        <v>18</v>
      </c>
      <c r="M391" s="8" t="s">
        <v>23</v>
      </c>
      <c r="N391" s="11">
        <v>1</v>
      </c>
      <c r="O391" s="11"/>
      <c r="P391" s="11"/>
      <c r="Q391" s="8" t="s">
        <v>103</v>
      </c>
      <c r="R391" s="11"/>
      <c r="S391" s="11"/>
      <c r="T391" s="11"/>
      <c r="U391" s="11"/>
      <c r="V391" s="11"/>
      <c r="W391" s="83" t="str">
        <f t="shared" si="1086"/>
        <v>НБИбд</v>
      </c>
      <c r="X391" s="110" t="s">
        <v>3241</v>
      </c>
      <c r="Y391" s="11">
        <v>2</v>
      </c>
      <c r="Z391" s="11">
        <v>1</v>
      </c>
      <c r="AA391" s="83">
        <f t="shared" si="1004"/>
        <v>16</v>
      </c>
      <c r="AB391" s="11">
        <v>15</v>
      </c>
      <c r="AC391" s="11">
        <v>1</v>
      </c>
      <c r="AD391" s="81">
        <f t="shared" si="1087"/>
        <v>16</v>
      </c>
      <c r="AE391" s="82">
        <f t="shared" si="1005"/>
        <v>1</v>
      </c>
      <c r="AF391" s="82">
        <f t="shared" si="1006"/>
        <v>1</v>
      </c>
      <c r="AG391" s="102" t="s">
        <v>3250</v>
      </c>
      <c r="AH391" s="113" t="s">
        <v>204</v>
      </c>
      <c r="AI391" s="113" t="s">
        <v>212</v>
      </c>
      <c r="AJ391" s="121" t="s">
        <v>3261</v>
      </c>
      <c r="AK391" s="8"/>
      <c r="AL391" s="42">
        <f t="shared" si="1088"/>
        <v>18</v>
      </c>
      <c r="AM391" s="42">
        <f t="shared" si="1070"/>
        <v>0</v>
      </c>
      <c r="AN391" s="42">
        <f t="shared" si="1071"/>
        <v>0</v>
      </c>
      <c r="AO391" s="42">
        <f t="shared" si="1084"/>
        <v>5.28</v>
      </c>
      <c r="AP391" s="42">
        <f t="shared" si="1072"/>
        <v>8</v>
      </c>
      <c r="AQ391" s="42">
        <f t="shared" si="1073"/>
        <v>1</v>
      </c>
      <c r="AR391" s="42">
        <f t="shared" si="1089"/>
        <v>0.9</v>
      </c>
      <c r="AS391" s="42">
        <f t="shared" si="1074"/>
        <v>0</v>
      </c>
      <c r="AT391" s="42">
        <f t="shared" si="1075"/>
        <v>0</v>
      </c>
      <c r="AU391" s="42">
        <f t="shared" si="1076"/>
        <v>0</v>
      </c>
      <c r="AV391" s="42">
        <f>IF(M391="ПП",РПП*AA391*(U391/1.5),IF(M391="ВП",ВПр*AA391*(U391/1.5),IF(M391="РПА",РПА*AA391*(U391/1.5),IF(M391="КПА",КПА*AA391*(U391/1.5),0))))</f>
        <v>0</v>
      </c>
      <c r="AW391" s="42">
        <f t="shared" si="1077"/>
        <v>0</v>
      </c>
      <c r="AX391" s="42">
        <f t="shared" si="1090"/>
        <v>0</v>
      </c>
      <c r="AY391" s="42">
        <f t="shared" si="1091"/>
        <v>0</v>
      </c>
      <c r="AZ391" s="42">
        <f t="shared" si="1078"/>
        <v>0</v>
      </c>
      <c r="BA391" s="42">
        <f t="shared" si="1092"/>
        <v>0</v>
      </c>
      <c r="BB391" s="42">
        <f t="shared" si="1093"/>
        <v>0</v>
      </c>
      <c r="BC391" s="42">
        <f t="shared" si="1094"/>
        <v>0</v>
      </c>
      <c r="BD391" s="42">
        <f t="shared" si="1079"/>
        <v>0</v>
      </c>
      <c r="BE391" s="43">
        <f t="shared" si="1080"/>
        <v>33.18</v>
      </c>
      <c r="BF391" s="44"/>
      <c r="BG391" s="45">
        <f t="shared" si="1081"/>
        <v>18</v>
      </c>
      <c r="BH391" s="45">
        <f t="shared" si="1082"/>
        <v>0.5</v>
      </c>
      <c r="BI391" s="45">
        <f t="shared" si="1083"/>
        <v>15.180000000000001</v>
      </c>
      <c r="BJ391" s="46">
        <f t="shared" si="998"/>
        <v>0</v>
      </c>
      <c r="BK391" s="46">
        <f t="shared" si="999"/>
        <v>0</v>
      </c>
      <c r="BL391" s="46">
        <f t="shared" si="1000"/>
        <v>0</v>
      </c>
    </row>
    <row r="392" spans="1:64" ht="30" customHeight="1" x14ac:dyDescent="0.25">
      <c r="A392" s="84" t="str">
        <f t="shared" si="1085"/>
        <v>Д</v>
      </c>
      <c r="B392" s="84" t="str">
        <f t="shared" si="1001"/>
        <v>Б</v>
      </c>
      <c r="C392" s="101" t="s">
        <v>1473</v>
      </c>
      <c r="D392" s="16" t="str">
        <f t="shared" si="1002"/>
        <v>'38.03.05</v>
      </c>
      <c r="E392" s="17" t="str">
        <f t="shared" si="1003"/>
        <v>Бизнес-информатика</v>
      </c>
      <c r="F392" s="9" t="s">
        <v>413</v>
      </c>
      <c r="G392" s="9" t="s">
        <v>503</v>
      </c>
      <c r="H392" s="10" t="s">
        <v>3233</v>
      </c>
      <c r="I392" s="10" t="s">
        <v>3231</v>
      </c>
      <c r="J392" s="24" t="s">
        <v>3267</v>
      </c>
      <c r="K392" s="11">
        <v>5</v>
      </c>
      <c r="L392" s="11">
        <v>18</v>
      </c>
      <c r="M392" s="8" t="s">
        <v>94</v>
      </c>
      <c r="N392" s="11"/>
      <c r="O392" s="11">
        <v>2</v>
      </c>
      <c r="P392" s="11"/>
      <c r="Q392" s="8"/>
      <c r="R392" s="12"/>
      <c r="S392" s="12"/>
      <c r="T392" s="12"/>
      <c r="U392" s="12"/>
      <c r="V392" s="12"/>
      <c r="W392" s="83" t="str">
        <f t="shared" si="1086"/>
        <v>НБИбд</v>
      </c>
      <c r="X392" s="110" t="s">
        <v>3241</v>
      </c>
      <c r="Y392" s="11">
        <v>1</v>
      </c>
      <c r="Z392" s="11">
        <v>1</v>
      </c>
      <c r="AA392" s="83">
        <f t="shared" si="1004"/>
        <v>8</v>
      </c>
      <c r="AB392" s="11">
        <v>8</v>
      </c>
      <c r="AC392" s="11"/>
      <c r="AD392" s="81">
        <f t="shared" si="1087"/>
        <v>12</v>
      </c>
      <c r="AE392" s="82">
        <f t="shared" si="1005"/>
        <v>0.66666666666666663</v>
      </c>
      <c r="AF392" s="82">
        <f t="shared" si="1006"/>
        <v>0.66666666666666663</v>
      </c>
      <c r="AG392" s="102" t="s">
        <v>3250</v>
      </c>
      <c r="AH392" s="113" t="s">
        <v>204</v>
      </c>
      <c r="AI392" s="113" t="s">
        <v>212</v>
      </c>
      <c r="AJ392" s="121" t="s">
        <v>3261</v>
      </c>
      <c r="AK392" s="8"/>
      <c r="AL392" s="42">
        <f t="shared" si="1088"/>
        <v>0</v>
      </c>
      <c r="AM392" s="42">
        <f t="shared" si="1070"/>
        <v>0</v>
      </c>
      <c r="AN392" s="42">
        <f t="shared" si="1071"/>
        <v>24</v>
      </c>
      <c r="AO392" s="42">
        <f t="shared" si="1084"/>
        <v>0</v>
      </c>
      <c r="AP392" s="42">
        <f t="shared" si="1072"/>
        <v>0</v>
      </c>
      <c r="AQ392" s="42">
        <f t="shared" si="1073"/>
        <v>0</v>
      </c>
      <c r="AR392" s="42">
        <f t="shared" si="1089"/>
        <v>0</v>
      </c>
      <c r="AS392" s="42">
        <f t="shared" si="1074"/>
        <v>0</v>
      </c>
      <c r="AT392" s="42">
        <f t="shared" si="1075"/>
        <v>0</v>
      </c>
      <c r="AU392" s="42">
        <f t="shared" si="1076"/>
        <v>0</v>
      </c>
      <c r="AV392" s="42">
        <f>IF(M392="ПП",РПП*AA392*(U392/1.5),IF(M392="ВП",ВПр*AA392*(U392/1.5),IF(M392="РПА",РПА*AA392*(U392/1.5),IF(M392="КПА",КПА*AA392*(U392/1.5),0))))</f>
        <v>0</v>
      </c>
      <c r="AW392" s="42">
        <f t="shared" si="1077"/>
        <v>0</v>
      </c>
      <c r="AX392" s="42">
        <f t="shared" si="1090"/>
        <v>0</v>
      </c>
      <c r="AY392" s="42">
        <f t="shared" si="1091"/>
        <v>0</v>
      </c>
      <c r="AZ392" s="42">
        <f t="shared" si="1078"/>
        <v>0</v>
      </c>
      <c r="BA392" s="42">
        <f t="shared" si="1092"/>
        <v>0</v>
      </c>
      <c r="BB392" s="42">
        <f t="shared" si="1093"/>
        <v>0</v>
      </c>
      <c r="BC392" s="42">
        <f t="shared" si="1094"/>
        <v>0</v>
      </c>
      <c r="BD392" s="42">
        <f t="shared" si="1079"/>
        <v>0</v>
      </c>
      <c r="BE392" s="43">
        <f t="shared" si="1080"/>
        <v>24</v>
      </c>
      <c r="BF392" s="44"/>
      <c r="BG392" s="45">
        <f t="shared" si="1081"/>
        <v>24</v>
      </c>
      <c r="BH392" s="45">
        <f t="shared" si="1082"/>
        <v>1</v>
      </c>
      <c r="BI392" s="45">
        <f t="shared" si="1083"/>
        <v>0</v>
      </c>
      <c r="BJ392" s="46">
        <f t="shared" si="998"/>
        <v>0</v>
      </c>
      <c r="BK392" s="46">
        <f t="shared" si="999"/>
        <v>0</v>
      </c>
      <c r="BL392" s="46">
        <f t="shared" si="1000"/>
        <v>0</v>
      </c>
    </row>
    <row r="393" spans="1:64" ht="30" customHeight="1" x14ac:dyDescent="0.25">
      <c r="A393" s="84" t="str">
        <f t="shared" si="1085"/>
        <v>Д</v>
      </c>
      <c r="B393" s="84" t="str">
        <f t="shared" si="1001"/>
        <v>Б</v>
      </c>
      <c r="C393" s="101" t="s">
        <v>1473</v>
      </c>
      <c r="D393" s="16" t="str">
        <f t="shared" si="1002"/>
        <v>'38.03.05</v>
      </c>
      <c r="E393" s="17" t="str">
        <f t="shared" si="1003"/>
        <v>Бизнес-информатика</v>
      </c>
      <c r="F393" s="9" t="s">
        <v>413</v>
      </c>
      <c r="G393" s="9" t="s">
        <v>503</v>
      </c>
      <c r="H393" s="10" t="s">
        <v>3233</v>
      </c>
      <c r="I393" s="10" t="s">
        <v>3231</v>
      </c>
      <c r="J393" s="24" t="s">
        <v>3267</v>
      </c>
      <c r="K393" s="11">
        <v>5</v>
      </c>
      <c r="L393" s="11">
        <v>18</v>
      </c>
      <c r="M393" s="8" t="s">
        <v>94</v>
      </c>
      <c r="N393" s="11"/>
      <c r="O393" s="11">
        <v>2</v>
      </c>
      <c r="P393" s="11"/>
      <c r="Q393" s="8"/>
      <c r="R393" s="11"/>
      <c r="S393" s="11"/>
      <c r="T393" s="23"/>
      <c r="U393" s="11"/>
      <c r="V393" s="11"/>
      <c r="W393" s="83" t="str">
        <f t="shared" si="1086"/>
        <v>НБИбд</v>
      </c>
      <c r="X393" s="110" t="s">
        <v>3242</v>
      </c>
      <c r="Y393" s="11">
        <v>1</v>
      </c>
      <c r="Z393" s="11"/>
      <c r="AA393" s="83">
        <f t="shared" si="1004"/>
        <v>8</v>
      </c>
      <c r="AB393" s="11">
        <v>7</v>
      </c>
      <c r="AC393" s="11">
        <v>1</v>
      </c>
      <c r="AD393" s="81">
        <f t="shared" si="1087"/>
        <v>12</v>
      </c>
      <c r="AE393" s="82">
        <f t="shared" si="1005"/>
        <v>0.66666666666666663</v>
      </c>
      <c r="AF393" s="82">
        <f t="shared" si="1006"/>
        <v>0.66666666666666663</v>
      </c>
      <c r="AG393" s="102" t="s">
        <v>3250</v>
      </c>
      <c r="AH393" s="113" t="s">
        <v>204</v>
      </c>
      <c r="AI393" s="113" t="s">
        <v>212</v>
      </c>
      <c r="AJ393" s="121" t="s">
        <v>3261</v>
      </c>
      <c r="AK393" s="8"/>
      <c r="AL393" s="42">
        <f t="shared" si="1088"/>
        <v>0</v>
      </c>
      <c r="AM393" s="42">
        <f t="shared" si="1070"/>
        <v>0</v>
      </c>
      <c r="AN393" s="42">
        <f t="shared" si="1071"/>
        <v>24</v>
      </c>
      <c r="AO393" s="42">
        <f t="shared" si="1084"/>
        <v>0</v>
      </c>
      <c r="AP393" s="42">
        <f t="shared" si="1072"/>
        <v>0</v>
      </c>
      <c r="AQ393" s="42">
        <f t="shared" si="1073"/>
        <v>0</v>
      </c>
      <c r="AR393" s="42">
        <f t="shared" si="1089"/>
        <v>0</v>
      </c>
      <c r="AS393" s="42">
        <f t="shared" si="1074"/>
        <v>0</v>
      </c>
      <c r="AT393" s="42">
        <f t="shared" si="1075"/>
        <v>0</v>
      </c>
      <c r="AU393" s="42">
        <f t="shared" si="1076"/>
        <v>0</v>
      </c>
      <c r="AV393" s="42">
        <f>IF(M393="ПП",РПП*AA393*(U393/1.5),IF(M393="ВП",ВПр*AA393*(U393/1.5),IF(M393="РПА",РПА*AA393*(U393/1.5),IF(M393="КПА",КПА*AA393*(U393/1.5),0))))</f>
        <v>0</v>
      </c>
      <c r="AW393" s="42">
        <f t="shared" si="1077"/>
        <v>0</v>
      </c>
      <c r="AX393" s="42">
        <f t="shared" si="1090"/>
        <v>0</v>
      </c>
      <c r="AY393" s="42">
        <f t="shared" si="1091"/>
        <v>0</v>
      </c>
      <c r="AZ393" s="42">
        <f t="shared" si="1078"/>
        <v>0</v>
      </c>
      <c r="BA393" s="42">
        <f t="shared" si="1092"/>
        <v>0</v>
      </c>
      <c r="BB393" s="42">
        <f t="shared" si="1093"/>
        <v>0</v>
      </c>
      <c r="BC393" s="42">
        <f t="shared" si="1094"/>
        <v>0</v>
      </c>
      <c r="BD393" s="42">
        <f t="shared" si="1079"/>
        <v>0</v>
      </c>
      <c r="BE393" s="43">
        <f t="shared" si="1080"/>
        <v>24</v>
      </c>
      <c r="BF393" s="44"/>
      <c r="BG393" s="45">
        <f t="shared" si="1081"/>
        <v>24</v>
      </c>
      <c r="BH393" s="45">
        <f t="shared" si="1082"/>
        <v>1</v>
      </c>
      <c r="BI393" s="45">
        <f t="shared" si="1083"/>
        <v>0</v>
      </c>
      <c r="BJ393" s="46">
        <f t="shared" si="998"/>
        <v>0</v>
      </c>
      <c r="BK393" s="46">
        <f t="shared" si="999"/>
        <v>0</v>
      </c>
      <c r="BL393" s="46">
        <f t="shared" si="1000"/>
        <v>0</v>
      </c>
    </row>
    <row r="394" spans="1:64" ht="30" customHeight="1" x14ac:dyDescent="0.25">
      <c r="A394" s="84" t="str">
        <f t="shared" si="1085"/>
        <v>Д</v>
      </c>
      <c r="B394" s="84" t="str">
        <f t="shared" si="1001"/>
        <v>Б</v>
      </c>
      <c r="C394" s="101" t="s">
        <v>1473</v>
      </c>
      <c r="D394" s="16" t="str">
        <f t="shared" si="1002"/>
        <v>'38.03.05</v>
      </c>
      <c r="E394" s="17" t="str">
        <f t="shared" si="1003"/>
        <v>Бизнес-информатика</v>
      </c>
      <c r="F394" s="9" t="s">
        <v>413</v>
      </c>
      <c r="G394" s="9" t="s">
        <v>42</v>
      </c>
      <c r="H394" s="10" t="s">
        <v>3233</v>
      </c>
      <c r="I394" s="10"/>
      <c r="J394" s="24" t="s">
        <v>3305</v>
      </c>
      <c r="K394" s="12" t="s">
        <v>3227</v>
      </c>
      <c r="L394" s="11">
        <v>9</v>
      </c>
      <c r="M394" s="8" t="s">
        <v>23</v>
      </c>
      <c r="N394" s="12">
        <v>2</v>
      </c>
      <c r="O394" s="12"/>
      <c r="P394" s="12"/>
      <c r="Q394" s="8"/>
      <c r="R394" s="11"/>
      <c r="S394" s="11"/>
      <c r="T394" s="23"/>
      <c r="U394" s="11"/>
      <c r="V394" s="11"/>
      <c r="W394" s="83" t="str">
        <f t="shared" si="1086"/>
        <v>НБИбд</v>
      </c>
      <c r="X394" s="110" t="s">
        <v>3244</v>
      </c>
      <c r="Y394" s="11">
        <v>2</v>
      </c>
      <c r="Z394" s="11">
        <v>1</v>
      </c>
      <c r="AA394" s="83">
        <f t="shared" si="1004"/>
        <v>31</v>
      </c>
      <c r="AB394" s="11">
        <v>25</v>
      </c>
      <c r="AC394" s="11">
        <v>6</v>
      </c>
      <c r="AD394" s="81">
        <f t="shared" si="1087"/>
        <v>31</v>
      </c>
      <c r="AE394" s="82">
        <f t="shared" si="1005"/>
        <v>1</v>
      </c>
      <c r="AF394" s="82">
        <f t="shared" si="1006"/>
        <v>1</v>
      </c>
      <c r="AG394" s="102" t="s">
        <v>3250</v>
      </c>
      <c r="AH394" s="113" t="s">
        <v>204</v>
      </c>
      <c r="AI394" s="113" t="s">
        <v>212</v>
      </c>
      <c r="AJ394" s="121" t="s">
        <v>3265</v>
      </c>
      <c r="AK394" s="8"/>
      <c r="AL394" s="42">
        <f t="shared" si="1088"/>
        <v>18</v>
      </c>
      <c r="AM394" s="42">
        <f t="shared" si="1070"/>
        <v>0</v>
      </c>
      <c r="AN394" s="42">
        <f t="shared" si="1071"/>
        <v>0</v>
      </c>
      <c r="AO394" s="42">
        <f t="shared" si="1084"/>
        <v>0</v>
      </c>
      <c r="AP394" s="42">
        <f t="shared" si="1072"/>
        <v>0</v>
      </c>
      <c r="AQ394" s="42">
        <f t="shared" si="1073"/>
        <v>0</v>
      </c>
      <c r="AR394" s="42">
        <f t="shared" si="1089"/>
        <v>0.9</v>
      </c>
      <c r="AS394" s="42">
        <f t="shared" si="1074"/>
        <v>0</v>
      </c>
      <c r="AT394" s="42">
        <f t="shared" si="1075"/>
        <v>0</v>
      </c>
      <c r="AU394" s="42">
        <f t="shared" si="1076"/>
        <v>0</v>
      </c>
      <c r="AV394" s="42">
        <f>IF(M394="ПП",РПП*AA394*(U394/1.5),IF(M394="ВП",ВПр*AA394*(U394/1.5),IF(M394="РПА",РПА*AA394*(U394/1.5),IF(M394="КПА",КПА*AA394*(U394/1.5),0))))</f>
        <v>0</v>
      </c>
      <c r="AW394" s="42">
        <f t="shared" si="1077"/>
        <v>0</v>
      </c>
      <c r="AX394" s="42">
        <f t="shared" si="1090"/>
        <v>0</v>
      </c>
      <c r="AY394" s="42">
        <f t="shared" si="1091"/>
        <v>0</v>
      </c>
      <c r="AZ394" s="42">
        <f t="shared" si="1078"/>
        <v>0</v>
      </c>
      <c r="BA394" s="42">
        <f t="shared" si="1092"/>
        <v>0</v>
      </c>
      <c r="BB394" s="42">
        <f t="shared" si="1093"/>
        <v>0</v>
      </c>
      <c r="BC394" s="42">
        <f t="shared" si="1094"/>
        <v>0</v>
      </c>
      <c r="BD394" s="42">
        <f t="shared" si="1079"/>
        <v>0</v>
      </c>
      <c r="BE394" s="43">
        <f t="shared" si="1080"/>
        <v>18.899999999999999</v>
      </c>
      <c r="BF394" s="44"/>
      <c r="BG394" s="45">
        <f t="shared" si="1081"/>
        <v>18</v>
      </c>
      <c r="BH394" s="45">
        <f t="shared" si="1082"/>
        <v>1</v>
      </c>
      <c r="BI394" s="45">
        <f t="shared" si="1083"/>
        <v>0.9</v>
      </c>
      <c r="BJ394" s="46">
        <f t="shared" si="998"/>
        <v>0</v>
      </c>
      <c r="BK394" s="46">
        <f t="shared" si="999"/>
        <v>0</v>
      </c>
      <c r="BL394" s="46">
        <f t="shared" si="1000"/>
        <v>0</v>
      </c>
    </row>
    <row r="395" spans="1:64" ht="30" customHeight="1" x14ac:dyDescent="0.25">
      <c r="A395" s="84" t="str">
        <f t="shared" si="1085"/>
        <v>Д</v>
      </c>
      <c r="B395" s="84" t="str">
        <f t="shared" si="1001"/>
        <v>Б</v>
      </c>
      <c r="C395" s="101" t="s">
        <v>1473</v>
      </c>
      <c r="D395" s="16" t="str">
        <f t="shared" si="1002"/>
        <v>'38.03.05</v>
      </c>
      <c r="E395" s="17" t="str">
        <f t="shared" si="1003"/>
        <v>Бизнес-информатика</v>
      </c>
      <c r="F395" s="9" t="s">
        <v>413</v>
      </c>
      <c r="G395" s="9" t="s">
        <v>42</v>
      </c>
      <c r="H395" s="10" t="s">
        <v>3233</v>
      </c>
      <c r="I395" s="10"/>
      <c r="J395" s="24" t="s">
        <v>3305</v>
      </c>
      <c r="K395" s="11" t="s">
        <v>3227</v>
      </c>
      <c r="L395" s="11">
        <v>9</v>
      </c>
      <c r="M395" s="8" t="s">
        <v>94</v>
      </c>
      <c r="N395" s="11"/>
      <c r="O395" s="11">
        <v>2</v>
      </c>
      <c r="P395" s="11"/>
      <c r="Q395" s="8" t="s">
        <v>102</v>
      </c>
      <c r="R395" s="11"/>
      <c r="S395" s="11"/>
      <c r="T395" s="11"/>
      <c r="U395" s="11"/>
      <c r="V395" s="11"/>
      <c r="W395" s="83" t="str">
        <f t="shared" si="1086"/>
        <v>НБИбд</v>
      </c>
      <c r="X395" s="110" t="s">
        <v>3244</v>
      </c>
      <c r="Y395" s="11">
        <v>1</v>
      </c>
      <c r="Z395" s="11">
        <v>1</v>
      </c>
      <c r="AA395" s="83">
        <f t="shared" si="1004"/>
        <v>16</v>
      </c>
      <c r="AB395" s="11">
        <v>13</v>
      </c>
      <c r="AC395" s="11">
        <v>3</v>
      </c>
      <c r="AD395" s="81">
        <f t="shared" si="1087"/>
        <v>12</v>
      </c>
      <c r="AE395" s="82">
        <f t="shared" si="1005"/>
        <v>1</v>
      </c>
      <c r="AF395" s="82">
        <f t="shared" si="1006"/>
        <v>1.3333333333333333</v>
      </c>
      <c r="AG395" s="102" t="s">
        <v>3250</v>
      </c>
      <c r="AH395" s="113" t="s">
        <v>204</v>
      </c>
      <c r="AI395" s="113" t="s">
        <v>212</v>
      </c>
      <c r="AJ395" s="121" t="s">
        <v>3265</v>
      </c>
      <c r="AK395" s="8"/>
      <c r="AL395" s="42">
        <f t="shared" si="1088"/>
        <v>0</v>
      </c>
      <c r="AM395" s="42">
        <f t="shared" si="1070"/>
        <v>0</v>
      </c>
      <c r="AN395" s="42">
        <f t="shared" si="1071"/>
        <v>18</v>
      </c>
      <c r="AO395" s="42">
        <f t="shared" si="1084"/>
        <v>0</v>
      </c>
      <c r="AP395" s="42">
        <f t="shared" si="1072"/>
        <v>8</v>
      </c>
      <c r="AQ395" s="42">
        <f t="shared" si="1073"/>
        <v>1</v>
      </c>
      <c r="AR395" s="42">
        <f t="shared" si="1089"/>
        <v>0</v>
      </c>
      <c r="AS395" s="42">
        <f t="shared" si="1074"/>
        <v>0</v>
      </c>
      <c r="AT395" s="42">
        <f t="shared" si="1075"/>
        <v>0</v>
      </c>
      <c r="AU395" s="42">
        <f t="shared" si="1076"/>
        <v>0</v>
      </c>
      <c r="AV395" s="42">
        <f>IF(M395="ПП",РПП*AA395*(U395/1.5),IF(M395="ВП",ВПр*AA395*(U395/1.5),IF(M395="РПА",РПА*AA395*(U395/1.5),IF(M395="КПА",КПА*AA395*(U395/1.5),0))))</f>
        <v>0</v>
      </c>
      <c r="AW395" s="42">
        <f t="shared" si="1077"/>
        <v>0</v>
      </c>
      <c r="AX395" s="42">
        <f t="shared" si="1090"/>
        <v>0</v>
      </c>
      <c r="AY395" s="42">
        <f t="shared" si="1091"/>
        <v>0</v>
      </c>
      <c r="AZ395" s="42">
        <f t="shared" si="1078"/>
        <v>0</v>
      </c>
      <c r="BA395" s="42">
        <f t="shared" si="1092"/>
        <v>0</v>
      </c>
      <c r="BB395" s="42">
        <f t="shared" si="1093"/>
        <v>0</v>
      </c>
      <c r="BC395" s="42">
        <f t="shared" si="1094"/>
        <v>0</v>
      </c>
      <c r="BD395" s="42">
        <f t="shared" si="1079"/>
        <v>0</v>
      </c>
      <c r="BE395" s="43">
        <f t="shared" si="1080"/>
        <v>27</v>
      </c>
      <c r="BF395" s="44"/>
      <c r="BG395" s="45">
        <f t="shared" si="1081"/>
        <v>18</v>
      </c>
      <c r="BH395" s="45">
        <f t="shared" si="1082"/>
        <v>1</v>
      </c>
      <c r="BI395" s="45">
        <f t="shared" si="1083"/>
        <v>9</v>
      </c>
      <c r="BJ395" s="46">
        <f t="shared" si="998"/>
        <v>0</v>
      </c>
      <c r="BK395" s="46">
        <f t="shared" si="999"/>
        <v>0</v>
      </c>
      <c r="BL395" s="46">
        <f t="shared" si="1000"/>
        <v>0</v>
      </c>
    </row>
    <row r="396" spans="1:64" ht="30" customHeight="1" x14ac:dyDescent="0.25">
      <c r="A396" s="84" t="str">
        <f t="shared" si="1085"/>
        <v>Д</v>
      </c>
      <c r="B396" s="84" t="str">
        <f t="shared" si="1001"/>
        <v>Б</v>
      </c>
      <c r="C396" s="101" t="s">
        <v>1473</v>
      </c>
      <c r="D396" s="16" t="str">
        <f t="shared" si="1002"/>
        <v>'38.03.05</v>
      </c>
      <c r="E396" s="17" t="str">
        <f t="shared" si="1003"/>
        <v>Бизнес-информатика</v>
      </c>
      <c r="F396" s="9" t="s">
        <v>413</v>
      </c>
      <c r="G396" s="9" t="s">
        <v>42</v>
      </c>
      <c r="H396" s="10" t="s">
        <v>3233</v>
      </c>
      <c r="I396" s="10"/>
      <c r="J396" s="24" t="s">
        <v>3305</v>
      </c>
      <c r="K396" s="11" t="s">
        <v>3227</v>
      </c>
      <c r="L396" s="11">
        <v>9</v>
      </c>
      <c r="M396" s="8" t="s">
        <v>94</v>
      </c>
      <c r="N396" s="11"/>
      <c r="O396" s="11">
        <v>2</v>
      </c>
      <c r="P396" s="11"/>
      <c r="Q396" s="8" t="s">
        <v>102</v>
      </c>
      <c r="R396" s="11"/>
      <c r="S396" s="11"/>
      <c r="T396" s="11"/>
      <c r="U396" s="11"/>
      <c r="V396" s="11"/>
      <c r="W396" s="83" t="str">
        <f t="shared" si="1086"/>
        <v>НБИбд</v>
      </c>
      <c r="X396" s="110" t="s">
        <v>3244</v>
      </c>
      <c r="Y396" s="11">
        <v>1</v>
      </c>
      <c r="Z396" s="11">
        <v>1</v>
      </c>
      <c r="AA396" s="83">
        <f t="shared" si="1004"/>
        <v>15</v>
      </c>
      <c r="AB396" s="11">
        <v>12</v>
      </c>
      <c r="AC396" s="11">
        <v>3</v>
      </c>
      <c r="AD396" s="81">
        <f t="shared" si="1087"/>
        <v>12</v>
      </c>
      <c r="AE396" s="82">
        <f t="shared" si="1005"/>
        <v>1</v>
      </c>
      <c r="AF396" s="82">
        <f t="shared" si="1006"/>
        <v>1.25</v>
      </c>
      <c r="AG396" s="102" t="s">
        <v>3250</v>
      </c>
      <c r="AH396" s="113" t="s">
        <v>204</v>
      </c>
      <c r="AI396" s="113" t="s">
        <v>212</v>
      </c>
      <c r="AJ396" s="126" t="s">
        <v>3265</v>
      </c>
      <c r="AK396" s="8"/>
      <c r="AL396" s="42">
        <f t="shared" si="1088"/>
        <v>0</v>
      </c>
      <c r="AM396" s="42">
        <f t="shared" si="1070"/>
        <v>0</v>
      </c>
      <c r="AN396" s="42">
        <f t="shared" si="1071"/>
        <v>18</v>
      </c>
      <c r="AO396" s="42">
        <f t="shared" si="1084"/>
        <v>0</v>
      </c>
      <c r="AP396" s="42">
        <f t="shared" si="1072"/>
        <v>7.5</v>
      </c>
      <c r="AQ396" s="42">
        <f t="shared" si="1073"/>
        <v>1</v>
      </c>
      <c r="AR396" s="42">
        <f t="shared" si="1089"/>
        <v>0</v>
      </c>
      <c r="AS396" s="42">
        <f t="shared" si="1074"/>
        <v>0</v>
      </c>
      <c r="AT396" s="42">
        <f t="shared" si="1075"/>
        <v>0</v>
      </c>
      <c r="AU396" s="42">
        <f t="shared" si="1076"/>
        <v>0</v>
      </c>
      <c r="AV396" s="42">
        <f>IF(M396="ПП",РПП*AA396*(U396/1.5),IF(M396="ВП",ВПр*AA396*(U396/1.5),IF(M396="РПА",РПА*AA396*(U396/1.5),IF(M396="КПА",КПА*AA396*(U396/1.5),0))))</f>
        <v>0</v>
      </c>
      <c r="AW396" s="42">
        <f t="shared" si="1077"/>
        <v>0</v>
      </c>
      <c r="AX396" s="42">
        <f t="shared" si="1090"/>
        <v>0</v>
      </c>
      <c r="AY396" s="42">
        <f t="shared" si="1091"/>
        <v>0</v>
      </c>
      <c r="AZ396" s="42">
        <f t="shared" si="1078"/>
        <v>0</v>
      </c>
      <c r="BA396" s="42">
        <f t="shared" si="1092"/>
        <v>0</v>
      </c>
      <c r="BB396" s="42">
        <f t="shared" si="1093"/>
        <v>0</v>
      </c>
      <c r="BC396" s="42">
        <f t="shared" si="1094"/>
        <v>0</v>
      </c>
      <c r="BD396" s="42">
        <f t="shared" si="1079"/>
        <v>0</v>
      </c>
      <c r="BE396" s="43">
        <f t="shared" si="1080"/>
        <v>26.5</v>
      </c>
      <c r="BF396" s="44"/>
      <c r="BG396" s="45">
        <f t="shared" si="1081"/>
        <v>18</v>
      </c>
      <c r="BH396" s="45">
        <f t="shared" si="1082"/>
        <v>1</v>
      </c>
      <c r="BI396" s="45">
        <f t="shared" si="1083"/>
        <v>8.5</v>
      </c>
      <c r="BJ396" s="46">
        <f t="shared" ref="BJ396:BJ447" si="1095">IF(OR(K396="2;3",K396="2;4",K396=2,K396="4;3",K396="4;4",K396=4,K396="6;3",K396="6;4",K396=6,K396="8;3",K396="8;4",K396=8,K396="10;3",K396="10;4",K396=10,K396=12),SUM(AL396:AN396),0)</f>
        <v>0</v>
      </c>
      <c r="BK396" s="46">
        <f t="shared" ref="BK396:BK447" si="1096">IF(BJ396&lt;&gt;0,SUM(N396:P396)/2,0)</f>
        <v>0</v>
      </c>
      <c r="BL396" s="46">
        <f t="shared" ref="BL396:BL447" si="1097">IF(OR(K396="2;3",K396="2;4",K396=2,K396="4;3",K396="4;4",K396=4,K396="6;3",K396="6;4",K396=6,K396="8;3",K396="8;4",K396=8,K396="10;3",K396="10;4",K396=10,K396=12),SUM(AO396:BD396),0)</f>
        <v>0</v>
      </c>
    </row>
    <row r="397" spans="1:64" ht="30" customHeight="1" x14ac:dyDescent="0.25">
      <c r="A397" s="84" t="str">
        <f t="shared" si="1085"/>
        <v>Д</v>
      </c>
      <c r="B397" s="84" t="str">
        <f t="shared" si="1001"/>
        <v>Б</v>
      </c>
      <c r="C397" s="101" t="s">
        <v>1473</v>
      </c>
      <c r="D397" s="16" t="str">
        <f t="shared" si="1002"/>
        <v>'38.03.05</v>
      </c>
      <c r="E397" s="17" t="str">
        <f t="shared" si="1003"/>
        <v>Бизнес-информатика</v>
      </c>
      <c r="F397" s="9" t="s">
        <v>413</v>
      </c>
      <c r="G397" s="9" t="s">
        <v>42</v>
      </c>
      <c r="H397" s="10" t="s">
        <v>3233</v>
      </c>
      <c r="I397" s="10"/>
      <c r="J397" s="24" t="s">
        <v>3306</v>
      </c>
      <c r="K397" s="11" t="s">
        <v>3227</v>
      </c>
      <c r="L397" s="11">
        <v>9</v>
      </c>
      <c r="M397" s="8" t="s">
        <v>23</v>
      </c>
      <c r="N397" s="11">
        <v>2</v>
      </c>
      <c r="O397" s="11"/>
      <c r="P397" s="11"/>
      <c r="Q397" s="8" t="s">
        <v>103</v>
      </c>
      <c r="R397" s="11"/>
      <c r="S397" s="11"/>
      <c r="T397" s="11"/>
      <c r="U397" s="11"/>
      <c r="V397" s="11"/>
      <c r="W397" s="83" t="str">
        <f t="shared" si="1086"/>
        <v>НБИбд</v>
      </c>
      <c r="X397" s="110" t="s">
        <v>3244</v>
      </c>
      <c r="Y397" s="11">
        <v>2</v>
      </c>
      <c r="Z397" s="11">
        <v>1</v>
      </c>
      <c r="AA397" s="83">
        <f t="shared" si="1004"/>
        <v>31</v>
      </c>
      <c r="AB397" s="11">
        <v>25</v>
      </c>
      <c r="AC397" s="11">
        <v>6</v>
      </c>
      <c r="AD397" s="81">
        <f t="shared" si="1087"/>
        <v>31</v>
      </c>
      <c r="AE397" s="82">
        <f t="shared" si="1005"/>
        <v>1</v>
      </c>
      <c r="AF397" s="82">
        <f t="shared" si="1006"/>
        <v>1</v>
      </c>
      <c r="AG397" s="102" t="s">
        <v>3250</v>
      </c>
      <c r="AH397" s="113" t="s">
        <v>204</v>
      </c>
      <c r="AI397" s="113" t="s">
        <v>213</v>
      </c>
      <c r="AJ397" s="121" t="s">
        <v>3259</v>
      </c>
      <c r="AK397" s="8"/>
      <c r="AL397" s="42">
        <f t="shared" si="1088"/>
        <v>18</v>
      </c>
      <c r="AM397" s="42">
        <f t="shared" si="1070"/>
        <v>0</v>
      </c>
      <c r="AN397" s="42">
        <f t="shared" si="1071"/>
        <v>0</v>
      </c>
      <c r="AO397" s="42">
        <f t="shared" si="1084"/>
        <v>0</v>
      </c>
      <c r="AP397" s="42">
        <f t="shared" si="1072"/>
        <v>15.5</v>
      </c>
      <c r="AQ397" s="42">
        <f t="shared" si="1073"/>
        <v>1</v>
      </c>
      <c r="AR397" s="42">
        <f t="shared" si="1089"/>
        <v>0.9</v>
      </c>
      <c r="AS397" s="42">
        <f t="shared" si="1074"/>
        <v>0</v>
      </c>
      <c r="AT397" s="42">
        <f t="shared" si="1075"/>
        <v>0</v>
      </c>
      <c r="AU397" s="42">
        <f t="shared" si="1076"/>
        <v>0</v>
      </c>
      <c r="AV397" s="42">
        <f>IF(M397="ПП",РПП*AA397*(U397/1.5),IF(M397="ВП",ВПр*AA397*(U397/1.5),IF(M397="РПА",РПА*AA397*(U397/1.5),IF(M397="КПА",КПА*AA397*(U397/1.5),0))))</f>
        <v>0</v>
      </c>
      <c r="AW397" s="42">
        <f t="shared" si="1077"/>
        <v>0</v>
      </c>
      <c r="AX397" s="42">
        <f t="shared" si="1090"/>
        <v>0</v>
      </c>
      <c r="AY397" s="42">
        <f t="shared" si="1091"/>
        <v>0</v>
      </c>
      <c r="AZ397" s="42">
        <f t="shared" si="1078"/>
        <v>0</v>
      </c>
      <c r="BA397" s="42">
        <f t="shared" si="1092"/>
        <v>0</v>
      </c>
      <c r="BB397" s="42">
        <f t="shared" si="1093"/>
        <v>0</v>
      </c>
      <c r="BC397" s="42">
        <f t="shared" si="1094"/>
        <v>0</v>
      </c>
      <c r="BD397" s="42">
        <f t="shared" si="1079"/>
        <v>0</v>
      </c>
      <c r="BE397" s="43">
        <f t="shared" si="1080"/>
        <v>35.4</v>
      </c>
      <c r="BF397" s="44"/>
      <c r="BG397" s="45">
        <f t="shared" si="1081"/>
        <v>18</v>
      </c>
      <c r="BH397" s="45">
        <f t="shared" si="1082"/>
        <v>1</v>
      </c>
      <c r="BI397" s="45">
        <f t="shared" si="1083"/>
        <v>17.399999999999999</v>
      </c>
      <c r="BJ397" s="46">
        <f t="shared" si="1095"/>
        <v>0</v>
      </c>
      <c r="BK397" s="46">
        <f t="shared" si="1096"/>
        <v>0</v>
      </c>
      <c r="BL397" s="46">
        <f t="shared" si="1097"/>
        <v>0</v>
      </c>
    </row>
    <row r="398" spans="1:64" ht="30" customHeight="1" x14ac:dyDescent="0.25">
      <c r="A398" s="84" t="str">
        <f t="shared" si="1085"/>
        <v>Д</v>
      </c>
      <c r="B398" s="84" t="str">
        <f t="shared" si="1001"/>
        <v>Б</v>
      </c>
      <c r="C398" s="101" t="s">
        <v>1473</v>
      </c>
      <c r="D398" s="16" t="str">
        <f t="shared" si="1002"/>
        <v>'38.03.05</v>
      </c>
      <c r="E398" s="17" t="str">
        <f t="shared" si="1003"/>
        <v>Бизнес-информатика</v>
      </c>
      <c r="F398" s="9" t="s">
        <v>413</v>
      </c>
      <c r="G398" s="9" t="s">
        <v>42</v>
      </c>
      <c r="H398" s="10" t="s">
        <v>3233</v>
      </c>
      <c r="I398" s="10"/>
      <c r="J398" s="24" t="s">
        <v>3306</v>
      </c>
      <c r="K398" s="11" t="s">
        <v>3227</v>
      </c>
      <c r="L398" s="11">
        <v>9</v>
      </c>
      <c r="M398" s="8" t="s">
        <v>24</v>
      </c>
      <c r="N398" s="11"/>
      <c r="O398" s="11"/>
      <c r="P398" s="11">
        <v>2</v>
      </c>
      <c r="Q398" s="8"/>
      <c r="R398" s="11"/>
      <c r="S398" s="11"/>
      <c r="T398" s="11"/>
      <c r="U398" s="11"/>
      <c r="V398" s="11"/>
      <c r="W398" s="83" t="str">
        <f t="shared" si="1086"/>
        <v>НБИбд</v>
      </c>
      <c r="X398" s="110" t="s">
        <v>3244</v>
      </c>
      <c r="Y398" s="11">
        <v>2</v>
      </c>
      <c r="Z398" s="11">
        <v>1</v>
      </c>
      <c r="AA398" s="83">
        <f t="shared" si="1004"/>
        <v>31</v>
      </c>
      <c r="AB398" s="11">
        <v>25</v>
      </c>
      <c r="AC398" s="11">
        <v>6</v>
      </c>
      <c r="AD398" s="81">
        <f t="shared" si="1087"/>
        <v>24</v>
      </c>
      <c r="AE398" s="82">
        <f t="shared" si="1005"/>
        <v>1</v>
      </c>
      <c r="AF398" s="82">
        <f t="shared" si="1006"/>
        <v>1.2916666666666667</v>
      </c>
      <c r="AG398" s="102" t="s">
        <v>3250</v>
      </c>
      <c r="AH398" s="113" t="s">
        <v>204</v>
      </c>
      <c r="AI398" s="113" t="s">
        <v>213</v>
      </c>
      <c r="AJ398" s="121" t="s">
        <v>3259</v>
      </c>
      <c r="AK398" s="8"/>
      <c r="AL398" s="42">
        <f t="shared" si="1088"/>
        <v>0</v>
      </c>
      <c r="AM398" s="42">
        <f t="shared" si="1070"/>
        <v>18</v>
      </c>
      <c r="AN398" s="42">
        <f t="shared" si="1071"/>
        <v>0</v>
      </c>
      <c r="AO398" s="42">
        <f t="shared" si="1084"/>
        <v>0</v>
      </c>
      <c r="AP398" s="42">
        <f t="shared" si="1072"/>
        <v>0</v>
      </c>
      <c r="AQ398" s="42">
        <f t="shared" si="1073"/>
        <v>0</v>
      </c>
      <c r="AR398" s="42">
        <f t="shared" si="1089"/>
        <v>0</v>
      </c>
      <c r="AS398" s="42">
        <f t="shared" si="1074"/>
        <v>0</v>
      </c>
      <c r="AT398" s="42">
        <f t="shared" si="1075"/>
        <v>0</v>
      </c>
      <c r="AU398" s="42">
        <f t="shared" si="1076"/>
        <v>0</v>
      </c>
      <c r="AV398" s="42">
        <f>IF(M398="ПП",РПП*AA398*(U398/1.5),IF(M398="ВП",ВПр*AA398*(U398/1.5),IF(M398="РПА",РПА*AA398*(U398/1.5),IF(M398="КПА",КПА*AA398*(U398/1.5),0))))</f>
        <v>0</v>
      </c>
      <c r="AW398" s="42">
        <f t="shared" si="1077"/>
        <v>0</v>
      </c>
      <c r="AX398" s="42">
        <f t="shared" si="1090"/>
        <v>0</v>
      </c>
      <c r="AY398" s="42">
        <f t="shared" si="1091"/>
        <v>0</v>
      </c>
      <c r="AZ398" s="42">
        <f t="shared" si="1078"/>
        <v>0</v>
      </c>
      <c r="BA398" s="42">
        <f t="shared" si="1092"/>
        <v>0</v>
      </c>
      <c r="BB398" s="42">
        <f t="shared" si="1093"/>
        <v>0</v>
      </c>
      <c r="BC398" s="42">
        <f t="shared" si="1094"/>
        <v>0</v>
      </c>
      <c r="BD398" s="42">
        <f t="shared" si="1079"/>
        <v>0</v>
      </c>
      <c r="BE398" s="43">
        <f t="shared" si="1080"/>
        <v>18</v>
      </c>
      <c r="BF398" s="44"/>
      <c r="BG398" s="45">
        <f t="shared" si="1081"/>
        <v>18</v>
      </c>
      <c r="BH398" s="45">
        <f t="shared" si="1082"/>
        <v>1</v>
      </c>
      <c r="BI398" s="45">
        <f t="shared" si="1083"/>
        <v>0</v>
      </c>
      <c r="BJ398" s="46">
        <f t="shared" si="1095"/>
        <v>0</v>
      </c>
      <c r="BK398" s="46">
        <f t="shared" si="1096"/>
        <v>0</v>
      </c>
      <c r="BL398" s="46">
        <f t="shared" si="1097"/>
        <v>0</v>
      </c>
    </row>
    <row r="399" spans="1:64" ht="30" customHeight="1" x14ac:dyDescent="0.25">
      <c r="A399" s="84" t="str">
        <f t="shared" si="1085"/>
        <v>Д</v>
      </c>
      <c r="B399" s="84" t="str">
        <f t="shared" si="1001"/>
        <v>Б</v>
      </c>
      <c r="C399" s="101" t="s">
        <v>1473</v>
      </c>
      <c r="D399" s="16" t="str">
        <f t="shared" si="1002"/>
        <v>'38.03.05</v>
      </c>
      <c r="E399" s="17" t="str">
        <f t="shared" si="1003"/>
        <v>Бизнес-информатика</v>
      </c>
      <c r="F399" s="9" t="s">
        <v>413</v>
      </c>
      <c r="G399" s="9" t="s">
        <v>503</v>
      </c>
      <c r="H399" s="10" t="s">
        <v>3233</v>
      </c>
      <c r="I399" s="10" t="s">
        <v>3231</v>
      </c>
      <c r="J399" s="24" t="s">
        <v>3220</v>
      </c>
      <c r="K399" s="11" t="s">
        <v>3227</v>
      </c>
      <c r="L399" s="11">
        <v>9</v>
      </c>
      <c r="M399" s="8" t="s">
        <v>23</v>
      </c>
      <c r="N399" s="11">
        <v>2</v>
      </c>
      <c r="O399" s="11"/>
      <c r="P399" s="11"/>
      <c r="Q399" s="8" t="s">
        <v>103</v>
      </c>
      <c r="R399" s="11"/>
      <c r="S399" s="11"/>
      <c r="T399" s="11"/>
      <c r="U399" s="11"/>
      <c r="V399" s="11"/>
      <c r="W399" s="83" t="str">
        <f t="shared" si="1086"/>
        <v>НБИбд</v>
      </c>
      <c r="X399" s="110" t="s">
        <v>3244</v>
      </c>
      <c r="Y399" s="11">
        <v>2</v>
      </c>
      <c r="Z399" s="11">
        <v>1</v>
      </c>
      <c r="AA399" s="83">
        <f t="shared" si="1004"/>
        <v>17</v>
      </c>
      <c r="AB399" s="11">
        <v>14</v>
      </c>
      <c r="AC399" s="11">
        <v>3</v>
      </c>
      <c r="AD399" s="81">
        <f t="shared" si="1087"/>
        <v>17</v>
      </c>
      <c r="AE399" s="82">
        <f t="shared" si="1005"/>
        <v>1</v>
      </c>
      <c r="AF399" s="82">
        <f t="shared" si="1006"/>
        <v>1</v>
      </c>
      <c r="AG399" s="102" t="s">
        <v>3250</v>
      </c>
      <c r="AH399" s="113" t="s">
        <v>204</v>
      </c>
      <c r="AI399" s="113" t="s">
        <v>212</v>
      </c>
      <c r="AJ399" s="121" t="s">
        <v>3255</v>
      </c>
      <c r="AK399" s="8"/>
      <c r="AL399" s="42">
        <f t="shared" si="1088"/>
        <v>18</v>
      </c>
      <c r="AM399" s="42">
        <f t="shared" si="1070"/>
        <v>0</v>
      </c>
      <c r="AN399" s="42">
        <f t="shared" si="1071"/>
        <v>0</v>
      </c>
      <c r="AO399" s="42">
        <f t="shared" si="1084"/>
        <v>0</v>
      </c>
      <c r="AP399" s="42">
        <f t="shared" si="1072"/>
        <v>8.5</v>
      </c>
      <c r="AQ399" s="42">
        <f t="shared" si="1073"/>
        <v>1</v>
      </c>
      <c r="AR399" s="42">
        <f t="shared" si="1089"/>
        <v>0.9</v>
      </c>
      <c r="AS399" s="42">
        <f t="shared" si="1074"/>
        <v>0</v>
      </c>
      <c r="AT399" s="42">
        <f t="shared" si="1075"/>
        <v>0</v>
      </c>
      <c r="AU399" s="42">
        <f t="shared" si="1076"/>
        <v>0</v>
      </c>
      <c r="AV399" s="42">
        <f>IF(M399="ПП",РПП*AA399*(U399/1.5),IF(M399="ВП",ВПр*AA399*(U399/1.5),IF(M399="РПА",РПА*AA399*(U399/1.5),IF(M399="КПА",КПА*AA399*(U399/1.5),0))))</f>
        <v>0</v>
      </c>
      <c r="AW399" s="42">
        <f t="shared" si="1077"/>
        <v>0</v>
      </c>
      <c r="AX399" s="42">
        <f t="shared" si="1090"/>
        <v>0</v>
      </c>
      <c r="AY399" s="42">
        <f t="shared" si="1091"/>
        <v>0</v>
      </c>
      <c r="AZ399" s="42">
        <f t="shared" si="1078"/>
        <v>0</v>
      </c>
      <c r="BA399" s="42">
        <f t="shared" si="1092"/>
        <v>0</v>
      </c>
      <c r="BB399" s="42">
        <f t="shared" si="1093"/>
        <v>0</v>
      </c>
      <c r="BC399" s="42">
        <f t="shared" si="1094"/>
        <v>0</v>
      </c>
      <c r="BD399" s="42">
        <f t="shared" si="1079"/>
        <v>0</v>
      </c>
      <c r="BE399" s="43">
        <f t="shared" si="1080"/>
        <v>28.4</v>
      </c>
      <c r="BF399" s="44"/>
      <c r="BG399" s="45">
        <f t="shared" si="1081"/>
        <v>18</v>
      </c>
      <c r="BH399" s="45">
        <f t="shared" si="1082"/>
        <v>1</v>
      </c>
      <c r="BI399" s="45">
        <f t="shared" si="1083"/>
        <v>10.4</v>
      </c>
      <c r="BJ399" s="46">
        <f t="shared" si="1095"/>
        <v>0</v>
      </c>
      <c r="BK399" s="46">
        <f t="shared" si="1096"/>
        <v>0</v>
      </c>
      <c r="BL399" s="46">
        <f t="shared" si="1097"/>
        <v>0</v>
      </c>
    </row>
    <row r="400" spans="1:64" ht="30" customHeight="1" x14ac:dyDescent="0.25">
      <c r="A400" s="84" t="str">
        <f t="shared" si="1085"/>
        <v>Д</v>
      </c>
      <c r="B400" s="84" t="str">
        <f t="shared" si="1001"/>
        <v>Б</v>
      </c>
      <c r="C400" s="101" t="s">
        <v>1473</v>
      </c>
      <c r="D400" s="16" t="str">
        <f t="shared" si="1002"/>
        <v>'38.03.05</v>
      </c>
      <c r="E400" s="17" t="str">
        <f t="shared" si="1003"/>
        <v>Бизнес-информатика</v>
      </c>
      <c r="F400" s="9" t="s">
        <v>413</v>
      </c>
      <c r="G400" s="9" t="s">
        <v>503</v>
      </c>
      <c r="H400" s="10" t="s">
        <v>3233</v>
      </c>
      <c r="I400" s="10" t="s">
        <v>3231</v>
      </c>
      <c r="J400" s="24" t="s">
        <v>3220</v>
      </c>
      <c r="K400" s="11" t="s">
        <v>3227</v>
      </c>
      <c r="L400" s="11">
        <v>9</v>
      </c>
      <c r="M400" s="8" t="s">
        <v>94</v>
      </c>
      <c r="N400" s="11"/>
      <c r="O400" s="11">
        <v>2</v>
      </c>
      <c r="P400" s="11"/>
      <c r="Q400" s="8"/>
      <c r="R400" s="12"/>
      <c r="S400" s="12"/>
      <c r="T400" s="12"/>
      <c r="U400" s="12"/>
      <c r="V400" s="12"/>
      <c r="W400" s="83" t="str">
        <f t="shared" si="1086"/>
        <v>НБИбд</v>
      </c>
      <c r="X400" s="110" t="s">
        <v>3244</v>
      </c>
      <c r="Y400" s="11">
        <v>2</v>
      </c>
      <c r="Z400" s="11">
        <v>1</v>
      </c>
      <c r="AA400" s="83">
        <f t="shared" si="1004"/>
        <v>17</v>
      </c>
      <c r="AB400" s="11">
        <v>14</v>
      </c>
      <c r="AC400" s="11">
        <v>3</v>
      </c>
      <c r="AD400" s="81">
        <f t="shared" si="1087"/>
        <v>12</v>
      </c>
      <c r="AE400" s="82">
        <f t="shared" si="1005"/>
        <v>1</v>
      </c>
      <c r="AF400" s="82">
        <f t="shared" si="1006"/>
        <v>1.4166666666666667</v>
      </c>
      <c r="AG400" s="102" t="s">
        <v>3250</v>
      </c>
      <c r="AH400" s="113" t="s">
        <v>204</v>
      </c>
      <c r="AI400" s="113" t="s">
        <v>212</v>
      </c>
      <c r="AJ400" s="121" t="s">
        <v>3255</v>
      </c>
      <c r="AK400" s="8"/>
      <c r="AL400" s="42">
        <f t="shared" si="1088"/>
        <v>0</v>
      </c>
      <c r="AM400" s="42">
        <f t="shared" si="1070"/>
        <v>0</v>
      </c>
      <c r="AN400" s="42">
        <f t="shared" si="1071"/>
        <v>18</v>
      </c>
      <c r="AO400" s="42">
        <f t="shared" si="1084"/>
        <v>0</v>
      </c>
      <c r="AP400" s="42">
        <f t="shared" si="1072"/>
        <v>0</v>
      </c>
      <c r="AQ400" s="42">
        <f t="shared" si="1073"/>
        <v>0</v>
      </c>
      <c r="AR400" s="42">
        <f t="shared" si="1089"/>
        <v>0</v>
      </c>
      <c r="AS400" s="42">
        <f t="shared" si="1074"/>
        <v>0</v>
      </c>
      <c r="AT400" s="42">
        <f t="shared" si="1075"/>
        <v>0</v>
      </c>
      <c r="AU400" s="42">
        <f t="shared" si="1076"/>
        <v>0</v>
      </c>
      <c r="AV400" s="42">
        <f>IF(M400="ПП",РПП*AA400*(U400/1.5),IF(M400="ВП",ВПр*AA400*(U400/1.5),IF(M400="РПА",РПА*AA400*(U400/1.5),IF(M400="КПА",КПА*AA400*(U400/1.5),0))))</f>
        <v>0</v>
      </c>
      <c r="AW400" s="42">
        <f t="shared" si="1077"/>
        <v>0</v>
      </c>
      <c r="AX400" s="42">
        <f t="shared" si="1090"/>
        <v>0</v>
      </c>
      <c r="AY400" s="42">
        <f t="shared" si="1091"/>
        <v>0</v>
      </c>
      <c r="AZ400" s="42">
        <f t="shared" si="1078"/>
        <v>0</v>
      </c>
      <c r="BA400" s="42">
        <f t="shared" si="1092"/>
        <v>0</v>
      </c>
      <c r="BB400" s="42">
        <f t="shared" si="1093"/>
        <v>0</v>
      </c>
      <c r="BC400" s="42">
        <f t="shared" si="1094"/>
        <v>0</v>
      </c>
      <c r="BD400" s="42">
        <f t="shared" si="1079"/>
        <v>0</v>
      </c>
      <c r="BE400" s="43">
        <f t="shared" si="1080"/>
        <v>18</v>
      </c>
      <c r="BF400" s="44"/>
      <c r="BG400" s="45">
        <f t="shared" si="1081"/>
        <v>18</v>
      </c>
      <c r="BH400" s="45">
        <f t="shared" si="1082"/>
        <v>1</v>
      </c>
      <c r="BI400" s="45">
        <f t="shared" si="1083"/>
        <v>0</v>
      </c>
      <c r="BJ400" s="46">
        <f t="shared" si="1095"/>
        <v>0</v>
      </c>
      <c r="BK400" s="46">
        <f t="shared" si="1096"/>
        <v>0</v>
      </c>
      <c r="BL400" s="46">
        <f t="shared" si="1097"/>
        <v>0</v>
      </c>
    </row>
    <row r="401" spans="1:64" ht="30" customHeight="1" x14ac:dyDescent="0.25">
      <c r="A401" s="84" t="str">
        <f t="shared" si="1085"/>
        <v>Д</v>
      </c>
      <c r="B401" s="84" t="str">
        <f t="shared" si="1001"/>
        <v>Б</v>
      </c>
      <c r="C401" s="101" t="s">
        <v>1473</v>
      </c>
      <c r="D401" s="16" t="str">
        <f t="shared" si="1002"/>
        <v>'38.03.05</v>
      </c>
      <c r="E401" s="17" t="str">
        <f t="shared" si="1003"/>
        <v>Бизнес-информатика</v>
      </c>
      <c r="F401" s="9" t="s">
        <v>413</v>
      </c>
      <c r="G401" s="9" t="s">
        <v>503</v>
      </c>
      <c r="H401" s="10" t="s">
        <v>3233</v>
      </c>
      <c r="I401" s="10" t="s">
        <v>3231</v>
      </c>
      <c r="J401" s="24" t="s">
        <v>3214</v>
      </c>
      <c r="K401" s="11" t="s">
        <v>3230</v>
      </c>
      <c r="L401" s="11">
        <v>9</v>
      </c>
      <c r="M401" s="8" t="s">
        <v>23</v>
      </c>
      <c r="N401" s="11">
        <v>2</v>
      </c>
      <c r="O401" s="11"/>
      <c r="P401" s="11"/>
      <c r="Q401" s="8"/>
      <c r="R401" s="13"/>
      <c r="S401" s="13"/>
      <c r="T401" s="13"/>
      <c r="U401" s="13"/>
      <c r="V401" s="13"/>
      <c r="W401" s="83" t="str">
        <f t="shared" si="1086"/>
        <v>НБИбд</v>
      </c>
      <c r="X401" s="110" t="s">
        <v>3244</v>
      </c>
      <c r="Y401" s="11">
        <v>2</v>
      </c>
      <c r="Z401" s="11">
        <v>1</v>
      </c>
      <c r="AA401" s="83">
        <f t="shared" si="1004"/>
        <v>17</v>
      </c>
      <c r="AB401" s="11">
        <v>14</v>
      </c>
      <c r="AC401" s="11">
        <v>3</v>
      </c>
      <c r="AD401" s="81">
        <f t="shared" si="1087"/>
        <v>17</v>
      </c>
      <c r="AE401" s="82">
        <f t="shared" si="1005"/>
        <v>1</v>
      </c>
      <c r="AF401" s="82">
        <f t="shared" si="1006"/>
        <v>1</v>
      </c>
      <c r="AG401" s="102" t="s">
        <v>3250</v>
      </c>
      <c r="AH401" s="113" t="s">
        <v>204</v>
      </c>
      <c r="AI401" s="113" t="s">
        <v>212</v>
      </c>
      <c r="AJ401" s="121" t="s">
        <v>3265</v>
      </c>
      <c r="AK401" s="8"/>
      <c r="AL401" s="42">
        <f t="shared" si="1088"/>
        <v>18</v>
      </c>
      <c r="AM401" s="42">
        <f t="shared" si="1070"/>
        <v>0</v>
      </c>
      <c r="AN401" s="42">
        <f t="shared" si="1071"/>
        <v>0</v>
      </c>
      <c r="AO401" s="42">
        <f t="shared" si="1084"/>
        <v>0</v>
      </c>
      <c r="AP401" s="42">
        <f t="shared" si="1072"/>
        <v>0</v>
      </c>
      <c r="AQ401" s="42">
        <f t="shared" si="1073"/>
        <v>0</v>
      </c>
      <c r="AR401" s="42">
        <f t="shared" si="1089"/>
        <v>0.9</v>
      </c>
      <c r="AS401" s="42">
        <f t="shared" si="1074"/>
        <v>0</v>
      </c>
      <c r="AT401" s="42">
        <f t="shared" si="1075"/>
        <v>0</v>
      </c>
      <c r="AU401" s="42">
        <f t="shared" si="1076"/>
        <v>0</v>
      </c>
      <c r="AV401" s="42">
        <f>IF(M401="ПП",РПП*AA401*(U401/1.5),IF(M401="ВП",ВПр*AA401*(U401/1.5),IF(M401="РПА",РПА*AA401*(U401/1.5),IF(M401="КПА",КПА*AA401*(U401/1.5),0))))</f>
        <v>0</v>
      </c>
      <c r="AW401" s="42">
        <f t="shared" si="1077"/>
        <v>0</v>
      </c>
      <c r="AX401" s="42">
        <f t="shared" si="1090"/>
        <v>0</v>
      </c>
      <c r="AY401" s="42">
        <f t="shared" si="1091"/>
        <v>0</v>
      </c>
      <c r="AZ401" s="42">
        <f t="shared" si="1078"/>
        <v>0</v>
      </c>
      <c r="BA401" s="42">
        <f t="shared" si="1092"/>
        <v>0</v>
      </c>
      <c r="BB401" s="42">
        <f t="shared" si="1093"/>
        <v>0</v>
      </c>
      <c r="BC401" s="42">
        <f t="shared" si="1094"/>
        <v>0</v>
      </c>
      <c r="BD401" s="42">
        <f t="shared" si="1079"/>
        <v>0</v>
      </c>
      <c r="BE401" s="43">
        <f t="shared" si="1080"/>
        <v>18.899999999999999</v>
      </c>
      <c r="BF401" s="44"/>
      <c r="BG401" s="45">
        <f t="shared" si="1081"/>
        <v>18</v>
      </c>
      <c r="BH401" s="45">
        <f t="shared" si="1082"/>
        <v>1</v>
      </c>
      <c r="BI401" s="45">
        <f t="shared" si="1083"/>
        <v>0.9</v>
      </c>
      <c r="BJ401" s="46">
        <f t="shared" si="1095"/>
        <v>0</v>
      </c>
      <c r="BK401" s="46">
        <f t="shared" si="1096"/>
        <v>0</v>
      </c>
      <c r="BL401" s="46">
        <f t="shared" si="1097"/>
        <v>0</v>
      </c>
    </row>
    <row r="402" spans="1:64" ht="30" customHeight="1" x14ac:dyDescent="0.25">
      <c r="A402" s="84" t="str">
        <f t="shared" si="1085"/>
        <v>Д</v>
      </c>
      <c r="B402" s="84" t="str">
        <f t="shared" si="1001"/>
        <v>Б</v>
      </c>
      <c r="C402" s="101" t="s">
        <v>1473</v>
      </c>
      <c r="D402" s="16" t="str">
        <f t="shared" si="1002"/>
        <v>'38.03.05</v>
      </c>
      <c r="E402" s="17" t="str">
        <f t="shared" si="1003"/>
        <v>Бизнес-информатика</v>
      </c>
      <c r="F402" s="9" t="s">
        <v>413</v>
      </c>
      <c r="G402" s="9" t="s">
        <v>503</v>
      </c>
      <c r="H402" s="10" t="s">
        <v>3233</v>
      </c>
      <c r="I402" s="10" t="s">
        <v>3231</v>
      </c>
      <c r="J402" s="24" t="s">
        <v>3214</v>
      </c>
      <c r="K402" s="12" t="s">
        <v>3230</v>
      </c>
      <c r="L402" s="11">
        <v>9</v>
      </c>
      <c r="M402" s="8" t="s">
        <v>24</v>
      </c>
      <c r="N402" s="12"/>
      <c r="O402" s="12"/>
      <c r="P402" s="12">
        <v>2</v>
      </c>
      <c r="Q402" s="8" t="s">
        <v>102</v>
      </c>
      <c r="R402" s="13"/>
      <c r="S402" s="13"/>
      <c r="T402" s="13"/>
      <c r="U402" s="13"/>
      <c r="V402" s="13"/>
      <c r="W402" s="83" t="str">
        <f t="shared" si="1086"/>
        <v>НБИбд</v>
      </c>
      <c r="X402" s="110" t="s">
        <v>3244</v>
      </c>
      <c r="Y402" s="11">
        <v>2</v>
      </c>
      <c r="Z402" s="11">
        <v>1</v>
      </c>
      <c r="AA402" s="83">
        <f t="shared" si="1004"/>
        <v>17</v>
      </c>
      <c r="AB402" s="11">
        <v>14</v>
      </c>
      <c r="AC402" s="11">
        <v>3</v>
      </c>
      <c r="AD402" s="81">
        <f t="shared" si="1087"/>
        <v>24</v>
      </c>
      <c r="AE402" s="82">
        <f t="shared" si="1005"/>
        <v>0.70833333333333337</v>
      </c>
      <c r="AF402" s="82">
        <f t="shared" si="1006"/>
        <v>0.70833333333333337</v>
      </c>
      <c r="AG402" s="102" t="s">
        <v>3250</v>
      </c>
      <c r="AH402" s="113" t="s">
        <v>204</v>
      </c>
      <c r="AI402" s="113" t="s">
        <v>212</v>
      </c>
      <c r="AJ402" s="121" t="s">
        <v>3265</v>
      </c>
      <c r="AK402" s="8"/>
      <c r="AL402" s="42">
        <f t="shared" si="1088"/>
        <v>0</v>
      </c>
      <c r="AM402" s="42">
        <f t="shared" si="1070"/>
        <v>12.75</v>
      </c>
      <c r="AN402" s="42">
        <f t="shared" si="1071"/>
        <v>0</v>
      </c>
      <c r="AO402" s="42">
        <f t="shared" si="1084"/>
        <v>0</v>
      </c>
      <c r="AP402" s="42">
        <f t="shared" si="1072"/>
        <v>8.5</v>
      </c>
      <c r="AQ402" s="42">
        <f t="shared" si="1073"/>
        <v>0.70833333333333337</v>
      </c>
      <c r="AR402" s="42">
        <f t="shared" si="1089"/>
        <v>0</v>
      </c>
      <c r="AS402" s="42">
        <f t="shared" si="1074"/>
        <v>0</v>
      </c>
      <c r="AT402" s="42">
        <f t="shared" si="1075"/>
        <v>0</v>
      </c>
      <c r="AU402" s="42">
        <f t="shared" si="1076"/>
        <v>0</v>
      </c>
      <c r="AV402" s="42">
        <f>IF(M402="ПП",РПП*AA402*(U402/1.5),IF(M402="ВП",ВПр*AA402*(U402/1.5),IF(M402="РПА",РПА*AA402*(U402/1.5),IF(M402="КПА",КПА*AA402*(U402/1.5),0))))</f>
        <v>0</v>
      </c>
      <c r="AW402" s="42">
        <f t="shared" si="1077"/>
        <v>0</v>
      </c>
      <c r="AX402" s="42">
        <f t="shared" si="1090"/>
        <v>0</v>
      </c>
      <c r="AY402" s="42">
        <f t="shared" si="1091"/>
        <v>0</v>
      </c>
      <c r="AZ402" s="42">
        <f t="shared" si="1078"/>
        <v>0</v>
      </c>
      <c r="BA402" s="42">
        <f t="shared" si="1092"/>
        <v>0</v>
      </c>
      <c r="BB402" s="42">
        <f t="shared" si="1093"/>
        <v>0</v>
      </c>
      <c r="BC402" s="42">
        <f t="shared" si="1094"/>
        <v>0</v>
      </c>
      <c r="BD402" s="42">
        <f t="shared" si="1079"/>
        <v>0</v>
      </c>
      <c r="BE402" s="43">
        <f t="shared" si="1080"/>
        <v>21.958333333333332</v>
      </c>
      <c r="BF402" s="44"/>
      <c r="BG402" s="45">
        <f t="shared" si="1081"/>
        <v>12.75</v>
      </c>
      <c r="BH402" s="45">
        <f t="shared" si="1082"/>
        <v>1</v>
      </c>
      <c r="BI402" s="45">
        <f t="shared" si="1083"/>
        <v>9.2083333333333339</v>
      </c>
      <c r="BJ402" s="46">
        <f t="shared" si="1095"/>
        <v>0</v>
      </c>
      <c r="BK402" s="46">
        <f t="shared" si="1096"/>
        <v>0</v>
      </c>
      <c r="BL402" s="46">
        <f t="shared" si="1097"/>
        <v>0</v>
      </c>
    </row>
    <row r="403" spans="1:64" ht="30" customHeight="1" x14ac:dyDescent="0.25">
      <c r="A403" s="84" t="str">
        <f t="shared" si="1085"/>
        <v>Д</v>
      </c>
      <c r="B403" s="84" t="str">
        <f t="shared" si="32"/>
        <v>Б</v>
      </c>
      <c r="C403" s="101" t="s">
        <v>1473</v>
      </c>
      <c r="D403" s="16" t="str">
        <f t="shared" si="33"/>
        <v>'38.03.05</v>
      </c>
      <c r="E403" s="17" t="str">
        <f t="shared" si="34"/>
        <v>Бизнес-информатика</v>
      </c>
      <c r="F403" s="9" t="s">
        <v>413</v>
      </c>
      <c r="G403" s="9" t="s">
        <v>42</v>
      </c>
      <c r="H403" s="10" t="s">
        <v>3233</v>
      </c>
      <c r="I403" s="10"/>
      <c r="J403" s="24" t="s">
        <v>3210</v>
      </c>
      <c r="K403" s="13">
        <v>2</v>
      </c>
      <c r="L403" s="11">
        <v>18</v>
      </c>
      <c r="M403" s="8" t="s">
        <v>23</v>
      </c>
      <c r="N403" s="13">
        <v>1</v>
      </c>
      <c r="O403" s="13"/>
      <c r="P403" s="13"/>
      <c r="Q403" s="8" t="s">
        <v>103</v>
      </c>
      <c r="R403" s="11"/>
      <c r="S403" s="11"/>
      <c r="T403" s="23"/>
      <c r="U403" s="11"/>
      <c r="V403" s="11"/>
      <c r="W403" s="83" t="str">
        <f t="shared" si="1086"/>
        <v>НБИбд</v>
      </c>
      <c r="X403" s="110" t="s">
        <v>3273</v>
      </c>
      <c r="Y403" s="11">
        <v>4</v>
      </c>
      <c r="Z403" s="11">
        <v>3</v>
      </c>
      <c r="AA403" s="83">
        <f t="shared" si="35"/>
        <v>55</v>
      </c>
      <c r="AB403" s="11">
        <v>50</v>
      </c>
      <c r="AC403" s="11">
        <v>5</v>
      </c>
      <c r="AD403" s="81">
        <f t="shared" si="1087"/>
        <v>55</v>
      </c>
      <c r="AE403" s="82">
        <f t="shared" si="36"/>
        <v>1</v>
      </c>
      <c r="AF403" s="82">
        <f t="shared" si="37"/>
        <v>1</v>
      </c>
      <c r="AG403" s="102" t="s">
        <v>3250</v>
      </c>
      <c r="AH403" s="113" t="s">
        <v>204</v>
      </c>
      <c r="AI403" s="113" t="s">
        <v>212</v>
      </c>
      <c r="AJ403" s="121" t="s">
        <v>3261</v>
      </c>
      <c r="AK403" s="8"/>
      <c r="AL403" s="42">
        <f t="shared" si="1088"/>
        <v>18</v>
      </c>
      <c r="AM403" s="42">
        <f t="shared" si="1070"/>
        <v>0</v>
      </c>
      <c r="AN403" s="42">
        <f t="shared" si="1071"/>
        <v>0</v>
      </c>
      <c r="AO403" s="42">
        <f t="shared" si="1084"/>
        <v>18.150000000000002</v>
      </c>
      <c r="AP403" s="42">
        <f t="shared" si="1072"/>
        <v>27.5</v>
      </c>
      <c r="AQ403" s="42">
        <f t="shared" si="1073"/>
        <v>3</v>
      </c>
      <c r="AR403" s="42">
        <f t="shared" si="1089"/>
        <v>2.7</v>
      </c>
      <c r="AS403" s="42">
        <f t="shared" si="1074"/>
        <v>0</v>
      </c>
      <c r="AT403" s="42">
        <f t="shared" si="1075"/>
        <v>0</v>
      </c>
      <c r="AU403" s="42">
        <f t="shared" si="1076"/>
        <v>0</v>
      </c>
      <c r="AV403" s="42">
        <f>IF(M403="ПП",РПП*AA403*(U403/1.5),IF(M403="ВП",ВПр*AA403*(U403/1.5),IF(M403="РПА",РПА*AA403*(U403/1.5),IF(M403="КПА",КПА*AA403*(U403/1.5),0))))</f>
        <v>0</v>
      </c>
      <c r="AW403" s="42">
        <f t="shared" si="1077"/>
        <v>0</v>
      </c>
      <c r="AX403" s="42">
        <f t="shared" si="1090"/>
        <v>0</v>
      </c>
      <c r="AY403" s="42">
        <f t="shared" si="1091"/>
        <v>0</v>
      </c>
      <c r="AZ403" s="42">
        <f t="shared" si="1078"/>
        <v>0</v>
      </c>
      <c r="BA403" s="42">
        <f t="shared" si="1092"/>
        <v>0</v>
      </c>
      <c r="BB403" s="42">
        <f t="shared" si="1093"/>
        <v>0</v>
      </c>
      <c r="BC403" s="42">
        <f t="shared" si="1094"/>
        <v>0</v>
      </c>
      <c r="BD403" s="42">
        <f t="shared" si="1079"/>
        <v>0</v>
      </c>
      <c r="BE403" s="43">
        <f t="shared" si="1080"/>
        <v>69.350000000000009</v>
      </c>
      <c r="BF403" s="44"/>
      <c r="BG403" s="45">
        <f t="shared" si="1081"/>
        <v>0</v>
      </c>
      <c r="BH403" s="45">
        <f t="shared" si="1082"/>
        <v>0</v>
      </c>
      <c r="BI403" s="45">
        <f t="shared" si="1083"/>
        <v>0</v>
      </c>
      <c r="BJ403" s="46">
        <f t="shared" si="1095"/>
        <v>18</v>
      </c>
      <c r="BK403" s="46">
        <f t="shared" si="1096"/>
        <v>0.5</v>
      </c>
      <c r="BL403" s="46">
        <f t="shared" si="1097"/>
        <v>51.350000000000009</v>
      </c>
    </row>
    <row r="404" spans="1:64" ht="30" customHeight="1" x14ac:dyDescent="0.25">
      <c r="A404" s="84" t="str">
        <f t="shared" si="1085"/>
        <v>Д</v>
      </c>
      <c r="B404" s="84" t="str">
        <f t="shared" si="32"/>
        <v>Б</v>
      </c>
      <c r="C404" s="101" t="s">
        <v>1473</v>
      </c>
      <c r="D404" s="16" t="str">
        <f t="shared" si="33"/>
        <v>'38.03.05</v>
      </c>
      <c r="E404" s="17" t="str">
        <f t="shared" si="34"/>
        <v>Бизнес-информатика</v>
      </c>
      <c r="F404" s="9" t="s">
        <v>413</v>
      </c>
      <c r="G404" s="9" t="s">
        <v>42</v>
      </c>
      <c r="H404" s="10" t="s">
        <v>3233</v>
      </c>
      <c r="I404" s="10"/>
      <c r="J404" s="24" t="s">
        <v>3210</v>
      </c>
      <c r="K404" s="13">
        <v>2</v>
      </c>
      <c r="L404" s="11">
        <v>18</v>
      </c>
      <c r="M404" s="8" t="s">
        <v>94</v>
      </c>
      <c r="N404" s="13"/>
      <c r="O404" s="13">
        <v>2</v>
      </c>
      <c r="P404" s="13"/>
      <c r="Q404" s="8"/>
      <c r="R404" s="11"/>
      <c r="S404" s="11"/>
      <c r="T404" s="23"/>
      <c r="U404" s="11"/>
      <c r="V404" s="11"/>
      <c r="W404" s="83" t="str">
        <f t="shared" si="1086"/>
        <v>НБИбд</v>
      </c>
      <c r="X404" s="110" t="s">
        <v>3246</v>
      </c>
      <c r="Y404" s="11">
        <v>1</v>
      </c>
      <c r="Z404" s="11">
        <v>1</v>
      </c>
      <c r="AA404" s="83">
        <f t="shared" si="35"/>
        <v>13</v>
      </c>
      <c r="AB404" s="11">
        <v>12</v>
      </c>
      <c r="AC404" s="11">
        <v>1</v>
      </c>
      <c r="AD404" s="81">
        <f t="shared" si="1087"/>
        <v>12</v>
      </c>
      <c r="AE404" s="82">
        <f t="shared" si="36"/>
        <v>1</v>
      </c>
      <c r="AF404" s="82">
        <f t="shared" si="37"/>
        <v>1.0833333333333333</v>
      </c>
      <c r="AG404" s="102" t="s">
        <v>3250</v>
      </c>
      <c r="AH404" s="113" t="s">
        <v>204</v>
      </c>
      <c r="AI404" s="113" t="s">
        <v>212</v>
      </c>
      <c r="AJ404" s="126" t="s">
        <v>3261</v>
      </c>
      <c r="AK404" s="8"/>
      <c r="AL404" s="42">
        <f t="shared" si="1088"/>
        <v>0</v>
      </c>
      <c r="AM404" s="42">
        <f t="shared" si="1070"/>
        <v>0</v>
      </c>
      <c r="AN404" s="42">
        <f t="shared" si="1071"/>
        <v>36</v>
      </c>
      <c r="AO404" s="42">
        <f t="shared" si="1084"/>
        <v>0</v>
      </c>
      <c r="AP404" s="42">
        <f t="shared" si="1072"/>
        <v>0</v>
      </c>
      <c r="AQ404" s="42">
        <f t="shared" si="1073"/>
        <v>0</v>
      </c>
      <c r="AR404" s="42">
        <f t="shared" si="1089"/>
        <v>0</v>
      </c>
      <c r="AS404" s="42">
        <f t="shared" si="1074"/>
        <v>0</v>
      </c>
      <c r="AT404" s="42">
        <f t="shared" si="1075"/>
        <v>0</v>
      </c>
      <c r="AU404" s="42">
        <f t="shared" si="1076"/>
        <v>0</v>
      </c>
      <c r="AV404" s="42">
        <f>IF(M404="ПП",РПП*AA404*(U404/1.5),IF(M404="ВП",ВПр*AA404*(U404/1.5),IF(M404="РПА",РПА*AA404*(U404/1.5),IF(M404="КПА",КПА*AA404*(U404/1.5),0))))</f>
        <v>0</v>
      </c>
      <c r="AW404" s="42">
        <f t="shared" si="1077"/>
        <v>0</v>
      </c>
      <c r="AX404" s="42">
        <f t="shared" si="1090"/>
        <v>0</v>
      </c>
      <c r="AY404" s="42">
        <f t="shared" si="1091"/>
        <v>0</v>
      </c>
      <c r="AZ404" s="42">
        <f t="shared" si="1078"/>
        <v>0</v>
      </c>
      <c r="BA404" s="42">
        <f t="shared" si="1092"/>
        <v>0</v>
      </c>
      <c r="BB404" s="42">
        <f t="shared" si="1093"/>
        <v>0</v>
      </c>
      <c r="BC404" s="42">
        <f t="shared" si="1094"/>
        <v>0</v>
      </c>
      <c r="BD404" s="42">
        <f t="shared" si="1079"/>
        <v>0</v>
      </c>
      <c r="BE404" s="43">
        <f t="shared" si="1080"/>
        <v>36</v>
      </c>
      <c r="BF404" s="44"/>
      <c r="BG404" s="45">
        <f t="shared" si="1081"/>
        <v>0</v>
      </c>
      <c r="BH404" s="45">
        <f t="shared" si="1082"/>
        <v>0</v>
      </c>
      <c r="BI404" s="45">
        <f t="shared" si="1083"/>
        <v>0</v>
      </c>
      <c r="BJ404" s="46">
        <f t="shared" si="1095"/>
        <v>36</v>
      </c>
      <c r="BK404" s="46">
        <f t="shared" si="1096"/>
        <v>1</v>
      </c>
      <c r="BL404" s="46">
        <f t="shared" si="1097"/>
        <v>0</v>
      </c>
    </row>
    <row r="405" spans="1:64" ht="30" customHeight="1" x14ac:dyDescent="0.25">
      <c r="A405" s="84" t="str">
        <f t="shared" si="1085"/>
        <v>Д</v>
      </c>
      <c r="B405" s="84" t="str">
        <f t="shared" si="32"/>
        <v>Б</v>
      </c>
      <c r="C405" s="101" t="s">
        <v>1473</v>
      </c>
      <c r="D405" s="16" t="str">
        <f t="shared" si="33"/>
        <v>'38.03.05</v>
      </c>
      <c r="E405" s="17" t="str">
        <f t="shared" si="34"/>
        <v>Бизнес-информатика</v>
      </c>
      <c r="F405" s="9" t="s">
        <v>413</v>
      </c>
      <c r="G405" s="9" t="s">
        <v>42</v>
      </c>
      <c r="H405" s="10" t="s">
        <v>3233</v>
      </c>
      <c r="I405" s="10"/>
      <c r="J405" s="24" t="s">
        <v>3210</v>
      </c>
      <c r="K405" s="11">
        <v>2</v>
      </c>
      <c r="L405" s="11">
        <v>18</v>
      </c>
      <c r="M405" s="8" t="s">
        <v>94</v>
      </c>
      <c r="N405" s="11"/>
      <c r="O405" s="11">
        <v>2</v>
      </c>
      <c r="P405" s="11"/>
      <c r="Q405" s="8"/>
      <c r="R405" s="11"/>
      <c r="S405" s="11"/>
      <c r="T405" s="23"/>
      <c r="U405" s="11"/>
      <c r="V405" s="11"/>
      <c r="W405" s="83" t="str">
        <f t="shared" si="1086"/>
        <v>НБИбд</v>
      </c>
      <c r="X405" s="110" t="s">
        <v>3246</v>
      </c>
      <c r="Y405" s="11">
        <v>1</v>
      </c>
      <c r="Z405" s="11"/>
      <c r="AA405" s="83">
        <f t="shared" si="35"/>
        <v>14</v>
      </c>
      <c r="AB405" s="11">
        <v>12</v>
      </c>
      <c r="AC405" s="11">
        <v>2</v>
      </c>
      <c r="AD405" s="81">
        <f t="shared" si="1087"/>
        <v>12</v>
      </c>
      <c r="AE405" s="82">
        <f t="shared" si="36"/>
        <v>1</v>
      </c>
      <c r="AF405" s="82">
        <f t="shared" si="37"/>
        <v>1.1666666666666667</v>
      </c>
      <c r="AG405" s="102" t="s">
        <v>3250</v>
      </c>
      <c r="AH405" s="113" t="s">
        <v>204</v>
      </c>
      <c r="AI405" s="113" t="s">
        <v>212</v>
      </c>
      <c r="AJ405" s="121" t="s">
        <v>3261</v>
      </c>
      <c r="AK405" s="8"/>
      <c r="AL405" s="42">
        <f t="shared" si="1088"/>
        <v>0</v>
      </c>
      <c r="AM405" s="42">
        <f t="shared" si="1070"/>
        <v>0</v>
      </c>
      <c r="AN405" s="42">
        <f t="shared" si="1071"/>
        <v>36</v>
      </c>
      <c r="AO405" s="42">
        <f t="shared" si="1084"/>
        <v>0</v>
      </c>
      <c r="AP405" s="42">
        <f t="shared" si="1072"/>
        <v>0</v>
      </c>
      <c r="AQ405" s="42">
        <f t="shared" si="1073"/>
        <v>0</v>
      </c>
      <c r="AR405" s="42">
        <f t="shared" si="1089"/>
        <v>0</v>
      </c>
      <c r="AS405" s="42">
        <f t="shared" si="1074"/>
        <v>0</v>
      </c>
      <c r="AT405" s="42">
        <f t="shared" si="1075"/>
        <v>0</v>
      </c>
      <c r="AU405" s="42">
        <f t="shared" si="1076"/>
        <v>0</v>
      </c>
      <c r="AV405" s="42">
        <f>IF(M405="ПП",РПП*AA405*(U405/1.5),IF(M405="ВП",ВПр*AA405*(U405/1.5),IF(M405="РПА",РПА*AA405*(U405/1.5),IF(M405="КПА",КПА*AA405*(U405/1.5),0))))</f>
        <v>0</v>
      </c>
      <c r="AW405" s="42">
        <f t="shared" si="1077"/>
        <v>0</v>
      </c>
      <c r="AX405" s="42">
        <f t="shared" si="1090"/>
        <v>0</v>
      </c>
      <c r="AY405" s="42">
        <f t="shared" si="1091"/>
        <v>0</v>
      </c>
      <c r="AZ405" s="42">
        <f t="shared" si="1078"/>
        <v>0</v>
      </c>
      <c r="BA405" s="42">
        <f t="shared" si="1092"/>
        <v>0</v>
      </c>
      <c r="BB405" s="42">
        <f t="shared" si="1093"/>
        <v>0</v>
      </c>
      <c r="BC405" s="42">
        <f t="shared" si="1094"/>
        <v>0</v>
      </c>
      <c r="BD405" s="42">
        <f t="shared" si="1079"/>
        <v>0</v>
      </c>
      <c r="BE405" s="43">
        <f t="shared" si="1080"/>
        <v>36</v>
      </c>
      <c r="BF405" s="44"/>
      <c r="BG405" s="45">
        <f t="shared" si="1081"/>
        <v>0</v>
      </c>
      <c r="BH405" s="45">
        <f t="shared" si="1082"/>
        <v>0</v>
      </c>
      <c r="BI405" s="45">
        <f t="shared" si="1083"/>
        <v>0</v>
      </c>
      <c r="BJ405" s="46">
        <f t="shared" si="1095"/>
        <v>36</v>
      </c>
      <c r="BK405" s="46">
        <f t="shared" si="1096"/>
        <v>1</v>
      </c>
      <c r="BL405" s="46">
        <f t="shared" si="1097"/>
        <v>0</v>
      </c>
    </row>
    <row r="406" spans="1:64" ht="30" customHeight="1" x14ac:dyDescent="0.25">
      <c r="A406" s="84" t="str">
        <f t="shared" si="1085"/>
        <v>Д</v>
      </c>
      <c r="B406" s="84" t="str">
        <f t="shared" si="32"/>
        <v>Б</v>
      </c>
      <c r="C406" s="101" t="s">
        <v>1473</v>
      </c>
      <c r="D406" s="16" t="str">
        <f t="shared" si="33"/>
        <v>'38.03.05</v>
      </c>
      <c r="E406" s="17" t="str">
        <f t="shared" si="34"/>
        <v>Бизнес-информатика</v>
      </c>
      <c r="F406" s="9" t="s">
        <v>413</v>
      </c>
      <c r="G406" s="9" t="s">
        <v>42</v>
      </c>
      <c r="H406" s="10" t="s">
        <v>3233</v>
      </c>
      <c r="I406" s="10"/>
      <c r="J406" s="24" t="s">
        <v>3210</v>
      </c>
      <c r="K406" s="11">
        <v>2</v>
      </c>
      <c r="L406" s="11">
        <v>18</v>
      </c>
      <c r="M406" s="8" t="s">
        <v>94</v>
      </c>
      <c r="N406" s="11"/>
      <c r="O406" s="11">
        <v>2</v>
      </c>
      <c r="P406" s="11"/>
      <c r="Q406" s="8"/>
      <c r="R406" s="11"/>
      <c r="S406" s="11"/>
      <c r="T406" s="23"/>
      <c r="U406" s="11"/>
      <c r="V406" s="11"/>
      <c r="W406" s="83" t="str">
        <f t="shared" si="1086"/>
        <v>НБИбд</v>
      </c>
      <c r="X406" s="110" t="s">
        <v>3247</v>
      </c>
      <c r="Y406" s="11">
        <v>1</v>
      </c>
      <c r="Z406" s="11">
        <v>1</v>
      </c>
      <c r="AA406" s="83">
        <f t="shared" si="35"/>
        <v>14</v>
      </c>
      <c r="AB406" s="11">
        <v>13</v>
      </c>
      <c r="AC406" s="11">
        <v>1</v>
      </c>
      <c r="AD406" s="81">
        <f t="shared" si="1087"/>
        <v>12</v>
      </c>
      <c r="AE406" s="82">
        <f t="shared" si="36"/>
        <v>1</v>
      </c>
      <c r="AF406" s="82">
        <f t="shared" si="37"/>
        <v>1.1666666666666667</v>
      </c>
      <c r="AG406" s="102" t="s">
        <v>3250</v>
      </c>
      <c r="AH406" s="113" t="s">
        <v>204</v>
      </c>
      <c r="AI406" s="113" t="s">
        <v>212</v>
      </c>
      <c r="AJ406" s="121" t="s">
        <v>3261</v>
      </c>
      <c r="AK406" s="8"/>
      <c r="AL406" s="42">
        <f t="shared" si="1088"/>
        <v>0</v>
      </c>
      <c r="AM406" s="42">
        <f t="shared" si="1070"/>
        <v>0</v>
      </c>
      <c r="AN406" s="42">
        <f t="shared" si="1071"/>
        <v>36</v>
      </c>
      <c r="AO406" s="42">
        <f t="shared" si="1084"/>
        <v>0</v>
      </c>
      <c r="AP406" s="42">
        <f t="shared" si="1072"/>
        <v>0</v>
      </c>
      <c r="AQ406" s="42">
        <f t="shared" si="1073"/>
        <v>0</v>
      </c>
      <c r="AR406" s="42">
        <f t="shared" si="1089"/>
        <v>0</v>
      </c>
      <c r="AS406" s="42">
        <f t="shared" si="1074"/>
        <v>0</v>
      </c>
      <c r="AT406" s="42">
        <f t="shared" si="1075"/>
        <v>0</v>
      </c>
      <c r="AU406" s="42">
        <f t="shared" si="1076"/>
        <v>0</v>
      </c>
      <c r="AV406" s="42">
        <f>IF(M406="ПП",РПП*AA406*(U406/1.5),IF(M406="ВП",ВПр*AA406*(U406/1.5),IF(M406="РПА",РПА*AA406*(U406/1.5),IF(M406="КПА",КПА*AA406*(U406/1.5),0))))</f>
        <v>0</v>
      </c>
      <c r="AW406" s="42">
        <f t="shared" si="1077"/>
        <v>0</v>
      </c>
      <c r="AX406" s="42">
        <f t="shared" si="1090"/>
        <v>0</v>
      </c>
      <c r="AY406" s="42">
        <f t="shared" si="1091"/>
        <v>0</v>
      </c>
      <c r="AZ406" s="42">
        <f t="shared" si="1078"/>
        <v>0</v>
      </c>
      <c r="BA406" s="42">
        <f t="shared" si="1092"/>
        <v>0</v>
      </c>
      <c r="BB406" s="42">
        <f t="shared" si="1093"/>
        <v>0</v>
      </c>
      <c r="BC406" s="42">
        <f t="shared" si="1094"/>
        <v>0</v>
      </c>
      <c r="BD406" s="42">
        <f t="shared" si="1079"/>
        <v>0</v>
      </c>
      <c r="BE406" s="43">
        <f t="shared" si="1080"/>
        <v>36</v>
      </c>
      <c r="BF406" s="44"/>
      <c r="BG406" s="45">
        <f t="shared" si="1081"/>
        <v>0</v>
      </c>
      <c r="BH406" s="45">
        <f t="shared" si="1082"/>
        <v>0</v>
      </c>
      <c r="BI406" s="45">
        <f t="shared" si="1083"/>
        <v>0</v>
      </c>
      <c r="BJ406" s="46">
        <f t="shared" si="1095"/>
        <v>36</v>
      </c>
      <c r="BK406" s="46">
        <f t="shared" si="1096"/>
        <v>1</v>
      </c>
      <c r="BL406" s="46">
        <f t="shared" si="1097"/>
        <v>0</v>
      </c>
    </row>
    <row r="407" spans="1:64" ht="30" customHeight="1" x14ac:dyDescent="0.25">
      <c r="A407" s="84" t="str">
        <f t="shared" si="1085"/>
        <v>Д</v>
      </c>
      <c r="B407" s="84" t="str">
        <f t="shared" si="32"/>
        <v>Б</v>
      </c>
      <c r="C407" s="101" t="s">
        <v>1473</v>
      </c>
      <c r="D407" s="16" t="str">
        <f t="shared" si="33"/>
        <v>'38.03.05</v>
      </c>
      <c r="E407" s="17" t="str">
        <f t="shared" si="34"/>
        <v>Бизнес-информатика</v>
      </c>
      <c r="F407" s="9" t="s">
        <v>413</v>
      </c>
      <c r="G407" s="9" t="s">
        <v>42</v>
      </c>
      <c r="H407" s="10" t="s">
        <v>3233</v>
      </c>
      <c r="I407" s="10"/>
      <c r="J407" s="24" t="s">
        <v>3210</v>
      </c>
      <c r="K407" s="11">
        <v>2</v>
      </c>
      <c r="L407" s="11">
        <v>18</v>
      </c>
      <c r="M407" s="8" t="s">
        <v>94</v>
      </c>
      <c r="N407" s="11"/>
      <c r="O407" s="11">
        <v>2</v>
      </c>
      <c r="P407" s="11"/>
      <c r="Q407" s="8"/>
      <c r="R407" s="11"/>
      <c r="S407" s="11"/>
      <c r="T407" s="23"/>
      <c r="U407" s="11"/>
      <c r="V407" s="11"/>
      <c r="W407" s="83" t="str">
        <f t="shared" si="1086"/>
        <v>НБИбд</v>
      </c>
      <c r="X407" s="110" t="s">
        <v>3247</v>
      </c>
      <c r="Y407" s="11"/>
      <c r="Z407" s="11"/>
      <c r="AA407" s="83">
        <f t="shared" si="35"/>
        <v>0</v>
      </c>
      <c r="AB407" s="11"/>
      <c r="AC407" s="11"/>
      <c r="AD407" s="81">
        <f t="shared" si="1087"/>
        <v>12</v>
      </c>
      <c r="AE407" s="82">
        <f t="shared" si="36"/>
        <v>0</v>
      </c>
      <c r="AF407" s="82">
        <f t="shared" si="37"/>
        <v>0</v>
      </c>
      <c r="AG407" s="102" t="s">
        <v>3250</v>
      </c>
      <c r="AH407" s="113" t="s">
        <v>204</v>
      </c>
      <c r="AI407" s="113" t="s">
        <v>212</v>
      </c>
      <c r="AJ407" s="121" t="s">
        <v>3261</v>
      </c>
      <c r="AK407" s="8"/>
      <c r="AL407" s="42">
        <f t="shared" si="1088"/>
        <v>0</v>
      </c>
      <c r="AM407" s="42">
        <f t="shared" si="1070"/>
        <v>0</v>
      </c>
      <c r="AN407" s="42">
        <f t="shared" si="1071"/>
        <v>0</v>
      </c>
      <c r="AO407" s="42">
        <f t="shared" si="1084"/>
        <v>0</v>
      </c>
      <c r="AP407" s="42">
        <f t="shared" si="1072"/>
        <v>0</v>
      </c>
      <c r="AQ407" s="42">
        <f t="shared" si="1073"/>
        <v>0</v>
      </c>
      <c r="AR407" s="42">
        <f t="shared" si="1089"/>
        <v>0</v>
      </c>
      <c r="AS407" s="42">
        <f t="shared" si="1074"/>
        <v>0</v>
      </c>
      <c r="AT407" s="42">
        <f t="shared" si="1075"/>
        <v>0</v>
      </c>
      <c r="AU407" s="42">
        <f t="shared" si="1076"/>
        <v>0</v>
      </c>
      <c r="AV407" s="42">
        <f>IF(M407="ПП",РПП*AA407*(U407/1.5),IF(M407="ВП",ВПр*AA407*(U407/1.5),IF(M407="РПА",РПА*AA407*(U407/1.5),IF(M407="КПА",КПА*AA407*(U407/1.5),0))))</f>
        <v>0</v>
      </c>
      <c r="AW407" s="42">
        <f t="shared" si="1077"/>
        <v>0</v>
      </c>
      <c r="AX407" s="42">
        <f t="shared" si="1090"/>
        <v>0</v>
      </c>
      <c r="AY407" s="42">
        <f t="shared" si="1091"/>
        <v>0</v>
      </c>
      <c r="AZ407" s="42">
        <f t="shared" si="1078"/>
        <v>0</v>
      </c>
      <c r="BA407" s="42">
        <f t="shared" si="1092"/>
        <v>0</v>
      </c>
      <c r="BB407" s="42">
        <f t="shared" si="1093"/>
        <v>0</v>
      </c>
      <c r="BC407" s="42">
        <f t="shared" si="1094"/>
        <v>0</v>
      </c>
      <c r="BD407" s="42">
        <f t="shared" si="1079"/>
        <v>0</v>
      </c>
      <c r="BE407" s="43">
        <f t="shared" si="1080"/>
        <v>0</v>
      </c>
      <c r="BF407" s="44"/>
      <c r="BG407" s="45">
        <f t="shared" si="1081"/>
        <v>0</v>
      </c>
      <c r="BH407" s="45">
        <f t="shared" si="1082"/>
        <v>0</v>
      </c>
      <c r="BI407" s="45">
        <f t="shared" si="1083"/>
        <v>0</v>
      </c>
      <c r="BJ407" s="46">
        <f t="shared" si="1095"/>
        <v>0</v>
      </c>
      <c r="BK407" s="46">
        <f t="shared" si="1096"/>
        <v>0</v>
      </c>
      <c r="BL407" s="46">
        <f t="shared" si="1097"/>
        <v>0</v>
      </c>
    </row>
    <row r="408" spans="1:64" ht="30" customHeight="1" x14ac:dyDescent="0.25">
      <c r="A408" s="84" t="str">
        <f t="shared" si="1085"/>
        <v>Д</v>
      </c>
      <c r="B408" s="84" t="str">
        <f t="shared" si="32"/>
        <v>Б</v>
      </c>
      <c r="C408" s="101" t="s">
        <v>1473</v>
      </c>
      <c r="D408" s="16" t="str">
        <f t="shared" si="33"/>
        <v>'38.03.05</v>
      </c>
      <c r="E408" s="17" t="str">
        <f t="shared" si="34"/>
        <v>Бизнес-информатика</v>
      </c>
      <c r="F408" s="9" t="s">
        <v>413</v>
      </c>
      <c r="G408" s="9" t="s">
        <v>42</v>
      </c>
      <c r="H408" s="10" t="s">
        <v>3233</v>
      </c>
      <c r="I408" s="10"/>
      <c r="J408" s="24" t="s">
        <v>3210</v>
      </c>
      <c r="K408" s="11">
        <v>2</v>
      </c>
      <c r="L408" s="11">
        <v>18</v>
      </c>
      <c r="M408" s="8" t="s">
        <v>94</v>
      </c>
      <c r="N408" s="11"/>
      <c r="O408" s="11">
        <v>2</v>
      </c>
      <c r="P408" s="11"/>
      <c r="Q408" s="8"/>
      <c r="R408" s="11"/>
      <c r="S408" s="11"/>
      <c r="T408" s="23"/>
      <c r="U408" s="11"/>
      <c r="V408" s="11"/>
      <c r="W408" s="83" t="str">
        <f t="shared" si="1086"/>
        <v>НБИбд</v>
      </c>
      <c r="X408" s="110" t="s">
        <v>3248</v>
      </c>
      <c r="Y408" s="11">
        <v>1</v>
      </c>
      <c r="Z408" s="11">
        <v>1</v>
      </c>
      <c r="AA408" s="83">
        <f t="shared" si="35"/>
        <v>14</v>
      </c>
      <c r="AB408" s="11">
        <v>13</v>
      </c>
      <c r="AC408" s="11">
        <v>1</v>
      </c>
      <c r="AD408" s="81">
        <f t="shared" si="1087"/>
        <v>12</v>
      </c>
      <c r="AE408" s="82">
        <f t="shared" si="36"/>
        <v>1</v>
      </c>
      <c r="AF408" s="82">
        <f t="shared" si="37"/>
        <v>1.1666666666666667</v>
      </c>
      <c r="AG408" s="102" t="s">
        <v>3250</v>
      </c>
      <c r="AH408" s="113" t="s">
        <v>203</v>
      </c>
      <c r="AI408" s="113" t="s">
        <v>213</v>
      </c>
      <c r="AJ408" s="134" t="s">
        <v>3262</v>
      </c>
      <c r="AK408" s="8"/>
      <c r="AL408" s="42">
        <f t="shared" si="1088"/>
        <v>0</v>
      </c>
      <c r="AM408" s="42">
        <f t="shared" si="1070"/>
        <v>0</v>
      </c>
      <c r="AN408" s="42">
        <f t="shared" si="1071"/>
        <v>36</v>
      </c>
      <c r="AO408" s="42">
        <f t="shared" si="1084"/>
        <v>0</v>
      </c>
      <c r="AP408" s="42">
        <f t="shared" si="1072"/>
        <v>0</v>
      </c>
      <c r="AQ408" s="42">
        <f t="shared" si="1073"/>
        <v>0</v>
      </c>
      <c r="AR408" s="42">
        <f t="shared" si="1089"/>
        <v>0</v>
      </c>
      <c r="AS408" s="42">
        <f t="shared" si="1074"/>
        <v>0</v>
      </c>
      <c r="AT408" s="42">
        <f t="shared" si="1075"/>
        <v>0</v>
      </c>
      <c r="AU408" s="42">
        <f t="shared" si="1076"/>
        <v>0</v>
      </c>
      <c r="AV408" s="42">
        <f>IF(M408="ПП",РПП*AA408*(U408/1.5),IF(M408="ВП",ВПр*AA408*(U408/1.5),IF(M408="РПА",РПА*AA408*(U408/1.5),IF(M408="КПА",КПА*AA408*(U408/1.5),0))))</f>
        <v>0</v>
      </c>
      <c r="AW408" s="42">
        <f t="shared" si="1077"/>
        <v>0</v>
      </c>
      <c r="AX408" s="42">
        <f t="shared" si="1090"/>
        <v>0</v>
      </c>
      <c r="AY408" s="42">
        <f t="shared" si="1091"/>
        <v>0</v>
      </c>
      <c r="AZ408" s="42">
        <f t="shared" si="1078"/>
        <v>0</v>
      </c>
      <c r="BA408" s="42">
        <f t="shared" si="1092"/>
        <v>0</v>
      </c>
      <c r="BB408" s="42">
        <f t="shared" si="1093"/>
        <v>0</v>
      </c>
      <c r="BC408" s="42">
        <f t="shared" si="1094"/>
        <v>0</v>
      </c>
      <c r="BD408" s="42">
        <f t="shared" si="1079"/>
        <v>0</v>
      </c>
      <c r="BE408" s="43">
        <f t="shared" si="1080"/>
        <v>36</v>
      </c>
      <c r="BF408" s="44"/>
      <c r="BG408" s="45">
        <f t="shared" si="1081"/>
        <v>0</v>
      </c>
      <c r="BH408" s="45">
        <f t="shared" si="1082"/>
        <v>0</v>
      </c>
      <c r="BI408" s="45">
        <f t="shared" si="1083"/>
        <v>0</v>
      </c>
      <c r="BJ408" s="46">
        <f t="shared" si="1095"/>
        <v>36</v>
      </c>
      <c r="BK408" s="46">
        <f t="shared" si="1096"/>
        <v>1</v>
      </c>
      <c r="BL408" s="46">
        <f t="shared" si="1097"/>
        <v>0</v>
      </c>
    </row>
    <row r="409" spans="1:64" ht="30" customHeight="1" x14ac:dyDescent="0.25">
      <c r="A409" s="84" t="str">
        <f t="shared" si="1085"/>
        <v>Д</v>
      </c>
      <c r="B409" s="84" t="str">
        <f t="shared" si="32"/>
        <v>Б</v>
      </c>
      <c r="C409" s="101" t="s">
        <v>1473</v>
      </c>
      <c r="D409" s="16" t="str">
        <f t="shared" si="33"/>
        <v>'38.03.05</v>
      </c>
      <c r="E409" s="17" t="str">
        <f t="shared" si="34"/>
        <v>Бизнес-информатика</v>
      </c>
      <c r="F409" s="9" t="s">
        <v>413</v>
      </c>
      <c r="G409" s="9" t="s">
        <v>42</v>
      </c>
      <c r="H409" s="10" t="s">
        <v>3233</v>
      </c>
      <c r="I409" s="10"/>
      <c r="J409" s="24" t="s">
        <v>3210</v>
      </c>
      <c r="K409" s="11">
        <v>2</v>
      </c>
      <c r="L409" s="11">
        <v>18</v>
      </c>
      <c r="M409" s="8" t="s">
        <v>94</v>
      </c>
      <c r="N409" s="11"/>
      <c r="O409" s="11">
        <v>2</v>
      </c>
      <c r="P409" s="11"/>
      <c r="Q409" s="8"/>
      <c r="R409" s="11"/>
      <c r="S409" s="11"/>
      <c r="T409" s="23"/>
      <c r="U409" s="11"/>
      <c r="V409" s="11"/>
      <c r="W409" s="83" t="str">
        <f t="shared" si="1086"/>
        <v>НБИбд</v>
      </c>
      <c r="X409" s="110" t="s">
        <v>3248</v>
      </c>
      <c r="Y409" s="11"/>
      <c r="Z409" s="11"/>
      <c r="AA409" s="83">
        <f t="shared" si="35"/>
        <v>0</v>
      </c>
      <c r="AB409" s="11"/>
      <c r="AC409" s="11"/>
      <c r="AD409" s="81">
        <f t="shared" si="1087"/>
        <v>12</v>
      </c>
      <c r="AE409" s="82">
        <f t="shared" si="36"/>
        <v>0</v>
      </c>
      <c r="AF409" s="82">
        <f t="shared" si="37"/>
        <v>0</v>
      </c>
      <c r="AG409" s="102" t="s">
        <v>3250</v>
      </c>
      <c r="AH409" s="113" t="s">
        <v>203</v>
      </c>
      <c r="AI409" s="113" t="s">
        <v>213</v>
      </c>
      <c r="AJ409" s="134" t="s">
        <v>3262</v>
      </c>
      <c r="AK409" s="8"/>
      <c r="AL409" s="42">
        <f t="shared" si="1088"/>
        <v>0</v>
      </c>
      <c r="AM409" s="42">
        <f t="shared" si="1070"/>
        <v>0</v>
      </c>
      <c r="AN409" s="42">
        <f t="shared" si="1071"/>
        <v>0</v>
      </c>
      <c r="AO409" s="42">
        <f t="shared" si="1084"/>
        <v>0</v>
      </c>
      <c r="AP409" s="42">
        <f t="shared" si="1072"/>
        <v>0</v>
      </c>
      <c r="AQ409" s="42">
        <f t="shared" si="1073"/>
        <v>0</v>
      </c>
      <c r="AR409" s="42">
        <f t="shared" si="1089"/>
        <v>0</v>
      </c>
      <c r="AS409" s="42">
        <f t="shared" si="1074"/>
        <v>0</v>
      </c>
      <c r="AT409" s="42">
        <f t="shared" si="1075"/>
        <v>0</v>
      </c>
      <c r="AU409" s="42">
        <f t="shared" si="1076"/>
        <v>0</v>
      </c>
      <c r="AV409" s="42">
        <f>IF(M409="ПП",РПП*AA409*(U409/1.5),IF(M409="ВП",ВПр*AA409*(U409/1.5),IF(M409="РПА",РПА*AA409*(U409/1.5),IF(M409="КПА",КПА*AA409*(U409/1.5),0))))</f>
        <v>0</v>
      </c>
      <c r="AW409" s="42">
        <f t="shared" si="1077"/>
        <v>0</v>
      </c>
      <c r="AX409" s="42">
        <f t="shared" si="1090"/>
        <v>0</v>
      </c>
      <c r="AY409" s="42">
        <f t="shared" si="1091"/>
        <v>0</v>
      </c>
      <c r="AZ409" s="42">
        <f t="shared" si="1078"/>
        <v>0</v>
      </c>
      <c r="BA409" s="42">
        <f t="shared" si="1092"/>
        <v>0</v>
      </c>
      <c r="BB409" s="42">
        <f t="shared" si="1093"/>
        <v>0</v>
      </c>
      <c r="BC409" s="42">
        <f t="shared" si="1094"/>
        <v>0</v>
      </c>
      <c r="BD409" s="42">
        <f t="shared" si="1079"/>
        <v>0</v>
      </c>
      <c r="BE409" s="43">
        <f t="shared" si="1080"/>
        <v>0</v>
      </c>
      <c r="BF409" s="44"/>
      <c r="BG409" s="45">
        <f t="shared" si="1081"/>
        <v>0</v>
      </c>
      <c r="BH409" s="45">
        <f t="shared" si="1082"/>
        <v>0</v>
      </c>
      <c r="BI409" s="45">
        <f t="shared" si="1083"/>
        <v>0</v>
      </c>
      <c r="BJ409" s="46">
        <f t="shared" si="1095"/>
        <v>0</v>
      </c>
      <c r="BK409" s="46">
        <f t="shared" si="1096"/>
        <v>0</v>
      </c>
      <c r="BL409" s="46">
        <f t="shared" si="1097"/>
        <v>0</v>
      </c>
    </row>
    <row r="410" spans="1:64" ht="30" customHeight="1" x14ac:dyDescent="0.25">
      <c r="A410" s="84" t="str">
        <f t="shared" si="1085"/>
        <v>Д</v>
      </c>
      <c r="B410" s="84" t="str">
        <f t="shared" si="32"/>
        <v>Б</v>
      </c>
      <c r="C410" s="101" t="s">
        <v>1473</v>
      </c>
      <c r="D410" s="16" t="str">
        <f t="shared" si="33"/>
        <v>'38.03.05</v>
      </c>
      <c r="E410" s="17" t="str">
        <f t="shared" si="34"/>
        <v>Бизнес-информатика</v>
      </c>
      <c r="F410" s="9" t="s">
        <v>413</v>
      </c>
      <c r="G410" s="9" t="s">
        <v>42</v>
      </c>
      <c r="H410" s="10" t="s">
        <v>3233</v>
      </c>
      <c r="I410" s="10"/>
      <c r="J410" s="24" t="s">
        <v>3307</v>
      </c>
      <c r="K410" s="11">
        <v>4</v>
      </c>
      <c r="L410" s="11">
        <v>18</v>
      </c>
      <c r="M410" s="8" t="s">
        <v>23</v>
      </c>
      <c r="N410" s="11">
        <v>1</v>
      </c>
      <c r="O410" s="11"/>
      <c r="P410" s="11"/>
      <c r="Q410" s="8" t="s">
        <v>103</v>
      </c>
      <c r="R410" s="11"/>
      <c r="S410" s="11"/>
      <c r="T410" s="11"/>
      <c r="U410" s="11"/>
      <c r="V410" s="11"/>
      <c r="W410" s="83" t="str">
        <f t="shared" si="1086"/>
        <v>НБИбд</v>
      </c>
      <c r="X410" s="110" t="s">
        <v>3356</v>
      </c>
      <c r="Y410" s="11">
        <v>3</v>
      </c>
      <c r="Z410" s="11">
        <v>2</v>
      </c>
      <c r="AA410" s="83">
        <f t="shared" si="35"/>
        <v>36</v>
      </c>
      <c r="AB410" s="11">
        <v>30</v>
      </c>
      <c r="AC410" s="11">
        <v>6</v>
      </c>
      <c r="AD410" s="81">
        <f t="shared" si="1087"/>
        <v>36</v>
      </c>
      <c r="AE410" s="82">
        <f t="shared" si="36"/>
        <v>1</v>
      </c>
      <c r="AF410" s="82">
        <f t="shared" si="37"/>
        <v>1</v>
      </c>
      <c r="AG410" s="102" t="s">
        <v>3250</v>
      </c>
      <c r="AH410" s="113" t="s">
        <v>204</v>
      </c>
      <c r="AI410" s="113" t="s">
        <v>213</v>
      </c>
      <c r="AJ410" s="121" t="s">
        <v>3259</v>
      </c>
      <c r="AK410" s="8"/>
      <c r="AL410" s="42">
        <f t="shared" si="1088"/>
        <v>18</v>
      </c>
      <c r="AM410" s="42">
        <f t="shared" ref="AM410:AM459" si="1098">IF(OR(M410="пр",M410="ия",M410="сп"),P410*AE410*L410,0)</f>
        <v>0</v>
      </c>
      <c r="AN410" s="42">
        <f t="shared" ref="AN410:AN459" si="1099">IF(OR(M410="лаб",M410="клн"),O410*AE410*L410,0)</f>
        <v>0</v>
      </c>
      <c r="AO410" s="42">
        <f t="shared" si="1084"/>
        <v>11.88</v>
      </c>
      <c r="AP410" s="42">
        <f t="shared" ref="AP410:AP459" si="1100">IF(SUM(O410:P410)&lt;&gt;0,IF(Q410="Зач",ПАБРС*AA410,0),0)+IF(N410&lt;&gt;0,IF(Q410="Экз",ПАБРС*AA410,0),0)</f>
        <v>18</v>
      </c>
      <c r="AQ410" s="42">
        <f t="shared" ref="AQ410:AQ459" si="1101">(IF(AP410&lt;&gt;0,ОфВед*(IF(OR(M410="лек",M410="лаб"),Z410,AE410)),0))*(IF(F410="ФТД",0,1))</f>
        <v>2</v>
      </c>
      <c r="AR410" s="42">
        <f t="shared" si="1089"/>
        <v>1.8</v>
      </c>
      <c r="AS410" s="42">
        <f t="shared" ref="AS410:AS459" si="1102">IF(OR(M410="лаб",M410="пр"),IF(R410="К",AA410*ВПКР,IF(R410="М",AA410*ВПИБ,0)),0)</f>
        <v>0</v>
      </c>
      <c r="AT410" s="42">
        <f t="shared" ref="AT410:AT459" si="1103">IF(OR(M410="лаб",M410="пр"),IF(S410="К",AA410*ВПКП,0),0)</f>
        <v>0</v>
      </c>
      <c r="AU410" s="42">
        <f t="shared" ref="AU410:AU459" si="1104">IF(M410="УП",T410/1.5*AA410*РУП,IF(M410="УПМ",T410/1.5*AA410*РУПЛеч,0))</f>
        <v>0</v>
      </c>
      <c r="AV410" s="42">
        <f>IF(M410="ПП",РПП*AA410*(U410/1.5),IF(M410="ВП",ВПр*AA410*(U410/1.5),IF(M410="РПА",РПА*AA410*(U410/1.5),IF(M410="КПА",КПА*AA410*(U410/1.5),0))))</f>
        <v>0</v>
      </c>
      <c r="AW410" s="42">
        <f t="shared" ref="AW410:AW459" si="1105">IF(M410="НР",(AB410*НИРМ+AC410*НИРМИн)*(V410/1.5),IF(M410="НИ",(AB410*НИРА+AC410*НИРАИ)*(V410/1.5),0))</f>
        <v>0</v>
      </c>
      <c r="AX410" s="42">
        <f t="shared" si="1090"/>
        <v>0</v>
      </c>
      <c r="AY410" s="42">
        <f t="shared" si="1091"/>
        <v>0</v>
      </c>
      <c r="AZ410" s="42">
        <f t="shared" ref="AZ410:AZ459" si="1106">IF(AND(Q410="КЭ",M410="ЧК"),AA410*КдЭк,0)</f>
        <v>0</v>
      </c>
      <c r="BA410" s="42">
        <f t="shared" si="1092"/>
        <v>0</v>
      </c>
      <c r="BB410" s="42">
        <f t="shared" si="1093"/>
        <v>0</v>
      </c>
      <c r="BC410" s="42">
        <f t="shared" si="1094"/>
        <v>0</v>
      </c>
      <c r="BD410" s="42">
        <f t="shared" ref="BD410:BD459" si="1107">IF(M410="ЧГ",AA410*ЧГ,IF(M410="ПГ",AA410*ПГ,IF(M410="ТЕСТ",ТГИЭ*AE410,IF(M410="СГ",AA410*СГ,0))))</f>
        <v>0</v>
      </c>
      <c r="BE410" s="43">
        <f t="shared" ref="BE410:BE459" si="1108">SUM(AL410:BD410)</f>
        <v>51.68</v>
      </c>
      <c r="BF410" s="44"/>
      <c r="BG410" s="45">
        <f t="shared" ref="BG410:BG459" si="1109">IF(OR(K410="1;1",K410="1;2",K410=1,K410="3;1",K410="3;2",K410=3,K410="5;1",K410="5;2",K410=5,K410="7;1",K410="7;2",K410=7,K410="9;1",K410="9;2",K410=9,K410=11),SUM(AL410:AN410),0)</f>
        <v>0</v>
      </c>
      <c r="BH410" s="45">
        <f t="shared" ref="BH410:BH459" si="1110">IF(BG410&lt;&gt;0,SUM(N410:P410)/2,0)</f>
        <v>0</v>
      </c>
      <c r="BI410" s="45">
        <f t="shared" ref="BI410:BI459" si="1111">IF(OR(K410="1;1",K410="1;2",K410=1,K410="3;1",K410="3;2",K410=3,K410="5;1",K410="5;2",K410=5,K410="7;1",K410="7;2",K410=7,K410="9;1",K410="9;2",K410=9,K410=11),SUM(AO410:BD410),0)</f>
        <v>0</v>
      </c>
      <c r="BJ410" s="46">
        <f t="shared" si="1095"/>
        <v>18</v>
      </c>
      <c r="BK410" s="46">
        <f t="shared" si="1096"/>
        <v>0.5</v>
      </c>
      <c r="BL410" s="46">
        <f t="shared" si="1097"/>
        <v>33.68</v>
      </c>
    </row>
    <row r="411" spans="1:64" ht="30" customHeight="1" x14ac:dyDescent="0.25">
      <c r="A411" s="84" t="str">
        <f t="shared" si="1085"/>
        <v>Д</v>
      </c>
      <c r="B411" s="84" t="str">
        <f t="shared" si="32"/>
        <v>Б</v>
      </c>
      <c r="C411" s="101" t="s">
        <v>1473</v>
      </c>
      <c r="D411" s="16" t="str">
        <f t="shared" si="33"/>
        <v>'38.03.05</v>
      </c>
      <c r="E411" s="17" t="str">
        <f t="shared" si="34"/>
        <v>Бизнес-информатика</v>
      </c>
      <c r="F411" s="9" t="s">
        <v>413</v>
      </c>
      <c r="G411" s="9" t="s">
        <v>42</v>
      </c>
      <c r="H411" s="10" t="s">
        <v>3233</v>
      </c>
      <c r="I411" s="10"/>
      <c r="J411" s="24" t="s">
        <v>3307</v>
      </c>
      <c r="K411" s="11">
        <v>4</v>
      </c>
      <c r="L411" s="11">
        <v>18</v>
      </c>
      <c r="M411" s="8" t="s">
        <v>24</v>
      </c>
      <c r="N411" s="11"/>
      <c r="O411" s="11"/>
      <c r="P411" s="11">
        <v>1</v>
      </c>
      <c r="Q411" s="8"/>
      <c r="R411" s="11"/>
      <c r="S411" s="11"/>
      <c r="T411" s="11"/>
      <c r="U411" s="11"/>
      <c r="V411" s="11"/>
      <c r="W411" s="83" t="str">
        <f t="shared" si="1086"/>
        <v>НБИбд</v>
      </c>
      <c r="X411" s="110" t="s">
        <v>3234</v>
      </c>
      <c r="Y411" s="11">
        <v>2</v>
      </c>
      <c r="Z411" s="11">
        <v>1</v>
      </c>
      <c r="AA411" s="83">
        <f t="shared" si="35"/>
        <v>18</v>
      </c>
      <c r="AB411" s="11">
        <v>15</v>
      </c>
      <c r="AC411" s="11">
        <v>3</v>
      </c>
      <c r="AD411" s="81">
        <f t="shared" si="1087"/>
        <v>24</v>
      </c>
      <c r="AE411" s="82">
        <f t="shared" si="36"/>
        <v>0.75</v>
      </c>
      <c r="AF411" s="82">
        <f t="shared" si="37"/>
        <v>0.75</v>
      </c>
      <c r="AG411" s="102" t="s">
        <v>3250</v>
      </c>
      <c r="AH411" s="113" t="s">
        <v>204</v>
      </c>
      <c r="AI411" s="113" t="s">
        <v>213</v>
      </c>
      <c r="AJ411" s="121" t="s">
        <v>3259</v>
      </c>
      <c r="AK411" s="8"/>
      <c r="AL411" s="42">
        <f t="shared" si="1088"/>
        <v>0</v>
      </c>
      <c r="AM411" s="42">
        <f t="shared" si="1098"/>
        <v>13.5</v>
      </c>
      <c r="AN411" s="42">
        <f t="shared" si="1099"/>
        <v>0</v>
      </c>
      <c r="AO411" s="42">
        <f t="shared" si="1084"/>
        <v>0</v>
      </c>
      <c r="AP411" s="42">
        <f t="shared" si="1100"/>
        <v>0</v>
      </c>
      <c r="AQ411" s="42">
        <f t="shared" si="1101"/>
        <v>0</v>
      </c>
      <c r="AR411" s="42">
        <f t="shared" si="1089"/>
        <v>0</v>
      </c>
      <c r="AS411" s="42">
        <f t="shared" si="1102"/>
        <v>0</v>
      </c>
      <c r="AT411" s="42">
        <f t="shared" si="1103"/>
        <v>0</v>
      </c>
      <c r="AU411" s="42">
        <f t="shared" si="1104"/>
        <v>0</v>
      </c>
      <c r="AV411" s="42">
        <f>IF(M411="ПП",РПП*AA411*(U411/1.5),IF(M411="ВП",ВПр*AA411*(U411/1.5),IF(M411="РПА",РПА*AA411*(U411/1.5),IF(M411="КПА",КПА*AA411*(U411/1.5),0))))</f>
        <v>0</v>
      </c>
      <c r="AW411" s="42">
        <f t="shared" si="1105"/>
        <v>0</v>
      </c>
      <c r="AX411" s="42">
        <f t="shared" si="1090"/>
        <v>0</v>
      </c>
      <c r="AY411" s="42">
        <f t="shared" si="1091"/>
        <v>0</v>
      </c>
      <c r="AZ411" s="42">
        <f t="shared" si="1106"/>
        <v>0</v>
      </c>
      <c r="BA411" s="42">
        <f t="shared" si="1092"/>
        <v>0</v>
      </c>
      <c r="BB411" s="42">
        <f t="shared" si="1093"/>
        <v>0</v>
      </c>
      <c r="BC411" s="42">
        <f t="shared" si="1094"/>
        <v>0</v>
      </c>
      <c r="BD411" s="42">
        <f t="shared" si="1107"/>
        <v>0</v>
      </c>
      <c r="BE411" s="43">
        <f t="shared" si="1108"/>
        <v>13.5</v>
      </c>
      <c r="BF411" s="44"/>
      <c r="BG411" s="45">
        <f t="shared" si="1109"/>
        <v>0</v>
      </c>
      <c r="BH411" s="45">
        <f t="shared" si="1110"/>
        <v>0</v>
      </c>
      <c r="BI411" s="45">
        <f t="shared" si="1111"/>
        <v>0</v>
      </c>
      <c r="BJ411" s="46">
        <f t="shared" si="1095"/>
        <v>13.5</v>
      </c>
      <c r="BK411" s="46">
        <f t="shared" si="1096"/>
        <v>0.5</v>
      </c>
      <c r="BL411" s="46">
        <f t="shared" si="1097"/>
        <v>0</v>
      </c>
    </row>
    <row r="412" spans="1:64" ht="30" customHeight="1" x14ac:dyDescent="0.25">
      <c r="A412" s="84" t="str">
        <f t="shared" si="1085"/>
        <v>Д</v>
      </c>
      <c r="B412" s="84" t="str">
        <f t="shared" si="32"/>
        <v>Б</v>
      </c>
      <c r="C412" s="101" t="s">
        <v>1473</v>
      </c>
      <c r="D412" s="16" t="str">
        <f t="shared" si="33"/>
        <v>'38.03.05</v>
      </c>
      <c r="E412" s="17" t="str">
        <f t="shared" si="34"/>
        <v>Бизнес-информатика</v>
      </c>
      <c r="F412" s="9" t="s">
        <v>413</v>
      </c>
      <c r="G412" s="9" t="s">
        <v>42</v>
      </c>
      <c r="H412" s="10" t="s">
        <v>3233</v>
      </c>
      <c r="I412" s="10"/>
      <c r="J412" s="24" t="s">
        <v>3307</v>
      </c>
      <c r="K412" s="11">
        <v>4</v>
      </c>
      <c r="L412" s="11">
        <v>18</v>
      </c>
      <c r="M412" s="8" t="s">
        <v>24</v>
      </c>
      <c r="N412" s="11"/>
      <c r="O412" s="11"/>
      <c r="P412" s="11">
        <v>1</v>
      </c>
      <c r="Q412" s="8"/>
      <c r="R412" s="11"/>
      <c r="S412" s="11"/>
      <c r="T412" s="11"/>
      <c r="U412" s="11"/>
      <c r="V412" s="11"/>
      <c r="W412" s="83" t="str">
        <f t="shared" si="1086"/>
        <v>НБИбд</v>
      </c>
      <c r="X412" s="110" t="s">
        <v>3235</v>
      </c>
      <c r="Y412" s="11">
        <v>1</v>
      </c>
      <c r="Z412" s="11">
        <v>1</v>
      </c>
      <c r="AA412" s="83">
        <f t="shared" si="35"/>
        <v>18</v>
      </c>
      <c r="AB412" s="11">
        <v>15</v>
      </c>
      <c r="AC412" s="11">
        <v>3</v>
      </c>
      <c r="AD412" s="81">
        <f t="shared" si="1087"/>
        <v>24</v>
      </c>
      <c r="AE412" s="82">
        <f t="shared" si="36"/>
        <v>0.75</v>
      </c>
      <c r="AF412" s="82">
        <f t="shared" si="37"/>
        <v>0.75</v>
      </c>
      <c r="AG412" s="102" t="s">
        <v>3250</v>
      </c>
      <c r="AH412" s="113" t="s">
        <v>204</v>
      </c>
      <c r="AI412" s="113" t="s">
        <v>213</v>
      </c>
      <c r="AJ412" s="121" t="s">
        <v>3259</v>
      </c>
      <c r="AK412" s="8"/>
      <c r="AL412" s="42">
        <f t="shared" si="1088"/>
        <v>0</v>
      </c>
      <c r="AM412" s="42">
        <f t="shared" si="1098"/>
        <v>13.5</v>
      </c>
      <c r="AN412" s="42">
        <f t="shared" si="1099"/>
        <v>0</v>
      </c>
      <c r="AO412" s="42">
        <f t="shared" si="1084"/>
        <v>0</v>
      </c>
      <c r="AP412" s="42">
        <f t="shared" si="1100"/>
        <v>0</v>
      </c>
      <c r="AQ412" s="42">
        <f t="shared" si="1101"/>
        <v>0</v>
      </c>
      <c r="AR412" s="42">
        <f t="shared" si="1089"/>
        <v>0</v>
      </c>
      <c r="AS412" s="42">
        <f t="shared" si="1102"/>
        <v>0</v>
      </c>
      <c r="AT412" s="42">
        <f t="shared" si="1103"/>
        <v>0</v>
      </c>
      <c r="AU412" s="42">
        <f t="shared" si="1104"/>
        <v>0</v>
      </c>
      <c r="AV412" s="42">
        <f>IF(M412="ПП",РПП*AA412*(U412/1.5),IF(M412="ВП",ВПр*AA412*(U412/1.5),IF(M412="РПА",РПА*AA412*(U412/1.5),IF(M412="КПА",КПА*AA412*(U412/1.5),0))))</f>
        <v>0</v>
      </c>
      <c r="AW412" s="42">
        <f t="shared" si="1105"/>
        <v>0</v>
      </c>
      <c r="AX412" s="42">
        <f t="shared" si="1090"/>
        <v>0</v>
      </c>
      <c r="AY412" s="42">
        <f t="shared" si="1091"/>
        <v>0</v>
      </c>
      <c r="AZ412" s="42">
        <f t="shared" si="1106"/>
        <v>0</v>
      </c>
      <c r="BA412" s="42">
        <f t="shared" si="1092"/>
        <v>0</v>
      </c>
      <c r="BB412" s="42">
        <f t="shared" si="1093"/>
        <v>0</v>
      </c>
      <c r="BC412" s="42">
        <f t="shared" si="1094"/>
        <v>0</v>
      </c>
      <c r="BD412" s="42">
        <f t="shared" si="1107"/>
        <v>0</v>
      </c>
      <c r="BE412" s="43">
        <f t="shared" si="1108"/>
        <v>13.5</v>
      </c>
      <c r="BF412" s="44"/>
      <c r="BG412" s="45">
        <f t="shared" si="1109"/>
        <v>0</v>
      </c>
      <c r="BH412" s="45">
        <f t="shared" si="1110"/>
        <v>0</v>
      </c>
      <c r="BI412" s="45">
        <f t="shared" si="1111"/>
        <v>0</v>
      </c>
      <c r="BJ412" s="46">
        <f t="shared" si="1095"/>
        <v>13.5</v>
      </c>
      <c r="BK412" s="46">
        <f t="shared" si="1096"/>
        <v>0.5</v>
      </c>
      <c r="BL412" s="46">
        <f t="shared" si="1097"/>
        <v>0</v>
      </c>
    </row>
    <row r="413" spans="1:64" ht="30" customHeight="1" x14ac:dyDescent="0.25">
      <c r="A413" s="84" t="str">
        <f t="shared" si="1085"/>
        <v>Д</v>
      </c>
      <c r="B413" s="84" t="str">
        <f t="shared" si="32"/>
        <v>Б</v>
      </c>
      <c r="C413" s="101" t="s">
        <v>1473</v>
      </c>
      <c r="D413" s="16" t="str">
        <f t="shared" si="33"/>
        <v>'38.03.05</v>
      </c>
      <c r="E413" s="17" t="str">
        <f t="shared" si="34"/>
        <v>Бизнес-информатика</v>
      </c>
      <c r="F413" s="9" t="s">
        <v>413</v>
      </c>
      <c r="G413" s="9" t="s">
        <v>42</v>
      </c>
      <c r="H413" s="10" t="s">
        <v>3233</v>
      </c>
      <c r="I413" s="10"/>
      <c r="J413" s="24" t="s">
        <v>3212</v>
      </c>
      <c r="K413" s="11">
        <v>4</v>
      </c>
      <c r="L413" s="11">
        <v>18</v>
      </c>
      <c r="M413" s="8" t="s">
        <v>23</v>
      </c>
      <c r="N413" s="11">
        <v>1</v>
      </c>
      <c r="O413" s="11"/>
      <c r="P413" s="11"/>
      <c r="Q413" s="8" t="s">
        <v>103</v>
      </c>
      <c r="R413" s="12"/>
      <c r="S413" s="12"/>
      <c r="T413" s="12"/>
      <c r="U413" s="12"/>
      <c r="V413" s="12"/>
      <c r="W413" s="83" t="str">
        <f t="shared" si="1086"/>
        <v>НБИбд</v>
      </c>
      <c r="X413" s="110" t="s">
        <v>3356</v>
      </c>
      <c r="Y413" s="11">
        <v>3</v>
      </c>
      <c r="Z413" s="11">
        <v>2</v>
      </c>
      <c r="AA413" s="83">
        <f t="shared" si="35"/>
        <v>36</v>
      </c>
      <c r="AB413" s="11">
        <v>30</v>
      </c>
      <c r="AC413" s="11">
        <v>6</v>
      </c>
      <c r="AD413" s="81">
        <f t="shared" si="1087"/>
        <v>36</v>
      </c>
      <c r="AE413" s="82">
        <f t="shared" si="36"/>
        <v>1</v>
      </c>
      <c r="AF413" s="82">
        <f t="shared" si="37"/>
        <v>1</v>
      </c>
      <c r="AG413" s="102" t="s">
        <v>3250</v>
      </c>
      <c r="AH413" s="113" t="s">
        <v>204</v>
      </c>
      <c r="AI413" s="113" t="s">
        <v>212</v>
      </c>
      <c r="AJ413" s="121" t="s">
        <v>3255</v>
      </c>
      <c r="AK413" s="8"/>
      <c r="AL413" s="42">
        <f t="shared" si="1088"/>
        <v>18</v>
      </c>
      <c r="AM413" s="42">
        <f t="shared" si="1098"/>
        <v>0</v>
      </c>
      <c r="AN413" s="42">
        <f t="shared" si="1099"/>
        <v>0</v>
      </c>
      <c r="AO413" s="42">
        <f t="shared" si="1084"/>
        <v>11.88</v>
      </c>
      <c r="AP413" s="42">
        <f t="shared" si="1100"/>
        <v>18</v>
      </c>
      <c r="AQ413" s="42">
        <f t="shared" si="1101"/>
        <v>2</v>
      </c>
      <c r="AR413" s="42">
        <f t="shared" si="1089"/>
        <v>1.8</v>
      </c>
      <c r="AS413" s="42">
        <f t="shared" si="1102"/>
        <v>0</v>
      </c>
      <c r="AT413" s="42">
        <f t="shared" si="1103"/>
        <v>0</v>
      </c>
      <c r="AU413" s="42">
        <f t="shared" si="1104"/>
        <v>0</v>
      </c>
      <c r="AV413" s="42">
        <f>IF(M413="ПП",РПП*AA413*(U413/1.5),IF(M413="ВП",ВПр*AA413*(U413/1.5),IF(M413="РПА",РПА*AA413*(U413/1.5),IF(M413="КПА",КПА*AA413*(U413/1.5),0))))</f>
        <v>0</v>
      </c>
      <c r="AW413" s="42">
        <f t="shared" si="1105"/>
        <v>0</v>
      </c>
      <c r="AX413" s="42">
        <f t="shared" si="1090"/>
        <v>0</v>
      </c>
      <c r="AY413" s="42">
        <f t="shared" si="1091"/>
        <v>0</v>
      </c>
      <c r="AZ413" s="42">
        <f t="shared" si="1106"/>
        <v>0</v>
      </c>
      <c r="BA413" s="42">
        <f t="shared" si="1092"/>
        <v>0</v>
      </c>
      <c r="BB413" s="42">
        <f t="shared" si="1093"/>
        <v>0</v>
      </c>
      <c r="BC413" s="42">
        <f t="shared" si="1094"/>
        <v>0</v>
      </c>
      <c r="BD413" s="42">
        <f t="shared" si="1107"/>
        <v>0</v>
      </c>
      <c r="BE413" s="43">
        <f t="shared" si="1108"/>
        <v>51.68</v>
      </c>
      <c r="BF413" s="44"/>
      <c r="BG413" s="45">
        <f t="shared" si="1109"/>
        <v>0</v>
      </c>
      <c r="BH413" s="45">
        <f t="shared" si="1110"/>
        <v>0</v>
      </c>
      <c r="BI413" s="45">
        <f t="shared" si="1111"/>
        <v>0</v>
      </c>
      <c r="BJ413" s="46">
        <f t="shared" si="1095"/>
        <v>18</v>
      </c>
      <c r="BK413" s="46">
        <f t="shared" si="1096"/>
        <v>0.5</v>
      </c>
      <c r="BL413" s="46">
        <f t="shared" si="1097"/>
        <v>33.68</v>
      </c>
    </row>
    <row r="414" spans="1:64" ht="30" customHeight="1" x14ac:dyDescent="0.25">
      <c r="A414" s="84" t="str">
        <f t="shared" si="1085"/>
        <v>Д</v>
      </c>
      <c r="B414" s="84" t="str">
        <f t="shared" si="32"/>
        <v>Б</v>
      </c>
      <c r="C414" s="101" t="s">
        <v>1473</v>
      </c>
      <c r="D414" s="16" t="str">
        <f t="shared" si="33"/>
        <v>'38.03.05</v>
      </c>
      <c r="E414" s="17" t="str">
        <f t="shared" si="34"/>
        <v>Бизнес-информатика</v>
      </c>
      <c r="F414" s="9" t="s">
        <v>413</v>
      </c>
      <c r="G414" s="9" t="s">
        <v>42</v>
      </c>
      <c r="H414" s="10" t="s">
        <v>3233</v>
      </c>
      <c r="I414" s="10"/>
      <c r="J414" s="24" t="s">
        <v>3212</v>
      </c>
      <c r="K414" s="11">
        <v>4</v>
      </c>
      <c r="L414" s="11">
        <v>18</v>
      </c>
      <c r="M414" s="8" t="s">
        <v>94</v>
      </c>
      <c r="N414" s="11"/>
      <c r="O414" s="11">
        <v>1</v>
      </c>
      <c r="P414" s="11"/>
      <c r="Q414" s="8"/>
      <c r="R414" s="11"/>
      <c r="S414" s="11"/>
      <c r="T414" s="23"/>
      <c r="U414" s="11"/>
      <c r="V414" s="11"/>
      <c r="W414" s="83" t="str">
        <f t="shared" si="1086"/>
        <v>НБИбд</v>
      </c>
      <c r="X414" s="110" t="s">
        <v>3234</v>
      </c>
      <c r="Y414" s="11">
        <v>1</v>
      </c>
      <c r="Z414" s="11">
        <v>1</v>
      </c>
      <c r="AA414" s="83">
        <f t="shared" si="35"/>
        <v>12</v>
      </c>
      <c r="AB414" s="11">
        <v>10</v>
      </c>
      <c r="AC414" s="11">
        <v>2</v>
      </c>
      <c r="AD414" s="81">
        <f t="shared" si="1087"/>
        <v>12</v>
      </c>
      <c r="AE414" s="82">
        <f t="shared" si="36"/>
        <v>1</v>
      </c>
      <c r="AF414" s="82">
        <f t="shared" si="37"/>
        <v>1</v>
      </c>
      <c r="AG414" s="102" t="s">
        <v>3250</v>
      </c>
      <c r="AH414" s="113" t="s">
        <v>204</v>
      </c>
      <c r="AI414" s="113" t="s">
        <v>212</v>
      </c>
      <c r="AJ414" s="121" t="s">
        <v>3255</v>
      </c>
      <c r="AK414" s="8"/>
      <c r="AL414" s="42">
        <f t="shared" si="1088"/>
        <v>0</v>
      </c>
      <c r="AM414" s="42">
        <f t="shared" si="1098"/>
        <v>0</v>
      </c>
      <c r="AN414" s="42">
        <f t="shared" si="1099"/>
        <v>18</v>
      </c>
      <c r="AO414" s="42">
        <f t="shared" si="1084"/>
        <v>0</v>
      </c>
      <c r="AP414" s="42">
        <f t="shared" si="1100"/>
        <v>0</v>
      </c>
      <c r="AQ414" s="42">
        <f t="shared" si="1101"/>
        <v>0</v>
      </c>
      <c r="AR414" s="42">
        <f t="shared" si="1089"/>
        <v>0</v>
      </c>
      <c r="AS414" s="42">
        <f t="shared" si="1102"/>
        <v>0</v>
      </c>
      <c r="AT414" s="42">
        <f t="shared" si="1103"/>
        <v>0</v>
      </c>
      <c r="AU414" s="42">
        <f t="shared" si="1104"/>
        <v>0</v>
      </c>
      <c r="AV414" s="42">
        <f>IF(M414="ПП",РПП*AA414*(U414/1.5),IF(M414="ВП",ВПр*AA414*(U414/1.5),IF(M414="РПА",РПА*AA414*(U414/1.5),IF(M414="КПА",КПА*AA414*(U414/1.5),0))))</f>
        <v>0</v>
      </c>
      <c r="AW414" s="42">
        <f t="shared" si="1105"/>
        <v>0</v>
      </c>
      <c r="AX414" s="42">
        <f t="shared" si="1090"/>
        <v>0</v>
      </c>
      <c r="AY414" s="42">
        <f t="shared" si="1091"/>
        <v>0</v>
      </c>
      <c r="AZ414" s="42">
        <f t="shared" si="1106"/>
        <v>0</v>
      </c>
      <c r="BA414" s="42">
        <f t="shared" si="1092"/>
        <v>0</v>
      </c>
      <c r="BB414" s="42">
        <f t="shared" si="1093"/>
        <v>0</v>
      </c>
      <c r="BC414" s="42">
        <f t="shared" si="1094"/>
        <v>0</v>
      </c>
      <c r="BD414" s="42">
        <f t="shared" si="1107"/>
        <v>0</v>
      </c>
      <c r="BE414" s="43">
        <f t="shared" si="1108"/>
        <v>18</v>
      </c>
      <c r="BF414" s="44"/>
      <c r="BG414" s="45">
        <f t="shared" si="1109"/>
        <v>0</v>
      </c>
      <c r="BH414" s="45">
        <f t="shared" si="1110"/>
        <v>0</v>
      </c>
      <c r="BI414" s="45">
        <f t="shared" si="1111"/>
        <v>0</v>
      </c>
      <c r="BJ414" s="46">
        <f t="shared" si="1095"/>
        <v>18</v>
      </c>
      <c r="BK414" s="46">
        <f t="shared" si="1096"/>
        <v>0.5</v>
      </c>
      <c r="BL414" s="46">
        <f t="shared" si="1097"/>
        <v>0</v>
      </c>
    </row>
    <row r="415" spans="1:64" ht="30" customHeight="1" x14ac:dyDescent="0.25">
      <c r="A415" s="84" t="str">
        <f t="shared" si="1085"/>
        <v>Д</v>
      </c>
      <c r="B415" s="84" t="str">
        <f t="shared" si="32"/>
        <v>Б</v>
      </c>
      <c r="C415" s="101" t="s">
        <v>1473</v>
      </c>
      <c r="D415" s="16" t="str">
        <f t="shared" si="33"/>
        <v>'38.03.05</v>
      </c>
      <c r="E415" s="17" t="str">
        <f t="shared" si="34"/>
        <v>Бизнес-информатика</v>
      </c>
      <c r="F415" s="9" t="s">
        <v>413</v>
      </c>
      <c r="G415" s="9" t="s">
        <v>42</v>
      </c>
      <c r="H415" s="10" t="s">
        <v>3233</v>
      </c>
      <c r="I415" s="10"/>
      <c r="J415" s="24" t="s">
        <v>3212</v>
      </c>
      <c r="K415" s="12">
        <v>4</v>
      </c>
      <c r="L415" s="11">
        <v>18</v>
      </c>
      <c r="M415" s="8" t="s">
        <v>94</v>
      </c>
      <c r="N415" s="12"/>
      <c r="O415" s="12">
        <v>1</v>
      </c>
      <c r="P415" s="12"/>
      <c r="Q415" s="8"/>
      <c r="R415" s="11"/>
      <c r="S415" s="11"/>
      <c r="T415" s="23"/>
      <c r="U415" s="11"/>
      <c r="V415" s="11"/>
      <c r="W415" s="83" t="str">
        <f t="shared" si="1086"/>
        <v>НБИбд</v>
      </c>
      <c r="X415" s="110" t="s">
        <v>3234</v>
      </c>
      <c r="Y415" s="11">
        <v>1</v>
      </c>
      <c r="Z415" s="11"/>
      <c r="AA415" s="83">
        <f t="shared" si="35"/>
        <v>12</v>
      </c>
      <c r="AB415" s="11">
        <v>10</v>
      </c>
      <c r="AC415" s="11">
        <v>2</v>
      </c>
      <c r="AD415" s="81">
        <f t="shared" si="1087"/>
        <v>12</v>
      </c>
      <c r="AE415" s="82">
        <f t="shared" si="36"/>
        <v>1</v>
      </c>
      <c r="AF415" s="82">
        <f t="shared" si="37"/>
        <v>1</v>
      </c>
      <c r="AG415" s="102" t="s">
        <v>3250</v>
      </c>
      <c r="AH415" s="113" t="s">
        <v>204</v>
      </c>
      <c r="AI415" s="113" t="s">
        <v>212</v>
      </c>
      <c r="AJ415" s="121" t="s">
        <v>3255</v>
      </c>
      <c r="AK415" s="8"/>
      <c r="AL415" s="42">
        <f t="shared" si="1088"/>
        <v>0</v>
      </c>
      <c r="AM415" s="42">
        <f t="shared" si="1098"/>
        <v>0</v>
      </c>
      <c r="AN415" s="42">
        <f t="shared" si="1099"/>
        <v>18</v>
      </c>
      <c r="AO415" s="42">
        <f t="shared" si="1084"/>
        <v>0</v>
      </c>
      <c r="AP415" s="42">
        <f t="shared" si="1100"/>
        <v>0</v>
      </c>
      <c r="AQ415" s="42">
        <f t="shared" si="1101"/>
        <v>0</v>
      </c>
      <c r="AR415" s="42">
        <f t="shared" si="1089"/>
        <v>0</v>
      </c>
      <c r="AS415" s="42">
        <f t="shared" si="1102"/>
        <v>0</v>
      </c>
      <c r="AT415" s="42">
        <f t="shared" si="1103"/>
        <v>0</v>
      </c>
      <c r="AU415" s="42">
        <f t="shared" si="1104"/>
        <v>0</v>
      </c>
      <c r="AV415" s="42">
        <f>IF(M415="ПП",РПП*AA415*(U415/1.5),IF(M415="ВП",ВПр*AA415*(U415/1.5),IF(M415="РПА",РПА*AA415*(U415/1.5),IF(M415="КПА",КПА*AA415*(U415/1.5),0))))</f>
        <v>0</v>
      </c>
      <c r="AW415" s="42">
        <f t="shared" si="1105"/>
        <v>0</v>
      </c>
      <c r="AX415" s="42">
        <f t="shared" si="1090"/>
        <v>0</v>
      </c>
      <c r="AY415" s="42">
        <f t="shared" si="1091"/>
        <v>0</v>
      </c>
      <c r="AZ415" s="42">
        <f t="shared" si="1106"/>
        <v>0</v>
      </c>
      <c r="BA415" s="42">
        <f t="shared" si="1092"/>
        <v>0</v>
      </c>
      <c r="BB415" s="42">
        <f t="shared" si="1093"/>
        <v>0</v>
      </c>
      <c r="BC415" s="42">
        <f t="shared" si="1094"/>
        <v>0</v>
      </c>
      <c r="BD415" s="42">
        <f t="shared" si="1107"/>
        <v>0</v>
      </c>
      <c r="BE415" s="43">
        <f t="shared" si="1108"/>
        <v>18</v>
      </c>
      <c r="BF415" s="44"/>
      <c r="BG415" s="45">
        <f t="shared" si="1109"/>
        <v>0</v>
      </c>
      <c r="BH415" s="45">
        <f t="shared" si="1110"/>
        <v>0</v>
      </c>
      <c r="BI415" s="45">
        <f t="shared" si="1111"/>
        <v>0</v>
      </c>
      <c r="BJ415" s="46">
        <f t="shared" si="1095"/>
        <v>18</v>
      </c>
      <c r="BK415" s="46">
        <f t="shared" si="1096"/>
        <v>0.5</v>
      </c>
      <c r="BL415" s="46">
        <f t="shared" si="1097"/>
        <v>0</v>
      </c>
    </row>
    <row r="416" spans="1:64" ht="30" customHeight="1" x14ac:dyDescent="0.25">
      <c r="A416" s="84" t="str">
        <f t="shared" si="1085"/>
        <v>Д</v>
      </c>
      <c r="B416" s="84" t="str">
        <f t="shared" si="32"/>
        <v>Б</v>
      </c>
      <c r="C416" s="101" t="s">
        <v>1473</v>
      </c>
      <c r="D416" s="16" t="str">
        <f t="shared" si="33"/>
        <v>'38.03.05</v>
      </c>
      <c r="E416" s="17" t="str">
        <f t="shared" si="34"/>
        <v>Бизнес-информатика</v>
      </c>
      <c r="F416" s="9" t="s">
        <v>413</v>
      </c>
      <c r="G416" s="9" t="s">
        <v>42</v>
      </c>
      <c r="H416" s="10" t="s">
        <v>3233</v>
      </c>
      <c r="I416" s="10"/>
      <c r="J416" s="24" t="s">
        <v>3212</v>
      </c>
      <c r="K416" s="11">
        <v>4</v>
      </c>
      <c r="L416" s="11">
        <v>18</v>
      </c>
      <c r="M416" s="8" t="s">
        <v>94</v>
      </c>
      <c r="N416" s="11"/>
      <c r="O416" s="11">
        <v>1</v>
      </c>
      <c r="P416" s="11"/>
      <c r="Q416" s="8"/>
      <c r="R416" s="11"/>
      <c r="S416" s="11"/>
      <c r="T416" s="11"/>
      <c r="U416" s="11"/>
      <c r="V416" s="11"/>
      <c r="W416" s="83" t="str">
        <f t="shared" si="1086"/>
        <v>НБИбд</v>
      </c>
      <c r="X416" s="110" t="s">
        <v>3235</v>
      </c>
      <c r="Y416" s="11">
        <v>1</v>
      </c>
      <c r="Z416" s="11">
        <v>1</v>
      </c>
      <c r="AA416" s="83">
        <f t="shared" si="35"/>
        <v>12</v>
      </c>
      <c r="AB416" s="11">
        <v>10</v>
      </c>
      <c r="AC416" s="11">
        <v>2</v>
      </c>
      <c r="AD416" s="81">
        <f t="shared" si="1087"/>
        <v>12</v>
      </c>
      <c r="AE416" s="82">
        <f t="shared" si="36"/>
        <v>1</v>
      </c>
      <c r="AF416" s="82">
        <f t="shared" si="37"/>
        <v>1</v>
      </c>
      <c r="AG416" s="102" t="s">
        <v>3250</v>
      </c>
      <c r="AH416" s="113" t="s">
        <v>204</v>
      </c>
      <c r="AI416" s="113" t="s">
        <v>212</v>
      </c>
      <c r="AJ416" s="121" t="s">
        <v>3255</v>
      </c>
      <c r="AK416" s="8"/>
      <c r="AL416" s="42">
        <f t="shared" si="1088"/>
        <v>0</v>
      </c>
      <c r="AM416" s="42">
        <f t="shared" si="1098"/>
        <v>0</v>
      </c>
      <c r="AN416" s="42">
        <f t="shared" si="1099"/>
        <v>18</v>
      </c>
      <c r="AO416" s="42">
        <f t="shared" si="1084"/>
        <v>0</v>
      </c>
      <c r="AP416" s="42">
        <f t="shared" si="1100"/>
        <v>0</v>
      </c>
      <c r="AQ416" s="42">
        <f t="shared" si="1101"/>
        <v>0</v>
      </c>
      <c r="AR416" s="42">
        <f t="shared" si="1089"/>
        <v>0</v>
      </c>
      <c r="AS416" s="42">
        <f t="shared" si="1102"/>
        <v>0</v>
      </c>
      <c r="AT416" s="42">
        <f t="shared" si="1103"/>
        <v>0</v>
      </c>
      <c r="AU416" s="42">
        <f t="shared" si="1104"/>
        <v>0</v>
      </c>
      <c r="AV416" s="42">
        <f>IF(M416="ПП",РПП*AA416*(U416/1.5),IF(M416="ВП",ВПр*AA416*(U416/1.5),IF(M416="РПА",РПА*AA416*(U416/1.5),IF(M416="КПА",КПА*AA416*(U416/1.5),0))))</f>
        <v>0</v>
      </c>
      <c r="AW416" s="42">
        <f t="shared" si="1105"/>
        <v>0</v>
      </c>
      <c r="AX416" s="42">
        <f t="shared" si="1090"/>
        <v>0</v>
      </c>
      <c r="AY416" s="42">
        <f t="shared" si="1091"/>
        <v>0</v>
      </c>
      <c r="AZ416" s="42">
        <f t="shared" si="1106"/>
        <v>0</v>
      </c>
      <c r="BA416" s="42">
        <f t="shared" si="1092"/>
        <v>0</v>
      </c>
      <c r="BB416" s="42">
        <f t="shared" si="1093"/>
        <v>0</v>
      </c>
      <c r="BC416" s="42">
        <f t="shared" si="1094"/>
        <v>0</v>
      </c>
      <c r="BD416" s="42">
        <f t="shared" si="1107"/>
        <v>0</v>
      </c>
      <c r="BE416" s="43">
        <f t="shared" si="1108"/>
        <v>18</v>
      </c>
      <c r="BF416" s="44"/>
      <c r="BG416" s="45">
        <f t="shared" si="1109"/>
        <v>0</v>
      </c>
      <c r="BH416" s="45">
        <f t="shared" si="1110"/>
        <v>0</v>
      </c>
      <c r="BI416" s="45">
        <f t="shared" si="1111"/>
        <v>0</v>
      </c>
      <c r="BJ416" s="46">
        <f t="shared" si="1095"/>
        <v>18</v>
      </c>
      <c r="BK416" s="46">
        <f t="shared" si="1096"/>
        <v>0.5</v>
      </c>
      <c r="BL416" s="46">
        <f t="shared" si="1097"/>
        <v>0</v>
      </c>
    </row>
    <row r="417" spans="1:64" ht="30" customHeight="1" x14ac:dyDescent="0.25">
      <c r="A417" s="84" t="str">
        <f t="shared" si="1085"/>
        <v>Д</v>
      </c>
      <c r="B417" s="84" t="str">
        <f t="shared" si="32"/>
        <v>Б</v>
      </c>
      <c r="C417" s="101" t="s">
        <v>1473</v>
      </c>
      <c r="D417" s="16" t="str">
        <f t="shared" si="33"/>
        <v>'38.03.05</v>
      </c>
      <c r="E417" s="17" t="str">
        <f t="shared" si="34"/>
        <v>Бизнес-информатика</v>
      </c>
      <c r="F417" s="9" t="s">
        <v>413</v>
      </c>
      <c r="G417" s="9" t="s">
        <v>42</v>
      </c>
      <c r="H417" s="10" t="s">
        <v>3233</v>
      </c>
      <c r="I417" s="10"/>
      <c r="J417" s="24" t="s">
        <v>3212</v>
      </c>
      <c r="K417" s="11">
        <v>4</v>
      </c>
      <c r="L417" s="11">
        <v>18</v>
      </c>
      <c r="M417" s="8" t="s">
        <v>94</v>
      </c>
      <c r="N417" s="11"/>
      <c r="O417" s="11">
        <v>1</v>
      </c>
      <c r="P417" s="11"/>
      <c r="Q417" s="8"/>
      <c r="R417" s="11"/>
      <c r="S417" s="11"/>
      <c r="T417" s="11"/>
      <c r="U417" s="11"/>
      <c r="V417" s="11"/>
      <c r="W417" s="83" t="str">
        <f t="shared" si="1086"/>
        <v>НБИбд</v>
      </c>
      <c r="X417" s="110" t="s">
        <v>3235</v>
      </c>
      <c r="Y417" s="11"/>
      <c r="Z417" s="11"/>
      <c r="AA417" s="83">
        <f t="shared" si="35"/>
        <v>0</v>
      </c>
      <c r="AB417" s="11"/>
      <c r="AC417" s="11"/>
      <c r="AD417" s="81">
        <f t="shared" si="1087"/>
        <v>12</v>
      </c>
      <c r="AE417" s="82">
        <f t="shared" si="36"/>
        <v>0</v>
      </c>
      <c r="AF417" s="82">
        <f t="shared" si="37"/>
        <v>0</v>
      </c>
      <c r="AG417" s="102" t="s">
        <v>3250</v>
      </c>
      <c r="AH417" s="113" t="s">
        <v>204</v>
      </c>
      <c r="AI417" s="113" t="s">
        <v>212</v>
      </c>
      <c r="AJ417" s="121" t="s">
        <v>3255</v>
      </c>
      <c r="AK417" s="8"/>
      <c r="AL417" s="42">
        <f t="shared" si="1088"/>
        <v>0</v>
      </c>
      <c r="AM417" s="42">
        <f t="shared" si="1098"/>
        <v>0</v>
      </c>
      <c r="AN417" s="42">
        <f t="shared" si="1099"/>
        <v>0</v>
      </c>
      <c r="AO417" s="42">
        <f t="shared" si="1084"/>
        <v>0</v>
      </c>
      <c r="AP417" s="42">
        <f t="shared" si="1100"/>
        <v>0</v>
      </c>
      <c r="AQ417" s="42">
        <f t="shared" si="1101"/>
        <v>0</v>
      </c>
      <c r="AR417" s="42">
        <f t="shared" si="1089"/>
        <v>0</v>
      </c>
      <c r="AS417" s="42">
        <f t="shared" si="1102"/>
        <v>0</v>
      </c>
      <c r="AT417" s="42">
        <f t="shared" si="1103"/>
        <v>0</v>
      </c>
      <c r="AU417" s="42">
        <f t="shared" si="1104"/>
        <v>0</v>
      </c>
      <c r="AV417" s="42">
        <f>IF(M417="ПП",РПП*AA417*(U417/1.5),IF(M417="ВП",ВПр*AA417*(U417/1.5),IF(M417="РПА",РПА*AA417*(U417/1.5),IF(M417="КПА",КПА*AA417*(U417/1.5),0))))</f>
        <v>0</v>
      </c>
      <c r="AW417" s="42">
        <f t="shared" si="1105"/>
        <v>0</v>
      </c>
      <c r="AX417" s="42">
        <f t="shared" si="1090"/>
        <v>0</v>
      </c>
      <c r="AY417" s="42">
        <f t="shared" si="1091"/>
        <v>0</v>
      </c>
      <c r="AZ417" s="42">
        <f t="shared" si="1106"/>
        <v>0</v>
      </c>
      <c r="BA417" s="42">
        <f t="shared" si="1092"/>
        <v>0</v>
      </c>
      <c r="BB417" s="42">
        <f t="shared" si="1093"/>
        <v>0</v>
      </c>
      <c r="BC417" s="42">
        <f t="shared" si="1094"/>
        <v>0</v>
      </c>
      <c r="BD417" s="42">
        <f t="shared" si="1107"/>
        <v>0</v>
      </c>
      <c r="BE417" s="43">
        <f t="shared" si="1108"/>
        <v>0</v>
      </c>
      <c r="BF417" s="44"/>
      <c r="BG417" s="45">
        <f t="shared" si="1109"/>
        <v>0</v>
      </c>
      <c r="BH417" s="45">
        <f t="shared" si="1110"/>
        <v>0</v>
      </c>
      <c r="BI417" s="45">
        <f t="shared" si="1111"/>
        <v>0</v>
      </c>
      <c r="BJ417" s="46">
        <f t="shared" si="1095"/>
        <v>0</v>
      </c>
      <c r="BK417" s="46">
        <f t="shared" si="1096"/>
        <v>0</v>
      </c>
      <c r="BL417" s="46">
        <f t="shared" si="1097"/>
        <v>0</v>
      </c>
    </row>
    <row r="418" spans="1:64" ht="30" customHeight="1" x14ac:dyDescent="0.25">
      <c r="A418" s="84" t="str">
        <f t="shared" si="1085"/>
        <v>Д</v>
      </c>
      <c r="B418" s="84" t="str">
        <f t="shared" si="32"/>
        <v>Б</v>
      </c>
      <c r="C418" s="101" t="s">
        <v>1473</v>
      </c>
      <c r="D418" s="16" t="str">
        <f t="shared" si="33"/>
        <v>'38.03.05</v>
      </c>
      <c r="E418" s="17" t="str">
        <f t="shared" si="34"/>
        <v>Бизнес-информатика</v>
      </c>
      <c r="F418" s="9" t="s">
        <v>413</v>
      </c>
      <c r="G418" s="9" t="s">
        <v>42</v>
      </c>
      <c r="H418" s="10" t="s">
        <v>3233</v>
      </c>
      <c r="I418" s="10"/>
      <c r="J418" s="24" t="s">
        <v>3269</v>
      </c>
      <c r="K418" s="11">
        <v>6</v>
      </c>
      <c r="L418" s="11">
        <v>18</v>
      </c>
      <c r="M418" s="8" t="s">
        <v>23</v>
      </c>
      <c r="N418" s="11">
        <v>1</v>
      </c>
      <c r="O418" s="11"/>
      <c r="P418" s="11"/>
      <c r="Q418" s="8" t="s">
        <v>103</v>
      </c>
      <c r="R418" s="12"/>
      <c r="S418" s="12"/>
      <c r="T418" s="12"/>
      <c r="U418" s="12"/>
      <c r="V418" s="12"/>
      <c r="W418" s="83" t="str">
        <f t="shared" si="1086"/>
        <v>НБИбд</v>
      </c>
      <c r="X418" s="110" t="s">
        <v>3241</v>
      </c>
      <c r="Y418" s="11">
        <v>2</v>
      </c>
      <c r="Z418" s="11">
        <v>1</v>
      </c>
      <c r="AA418" s="83">
        <f t="shared" si="35"/>
        <v>32</v>
      </c>
      <c r="AB418" s="11">
        <v>30</v>
      </c>
      <c r="AC418" s="12">
        <v>2</v>
      </c>
      <c r="AD418" s="81">
        <f t="shared" si="1087"/>
        <v>32</v>
      </c>
      <c r="AE418" s="82">
        <f t="shared" si="36"/>
        <v>1</v>
      </c>
      <c r="AF418" s="82">
        <f t="shared" si="37"/>
        <v>1</v>
      </c>
      <c r="AG418" s="102" t="s">
        <v>3250</v>
      </c>
      <c r="AH418" s="113" t="s">
        <v>204</v>
      </c>
      <c r="AI418" s="113" t="s">
        <v>212</v>
      </c>
      <c r="AJ418" s="124" t="s">
        <v>3372</v>
      </c>
      <c r="AK418" s="8" t="s">
        <v>949</v>
      </c>
      <c r="AL418" s="42">
        <f t="shared" si="1088"/>
        <v>18</v>
      </c>
      <c r="AM418" s="42">
        <f t="shared" si="1098"/>
        <v>0</v>
      </c>
      <c r="AN418" s="42">
        <f t="shared" si="1099"/>
        <v>0</v>
      </c>
      <c r="AO418" s="42">
        <f t="shared" si="1084"/>
        <v>10.56</v>
      </c>
      <c r="AP418" s="42">
        <f t="shared" si="1100"/>
        <v>16</v>
      </c>
      <c r="AQ418" s="42">
        <f t="shared" si="1101"/>
        <v>1</v>
      </c>
      <c r="AR418" s="42">
        <f t="shared" si="1089"/>
        <v>0.9</v>
      </c>
      <c r="AS418" s="42">
        <f t="shared" si="1102"/>
        <v>0</v>
      </c>
      <c r="AT418" s="42">
        <f t="shared" si="1103"/>
        <v>0</v>
      </c>
      <c r="AU418" s="42">
        <f t="shared" si="1104"/>
        <v>0</v>
      </c>
      <c r="AV418" s="42">
        <f>IF(M418="ПП",РПП*AA418*(U418/1.5),IF(M418="ВП",ВПр*AA418*(U418/1.5),IF(M418="РПА",РПА*AA418*(U418/1.5),IF(M418="КПА",КПА*AA418*(U418/1.5),0))))</f>
        <v>0</v>
      </c>
      <c r="AW418" s="42">
        <f t="shared" si="1105"/>
        <v>0</v>
      </c>
      <c r="AX418" s="42">
        <f t="shared" si="1090"/>
        <v>0</v>
      </c>
      <c r="AY418" s="42">
        <f t="shared" si="1091"/>
        <v>0</v>
      </c>
      <c r="AZ418" s="42">
        <f t="shared" si="1106"/>
        <v>0</v>
      </c>
      <c r="BA418" s="42">
        <f t="shared" si="1092"/>
        <v>0</v>
      </c>
      <c r="BB418" s="42">
        <f t="shared" si="1093"/>
        <v>0</v>
      </c>
      <c r="BC418" s="42">
        <f t="shared" si="1094"/>
        <v>0</v>
      </c>
      <c r="BD418" s="42">
        <f t="shared" si="1107"/>
        <v>0</v>
      </c>
      <c r="BE418" s="43">
        <f t="shared" si="1108"/>
        <v>46.46</v>
      </c>
      <c r="BF418" s="44"/>
      <c r="BG418" s="45">
        <f t="shared" si="1109"/>
        <v>0</v>
      </c>
      <c r="BH418" s="45">
        <f t="shared" si="1110"/>
        <v>0</v>
      </c>
      <c r="BI418" s="45">
        <f t="shared" si="1111"/>
        <v>0</v>
      </c>
      <c r="BJ418" s="46">
        <f t="shared" si="1095"/>
        <v>18</v>
      </c>
      <c r="BK418" s="46">
        <f t="shared" si="1096"/>
        <v>0.5</v>
      </c>
      <c r="BL418" s="46">
        <f t="shared" si="1097"/>
        <v>28.46</v>
      </c>
    </row>
    <row r="419" spans="1:64" ht="30" customHeight="1" x14ac:dyDescent="0.25">
      <c r="A419" s="84" t="str">
        <f t="shared" si="1085"/>
        <v>Д</v>
      </c>
      <c r="B419" s="84" t="str">
        <f t="shared" si="32"/>
        <v>Б</v>
      </c>
      <c r="C419" s="101" t="s">
        <v>1473</v>
      </c>
      <c r="D419" s="16" t="str">
        <f t="shared" si="33"/>
        <v>'38.03.05</v>
      </c>
      <c r="E419" s="17" t="str">
        <f t="shared" si="34"/>
        <v>Бизнес-информатика</v>
      </c>
      <c r="F419" s="9" t="s">
        <v>413</v>
      </c>
      <c r="G419" s="9" t="s">
        <v>42</v>
      </c>
      <c r="H419" s="10" t="s">
        <v>3233</v>
      </c>
      <c r="I419" s="10"/>
      <c r="J419" s="24" t="s">
        <v>3269</v>
      </c>
      <c r="K419" s="11">
        <v>6</v>
      </c>
      <c r="L419" s="11">
        <v>18</v>
      </c>
      <c r="M419" s="8" t="s">
        <v>24</v>
      </c>
      <c r="N419" s="11"/>
      <c r="O419" s="11"/>
      <c r="P419" s="11">
        <v>2</v>
      </c>
      <c r="Q419" s="8"/>
      <c r="R419" s="11"/>
      <c r="S419" s="11"/>
      <c r="T419" s="23"/>
      <c r="U419" s="11"/>
      <c r="V419" s="11"/>
      <c r="W419" s="83" t="str">
        <f t="shared" si="1086"/>
        <v>НБИбд</v>
      </c>
      <c r="X419" s="110" t="s">
        <v>3241</v>
      </c>
      <c r="Y419" s="11">
        <v>1</v>
      </c>
      <c r="Z419" s="11">
        <v>1</v>
      </c>
      <c r="AA419" s="83">
        <f t="shared" si="35"/>
        <v>32</v>
      </c>
      <c r="AB419" s="11">
        <v>30</v>
      </c>
      <c r="AC419" s="12">
        <v>2</v>
      </c>
      <c r="AD419" s="81">
        <f t="shared" si="1087"/>
        <v>24</v>
      </c>
      <c r="AE419" s="82">
        <f t="shared" si="36"/>
        <v>1</v>
      </c>
      <c r="AF419" s="82">
        <f t="shared" si="37"/>
        <v>1.3333333333333333</v>
      </c>
      <c r="AG419" s="102" t="s">
        <v>3250</v>
      </c>
      <c r="AH419" s="113" t="s">
        <v>204</v>
      </c>
      <c r="AI419" s="113" t="s">
        <v>212</v>
      </c>
      <c r="AJ419" s="124" t="s">
        <v>3372</v>
      </c>
      <c r="AK419" s="8" t="s">
        <v>949</v>
      </c>
      <c r="AL419" s="42">
        <f t="shared" si="1088"/>
        <v>0</v>
      </c>
      <c r="AM419" s="42">
        <f t="shared" si="1098"/>
        <v>36</v>
      </c>
      <c r="AN419" s="42">
        <f t="shared" si="1099"/>
        <v>0</v>
      </c>
      <c r="AO419" s="42">
        <f t="shared" si="1084"/>
        <v>0</v>
      </c>
      <c r="AP419" s="42">
        <f t="shared" si="1100"/>
        <v>0</v>
      </c>
      <c r="AQ419" s="42">
        <f t="shared" si="1101"/>
        <v>0</v>
      </c>
      <c r="AR419" s="42">
        <f t="shared" si="1089"/>
        <v>0</v>
      </c>
      <c r="AS419" s="42">
        <f t="shared" si="1102"/>
        <v>0</v>
      </c>
      <c r="AT419" s="42">
        <f t="shared" si="1103"/>
        <v>0</v>
      </c>
      <c r="AU419" s="42">
        <f t="shared" si="1104"/>
        <v>0</v>
      </c>
      <c r="AV419" s="42">
        <f>IF(M419="ПП",РПП*AA419*(U419/1.5),IF(M419="ВП",ВПр*AA419*(U419/1.5),IF(M419="РПА",РПА*AA419*(U419/1.5),IF(M419="КПА",КПА*AA419*(U419/1.5),0))))</f>
        <v>0</v>
      </c>
      <c r="AW419" s="42">
        <f t="shared" si="1105"/>
        <v>0</v>
      </c>
      <c r="AX419" s="42">
        <f t="shared" si="1090"/>
        <v>0</v>
      </c>
      <c r="AY419" s="42">
        <f t="shared" si="1091"/>
        <v>0</v>
      </c>
      <c r="AZ419" s="42">
        <f t="shared" si="1106"/>
        <v>0</v>
      </c>
      <c r="BA419" s="42">
        <f t="shared" si="1092"/>
        <v>0</v>
      </c>
      <c r="BB419" s="42">
        <f t="shared" si="1093"/>
        <v>0</v>
      </c>
      <c r="BC419" s="42">
        <f t="shared" si="1094"/>
        <v>0</v>
      </c>
      <c r="BD419" s="42">
        <f t="shared" si="1107"/>
        <v>0</v>
      </c>
      <c r="BE419" s="43">
        <f t="shared" si="1108"/>
        <v>36</v>
      </c>
      <c r="BF419" s="44"/>
      <c r="BG419" s="45">
        <f t="shared" si="1109"/>
        <v>0</v>
      </c>
      <c r="BH419" s="45">
        <f t="shared" si="1110"/>
        <v>0</v>
      </c>
      <c r="BI419" s="45">
        <f t="shared" si="1111"/>
        <v>0</v>
      </c>
      <c r="BJ419" s="46">
        <f t="shared" si="1095"/>
        <v>36</v>
      </c>
      <c r="BK419" s="46">
        <f t="shared" si="1096"/>
        <v>1</v>
      </c>
      <c r="BL419" s="46">
        <f t="shared" si="1097"/>
        <v>0</v>
      </c>
    </row>
    <row r="420" spans="1:64" ht="30" customHeight="1" x14ac:dyDescent="0.25">
      <c r="A420" s="84" t="str">
        <f t="shared" si="1085"/>
        <v>Д</v>
      </c>
      <c r="B420" s="84" t="str">
        <f t="shared" si="32"/>
        <v>Б</v>
      </c>
      <c r="C420" s="101" t="s">
        <v>1473</v>
      </c>
      <c r="D420" s="16" t="str">
        <f t="shared" si="33"/>
        <v>'38.03.05</v>
      </c>
      <c r="E420" s="17" t="str">
        <f t="shared" si="34"/>
        <v>Бизнес-информатика</v>
      </c>
      <c r="F420" s="9" t="s">
        <v>413</v>
      </c>
      <c r="G420" s="9" t="s">
        <v>42</v>
      </c>
      <c r="H420" s="10" t="s">
        <v>3233</v>
      </c>
      <c r="I420" s="10"/>
      <c r="J420" s="24" t="s">
        <v>3269</v>
      </c>
      <c r="K420" s="11">
        <v>6</v>
      </c>
      <c r="L420" s="11">
        <v>18</v>
      </c>
      <c r="M420" s="8" t="s">
        <v>24</v>
      </c>
      <c r="N420" s="12"/>
      <c r="O420" s="12"/>
      <c r="P420" s="11">
        <v>2</v>
      </c>
      <c r="Q420" s="8"/>
      <c r="R420" s="11"/>
      <c r="S420" s="11"/>
      <c r="T420" s="23"/>
      <c r="U420" s="11"/>
      <c r="V420" s="11"/>
      <c r="W420" s="83" t="str">
        <f t="shared" si="1086"/>
        <v>НБИбд</v>
      </c>
      <c r="X420" s="110" t="s">
        <v>3241</v>
      </c>
      <c r="Y420" s="11">
        <v>1</v>
      </c>
      <c r="Z420" s="11"/>
      <c r="AA420" s="83">
        <f t="shared" si="35"/>
        <v>0</v>
      </c>
      <c r="AB420" s="11"/>
      <c r="AC420" s="11"/>
      <c r="AD420" s="81">
        <f t="shared" si="1087"/>
        <v>24</v>
      </c>
      <c r="AE420" s="82">
        <f t="shared" si="36"/>
        <v>0</v>
      </c>
      <c r="AF420" s="82">
        <f t="shared" si="37"/>
        <v>0</v>
      </c>
      <c r="AG420" s="102" t="s">
        <v>3250</v>
      </c>
      <c r="AH420" s="113" t="s">
        <v>204</v>
      </c>
      <c r="AI420" s="113" t="s">
        <v>212</v>
      </c>
      <c r="AJ420" s="124" t="s">
        <v>3372</v>
      </c>
      <c r="AK420" s="8" t="s">
        <v>949</v>
      </c>
      <c r="AL420" s="42">
        <f t="shared" si="1088"/>
        <v>0</v>
      </c>
      <c r="AM420" s="42">
        <f t="shared" si="1098"/>
        <v>0</v>
      </c>
      <c r="AN420" s="42">
        <f t="shared" si="1099"/>
        <v>0</v>
      </c>
      <c r="AO420" s="42">
        <f t="shared" si="1084"/>
        <v>0</v>
      </c>
      <c r="AP420" s="42">
        <f t="shared" si="1100"/>
        <v>0</v>
      </c>
      <c r="AQ420" s="42">
        <f t="shared" si="1101"/>
        <v>0</v>
      </c>
      <c r="AR420" s="42">
        <f t="shared" si="1089"/>
        <v>0</v>
      </c>
      <c r="AS420" s="42">
        <f t="shared" si="1102"/>
        <v>0</v>
      </c>
      <c r="AT420" s="42">
        <f t="shared" si="1103"/>
        <v>0</v>
      </c>
      <c r="AU420" s="42">
        <f t="shared" si="1104"/>
        <v>0</v>
      </c>
      <c r="AV420" s="42">
        <f>IF(M420="ПП",РПП*AA420*(U420/1.5),IF(M420="ВП",ВПр*AA420*(U420/1.5),IF(M420="РПА",РПА*AA420*(U420/1.5),IF(M420="КПА",КПА*AA420*(U420/1.5),0))))</f>
        <v>0</v>
      </c>
      <c r="AW420" s="42">
        <f t="shared" si="1105"/>
        <v>0</v>
      </c>
      <c r="AX420" s="42">
        <f t="shared" si="1090"/>
        <v>0</v>
      </c>
      <c r="AY420" s="42">
        <f t="shared" si="1091"/>
        <v>0</v>
      </c>
      <c r="AZ420" s="42">
        <f t="shared" si="1106"/>
        <v>0</v>
      </c>
      <c r="BA420" s="42">
        <f t="shared" si="1092"/>
        <v>0</v>
      </c>
      <c r="BB420" s="42">
        <f t="shared" si="1093"/>
        <v>0</v>
      </c>
      <c r="BC420" s="42">
        <f t="shared" si="1094"/>
        <v>0</v>
      </c>
      <c r="BD420" s="42">
        <f t="shared" si="1107"/>
        <v>0</v>
      </c>
      <c r="BE420" s="43">
        <f t="shared" si="1108"/>
        <v>0</v>
      </c>
      <c r="BF420" s="44"/>
      <c r="BG420" s="45">
        <f t="shared" si="1109"/>
        <v>0</v>
      </c>
      <c r="BH420" s="45">
        <f t="shared" si="1110"/>
        <v>0</v>
      </c>
      <c r="BI420" s="45">
        <f t="shared" si="1111"/>
        <v>0</v>
      </c>
      <c r="BJ420" s="46">
        <f t="shared" si="1095"/>
        <v>0</v>
      </c>
      <c r="BK420" s="46">
        <f t="shared" si="1096"/>
        <v>0</v>
      </c>
      <c r="BL420" s="46">
        <f t="shared" si="1097"/>
        <v>0</v>
      </c>
    </row>
    <row r="421" spans="1:64" ht="30" customHeight="1" x14ac:dyDescent="0.25">
      <c r="A421" s="84" t="str">
        <f t="shared" si="1085"/>
        <v>Д</v>
      </c>
      <c r="B421" s="84" t="str">
        <f t="shared" si="32"/>
        <v>Б</v>
      </c>
      <c r="C421" s="101" t="s">
        <v>1473</v>
      </c>
      <c r="D421" s="16" t="str">
        <f t="shared" si="33"/>
        <v>'38.03.05</v>
      </c>
      <c r="E421" s="17" t="str">
        <f t="shared" si="34"/>
        <v>Бизнес-информатика</v>
      </c>
      <c r="F421" s="9" t="s">
        <v>413</v>
      </c>
      <c r="G421" s="9" t="s">
        <v>42</v>
      </c>
      <c r="H421" s="10" t="s">
        <v>3233</v>
      </c>
      <c r="I421" s="10"/>
      <c r="J421" s="24" t="s">
        <v>3308</v>
      </c>
      <c r="K421" s="11">
        <v>6</v>
      </c>
      <c r="L421" s="11">
        <v>18</v>
      </c>
      <c r="M421" s="8" t="s">
        <v>23</v>
      </c>
      <c r="N421" s="11">
        <v>1</v>
      </c>
      <c r="O421" s="11"/>
      <c r="P421" s="11"/>
      <c r="Q421" s="8" t="s">
        <v>103</v>
      </c>
      <c r="R421" s="11"/>
      <c r="S421" s="11"/>
      <c r="T421" s="11"/>
      <c r="U421" s="11"/>
      <c r="V421" s="11"/>
      <c r="W421" s="83" t="str">
        <f t="shared" si="1086"/>
        <v>НБИбд</v>
      </c>
      <c r="X421" s="110" t="s">
        <v>3241</v>
      </c>
      <c r="Y421" s="11">
        <v>2</v>
      </c>
      <c r="Z421" s="11">
        <v>1</v>
      </c>
      <c r="AA421" s="83">
        <f t="shared" si="35"/>
        <v>32</v>
      </c>
      <c r="AB421" s="11">
        <v>30</v>
      </c>
      <c r="AC421" s="12">
        <v>2</v>
      </c>
      <c r="AD421" s="81">
        <f t="shared" si="1087"/>
        <v>32</v>
      </c>
      <c r="AE421" s="82">
        <f t="shared" si="36"/>
        <v>1</v>
      </c>
      <c r="AF421" s="82">
        <f t="shared" si="37"/>
        <v>1</v>
      </c>
      <c r="AG421" s="102" t="s">
        <v>3250</v>
      </c>
      <c r="AH421" s="113" t="s">
        <v>201</v>
      </c>
      <c r="AI421" s="113" t="s">
        <v>213</v>
      </c>
      <c r="AJ421" s="121" t="s">
        <v>3260</v>
      </c>
      <c r="AK421" s="8"/>
      <c r="AL421" s="42">
        <f t="shared" si="1088"/>
        <v>18</v>
      </c>
      <c r="AM421" s="42">
        <f t="shared" si="1098"/>
        <v>0</v>
      </c>
      <c r="AN421" s="42">
        <f t="shared" si="1099"/>
        <v>0</v>
      </c>
      <c r="AO421" s="42">
        <f t="shared" si="1084"/>
        <v>10.56</v>
      </c>
      <c r="AP421" s="42">
        <f t="shared" si="1100"/>
        <v>16</v>
      </c>
      <c r="AQ421" s="42">
        <f t="shared" si="1101"/>
        <v>1</v>
      </c>
      <c r="AR421" s="42">
        <f t="shared" si="1089"/>
        <v>0.9</v>
      </c>
      <c r="AS421" s="42">
        <f t="shared" si="1102"/>
        <v>0</v>
      </c>
      <c r="AT421" s="42">
        <f t="shared" si="1103"/>
        <v>0</v>
      </c>
      <c r="AU421" s="42">
        <f t="shared" si="1104"/>
        <v>0</v>
      </c>
      <c r="AV421" s="42">
        <f>IF(M421="ПП",РПП*AA421*(U421/1.5),IF(M421="ВП",ВПр*AA421*(U421/1.5),IF(M421="РПА",РПА*AA421*(U421/1.5),IF(M421="КПА",КПА*AA421*(U421/1.5),0))))</f>
        <v>0</v>
      </c>
      <c r="AW421" s="42">
        <f t="shared" si="1105"/>
        <v>0</v>
      </c>
      <c r="AX421" s="42">
        <f t="shared" si="1090"/>
        <v>0</v>
      </c>
      <c r="AY421" s="42">
        <f t="shared" si="1091"/>
        <v>0</v>
      </c>
      <c r="AZ421" s="42">
        <f t="shared" si="1106"/>
        <v>0</v>
      </c>
      <c r="BA421" s="42">
        <f t="shared" si="1092"/>
        <v>0</v>
      </c>
      <c r="BB421" s="42">
        <f t="shared" si="1093"/>
        <v>0</v>
      </c>
      <c r="BC421" s="42">
        <f t="shared" si="1094"/>
        <v>0</v>
      </c>
      <c r="BD421" s="42">
        <f t="shared" si="1107"/>
        <v>0</v>
      </c>
      <c r="BE421" s="43">
        <f t="shared" si="1108"/>
        <v>46.46</v>
      </c>
      <c r="BF421" s="44"/>
      <c r="BG421" s="45">
        <f t="shared" si="1109"/>
        <v>0</v>
      </c>
      <c r="BH421" s="45">
        <f t="shared" si="1110"/>
        <v>0</v>
      </c>
      <c r="BI421" s="45">
        <f t="shared" si="1111"/>
        <v>0</v>
      </c>
      <c r="BJ421" s="46">
        <f t="shared" si="1095"/>
        <v>18</v>
      </c>
      <c r="BK421" s="46">
        <f t="shared" si="1096"/>
        <v>0.5</v>
      </c>
      <c r="BL421" s="46">
        <f t="shared" si="1097"/>
        <v>28.46</v>
      </c>
    </row>
    <row r="422" spans="1:64" ht="30" customHeight="1" x14ac:dyDescent="0.25">
      <c r="A422" s="84" t="str">
        <f t="shared" si="1085"/>
        <v>Д</v>
      </c>
      <c r="B422" s="84" t="str">
        <f t="shared" si="32"/>
        <v>Б</v>
      </c>
      <c r="C422" s="101" t="s">
        <v>1473</v>
      </c>
      <c r="D422" s="16" t="str">
        <f t="shared" si="33"/>
        <v>'38.03.05</v>
      </c>
      <c r="E422" s="17" t="str">
        <f t="shared" si="34"/>
        <v>Бизнес-информатика</v>
      </c>
      <c r="F422" s="9" t="s">
        <v>413</v>
      </c>
      <c r="G422" s="9" t="s">
        <v>42</v>
      </c>
      <c r="H422" s="10" t="s">
        <v>3233</v>
      </c>
      <c r="I422" s="10"/>
      <c r="J422" s="24" t="s">
        <v>3308</v>
      </c>
      <c r="K422" s="11">
        <v>6</v>
      </c>
      <c r="L422" s="11">
        <v>18</v>
      </c>
      <c r="M422" s="8" t="s">
        <v>94</v>
      </c>
      <c r="N422" s="11"/>
      <c r="O422" s="11">
        <v>2</v>
      </c>
      <c r="P422" s="11"/>
      <c r="Q422" s="8"/>
      <c r="R422" s="11"/>
      <c r="S422" s="11"/>
      <c r="T422" s="11"/>
      <c r="U422" s="11"/>
      <c r="V422" s="11"/>
      <c r="W422" s="83" t="str">
        <f t="shared" si="1086"/>
        <v>НБИбд</v>
      </c>
      <c r="X422" s="110" t="s">
        <v>3241</v>
      </c>
      <c r="Y422" s="11">
        <v>1</v>
      </c>
      <c r="Z422" s="11">
        <v>1</v>
      </c>
      <c r="AA422" s="83">
        <f t="shared" si="35"/>
        <v>16</v>
      </c>
      <c r="AB422" s="11">
        <v>15</v>
      </c>
      <c r="AC422" s="11">
        <v>1</v>
      </c>
      <c r="AD422" s="81">
        <f t="shared" si="1087"/>
        <v>12</v>
      </c>
      <c r="AE422" s="82">
        <f t="shared" si="36"/>
        <v>1</v>
      </c>
      <c r="AF422" s="82">
        <f t="shared" si="37"/>
        <v>1.3333333333333333</v>
      </c>
      <c r="AG422" s="102" t="s">
        <v>3250</v>
      </c>
      <c r="AH422" s="113" t="s">
        <v>201</v>
      </c>
      <c r="AI422" s="113" t="s">
        <v>213</v>
      </c>
      <c r="AJ422" s="121" t="s">
        <v>3260</v>
      </c>
      <c r="AK422" s="8"/>
      <c r="AL422" s="42">
        <f t="shared" si="1088"/>
        <v>0</v>
      </c>
      <c r="AM422" s="42">
        <f t="shared" si="1098"/>
        <v>0</v>
      </c>
      <c r="AN422" s="42">
        <f t="shared" si="1099"/>
        <v>36</v>
      </c>
      <c r="AO422" s="42">
        <f t="shared" si="1084"/>
        <v>0</v>
      </c>
      <c r="AP422" s="42">
        <f t="shared" si="1100"/>
        <v>0</v>
      </c>
      <c r="AQ422" s="42">
        <f t="shared" si="1101"/>
        <v>0</v>
      </c>
      <c r="AR422" s="42">
        <f t="shared" si="1089"/>
        <v>0</v>
      </c>
      <c r="AS422" s="42">
        <f t="shared" si="1102"/>
        <v>0</v>
      </c>
      <c r="AT422" s="42">
        <f t="shared" si="1103"/>
        <v>0</v>
      </c>
      <c r="AU422" s="42">
        <f t="shared" si="1104"/>
        <v>0</v>
      </c>
      <c r="AV422" s="42">
        <f>IF(M422="ПП",РПП*AA422*(U422/1.5),IF(M422="ВП",ВПр*AA422*(U422/1.5),IF(M422="РПА",РПА*AA422*(U422/1.5),IF(M422="КПА",КПА*AA422*(U422/1.5),0))))</f>
        <v>0</v>
      </c>
      <c r="AW422" s="42">
        <f t="shared" si="1105"/>
        <v>0</v>
      </c>
      <c r="AX422" s="42">
        <f t="shared" si="1090"/>
        <v>0</v>
      </c>
      <c r="AY422" s="42">
        <f t="shared" si="1091"/>
        <v>0</v>
      </c>
      <c r="AZ422" s="42">
        <f t="shared" si="1106"/>
        <v>0</v>
      </c>
      <c r="BA422" s="42">
        <f t="shared" si="1092"/>
        <v>0</v>
      </c>
      <c r="BB422" s="42">
        <f t="shared" si="1093"/>
        <v>0</v>
      </c>
      <c r="BC422" s="42">
        <f t="shared" si="1094"/>
        <v>0</v>
      </c>
      <c r="BD422" s="42">
        <f t="shared" si="1107"/>
        <v>0</v>
      </c>
      <c r="BE422" s="43">
        <f t="shared" si="1108"/>
        <v>36</v>
      </c>
      <c r="BF422" s="44"/>
      <c r="BG422" s="45">
        <f t="shared" si="1109"/>
        <v>0</v>
      </c>
      <c r="BH422" s="45">
        <f t="shared" si="1110"/>
        <v>0</v>
      </c>
      <c r="BI422" s="45">
        <f t="shared" si="1111"/>
        <v>0</v>
      </c>
      <c r="BJ422" s="46">
        <f t="shared" si="1095"/>
        <v>36</v>
      </c>
      <c r="BK422" s="46">
        <f t="shared" si="1096"/>
        <v>1</v>
      </c>
      <c r="BL422" s="46">
        <f t="shared" si="1097"/>
        <v>0</v>
      </c>
    </row>
    <row r="423" spans="1:64" ht="30" customHeight="1" x14ac:dyDescent="0.25">
      <c r="A423" s="84" t="str">
        <f t="shared" si="1085"/>
        <v>Д</v>
      </c>
      <c r="B423" s="84" t="str">
        <f t="shared" si="32"/>
        <v>Б</v>
      </c>
      <c r="C423" s="101" t="s">
        <v>1473</v>
      </c>
      <c r="D423" s="16" t="str">
        <f t="shared" si="33"/>
        <v>'38.03.05</v>
      </c>
      <c r="E423" s="17" t="str">
        <f t="shared" si="34"/>
        <v>Бизнес-информатика</v>
      </c>
      <c r="F423" s="9" t="s">
        <v>413</v>
      </c>
      <c r="G423" s="9" t="s">
        <v>42</v>
      </c>
      <c r="H423" s="10" t="s">
        <v>3233</v>
      </c>
      <c r="I423" s="10"/>
      <c r="J423" s="24" t="s">
        <v>3308</v>
      </c>
      <c r="K423" s="11">
        <v>6</v>
      </c>
      <c r="L423" s="11">
        <v>18</v>
      </c>
      <c r="M423" s="8" t="s">
        <v>94</v>
      </c>
      <c r="N423" s="11"/>
      <c r="O423" s="11">
        <v>2</v>
      </c>
      <c r="P423" s="11"/>
      <c r="Q423" s="8"/>
      <c r="R423" s="11"/>
      <c r="S423" s="11"/>
      <c r="T423" s="11"/>
      <c r="U423" s="11"/>
      <c r="V423" s="11"/>
      <c r="W423" s="83" t="str">
        <f t="shared" si="1086"/>
        <v>НБИбд</v>
      </c>
      <c r="X423" s="110" t="s">
        <v>3241</v>
      </c>
      <c r="Y423" s="11">
        <v>1</v>
      </c>
      <c r="Z423" s="11"/>
      <c r="AA423" s="83">
        <f t="shared" si="35"/>
        <v>16</v>
      </c>
      <c r="AB423" s="11">
        <v>15</v>
      </c>
      <c r="AC423" s="11">
        <v>1</v>
      </c>
      <c r="AD423" s="81">
        <f t="shared" si="1087"/>
        <v>12</v>
      </c>
      <c r="AE423" s="82">
        <f t="shared" si="36"/>
        <v>1</v>
      </c>
      <c r="AF423" s="82">
        <f t="shared" si="37"/>
        <v>1.3333333333333333</v>
      </c>
      <c r="AG423" s="102" t="s">
        <v>3250</v>
      </c>
      <c r="AH423" s="113" t="s">
        <v>201</v>
      </c>
      <c r="AI423" s="113" t="s">
        <v>213</v>
      </c>
      <c r="AJ423" s="121" t="s">
        <v>3260</v>
      </c>
      <c r="AK423" s="8"/>
      <c r="AL423" s="42">
        <f t="shared" si="1088"/>
        <v>0</v>
      </c>
      <c r="AM423" s="42">
        <f t="shared" si="1098"/>
        <v>0</v>
      </c>
      <c r="AN423" s="42">
        <f t="shared" si="1099"/>
        <v>36</v>
      </c>
      <c r="AO423" s="42">
        <f t="shared" si="1084"/>
        <v>0</v>
      </c>
      <c r="AP423" s="42">
        <f t="shared" si="1100"/>
        <v>0</v>
      </c>
      <c r="AQ423" s="42">
        <f t="shared" si="1101"/>
        <v>0</v>
      </c>
      <c r="AR423" s="42">
        <f t="shared" si="1089"/>
        <v>0</v>
      </c>
      <c r="AS423" s="42">
        <f t="shared" si="1102"/>
        <v>0</v>
      </c>
      <c r="AT423" s="42">
        <f t="shared" si="1103"/>
        <v>0</v>
      </c>
      <c r="AU423" s="42">
        <f t="shared" si="1104"/>
        <v>0</v>
      </c>
      <c r="AV423" s="42">
        <f>IF(M423="ПП",РПП*AA423*(U423/1.5),IF(M423="ВП",ВПр*AA423*(U423/1.5),IF(M423="РПА",РПА*AA423*(U423/1.5),IF(M423="КПА",КПА*AA423*(U423/1.5),0))))</f>
        <v>0</v>
      </c>
      <c r="AW423" s="42">
        <f t="shared" si="1105"/>
        <v>0</v>
      </c>
      <c r="AX423" s="42">
        <f t="shared" si="1090"/>
        <v>0</v>
      </c>
      <c r="AY423" s="42">
        <f t="shared" si="1091"/>
        <v>0</v>
      </c>
      <c r="AZ423" s="42">
        <f t="shared" si="1106"/>
        <v>0</v>
      </c>
      <c r="BA423" s="42">
        <f t="shared" si="1092"/>
        <v>0</v>
      </c>
      <c r="BB423" s="42">
        <f t="shared" si="1093"/>
        <v>0</v>
      </c>
      <c r="BC423" s="42">
        <f t="shared" si="1094"/>
        <v>0</v>
      </c>
      <c r="BD423" s="42">
        <f t="shared" si="1107"/>
        <v>0</v>
      </c>
      <c r="BE423" s="43">
        <f t="shared" si="1108"/>
        <v>36</v>
      </c>
      <c r="BF423" s="44"/>
      <c r="BG423" s="45">
        <f t="shared" si="1109"/>
        <v>0</v>
      </c>
      <c r="BH423" s="45">
        <f t="shared" si="1110"/>
        <v>0</v>
      </c>
      <c r="BI423" s="45">
        <f t="shared" si="1111"/>
        <v>0</v>
      </c>
      <c r="BJ423" s="46">
        <f t="shared" si="1095"/>
        <v>36</v>
      </c>
      <c r="BK423" s="46">
        <f t="shared" si="1096"/>
        <v>1</v>
      </c>
      <c r="BL423" s="46">
        <f t="shared" si="1097"/>
        <v>0</v>
      </c>
    </row>
    <row r="424" spans="1:64" ht="30" customHeight="1" x14ac:dyDescent="0.25">
      <c r="A424" s="84" t="str">
        <f t="shared" si="1085"/>
        <v>Д</v>
      </c>
      <c r="B424" s="84" t="str">
        <f t="shared" si="32"/>
        <v>Б</v>
      </c>
      <c r="C424" s="101" t="s">
        <v>1473</v>
      </c>
      <c r="D424" s="16" t="str">
        <f t="shared" si="33"/>
        <v>'38.03.05</v>
      </c>
      <c r="E424" s="17" t="str">
        <f t="shared" si="34"/>
        <v>Бизнес-информатика</v>
      </c>
      <c r="F424" s="9" t="s">
        <v>413</v>
      </c>
      <c r="G424" s="9" t="s">
        <v>42</v>
      </c>
      <c r="H424" s="10" t="s">
        <v>3233</v>
      </c>
      <c r="I424" s="10"/>
      <c r="J424" s="24" t="s">
        <v>3308</v>
      </c>
      <c r="K424" s="11">
        <v>6</v>
      </c>
      <c r="L424" s="11">
        <v>18</v>
      </c>
      <c r="M424" s="8" t="s">
        <v>94</v>
      </c>
      <c r="N424" s="11"/>
      <c r="O424" s="11">
        <v>2</v>
      </c>
      <c r="P424" s="11"/>
      <c r="Q424" s="8"/>
      <c r="R424" s="11"/>
      <c r="S424" s="11"/>
      <c r="T424" s="11"/>
      <c r="U424" s="11"/>
      <c r="V424" s="11"/>
      <c r="W424" s="83" t="str">
        <f t="shared" si="1086"/>
        <v>НБИбд</v>
      </c>
      <c r="X424" s="110" t="s">
        <v>3242</v>
      </c>
      <c r="Y424" s="11"/>
      <c r="Z424" s="11"/>
      <c r="AA424" s="83">
        <f t="shared" si="35"/>
        <v>0</v>
      </c>
      <c r="AB424" s="11"/>
      <c r="AC424" s="11"/>
      <c r="AD424" s="81">
        <f t="shared" si="1087"/>
        <v>12</v>
      </c>
      <c r="AE424" s="82">
        <f t="shared" si="36"/>
        <v>0</v>
      </c>
      <c r="AF424" s="82">
        <f t="shared" si="37"/>
        <v>0</v>
      </c>
      <c r="AG424" s="102" t="s">
        <v>3250</v>
      </c>
      <c r="AH424" s="113" t="s">
        <v>201</v>
      </c>
      <c r="AI424" s="113" t="s">
        <v>213</v>
      </c>
      <c r="AJ424" s="121" t="s">
        <v>3260</v>
      </c>
      <c r="AK424" s="8"/>
      <c r="AL424" s="42">
        <f t="shared" si="1088"/>
        <v>0</v>
      </c>
      <c r="AM424" s="42">
        <f t="shared" si="1098"/>
        <v>0</v>
      </c>
      <c r="AN424" s="42">
        <f t="shared" si="1099"/>
        <v>0</v>
      </c>
      <c r="AO424" s="42">
        <f t="shared" si="1084"/>
        <v>0</v>
      </c>
      <c r="AP424" s="42">
        <f t="shared" si="1100"/>
        <v>0</v>
      </c>
      <c r="AQ424" s="42">
        <f t="shared" si="1101"/>
        <v>0</v>
      </c>
      <c r="AR424" s="42">
        <f t="shared" si="1089"/>
        <v>0</v>
      </c>
      <c r="AS424" s="42">
        <f t="shared" si="1102"/>
        <v>0</v>
      </c>
      <c r="AT424" s="42">
        <f t="shared" si="1103"/>
        <v>0</v>
      </c>
      <c r="AU424" s="42">
        <f t="shared" si="1104"/>
        <v>0</v>
      </c>
      <c r="AV424" s="42">
        <f>IF(M424="ПП",РПП*AA424*(U424/1.5),IF(M424="ВП",ВПр*AA424*(U424/1.5),IF(M424="РПА",РПА*AA424*(U424/1.5),IF(M424="КПА",КПА*AA424*(U424/1.5),0))))</f>
        <v>0</v>
      </c>
      <c r="AW424" s="42">
        <f t="shared" si="1105"/>
        <v>0</v>
      </c>
      <c r="AX424" s="42">
        <f t="shared" si="1090"/>
        <v>0</v>
      </c>
      <c r="AY424" s="42">
        <f t="shared" si="1091"/>
        <v>0</v>
      </c>
      <c r="AZ424" s="42">
        <f t="shared" si="1106"/>
        <v>0</v>
      </c>
      <c r="BA424" s="42">
        <f t="shared" si="1092"/>
        <v>0</v>
      </c>
      <c r="BB424" s="42">
        <f t="shared" si="1093"/>
        <v>0</v>
      </c>
      <c r="BC424" s="42">
        <f t="shared" si="1094"/>
        <v>0</v>
      </c>
      <c r="BD424" s="42">
        <f t="shared" si="1107"/>
        <v>0</v>
      </c>
      <c r="BE424" s="43">
        <f t="shared" si="1108"/>
        <v>0</v>
      </c>
      <c r="BF424" s="44"/>
      <c r="BG424" s="45">
        <f t="shared" si="1109"/>
        <v>0</v>
      </c>
      <c r="BH424" s="45">
        <f t="shared" si="1110"/>
        <v>0</v>
      </c>
      <c r="BI424" s="45">
        <f t="shared" si="1111"/>
        <v>0</v>
      </c>
      <c r="BJ424" s="46">
        <f t="shared" si="1095"/>
        <v>0</v>
      </c>
      <c r="BK424" s="46">
        <f t="shared" si="1096"/>
        <v>0</v>
      </c>
      <c r="BL424" s="46">
        <f t="shared" si="1097"/>
        <v>0</v>
      </c>
    </row>
    <row r="425" spans="1:64" ht="30" customHeight="1" x14ac:dyDescent="0.25">
      <c r="A425" s="84" t="str">
        <f t="shared" si="1085"/>
        <v>Д</v>
      </c>
      <c r="B425" s="84" t="str">
        <f t="shared" si="32"/>
        <v>Б</v>
      </c>
      <c r="C425" s="101" t="s">
        <v>1473</v>
      </c>
      <c r="D425" s="16" t="str">
        <f t="shared" si="33"/>
        <v>'38.03.05</v>
      </c>
      <c r="E425" s="17" t="str">
        <f t="shared" si="34"/>
        <v>Бизнес-информатика</v>
      </c>
      <c r="F425" s="9" t="s">
        <v>413</v>
      </c>
      <c r="G425" s="9" t="s">
        <v>42</v>
      </c>
      <c r="H425" s="10" t="s">
        <v>3233</v>
      </c>
      <c r="I425" s="10"/>
      <c r="J425" s="24" t="s">
        <v>3308</v>
      </c>
      <c r="K425" s="11">
        <v>6</v>
      </c>
      <c r="L425" s="11">
        <v>18</v>
      </c>
      <c r="M425" s="8" t="s">
        <v>94</v>
      </c>
      <c r="N425" s="11"/>
      <c r="O425" s="11">
        <v>2</v>
      </c>
      <c r="P425" s="11"/>
      <c r="Q425" s="8"/>
      <c r="R425" s="11"/>
      <c r="S425" s="11"/>
      <c r="T425" s="11"/>
      <c r="U425" s="11"/>
      <c r="V425" s="11"/>
      <c r="W425" s="83" t="str">
        <f t="shared" si="1086"/>
        <v>НБИбд</v>
      </c>
      <c r="X425" s="110" t="s">
        <v>3242</v>
      </c>
      <c r="Y425" s="11"/>
      <c r="Z425" s="11"/>
      <c r="AA425" s="83">
        <f t="shared" si="35"/>
        <v>0</v>
      </c>
      <c r="AB425" s="11"/>
      <c r="AC425" s="11"/>
      <c r="AD425" s="81">
        <f t="shared" si="1087"/>
        <v>12</v>
      </c>
      <c r="AE425" s="82">
        <f t="shared" si="36"/>
        <v>0</v>
      </c>
      <c r="AF425" s="82">
        <f t="shared" si="37"/>
        <v>0</v>
      </c>
      <c r="AG425" s="102" t="s">
        <v>3250</v>
      </c>
      <c r="AH425" s="113" t="s">
        <v>201</v>
      </c>
      <c r="AI425" s="113" t="s">
        <v>213</v>
      </c>
      <c r="AJ425" s="121" t="s">
        <v>3260</v>
      </c>
      <c r="AK425" s="8"/>
      <c r="AL425" s="42">
        <f t="shared" si="1088"/>
        <v>0</v>
      </c>
      <c r="AM425" s="42">
        <f t="shared" si="1098"/>
        <v>0</v>
      </c>
      <c r="AN425" s="42">
        <f t="shared" si="1099"/>
        <v>0</v>
      </c>
      <c r="AO425" s="42">
        <f t="shared" si="1084"/>
        <v>0</v>
      </c>
      <c r="AP425" s="42">
        <f t="shared" si="1100"/>
        <v>0</v>
      </c>
      <c r="AQ425" s="42">
        <f t="shared" si="1101"/>
        <v>0</v>
      </c>
      <c r="AR425" s="42">
        <f t="shared" si="1089"/>
        <v>0</v>
      </c>
      <c r="AS425" s="42">
        <f t="shared" si="1102"/>
        <v>0</v>
      </c>
      <c r="AT425" s="42">
        <f t="shared" si="1103"/>
        <v>0</v>
      </c>
      <c r="AU425" s="42">
        <f t="shared" si="1104"/>
        <v>0</v>
      </c>
      <c r="AV425" s="42">
        <f>IF(M425="ПП",РПП*AA425*(U425/1.5),IF(M425="ВП",ВПр*AA425*(U425/1.5),IF(M425="РПА",РПА*AA425*(U425/1.5),IF(M425="КПА",КПА*AA425*(U425/1.5),0))))</f>
        <v>0</v>
      </c>
      <c r="AW425" s="42">
        <f t="shared" si="1105"/>
        <v>0</v>
      </c>
      <c r="AX425" s="42">
        <f t="shared" si="1090"/>
        <v>0</v>
      </c>
      <c r="AY425" s="42">
        <f t="shared" si="1091"/>
        <v>0</v>
      </c>
      <c r="AZ425" s="42">
        <f t="shared" si="1106"/>
        <v>0</v>
      </c>
      <c r="BA425" s="42">
        <f t="shared" si="1092"/>
        <v>0</v>
      </c>
      <c r="BB425" s="42">
        <f t="shared" si="1093"/>
        <v>0</v>
      </c>
      <c r="BC425" s="42">
        <f t="shared" si="1094"/>
        <v>0</v>
      </c>
      <c r="BD425" s="42">
        <f t="shared" si="1107"/>
        <v>0</v>
      </c>
      <c r="BE425" s="43">
        <f t="shared" si="1108"/>
        <v>0</v>
      </c>
      <c r="BF425" s="44"/>
      <c r="BG425" s="45">
        <f t="shared" si="1109"/>
        <v>0</v>
      </c>
      <c r="BH425" s="45">
        <f t="shared" si="1110"/>
        <v>0</v>
      </c>
      <c r="BI425" s="45">
        <f t="shared" si="1111"/>
        <v>0</v>
      </c>
      <c r="BJ425" s="46">
        <f t="shared" si="1095"/>
        <v>0</v>
      </c>
      <c r="BK425" s="46">
        <f t="shared" si="1096"/>
        <v>0</v>
      </c>
      <c r="BL425" s="46">
        <f t="shared" si="1097"/>
        <v>0</v>
      </c>
    </row>
    <row r="426" spans="1:64" ht="30" customHeight="1" x14ac:dyDescent="0.25">
      <c r="A426" s="84" t="str">
        <f t="shared" si="1085"/>
        <v>Д</v>
      </c>
      <c r="B426" s="84" t="str">
        <f t="shared" si="32"/>
        <v>Б</v>
      </c>
      <c r="C426" s="101" t="s">
        <v>1473</v>
      </c>
      <c r="D426" s="16" t="str">
        <f t="shared" si="33"/>
        <v>'38.03.05</v>
      </c>
      <c r="E426" s="17" t="str">
        <f t="shared" si="34"/>
        <v>Бизнес-информатика</v>
      </c>
      <c r="F426" s="9" t="s">
        <v>413</v>
      </c>
      <c r="G426" s="9" t="s">
        <v>503</v>
      </c>
      <c r="H426" s="10" t="s">
        <v>3233</v>
      </c>
      <c r="I426" s="10" t="s">
        <v>3231</v>
      </c>
      <c r="J426" s="24" t="s">
        <v>3213</v>
      </c>
      <c r="K426" s="11">
        <v>6</v>
      </c>
      <c r="L426" s="11">
        <v>18</v>
      </c>
      <c r="M426" s="8" t="s">
        <v>23</v>
      </c>
      <c r="N426" s="11">
        <v>1</v>
      </c>
      <c r="O426" s="11"/>
      <c r="P426" s="11"/>
      <c r="Q426" s="8"/>
      <c r="R426" s="12"/>
      <c r="S426" s="12"/>
      <c r="T426" s="12"/>
      <c r="U426" s="12"/>
      <c r="V426" s="12"/>
      <c r="W426" s="83" t="str">
        <f t="shared" si="1086"/>
        <v>НБИбд</v>
      </c>
      <c r="X426" s="110" t="s">
        <v>3241</v>
      </c>
      <c r="Y426" s="11">
        <v>2</v>
      </c>
      <c r="Z426" s="11">
        <v>1</v>
      </c>
      <c r="AA426" s="83">
        <f>AB426+AC426</f>
        <v>16</v>
      </c>
      <c r="AB426" s="11">
        <v>15</v>
      </c>
      <c r="AC426" s="11">
        <v>1</v>
      </c>
      <c r="AD426" s="81">
        <f t="shared" si="1087"/>
        <v>16</v>
      </c>
      <c r="AE426" s="82">
        <f t="shared" si="36"/>
        <v>1</v>
      </c>
      <c r="AF426" s="82">
        <f t="shared" si="37"/>
        <v>1</v>
      </c>
      <c r="AG426" s="102" t="s">
        <v>3250</v>
      </c>
      <c r="AH426" s="113" t="s">
        <v>204</v>
      </c>
      <c r="AI426" s="113" t="s">
        <v>213</v>
      </c>
      <c r="AJ426" s="126" t="s">
        <v>3263</v>
      </c>
      <c r="AK426" s="8"/>
      <c r="AL426" s="42">
        <f t="shared" si="1088"/>
        <v>18</v>
      </c>
      <c r="AM426" s="42">
        <f t="shared" si="1098"/>
        <v>0</v>
      </c>
      <c r="AN426" s="42">
        <f t="shared" si="1099"/>
        <v>0</v>
      </c>
      <c r="AO426" s="42">
        <f t="shared" si="1084"/>
        <v>0</v>
      </c>
      <c r="AP426" s="42">
        <f t="shared" si="1100"/>
        <v>0</v>
      </c>
      <c r="AQ426" s="42">
        <f t="shared" si="1101"/>
        <v>0</v>
      </c>
      <c r="AR426" s="42">
        <f t="shared" si="1089"/>
        <v>0.9</v>
      </c>
      <c r="AS426" s="42">
        <f t="shared" si="1102"/>
        <v>0</v>
      </c>
      <c r="AT426" s="42">
        <f t="shared" si="1103"/>
        <v>0</v>
      </c>
      <c r="AU426" s="42">
        <f t="shared" si="1104"/>
        <v>0</v>
      </c>
      <c r="AV426" s="42">
        <f>IF(M426="ПП",РПП*AA426*(U426/1.5),IF(M426="ВП",ВПр*AA426*(U426/1.5),IF(M426="РПА",РПА*AA426*(U426/1.5),IF(M426="КПА",КПА*AA426*(U426/1.5),0))))</f>
        <v>0</v>
      </c>
      <c r="AW426" s="42">
        <f>IF(M426="НР",(AB426*НИРМ+AC426*НИРМИн)*(V426/1.5),IF(M426="НИ",(AB426*НИРА+AC426*НИРАИ)*(V426/1.5),0))</f>
        <v>0</v>
      </c>
      <c r="AX426" s="42">
        <f t="shared" si="1090"/>
        <v>0</v>
      </c>
      <c r="AY426" s="42">
        <f t="shared" si="1091"/>
        <v>0</v>
      </c>
      <c r="AZ426" s="42">
        <f t="shared" si="1106"/>
        <v>0</v>
      </c>
      <c r="BA426" s="42">
        <f t="shared" si="1092"/>
        <v>0</v>
      </c>
      <c r="BB426" s="42">
        <f t="shared" si="1093"/>
        <v>0</v>
      </c>
      <c r="BC426" s="42">
        <f t="shared" si="1094"/>
        <v>0</v>
      </c>
      <c r="BD426" s="42">
        <f t="shared" si="1107"/>
        <v>0</v>
      </c>
      <c r="BE426" s="43">
        <f t="shared" si="1108"/>
        <v>18.899999999999999</v>
      </c>
      <c r="BF426" s="44"/>
      <c r="BG426" s="45">
        <f t="shared" si="1109"/>
        <v>0</v>
      </c>
      <c r="BH426" s="45">
        <f t="shared" si="1110"/>
        <v>0</v>
      </c>
      <c r="BI426" s="45">
        <f t="shared" si="1111"/>
        <v>0</v>
      </c>
      <c r="BJ426" s="46">
        <f t="shared" si="1095"/>
        <v>18</v>
      </c>
      <c r="BK426" s="46">
        <f t="shared" si="1096"/>
        <v>0.5</v>
      </c>
      <c r="BL426" s="46">
        <f t="shared" si="1097"/>
        <v>0.9</v>
      </c>
    </row>
    <row r="427" spans="1:64" ht="30" customHeight="1" x14ac:dyDescent="0.25">
      <c r="A427" s="84" t="str">
        <f t="shared" si="1085"/>
        <v>Д</v>
      </c>
      <c r="B427" s="84" t="str">
        <f t="shared" si="32"/>
        <v>Б</v>
      </c>
      <c r="C427" s="101" t="s">
        <v>1473</v>
      </c>
      <c r="D427" s="16" t="str">
        <f t="shared" si="33"/>
        <v>'38.03.05</v>
      </c>
      <c r="E427" s="17" t="str">
        <f t="shared" si="34"/>
        <v>Бизнес-информатика</v>
      </c>
      <c r="F427" s="9" t="s">
        <v>413</v>
      </c>
      <c r="G427" s="9" t="s">
        <v>503</v>
      </c>
      <c r="H427" s="10" t="s">
        <v>3233</v>
      </c>
      <c r="I427" s="10" t="s">
        <v>3231</v>
      </c>
      <c r="J427" s="24" t="s">
        <v>3213</v>
      </c>
      <c r="K427" s="11">
        <v>6</v>
      </c>
      <c r="L427" s="11">
        <v>18</v>
      </c>
      <c r="M427" s="8" t="s">
        <v>94</v>
      </c>
      <c r="N427" s="11"/>
      <c r="O427" s="11">
        <v>2</v>
      </c>
      <c r="P427" s="11"/>
      <c r="Q427" s="8" t="s">
        <v>102</v>
      </c>
      <c r="R427" s="11"/>
      <c r="S427" s="11"/>
      <c r="T427" s="23"/>
      <c r="U427" s="11"/>
      <c r="V427" s="11"/>
      <c r="W427" s="83" t="str">
        <f t="shared" si="1086"/>
        <v>НБИбд</v>
      </c>
      <c r="X427" s="110" t="s">
        <v>3241</v>
      </c>
      <c r="Y427" s="11">
        <v>1</v>
      </c>
      <c r="Z427" s="11">
        <v>1</v>
      </c>
      <c r="AA427" s="83">
        <f>AB427+AC427</f>
        <v>8</v>
      </c>
      <c r="AB427" s="11">
        <v>7</v>
      </c>
      <c r="AC427" s="11">
        <v>1</v>
      </c>
      <c r="AD427" s="81">
        <f t="shared" si="1087"/>
        <v>12</v>
      </c>
      <c r="AE427" s="82">
        <f t="shared" si="36"/>
        <v>0.66666666666666663</v>
      </c>
      <c r="AF427" s="82">
        <f t="shared" si="37"/>
        <v>0.66666666666666663</v>
      </c>
      <c r="AG427" s="102" t="s">
        <v>3250</v>
      </c>
      <c r="AH427" s="113" t="s">
        <v>203</v>
      </c>
      <c r="AI427" s="113" t="s">
        <v>213</v>
      </c>
      <c r="AJ427" s="134" t="s">
        <v>3264</v>
      </c>
      <c r="AK427" s="8"/>
      <c r="AL427" s="42">
        <f t="shared" si="1088"/>
        <v>0</v>
      </c>
      <c r="AM427" s="42">
        <f t="shared" si="1098"/>
        <v>0</v>
      </c>
      <c r="AN427" s="42">
        <f t="shared" si="1099"/>
        <v>24</v>
      </c>
      <c r="AO427" s="42">
        <f t="shared" si="1084"/>
        <v>2.64</v>
      </c>
      <c r="AP427" s="42">
        <f t="shared" si="1100"/>
        <v>4</v>
      </c>
      <c r="AQ427" s="42">
        <f t="shared" si="1101"/>
        <v>1</v>
      </c>
      <c r="AR427" s="42">
        <f t="shared" si="1089"/>
        <v>0</v>
      </c>
      <c r="AS427" s="42">
        <f t="shared" si="1102"/>
        <v>0</v>
      </c>
      <c r="AT427" s="42">
        <f t="shared" si="1103"/>
        <v>0</v>
      </c>
      <c r="AU427" s="42">
        <f t="shared" si="1104"/>
        <v>0</v>
      </c>
      <c r="AV427" s="42">
        <f>IF(M427="ПП",РПП*AA427*(U427/1.5),IF(M427="ВП",ВПр*AA427*(U427/1.5),IF(M427="РПА",РПА*AA427*(U427/1.5),IF(M427="КПА",КПА*AA427*(U427/1.5),0))))</f>
        <v>0</v>
      </c>
      <c r="AW427" s="42">
        <f>IF(M427="НР",(AB427*НИРМ+AC427*НИРМИн)*(V427/1.5),IF(M427="НИ",(AB427*НИРА+AC427*НИРАИ)*(V427/1.5),0))</f>
        <v>0</v>
      </c>
      <c r="AX427" s="42">
        <f t="shared" si="1090"/>
        <v>0</v>
      </c>
      <c r="AY427" s="42">
        <f t="shared" si="1091"/>
        <v>0</v>
      </c>
      <c r="AZ427" s="42">
        <f t="shared" si="1106"/>
        <v>0</v>
      </c>
      <c r="BA427" s="42">
        <f t="shared" si="1092"/>
        <v>0</v>
      </c>
      <c r="BB427" s="42">
        <f t="shared" si="1093"/>
        <v>0</v>
      </c>
      <c r="BC427" s="42">
        <f t="shared" si="1094"/>
        <v>0</v>
      </c>
      <c r="BD427" s="42">
        <f t="shared" si="1107"/>
        <v>0</v>
      </c>
      <c r="BE427" s="43">
        <f t="shared" si="1108"/>
        <v>31.64</v>
      </c>
      <c r="BF427" s="44"/>
      <c r="BG427" s="45">
        <f t="shared" si="1109"/>
        <v>0</v>
      </c>
      <c r="BH427" s="45">
        <f t="shared" si="1110"/>
        <v>0</v>
      </c>
      <c r="BI427" s="45">
        <f t="shared" si="1111"/>
        <v>0</v>
      </c>
      <c r="BJ427" s="46">
        <f t="shared" si="1095"/>
        <v>24</v>
      </c>
      <c r="BK427" s="46">
        <f t="shared" si="1096"/>
        <v>1</v>
      </c>
      <c r="BL427" s="46">
        <f t="shared" si="1097"/>
        <v>7.6400000000000006</v>
      </c>
    </row>
    <row r="428" spans="1:64" ht="30" customHeight="1" x14ac:dyDescent="0.25">
      <c r="A428" s="84" t="str">
        <f t="shared" si="1085"/>
        <v>Д</v>
      </c>
      <c r="B428" s="84" t="str">
        <f t="shared" si="32"/>
        <v>Б</v>
      </c>
      <c r="C428" s="101" t="s">
        <v>1473</v>
      </c>
      <c r="D428" s="16" t="str">
        <f t="shared" si="33"/>
        <v>'38.03.05</v>
      </c>
      <c r="E428" s="17" t="str">
        <f t="shared" si="34"/>
        <v>Бизнес-информатика</v>
      </c>
      <c r="F428" s="9" t="s">
        <v>413</v>
      </c>
      <c r="G428" s="9" t="s">
        <v>503</v>
      </c>
      <c r="H428" s="10" t="s">
        <v>3233</v>
      </c>
      <c r="I428" s="10" t="s">
        <v>3231</v>
      </c>
      <c r="J428" s="24" t="s">
        <v>3213</v>
      </c>
      <c r="K428" s="11">
        <v>6</v>
      </c>
      <c r="L428" s="11">
        <v>18</v>
      </c>
      <c r="M428" s="8" t="s">
        <v>94</v>
      </c>
      <c r="N428" s="12"/>
      <c r="O428" s="11">
        <v>2</v>
      </c>
      <c r="P428" s="12"/>
      <c r="Q428" s="8" t="s">
        <v>102</v>
      </c>
      <c r="R428" s="11"/>
      <c r="S428" s="11"/>
      <c r="T428" s="23"/>
      <c r="U428" s="11"/>
      <c r="V428" s="11"/>
      <c r="W428" s="83" t="str">
        <f t="shared" si="1086"/>
        <v>НБИбд</v>
      </c>
      <c r="X428" s="110" t="s">
        <v>3241</v>
      </c>
      <c r="Y428" s="11">
        <v>1</v>
      </c>
      <c r="Z428" s="11">
        <v>1</v>
      </c>
      <c r="AA428" s="83">
        <f t="shared" si="35"/>
        <v>8</v>
      </c>
      <c r="AB428" s="11">
        <v>8</v>
      </c>
      <c r="AC428" s="11"/>
      <c r="AD428" s="81">
        <f t="shared" si="1087"/>
        <v>12</v>
      </c>
      <c r="AE428" s="82">
        <f t="shared" si="36"/>
        <v>0.66666666666666663</v>
      </c>
      <c r="AF428" s="82">
        <f t="shared" si="37"/>
        <v>0.66666666666666663</v>
      </c>
      <c r="AG428" s="102" t="s">
        <v>3250</v>
      </c>
      <c r="AH428" s="113" t="s">
        <v>203</v>
      </c>
      <c r="AI428" s="113" t="s">
        <v>213</v>
      </c>
      <c r="AJ428" s="134" t="s">
        <v>3264</v>
      </c>
      <c r="AK428" s="8"/>
      <c r="AL428" s="42">
        <f t="shared" si="1088"/>
        <v>0</v>
      </c>
      <c r="AM428" s="42">
        <f t="shared" si="1098"/>
        <v>0</v>
      </c>
      <c r="AN428" s="42">
        <f t="shared" si="1099"/>
        <v>24</v>
      </c>
      <c r="AO428" s="42">
        <f t="shared" si="1084"/>
        <v>2.64</v>
      </c>
      <c r="AP428" s="42">
        <f t="shared" si="1100"/>
        <v>4</v>
      </c>
      <c r="AQ428" s="42">
        <f t="shared" si="1101"/>
        <v>1</v>
      </c>
      <c r="AR428" s="42">
        <f t="shared" si="1089"/>
        <v>0</v>
      </c>
      <c r="AS428" s="42">
        <f t="shared" si="1102"/>
        <v>0</v>
      </c>
      <c r="AT428" s="42">
        <f t="shared" si="1103"/>
        <v>0</v>
      </c>
      <c r="AU428" s="42">
        <f t="shared" si="1104"/>
        <v>0</v>
      </c>
      <c r="AV428" s="42">
        <f>IF(M428="ПП",РПП*AA428*(U428/1.5),IF(M428="ВП",ВПр*AA428*(U428/1.5),IF(M428="РПА",РПА*AA428*(U428/1.5),IF(M428="КПА",КПА*AA428*(U428/1.5),0))))</f>
        <v>0</v>
      </c>
      <c r="AW428" s="42">
        <f t="shared" si="1105"/>
        <v>0</v>
      </c>
      <c r="AX428" s="42">
        <f t="shared" si="1090"/>
        <v>0</v>
      </c>
      <c r="AY428" s="42">
        <f t="shared" si="1091"/>
        <v>0</v>
      </c>
      <c r="AZ428" s="42">
        <f t="shared" si="1106"/>
        <v>0</v>
      </c>
      <c r="BA428" s="42">
        <f t="shared" si="1092"/>
        <v>0</v>
      </c>
      <c r="BB428" s="42">
        <f t="shared" si="1093"/>
        <v>0</v>
      </c>
      <c r="BC428" s="42">
        <f t="shared" si="1094"/>
        <v>0</v>
      </c>
      <c r="BD428" s="42">
        <f t="shared" si="1107"/>
        <v>0</v>
      </c>
      <c r="BE428" s="43">
        <f t="shared" si="1108"/>
        <v>31.64</v>
      </c>
      <c r="BF428" s="44"/>
      <c r="BG428" s="45">
        <f t="shared" si="1109"/>
        <v>0</v>
      </c>
      <c r="BH428" s="45">
        <f t="shared" si="1110"/>
        <v>0</v>
      </c>
      <c r="BI428" s="45">
        <f t="shared" si="1111"/>
        <v>0</v>
      </c>
      <c r="BJ428" s="46">
        <f t="shared" si="1095"/>
        <v>24</v>
      </c>
      <c r="BK428" s="46">
        <f t="shared" si="1096"/>
        <v>1</v>
      </c>
      <c r="BL428" s="46">
        <f t="shared" si="1097"/>
        <v>7.6400000000000006</v>
      </c>
    </row>
    <row r="429" spans="1:64" ht="30" customHeight="1" x14ac:dyDescent="0.25">
      <c r="A429" s="84" t="str">
        <f t="shared" si="1085"/>
        <v>Д</v>
      </c>
      <c r="B429" s="84" t="str">
        <f t="shared" si="32"/>
        <v>Б</v>
      </c>
      <c r="C429" s="101" t="s">
        <v>1473</v>
      </c>
      <c r="D429" s="16" t="str">
        <f t="shared" si="33"/>
        <v>'38.03.05</v>
      </c>
      <c r="E429" s="17" t="str">
        <f t="shared" si="34"/>
        <v>Бизнес-информатика</v>
      </c>
      <c r="F429" s="9" t="s">
        <v>413</v>
      </c>
      <c r="G429" s="9" t="s">
        <v>503</v>
      </c>
      <c r="H429" s="10" t="s">
        <v>3233</v>
      </c>
      <c r="I429" s="10" t="s">
        <v>3231</v>
      </c>
      <c r="J429" s="24" t="s">
        <v>3219</v>
      </c>
      <c r="K429" s="11">
        <v>6</v>
      </c>
      <c r="L429" s="11">
        <v>18</v>
      </c>
      <c r="M429" s="8" t="s">
        <v>23</v>
      </c>
      <c r="N429" s="11">
        <v>1</v>
      </c>
      <c r="O429" s="11"/>
      <c r="P429" s="11"/>
      <c r="Q429" s="8"/>
      <c r="R429" s="11"/>
      <c r="S429" s="11"/>
      <c r="T429" s="11"/>
      <c r="U429" s="11"/>
      <c r="V429" s="11"/>
      <c r="W429" s="83" t="str">
        <f t="shared" si="1086"/>
        <v>НБИбд</v>
      </c>
      <c r="X429" s="110" t="s">
        <v>3241</v>
      </c>
      <c r="Y429" s="11">
        <v>2</v>
      </c>
      <c r="Z429" s="11">
        <v>1</v>
      </c>
      <c r="AA429" s="83">
        <f t="shared" si="35"/>
        <v>16</v>
      </c>
      <c r="AB429" s="11">
        <v>15</v>
      </c>
      <c r="AC429" s="11">
        <v>1</v>
      </c>
      <c r="AD429" s="81">
        <f t="shared" si="1087"/>
        <v>16</v>
      </c>
      <c r="AE429" s="82">
        <f t="shared" si="36"/>
        <v>1</v>
      </c>
      <c r="AF429" s="82">
        <f t="shared" si="37"/>
        <v>1</v>
      </c>
      <c r="AG429" s="102" t="s">
        <v>3250</v>
      </c>
      <c r="AH429" s="113" t="s">
        <v>204</v>
      </c>
      <c r="AI429" s="113" t="s">
        <v>212</v>
      </c>
      <c r="AJ429" s="121" t="s">
        <v>3265</v>
      </c>
      <c r="AK429" s="8"/>
      <c r="AL429" s="42">
        <f t="shared" si="1088"/>
        <v>18</v>
      </c>
      <c r="AM429" s="42">
        <f t="shared" si="1098"/>
        <v>0</v>
      </c>
      <c r="AN429" s="42">
        <f t="shared" si="1099"/>
        <v>0</v>
      </c>
      <c r="AO429" s="42">
        <f t="shared" si="1084"/>
        <v>0</v>
      </c>
      <c r="AP429" s="42">
        <f t="shared" si="1100"/>
        <v>0</v>
      </c>
      <c r="AQ429" s="42">
        <f t="shared" si="1101"/>
        <v>0</v>
      </c>
      <c r="AR429" s="42">
        <f t="shared" si="1089"/>
        <v>0.9</v>
      </c>
      <c r="AS429" s="42">
        <f t="shared" si="1102"/>
        <v>0</v>
      </c>
      <c r="AT429" s="42">
        <f t="shared" si="1103"/>
        <v>0</v>
      </c>
      <c r="AU429" s="42">
        <f t="shared" si="1104"/>
        <v>0</v>
      </c>
      <c r="AV429" s="42">
        <f>IF(M429="ПП",РПП*AA429*(U429/1.5),IF(M429="ВП",ВПр*AA429*(U429/1.5),IF(M429="РПА",РПА*AA429*(U429/1.5),IF(M429="КПА",КПА*AA429*(U429/1.5),0))))</f>
        <v>0</v>
      </c>
      <c r="AW429" s="42">
        <f t="shared" si="1105"/>
        <v>0</v>
      </c>
      <c r="AX429" s="42">
        <f t="shared" si="1090"/>
        <v>0</v>
      </c>
      <c r="AY429" s="42">
        <f t="shared" si="1091"/>
        <v>0</v>
      </c>
      <c r="AZ429" s="42">
        <f t="shared" si="1106"/>
        <v>0</v>
      </c>
      <c r="BA429" s="42">
        <f t="shared" si="1092"/>
        <v>0</v>
      </c>
      <c r="BB429" s="42">
        <f t="shared" si="1093"/>
        <v>0</v>
      </c>
      <c r="BC429" s="42">
        <f t="shared" si="1094"/>
        <v>0</v>
      </c>
      <c r="BD429" s="42">
        <f t="shared" si="1107"/>
        <v>0</v>
      </c>
      <c r="BE429" s="43">
        <f t="shared" si="1108"/>
        <v>18.899999999999999</v>
      </c>
      <c r="BF429" s="44"/>
      <c r="BG429" s="45">
        <f t="shared" si="1109"/>
        <v>0</v>
      </c>
      <c r="BH429" s="45">
        <f t="shared" si="1110"/>
        <v>0</v>
      </c>
      <c r="BI429" s="45">
        <f t="shared" si="1111"/>
        <v>0</v>
      </c>
      <c r="BJ429" s="46">
        <f t="shared" si="1095"/>
        <v>18</v>
      </c>
      <c r="BK429" s="46">
        <f t="shared" si="1096"/>
        <v>0.5</v>
      </c>
      <c r="BL429" s="46">
        <f t="shared" si="1097"/>
        <v>0.9</v>
      </c>
    </row>
    <row r="430" spans="1:64" ht="30" customHeight="1" x14ac:dyDescent="0.25">
      <c r="A430" s="84" t="str">
        <f t="shared" si="1085"/>
        <v>Д</v>
      </c>
      <c r="B430" s="84" t="str">
        <f t="shared" si="32"/>
        <v>Б</v>
      </c>
      <c r="C430" s="101" t="s">
        <v>1473</v>
      </c>
      <c r="D430" s="16" t="str">
        <f t="shared" si="33"/>
        <v>'38.03.05</v>
      </c>
      <c r="E430" s="17" t="str">
        <f t="shared" si="34"/>
        <v>Бизнес-информатика</v>
      </c>
      <c r="F430" s="9" t="s">
        <v>413</v>
      </c>
      <c r="G430" s="9" t="s">
        <v>503</v>
      </c>
      <c r="H430" s="10" t="s">
        <v>3233</v>
      </c>
      <c r="I430" s="10" t="s">
        <v>3231</v>
      </c>
      <c r="J430" s="24" t="s">
        <v>3219</v>
      </c>
      <c r="K430" s="11">
        <v>6</v>
      </c>
      <c r="L430" s="11">
        <v>18</v>
      </c>
      <c r="M430" s="8" t="s">
        <v>94</v>
      </c>
      <c r="N430" s="11"/>
      <c r="O430" s="11">
        <v>2</v>
      </c>
      <c r="P430" s="11"/>
      <c r="Q430" s="8" t="s">
        <v>102</v>
      </c>
      <c r="R430" s="11"/>
      <c r="S430" s="11"/>
      <c r="T430" s="11"/>
      <c r="U430" s="11"/>
      <c r="V430" s="11"/>
      <c r="W430" s="83" t="str">
        <f t="shared" si="1086"/>
        <v>НБИбд</v>
      </c>
      <c r="X430" s="110" t="s">
        <v>3241</v>
      </c>
      <c r="Y430" s="11">
        <v>1</v>
      </c>
      <c r="Z430" s="11">
        <v>1</v>
      </c>
      <c r="AA430" s="83">
        <f t="shared" si="35"/>
        <v>8</v>
      </c>
      <c r="AB430" s="11">
        <v>7</v>
      </c>
      <c r="AC430" s="11">
        <v>1</v>
      </c>
      <c r="AD430" s="81">
        <f t="shared" si="1087"/>
        <v>12</v>
      </c>
      <c r="AE430" s="82">
        <f t="shared" si="36"/>
        <v>0.66666666666666663</v>
      </c>
      <c r="AF430" s="82">
        <f t="shared" si="37"/>
        <v>0.66666666666666663</v>
      </c>
      <c r="AG430" s="102" t="s">
        <v>3250</v>
      </c>
      <c r="AH430" s="113" t="s">
        <v>204</v>
      </c>
      <c r="AI430" s="113" t="s">
        <v>212</v>
      </c>
      <c r="AJ430" s="121" t="s">
        <v>3265</v>
      </c>
      <c r="AK430" s="8"/>
      <c r="AL430" s="42">
        <f t="shared" si="1088"/>
        <v>0</v>
      </c>
      <c r="AM430" s="42">
        <f t="shared" si="1098"/>
        <v>0</v>
      </c>
      <c r="AN430" s="42">
        <f t="shared" si="1099"/>
        <v>24</v>
      </c>
      <c r="AO430" s="42">
        <f t="shared" si="1084"/>
        <v>2.64</v>
      </c>
      <c r="AP430" s="42">
        <f t="shared" si="1100"/>
        <v>4</v>
      </c>
      <c r="AQ430" s="42">
        <f t="shared" si="1101"/>
        <v>1</v>
      </c>
      <c r="AR430" s="42">
        <f t="shared" si="1089"/>
        <v>0</v>
      </c>
      <c r="AS430" s="42">
        <f t="shared" si="1102"/>
        <v>0</v>
      </c>
      <c r="AT430" s="42">
        <f t="shared" si="1103"/>
        <v>0</v>
      </c>
      <c r="AU430" s="42">
        <f t="shared" si="1104"/>
        <v>0</v>
      </c>
      <c r="AV430" s="42">
        <f>IF(M430="ПП",РПП*AA430*(U430/1.5),IF(M430="ВП",ВПр*AA430*(U430/1.5),IF(M430="РПА",РПА*AA430*(U430/1.5),IF(M430="КПА",КПА*AA430*(U430/1.5),0))))</f>
        <v>0</v>
      </c>
      <c r="AW430" s="42">
        <f t="shared" si="1105"/>
        <v>0</v>
      </c>
      <c r="AX430" s="42">
        <f t="shared" si="1090"/>
        <v>0</v>
      </c>
      <c r="AY430" s="42">
        <f t="shared" si="1091"/>
        <v>0</v>
      </c>
      <c r="AZ430" s="42">
        <f t="shared" si="1106"/>
        <v>0</v>
      </c>
      <c r="BA430" s="42">
        <f t="shared" si="1092"/>
        <v>0</v>
      </c>
      <c r="BB430" s="42">
        <f t="shared" si="1093"/>
        <v>0</v>
      </c>
      <c r="BC430" s="42">
        <f t="shared" si="1094"/>
        <v>0</v>
      </c>
      <c r="BD430" s="42">
        <f t="shared" si="1107"/>
        <v>0</v>
      </c>
      <c r="BE430" s="43">
        <f t="shared" si="1108"/>
        <v>31.64</v>
      </c>
      <c r="BF430" s="44"/>
      <c r="BG430" s="45">
        <f t="shared" si="1109"/>
        <v>0</v>
      </c>
      <c r="BH430" s="45">
        <f t="shared" si="1110"/>
        <v>0</v>
      </c>
      <c r="BI430" s="45">
        <f t="shared" si="1111"/>
        <v>0</v>
      </c>
      <c r="BJ430" s="46">
        <f t="shared" si="1095"/>
        <v>24</v>
      </c>
      <c r="BK430" s="46">
        <f t="shared" si="1096"/>
        <v>1</v>
      </c>
      <c r="BL430" s="46">
        <f t="shared" si="1097"/>
        <v>7.6400000000000006</v>
      </c>
    </row>
    <row r="431" spans="1:64" ht="30" customHeight="1" x14ac:dyDescent="0.25">
      <c r="A431" s="84" t="str">
        <f t="shared" si="1085"/>
        <v>Д</v>
      </c>
      <c r="B431" s="84" t="str">
        <f t="shared" si="32"/>
        <v>Б</v>
      </c>
      <c r="C431" s="101" t="s">
        <v>1473</v>
      </c>
      <c r="D431" s="16" t="str">
        <f t="shared" si="33"/>
        <v>'38.03.05</v>
      </c>
      <c r="E431" s="17" t="str">
        <f t="shared" si="34"/>
        <v>Бизнес-информатика</v>
      </c>
      <c r="F431" s="9" t="s">
        <v>413</v>
      </c>
      <c r="G431" s="9" t="s">
        <v>503</v>
      </c>
      <c r="H431" s="10" t="s">
        <v>3233</v>
      </c>
      <c r="I431" s="10" t="s">
        <v>3231</v>
      </c>
      <c r="J431" s="24" t="s">
        <v>3219</v>
      </c>
      <c r="K431" s="11">
        <v>6</v>
      </c>
      <c r="L431" s="11">
        <v>18</v>
      </c>
      <c r="M431" s="8" t="s">
        <v>94</v>
      </c>
      <c r="N431" s="11"/>
      <c r="O431" s="11">
        <v>2</v>
      </c>
      <c r="P431" s="11"/>
      <c r="Q431" s="8" t="s">
        <v>102</v>
      </c>
      <c r="R431" s="11"/>
      <c r="S431" s="11"/>
      <c r="T431" s="11"/>
      <c r="U431" s="11"/>
      <c r="V431" s="11"/>
      <c r="W431" s="83" t="str">
        <f t="shared" si="1086"/>
        <v>НБИбд</v>
      </c>
      <c r="X431" s="110" t="s">
        <v>3241</v>
      </c>
      <c r="Y431" s="11">
        <v>1</v>
      </c>
      <c r="Z431" s="11"/>
      <c r="AA431" s="83">
        <f t="shared" si="35"/>
        <v>8</v>
      </c>
      <c r="AB431" s="11">
        <v>8</v>
      </c>
      <c r="AC431" s="11"/>
      <c r="AD431" s="81">
        <f t="shared" si="1087"/>
        <v>12</v>
      </c>
      <c r="AE431" s="82">
        <f t="shared" si="36"/>
        <v>0.66666666666666663</v>
      </c>
      <c r="AF431" s="82">
        <f t="shared" si="37"/>
        <v>0.66666666666666663</v>
      </c>
      <c r="AG431" s="102" t="s">
        <v>3250</v>
      </c>
      <c r="AH431" s="113" t="s">
        <v>204</v>
      </c>
      <c r="AI431" s="113" t="s">
        <v>212</v>
      </c>
      <c r="AJ431" s="121" t="s">
        <v>3265</v>
      </c>
      <c r="AK431" s="8"/>
      <c r="AL431" s="42">
        <f t="shared" si="1088"/>
        <v>0</v>
      </c>
      <c r="AM431" s="42">
        <f t="shared" si="1098"/>
        <v>0</v>
      </c>
      <c r="AN431" s="42">
        <f t="shared" si="1099"/>
        <v>24</v>
      </c>
      <c r="AO431" s="42">
        <f t="shared" si="1084"/>
        <v>2.64</v>
      </c>
      <c r="AP431" s="42">
        <f t="shared" si="1100"/>
        <v>4</v>
      </c>
      <c r="AQ431" s="42">
        <f t="shared" si="1101"/>
        <v>0</v>
      </c>
      <c r="AR431" s="42">
        <f t="shared" si="1089"/>
        <v>0</v>
      </c>
      <c r="AS431" s="42">
        <f t="shared" si="1102"/>
        <v>0</v>
      </c>
      <c r="AT431" s="42">
        <f t="shared" si="1103"/>
        <v>0</v>
      </c>
      <c r="AU431" s="42">
        <f t="shared" si="1104"/>
        <v>0</v>
      </c>
      <c r="AV431" s="42">
        <f>IF(M431="ПП",РПП*AA431*(U431/1.5),IF(M431="ВП",ВПр*AA431*(U431/1.5),IF(M431="РПА",РПА*AA431*(U431/1.5),IF(M431="КПА",КПА*AA431*(U431/1.5),0))))</f>
        <v>0</v>
      </c>
      <c r="AW431" s="42">
        <f t="shared" si="1105"/>
        <v>0</v>
      </c>
      <c r="AX431" s="42">
        <f t="shared" si="1090"/>
        <v>0</v>
      </c>
      <c r="AY431" s="42">
        <f t="shared" si="1091"/>
        <v>0</v>
      </c>
      <c r="AZ431" s="42">
        <f t="shared" si="1106"/>
        <v>0</v>
      </c>
      <c r="BA431" s="42">
        <f t="shared" si="1092"/>
        <v>0</v>
      </c>
      <c r="BB431" s="42">
        <f t="shared" si="1093"/>
        <v>0</v>
      </c>
      <c r="BC431" s="42">
        <f t="shared" si="1094"/>
        <v>0</v>
      </c>
      <c r="BD431" s="42">
        <f t="shared" si="1107"/>
        <v>0</v>
      </c>
      <c r="BE431" s="43">
        <f t="shared" si="1108"/>
        <v>30.64</v>
      </c>
      <c r="BF431" s="44"/>
      <c r="BG431" s="45">
        <f t="shared" si="1109"/>
        <v>0</v>
      </c>
      <c r="BH431" s="45">
        <f t="shared" si="1110"/>
        <v>0</v>
      </c>
      <c r="BI431" s="45">
        <f t="shared" si="1111"/>
        <v>0</v>
      </c>
      <c r="BJ431" s="46">
        <f t="shared" si="1095"/>
        <v>24</v>
      </c>
      <c r="BK431" s="46">
        <f t="shared" si="1096"/>
        <v>1</v>
      </c>
      <c r="BL431" s="46">
        <f t="shared" si="1097"/>
        <v>6.6400000000000006</v>
      </c>
    </row>
    <row r="432" spans="1:64" ht="30" customHeight="1" x14ac:dyDescent="0.25">
      <c r="A432" s="84" t="str">
        <f t="shared" si="1085"/>
        <v>Д</v>
      </c>
      <c r="B432" s="84" t="str">
        <f t="shared" si="32"/>
        <v>Б</v>
      </c>
      <c r="C432" s="101" t="s">
        <v>1473</v>
      </c>
      <c r="D432" s="16" t="str">
        <f t="shared" si="33"/>
        <v>'38.03.05</v>
      </c>
      <c r="E432" s="17" t="str">
        <f t="shared" si="34"/>
        <v>Бизнес-информатика</v>
      </c>
      <c r="F432" s="9" t="s">
        <v>414</v>
      </c>
      <c r="G432" s="9" t="s">
        <v>42</v>
      </c>
      <c r="H432" s="10" t="s">
        <v>3233</v>
      </c>
      <c r="I432" s="10" t="s">
        <v>3231</v>
      </c>
      <c r="J432" s="24" t="s">
        <v>3223</v>
      </c>
      <c r="K432" s="11">
        <v>6</v>
      </c>
      <c r="L432" s="11">
        <v>18</v>
      </c>
      <c r="M432" s="8" t="s">
        <v>95</v>
      </c>
      <c r="N432" s="11"/>
      <c r="O432" s="11"/>
      <c r="P432" s="11"/>
      <c r="Q432" s="8"/>
      <c r="R432" s="11"/>
      <c r="S432" s="11"/>
      <c r="T432" s="11">
        <v>3</v>
      </c>
      <c r="U432" s="11"/>
      <c r="V432" s="11"/>
      <c r="W432" s="83" t="str">
        <f t="shared" si="1086"/>
        <v>НБИбд</v>
      </c>
      <c r="X432" s="110" t="s">
        <v>3241</v>
      </c>
      <c r="Y432" s="11">
        <v>2</v>
      </c>
      <c r="Z432" s="11">
        <v>1</v>
      </c>
      <c r="AA432" s="83">
        <f t="shared" si="35"/>
        <v>32</v>
      </c>
      <c r="AB432" s="11">
        <v>30</v>
      </c>
      <c r="AC432" s="12">
        <v>2</v>
      </c>
      <c r="AD432" s="81">
        <f t="shared" si="1087"/>
        <v>1</v>
      </c>
      <c r="AE432" s="82">
        <f t="shared" si="36"/>
        <v>1</v>
      </c>
      <c r="AF432" s="82">
        <f t="shared" si="37"/>
        <v>32</v>
      </c>
      <c r="AG432" s="102" t="s">
        <v>3250</v>
      </c>
      <c r="AH432" s="113" t="s">
        <v>204</v>
      </c>
      <c r="AI432" s="113" t="s">
        <v>212</v>
      </c>
      <c r="AJ432" s="121" t="s">
        <v>3254</v>
      </c>
      <c r="AK432" s="8"/>
      <c r="AL432" s="42">
        <f t="shared" si="1088"/>
        <v>0</v>
      </c>
      <c r="AM432" s="42">
        <f t="shared" si="1098"/>
        <v>0</v>
      </c>
      <c r="AN432" s="42">
        <f t="shared" si="1099"/>
        <v>0</v>
      </c>
      <c r="AO432" s="42">
        <f t="shared" si="1084"/>
        <v>0</v>
      </c>
      <c r="AP432" s="42">
        <f t="shared" si="1100"/>
        <v>0</v>
      </c>
      <c r="AQ432" s="42">
        <f t="shared" si="1101"/>
        <v>0</v>
      </c>
      <c r="AR432" s="42">
        <f t="shared" si="1089"/>
        <v>0</v>
      </c>
      <c r="AS432" s="42">
        <f t="shared" si="1102"/>
        <v>0</v>
      </c>
      <c r="AT432" s="42">
        <f t="shared" si="1103"/>
        <v>0</v>
      </c>
      <c r="AU432" s="42">
        <f t="shared" si="1104"/>
        <v>96</v>
      </c>
      <c r="AV432" s="42">
        <f>IF(M432="ПП",РПП*AA432*(U432/1.5),IF(M432="ВП",ВПр*AA432*(U432/1.5),IF(M432="РПА",РПА*AA432*(U432/1.5),IF(M432="КПА",КПА*AA432*(U432/1.5),0))))</f>
        <v>0</v>
      </c>
      <c r="AW432" s="42">
        <f t="shared" si="1105"/>
        <v>0</v>
      </c>
      <c r="AX432" s="42">
        <f t="shared" si="1090"/>
        <v>0</v>
      </c>
      <c r="AY432" s="42">
        <f t="shared" si="1091"/>
        <v>0</v>
      </c>
      <c r="AZ432" s="42">
        <f t="shared" si="1106"/>
        <v>0</v>
      </c>
      <c r="BA432" s="42">
        <f t="shared" si="1092"/>
        <v>0</v>
      </c>
      <c r="BB432" s="42">
        <f t="shared" si="1093"/>
        <v>0</v>
      </c>
      <c r="BC432" s="42">
        <f t="shared" si="1094"/>
        <v>0</v>
      </c>
      <c r="BD432" s="42">
        <f t="shared" si="1107"/>
        <v>0</v>
      </c>
      <c r="BE432" s="43">
        <f t="shared" si="1108"/>
        <v>96</v>
      </c>
      <c r="BF432" s="44"/>
      <c r="BG432" s="45">
        <f t="shared" si="1109"/>
        <v>0</v>
      </c>
      <c r="BH432" s="45">
        <f t="shared" si="1110"/>
        <v>0</v>
      </c>
      <c r="BI432" s="45">
        <f t="shared" si="1111"/>
        <v>0</v>
      </c>
      <c r="BJ432" s="46">
        <f t="shared" si="1095"/>
        <v>0</v>
      </c>
      <c r="BK432" s="46">
        <f t="shared" si="1096"/>
        <v>0</v>
      </c>
      <c r="BL432" s="46">
        <f t="shared" si="1097"/>
        <v>96</v>
      </c>
    </row>
    <row r="433" spans="1:64" ht="30" customHeight="1" x14ac:dyDescent="0.25">
      <c r="A433" s="84" t="str">
        <f t="shared" si="1085"/>
        <v>Д</v>
      </c>
      <c r="B433" s="84" t="str">
        <f t="shared" si="32"/>
        <v>Б</v>
      </c>
      <c r="C433" s="101" t="s">
        <v>1473</v>
      </c>
      <c r="D433" s="16" t="str">
        <f t="shared" si="33"/>
        <v>'38.03.05</v>
      </c>
      <c r="E433" s="17" t="str">
        <f t="shared" si="34"/>
        <v>Бизнес-информатика</v>
      </c>
      <c r="F433" s="9" t="s">
        <v>414</v>
      </c>
      <c r="G433" s="9" t="s">
        <v>42</v>
      </c>
      <c r="H433" s="10" t="s">
        <v>3233</v>
      </c>
      <c r="I433" s="10"/>
      <c r="J433" s="24" t="s">
        <v>3201</v>
      </c>
      <c r="K433" s="11" t="s">
        <v>3228</v>
      </c>
      <c r="L433" s="11">
        <v>9</v>
      </c>
      <c r="M433" s="8" t="s">
        <v>188</v>
      </c>
      <c r="N433" s="11"/>
      <c r="O433" s="11"/>
      <c r="P433" s="11"/>
      <c r="Q433" s="8"/>
      <c r="R433" s="11"/>
      <c r="S433" s="11"/>
      <c r="T433" s="11"/>
      <c r="U433" s="11"/>
      <c r="V433" s="11">
        <v>15</v>
      </c>
      <c r="W433" s="83" t="str">
        <f t="shared" si="1086"/>
        <v>НБИбд</v>
      </c>
      <c r="X433" s="110" t="s">
        <v>3244</v>
      </c>
      <c r="Y433" s="11">
        <v>2</v>
      </c>
      <c r="Z433" s="11">
        <v>1</v>
      </c>
      <c r="AA433" s="83">
        <f t="shared" si="35"/>
        <v>31</v>
      </c>
      <c r="AB433" s="11">
        <v>25</v>
      </c>
      <c r="AC433" s="12">
        <v>6</v>
      </c>
      <c r="AD433" s="81">
        <f t="shared" si="1087"/>
        <v>1</v>
      </c>
      <c r="AE433" s="82">
        <f t="shared" si="36"/>
        <v>1</v>
      </c>
      <c r="AF433" s="82">
        <f t="shared" si="37"/>
        <v>31</v>
      </c>
      <c r="AG433" s="102" t="s">
        <v>3250</v>
      </c>
      <c r="AH433" s="113" t="s">
        <v>205</v>
      </c>
      <c r="AI433" s="113" t="s">
        <v>212</v>
      </c>
      <c r="AJ433" s="121" t="s">
        <v>3295</v>
      </c>
      <c r="AK433" s="8"/>
      <c r="AL433" s="42">
        <f t="shared" si="1088"/>
        <v>0</v>
      </c>
      <c r="AM433" s="42">
        <f t="shared" si="1098"/>
        <v>0</v>
      </c>
      <c r="AN433" s="42">
        <f t="shared" si="1099"/>
        <v>0</v>
      </c>
      <c r="AO433" s="42">
        <f t="shared" si="1084"/>
        <v>0</v>
      </c>
      <c r="AP433" s="42">
        <f t="shared" si="1100"/>
        <v>0</v>
      </c>
      <c r="AQ433" s="42">
        <f t="shared" si="1101"/>
        <v>0</v>
      </c>
      <c r="AR433" s="42">
        <f t="shared" si="1089"/>
        <v>0</v>
      </c>
      <c r="AS433" s="42">
        <f t="shared" si="1102"/>
        <v>0</v>
      </c>
      <c r="AT433" s="42">
        <f t="shared" si="1103"/>
        <v>0</v>
      </c>
      <c r="AU433" s="42">
        <f t="shared" si="1104"/>
        <v>0</v>
      </c>
      <c r="AV433" s="42">
        <f>IF(M433="ПП",РПП*AA433*(U433/1.5),IF(M433="ВП",ВПр*AA433*(U433/1.5),IF(M433="РПА",РПА*AA433*(U433/1.5),IF(M433="КПА",КПА*AA433*(U433/1.5),0))))</f>
        <v>0</v>
      </c>
      <c r="AW433" s="42">
        <f t="shared" si="1105"/>
        <v>340</v>
      </c>
      <c r="AX433" s="42">
        <f t="shared" si="1090"/>
        <v>0</v>
      </c>
      <c r="AY433" s="42">
        <f t="shared" si="1091"/>
        <v>0</v>
      </c>
      <c r="AZ433" s="42">
        <f t="shared" si="1106"/>
        <v>0</v>
      </c>
      <c r="BA433" s="42">
        <f t="shared" si="1092"/>
        <v>0</v>
      </c>
      <c r="BB433" s="42">
        <f t="shared" si="1093"/>
        <v>0</v>
      </c>
      <c r="BC433" s="42">
        <f t="shared" si="1094"/>
        <v>0</v>
      </c>
      <c r="BD433" s="42">
        <f t="shared" si="1107"/>
        <v>0</v>
      </c>
      <c r="BE433" s="43">
        <f t="shared" si="1108"/>
        <v>340</v>
      </c>
      <c r="BF433" s="44"/>
      <c r="BG433" s="45">
        <f t="shared" si="1109"/>
        <v>0</v>
      </c>
      <c r="BH433" s="45">
        <f t="shared" si="1110"/>
        <v>0</v>
      </c>
      <c r="BI433" s="45">
        <f t="shared" si="1111"/>
        <v>0</v>
      </c>
      <c r="BJ433" s="46">
        <f t="shared" si="1095"/>
        <v>0</v>
      </c>
      <c r="BK433" s="46">
        <f t="shared" si="1096"/>
        <v>0</v>
      </c>
      <c r="BL433" s="46">
        <f t="shared" si="1097"/>
        <v>340</v>
      </c>
    </row>
    <row r="434" spans="1:64" ht="30" customHeight="1" x14ac:dyDescent="0.25">
      <c r="A434" s="84" t="str">
        <f t="shared" si="1085"/>
        <v>Д</v>
      </c>
      <c r="B434" s="84" t="str">
        <f t="shared" si="32"/>
        <v>Б</v>
      </c>
      <c r="C434" s="101" t="s">
        <v>1473</v>
      </c>
      <c r="D434" s="16" t="str">
        <f t="shared" si="33"/>
        <v>'38.03.05</v>
      </c>
      <c r="E434" s="17" t="str">
        <f t="shared" si="34"/>
        <v>Бизнес-информатика</v>
      </c>
      <c r="F434" s="9" t="s">
        <v>414</v>
      </c>
      <c r="G434" s="9" t="s">
        <v>42</v>
      </c>
      <c r="H434" s="10" t="s">
        <v>3233</v>
      </c>
      <c r="I434" s="10"/>
      <c r="J434" s="24" t="s">
        <v>3202</v>
      </c>
      <c r="K434" s="11" t="s">
        <v>3229</v>
      </c>
      <c r="L434" s="11">
        <v>9</v>
      </c>
      <c r="M434" s="8" t="s">
        <v>187</v>
      </c>
      <c r="N434" s="11"/>
      <c r="O434" s="11"/>
      <c r="P434" s="11"/>
      <c r="Q434" s="8"/>
      <c r="R434" s="12"/>
      <c r="S434" s="12"/>
      <c r="T434" s="12"/>
      <c r="U434" s="12">
        <v>3</v>
      </c>
      <c r="V434" s="12"/>
      <c r="W434" s="83" t="str">
        <f t="shared" si="1086"/>
        <v>НБИбд</v>
      </c>
      <c r="X434" s="110" t="s">
        <v>3244</v>
      </c>
      <c r="Y434" s="11">
        <v>2</v>
      </c>
      <c r="Z434" s="11">
        <v>1</v>
      </c>
      <c r="AA434" s="83">
        <f t="shared" si="35"/>
        <v>31</v>
      </c>
      <c r="AB434" s="11">
        <v>25</v>
      </c>
      <c r="AC434" s="12">
        <v>6</v>
      </c>
      <c r="AD434" s="81">
        <f t="shared" si="1087"/>
        <v>1</v>
      </c>
      <c r="AE434" s="82">
        <f t="shared" si="36"/>
        <v>1</v>
      </c>
      <c r="AF434" s="82">
        <f t="shared" si="37"/>
        <v>31</v>
      </c>
      <c r="AG434" s="102" t="s">
        <v>3250</v>
      </c>
      <c r="AH434" s="113" t="s">
        <v>204</v>
      </c>
      <c r="AI434" s="113" t="s">
        <v>212</v>
      </c>
      <c r="AJ434" s="126" t="s">
        <v>3261</v>
      </c>
      <c r="AK434" s="8"/>
      <c r="AL434" s="42">
        <f t="shared" si="1088"/>
        <v>0</v>
      </c>
      <c r="AM434" s="42">
        <f t="shared" si="1098"/>
        <v>0</v>
      </c>
      <c r="AN434" s="42">
        <f t="shared" si="1099"/>
        <v>0</v>
      </c>
      <c r="AO434" s="42">
        <f t="shared" si="1084"/>
        <v>0</v>
      </c>
      <c r="AP434" s="42">
        <f t="shared" si="1100"/>
        <v>0</v>
      </c>
      <c r="AQ434" s="42">
        <f t="shared" si="1101"/>
        <v>0</v>
      </c>
      <c r="AR434" s="42">
        <f t="shared" si="1089"/>
        <v>0</v>
      </c>
      <c r="AS434" s="42">
        <f t="shared" si="1102"/>
        <v>0</v>
      </c>
      <c r="AT434" s="42">
        <f t="shared" si="1103"/>
        <v>0</v>
      </c>
      <c r="AU434" s="42">
        <f t="shared" si="1104"/>
        <v>0</v>
      </c>
      <c r="AV434" s="42">
        <f>IF(M434="ПП",РПП*AA434*(U434/1.5),IF(M434="ВП",ВПр*AA434*(U434/1.5),IF(M434="РПА",РПА*AA434*(U434/1.5),IF(M434="КПА",КПА*AA434*(U434/1.5),0))))</f>
        <v>93</v>
      </c>
      <c r="AW434" s="42">
        <f t="shared" si="1105"/>
        <v>0</v>
      </c>
      <c r="AX434" s="42">
        <f t="shared" si="1090"/>
        <v>0</v>
      </c>
      <c r="AY434" s="42">
        <f t="shared" si="1091"/>
        <v>0</v>
      </c>
      <c r="AZ434" s="42">
        <f t="shared" si="1106"/>
        <v>0</v>
      </c>
      <c r="BA434" s="42">
        <f t="shared" si="1092"/>
        <v>0</v>
      </c>
      <c r="BB434" s="42">
        <f t="shared" si="1093"/>
        <v>0</v>
      </c>
      <c r="BC434" s="42">
        <f t="shared" si="1094"/>
        <v>0</v>
      </c>
      <c r="BD434" s="42">
        <f t="shared" si="1107"/>
        <v>0</v>
      </c>
      <c r="BE434" s="43">
        <f t="shared" si="1108"/>
        <v>93</v>
      </c>
      <c r="BF434" s="44"/>
      <c r="BG434" s="45">
        <f t="shared" si="1109"/>
        <v>0</v>
      </c>
      <c r="BH434" s="45">
        <f t="shared" si="1110"/>
        <v>0</v>
      </c>
      <c r="BI434" s="45">
        <f t="shared" si="1111"/>
        <v>0</v>
      </c>
      <c r="BJ434" s="46">
        <f t="shared" si="1095"/>
        <v>0</v>
      </c>
      <c r="BK434" s="46">
        <f t="shared" si="1096"/>
        <v>0</v>
      </c>
      <c r="BL434" s="46">
        <f t="shared" si="1097"/>
        <v>93</v>
      </c>
    </row>
    <row r="435" spans="1:64" ht="30" customHeight="1" x14ac:dyDescent="0.25">
      <c r="A435" s="84" t="str">
        <f t="shared" si="1085"/>
        <v>Д</v>
      </c>
      <c r="B435" s="84" t="str">
        <f t="shared" si="32"/>
        <v>Б</v>
      </c>
      <c r="C435" s="101" t="s">
        <v>1473</v>
      </c>
      <c r="D435" s="16" t="str">
        <f t="shared" si="33"/>
        <v>'38.03.05</v>
      </c>
      <c r="E435" s="17" t="str">
        <f t="shared" si="34"/>
        <v>Бизнес-информатика</v>
      </c>
      <c r="F435" s="9" t="s">
        <v>498</v>
      </c>
      <c r="G435" s="9" t="s">
        <v>42</v>
      </c>
      <c r="H435" s="10" t="s">
        <v>3233</v>
      </c>
      <c r="I435" s="10"/>
      <c r="J435" s="24" t="s">
        <v>3224</v>
      </c>
      <c r="K435" s="11" t="s">
        <v>3229</v>
      </c>
      <c r="L435" s="11"/>
      <c r="M435" s="8" t="s">
        <v>98</v>
      </c>
      <c r="N435" s="11"/>
      <c r="O435" s="11"/>
      <c r="P435" s="11"/>
      <c r="Q435" s="8" t="s">
        <v>97</v>
      </c>
      <c r="R435" s="11"/>
      <c r="S435" s="11"/>
      <c r="T435" s="23"/>
      <c r="U435" s="11"/>
      <c r="V435" s="11"/>
      <c r="W435" s="83" t="str">
        <f t="shared" si="1086"/>
        <v>НБИбд</v>
      </c>
      <c r="X435" s="110" t="s">
        <v>3244</v>
      </c>
      <c r="Y435" s="11">
        <v>2</v>
      </c>
      <c r="Z435" s="11">
        <v>1</v>
      </c>
      <c r="AA435" s="83">
        <f t="shared" si="35"/>
        <v>15</v>
      </c>
      <c r="AB435" s="11">
        <v>12</v>
      </c>
      <c r="AC435" s="11">
        <v>3</v>
      </c>
      <c r="AD435" s="81">
        <f t="shared" si="1087"/>
        <v>24</v>
      </c>
      <c r="AE435" s="82">
        <f t="shared" si="36"/>
        <v>0.625</v>
      </c>
      <c r="AF435" s="82">
        <f t="shared" si="37"/>
        <v>0.625</v>
      </c>
      <c r="AG435" s="102" t="s">
        <v>3250</v>
      </c>
      <c r="AH435" s="113" t="s">
        <v>204</v>
      </c>
      <c r="AI435" s="113" t="s">
        <v>212</v>
      </c>
      <c r="AJ435" s="121" t="s">
        <v>3255</v>
      </c>
      <c r="AK435" s="8"/>
      <c r="AL435" s="42">
        <f t="shared" si="1088"/>
        <v>0</v>
      </c>
      <c r="AM435" s="42">
        <f t="shared" si="1098"/>
        <v>0</v>
      </c>
      <c r="AN435" s="42">
        <f t="shared" si="1099"/>
        <v>0</v>
      </c>
      <c r="AO435" s="42">
        <f t="shared" si="1084"/>
        <v>0</v>
      </c>
      <c r="AP435" s="42">
        <f t="shared" si="1100"/>
        <v>0</v>
      </c>
      <c r="AQ435" s="42">
        <f t="shared" si="1101"/>
        <v>0</v>
      </c>
      <c r="AR435" s="42">
        <f t="shared" si="1089"/>
        <v>0</v>
      </c>
      <c r="AS435" s="42">
        <f t="shared" si="1102"/>
        <v>0</v>
      </c>
      <c r="AT435" s="42">
        <f t="shared" si="1103"/>
        <v>0</v>
      </c>
      <c r="AU435" s="42">
        <f t="shared" si="1104"/>
        <v>0</v>
      </c>
      <c r="AV435" s="42">
        <f>IF(M435="ПП",РПП*AA435*(U435/1.5),IF(M435="ВП",ВПр*AA435*(U435/1.5),IF(M435="РПА",РПА*AA435*(U435/1.5),IF(M435="КПА",КПА*AA435*(U435/1.5),0))))</f>
        <v>0</v>
      </c>
      <c r="AW435" s="42">
        <f t="shared" si="1105"/>
        <v>0</v>
      </c>
      <c r="AX435" s="42">
        <f t="shared" si="1090"/>
        <v>0</v>
      </c>
      <c r="AY435" s="42">
        <f t="shared" si="1091"/>
        <v>0</v>
      </c>
      <c r="AZ435" s="42">
        <f t="shared" si="1106"/>
        <v>0</v>
      </c>
      <c r="BA435" s="42">
        <f t="shared" si="1092"/>
        <v>0</v>
      </c>
      <c r="BB435" s="42">
        <f t="shared" si="1093"/>
        <v>0</v>
      </c>
      <c r="BC435" s="42">
        <f t="shared" si="1094"/>
        <v>0</v>
      </c>
      <c r="BD435" s="42">
        <f t="shared" si="1107"/>
        <v>1.25</v>
      </c>
      <c r="BE435" s="43">
        <f t="shared" si="1108"/>
        <v>1.25</v>
      </c>
      <c r="BF435" s="44"/>
      <c r="BG435" s="45">
        <f t="shared" si="1109"/>
        <v>0</v>
      </c>
      <c r="BH435" s="45">
        <f t="shared" si="1110"/>
        <v>0</v>
      </c>
      <c r="BI435" s="45">
        <f t="shared" si="1111"/>
        <v>0</v>
      </c>
      <c r="BJ435" s="46">
        <f t="shared" si="1095"/>
        <v>0</v>
      </c>
      <c r="BK435" s="46">
        <f t="shared" si="1096"/>
        <v>0</v>
      </c>
      <c r="BL435" s="46">
        <f t="shared" si="1097"/>
        <v>1.25</v>
      </c>
    </row>
    <row r="436" spans="1:64" ht="30" customHeight="1" x14ac:dyDescent="0.25">
      <c r="A436" s="84" t="str">
        <f t="shared" si="1085"/>
        <v>Д</v>
      </c>
      <c r="B436" s="84" t="str">
        <f t="shared" si="32"/>
        <v>Б</v>
      </c>
      <c r="C436" s="101" t="s">
        <v>1473</v>
      </c>
      <c r="D436" s="16" t="str">
        <f t="shared" si="33"/>
        <v>'38.03.05</v>
      </c>
      <c r="E436" s="17" t="str">
        <f t="shared" si="34"/>
        <v>Бизнес-информатика</v>
      </c>
      <c r="F436" s="9" t="s">
        <v>498</v>
      </c>
      <c r="G436" s="9" t="s">
        <v>42</v>
      </c>
      <c r="H436" s="10" t="s">
        <v>3233</v>
      </c>
      <c r="I436" s="10"/>
      <c r="J436" s="24" t="s">
        <v>3224</v>
      </c>
      <c r="K436" s="12" t="s">
        <v>3229</v>
      </c>
      <c r="L436" s="11"/>
      <c r="M436" s="8" t="s">
        <v>12</v>
      </c>
      <c r="N436" s="12"/>
      <c r="O436" s="12"/>
      <c r="P436" s="12"/>
      <c r="Q436" s="8" t="s">
        <v>97</v>
      </c>
      <c r="R436" s="11"/>
      <c r="S436" s="11"/>
      <c r="T436" s="23"/>
      <c r="U436" s="11"/>
      <c r="V436" s="11"/>
      <c r="W436" s="83" t="str">
        <f t="shared" si="1086"/>
        <v>НБИбд</v>
      </c>
      <c r="X436" s="110" t="s">
        <v>3244</v>
      </c>
      <c r="Y436" s="11">
        <v>2</v>
      </c>
      <c r="Z436" s="11">
        <v>1</v>
      </c>
      <c r="AA436" s="83">
        <f t="shared" si="35"/>
        <v>15</v>
      </c>
      <c r="AB436" s="11">
        <v>12</v>
      </c>
      <c r="AC436" s="11">
        <v>3</v>
      </c>
      <c r="AD436" s="81">
        <f t="shared" si="1087"/>
        <v>1</v>
      </c>
      <c r="AE436" s="82">
        <f t="shared" si="36"/>
        <v>1</v>
      </c>
      <c r="AF436" s="82">
        <f t="shared" si="37"/>
        <v>15</v>
      </c>
      <c r="AG436" s="102" t="s">
        <v>3250</v>
      </c>
      <c r="AH436" s="113" t="s">
        <v>447</v>
      </c>
      <c r="AI436" s="113"/>
      <c r="AJ436" s="123" t="s">
        <v>412</v>
      </c>
      <c r="AK436" s="8"/>
      <c r="AL436" s="42">
        <f t="shared" si="1088"/>
        <v>0</v>
      </c>
      <c r="AM436" s="42">
        <f t="shared" si="1098"/>
        <v>0</v>
      </c>
      <c r="AN436" s="42">
        <f t="shared" si="1099"/>
        <v>0</v>
      </c>
      <c r="AO436" s="42">
        <f t="shared" si="1084"/>
        <v>0</v>
      </c>
      <c r="AP436" s="42">
        <f t="shared" si="1100"/>
        <v>0</v>
      </c>
      <c r="AQ436" s="42">
        <f t="shared" si="1101"/>
        <v>0</v>
      </c>
      <c r="AR436" s="42">
        <f t="shared" si="1089"/>
        <v>0</v>
      </c>
      <c r="AS436" s="42">
        <f t="shared" si="1102"/>
        <v>0</v>
      </c>
      <c r="AT436" s="42">
        <f t="shared" si="1103"/>
        <v>0</v>
      </c>
      <c r="AU436" s="42">
        <f t="shared" si="1104"/>
        <v>0</v>
      </c>
      <c r="AV436" s="42">
        <f>IF(M436="ПП",РПП*AA436*(U436/1.5),IF(M436="ВП",ВПр*AA436*(U436/1.5),IF(M436="РПА",РПА*AA436*(U436/1.5),IF(M436="КПА",КПА*AA436*(U436/1.5),0))))</f>
        <v>0</v>
      </c>
      <c r="AW436" s="42">
        <f t="shared" si="1105"/>
        <v>0</v>
      </c>
      <c r="AX436" s="42">
        <f t="shared" si="1090"/>
        <v>0</v>
      </c>
      <c r="AY436" s="42">
        <f t="shared" si="1091"/>
        <v>0</v>
      </c>
      <c r="AZ436" s="42">
        <f t="shared" si="1106"/>
        <v>0</v>
      </c>
      <c r="BA436" s="42">
        <f t="shared" si="1092"/>
        <v>0</v>
      </c>
      <c r="BB436" s="42">
        <f t="shared" si="1093"/>
        <v>0</v>
      </c>
      <c r="BC436" s="42">
        <f t="shared" si="1094"/>
        <v>0</v>
      </c>
      <c r="BD436" s="42">
        <f t="shared" si="1107"/>
        <v>7.5</v>
      </c>
      <c r="BE436" s="43">
        <f t="shared" si="1108"/>
        <v>7.5</v>
      </c>
      <c r="BF436" s="44"/>
      <c r="BG436" s="45">
        <f t="shared" si="1109"/>
        <v>0</v>
      </c>
      <c r="BH436" s="45">
        <f t="shared" si="1110"/>
        <v>0</v>
      </c>
      <c r="BI436" s="45">
        <f t="shared" si="1111"/>
        <v>0</v>
      </c>
      <c r="BJ436" s="46">
        <f t="shared" si="1095"/>
        <v>0</v>
      </c>
      <c r="BK436" s="46">
        <f t="shared" si="1096"/>
        <v>0</v>
      </c>
      <c r="BL436" s="46">
        <f t="shared" si="1097"/>
        <v>7.5</v>
      </c>
    </row>
    <row r="437" spans="1:64" ht="30" customHeight="1" x14ac:dyDescent="0.25">
      <c r="A437" s="84" t="str">
        <f t="shared" si="1085"/>
        <v>Д</v>
      </c>
      <c r="B437" s="84" t="str">
        <f t="shared" si="32"/>
        <v>Б</v>
      </c>
      <c r="C437" s="101" t="s">
        <v>1473</v>
      </c>
      <c r="D437" s="16" t="str">
        <f t="shared" si="33"/>
        <v>'38.03.05</v>
      </c>
      <c r="E437" s="17" t="str">
        <f t="shared" si="34"/>
        <v>Бизнес-информатика</v>
      </c>
      <c r="F437" s="9" t="s">
        <v>498</v>
      </c>
      <c r="G437" s="9" t="s">
        <v>42</v>
      </c>
      <c r="H437" s="10" t="s">
        <v>3233</v>
      </c>
      <c r="I437" s="10"/>
      <c r="J437" s="24" t="s">
        <v>3224</v>
      </c>
      <c r="K437" s="11" t="s">
        <v>3229</v>
      </c>
      <c r="L437" s="11"/>
      <c r="M437" s="8" t="s">
        <v>1738</v>
      </c>
      <c r="N437" s="11"/>
      <c r="O437" s="11"/>
      <c r="P437" s="11"/>
      <c r="Q437" s="8" t="s">
        <v>97</v>
      </c>
      <c r="R437" s="11"/>
      <c r="S437" s="11"/>
      <c r="T437" s="11"/>
      <c r="U437" s="11"/>
      <c r="V437" s="11"/>
      <c r="W437" s="83" t="str">
        <f t="shared" si="1086"/>
        <v>НБИбд</v>
      </c>
      <c r="X437" s="110" t="s">
        <v>3244</v>
      </c>
      <c r="Y437" s="11">
        <v>2</v>
      </c>
      <c r="Z437" s="11">
        <v>1</v>
      </c>
      <c r="AA437" s="83">
        <f t="shared" si="35"/>
        <v>15</v>
      </c>
      <c r="AB437" s="11">
        <v>12</v>
      </c>
      <c r="AC437" s="11">
        <v>3</v>
      </c>
      <c r="AD437" s="81">
        <f t="shared" si="1087"/>
        <v>1</v>
      </c>
      <c r="AE437" s="82">
        <f t="shared" si="36"/>
        <v>1</v>
      </c>
      <c r="AF437" s="82">
        <f t="shared" si="37"/>
        <v>15</v>
      </c>
      <c r="AG437" s="102" t="s">
        <v>3250</v>
      </c>
      <c r="AH437" s="113" t="s">
        <v>204</v>
      </c>
      <c r="AI437" s="113" t="s">
        <v>212</v>
      </c>
      <c r="AJ437" s="121" t="s">
        <v>3255</v>
      </c>
      <c r="AK437" s="8"/>
      <c r="AL437" s="42">
        <f t="shared" si="1088"/>
        <v>0</v>
      </c>
      <c r="AM437" s="42">
        <f t="shared" si="1098"/>
        <v>0</v>
      </c>
      <c r="AN437" s="42">
        <f t="shared" si="1099"/>
        <v>0</v>
      </c>
      <c r="AO437" s="42">
        <f t="shared" si="1084"/>
        <v>0</v>
      </c>
      <c r="AP437" s="42">
        <f t="shared" si="1100"/>
        <v>0</v>
      </c>
      <c r="AQ437" s="42">
        <f t="shared" si="1101"/>
        <v>0</v>
      </c>
      <c r="AR437" s="42">
        <f t="shared" si="1089"/>
        <v>0</v>
      </c>
      <c r="AS437" s="42">
        <f t="shared" si="1102"/>
        <v>0</v>
      </c>
      <c r="AT437" s="42">
        <f t="shared" si="1103"/>
        <v>0</v>
      </c>
      <c r="AU437" s="42">
        <f t="shared" si="1104"/>
        <v>0</v>
      </c>
      <c r="AV437" s="42">
        <f>IF(M437="ПП",РПП*AA437*(U437/1.5),IF(M437="ВП",ВПр*AA437*(U437/1.5),IF(M437="РПА",РПА*AA437*(U437/1.5),IF(M437="КПА",КПА*AA437*(U437/1.5),0))))</f>
        <v>0</v>
      </c>
      <c r="AW437" s="42">
        <f t="shared" si="1105"/>
        <v>0</v>
      </c>
      <c r="AX437" s="42">
        <f t="shared" si="1090"/>
        <v>0</v>
      </c>
      <c r="AY437" s="42">
        <f t="shared" si="1091"/>
        <v>0</v>
      </c>
      <c r="AZ437" s="42">
        <f t="shared" si="1106"/>
        <v>0</v>
      </c>
      <c r="BA437" s="42">
        <f t="shared" si="1092"/>
        <v>0</v>
      </c>
      <c r="BB437" s="42">
        <f t="shared" si="1093"/>
        <v>0</v>
      </c>
      <c r="BC437" s="42">
        <f t="shared" si="1094"/>
        <v>0</v>
      </c>
      <c r="BD437" s="42">
        <f t="shared" si="1107"/>
        <v>7.5</v>
      </c>
      <c r="BE437" s="43">
        <f t="shared" si="1108"/>
        <v>7.5</v>
      </c>
      <c r="BF437" s="44"/>
      <c r="BG437" s="45">
        <f t="shared" si="1109"/>
        <v>0</v>
      </c>
      <c r="BH437" s="45">
        <f t="shared" si="1110"/>
        <v>0</v>
      </c>
      <c r="BI437" s="45">
        <f t="shared" si="1111"/>
        <v>0</v>
      </c>
      <c r="BJ437" s="46">
        <f t="shared" si="1095"/>
        <v>0</v>
      </c>
      <c r="BK437" s="46">
        <f t="shared" si="1096"/>
        <v>0</v>
      </c>
      <c r="BL437" s="46">
        <f t="shared" si="1097"/>
        <v>7.5</v>
      </c>
    </row>
    <row r="438" spans="1:64" ht="30" customHeight="1" x14ac:dyDescent="0.25">
      <c r="A438" s="84" t="str">
        <f t="shared" si="1085"/>
        <v>Д</v>
      </c>
      <c r="B438" s="84" t="str">
        <f t="shared" si="32"/>
        <v>Б</v>
      </c>
      <c r="C438" s="101" t="s">
        <v>1473</v>
      </c>
      <c r="D438" s="16" t="str">
        <f t="shared" si="33"/>
        <v>'38.03.05</v>
      </c>
      <c r="E438" s="17" t="str">
        <f t="shared" si="34"/>
        <v>Бизнес-информатика</v>
      </c>
      <c r="F438" s="9" t="s">
        <v>498</v>
      </c>
      <c r="G438" s="9" t="s">
        <v>42</v>
      </c>
      <c r="H438" s="10" t="s">
        <v>3233</v>
      </c>
      <c r="I438" s="10"/>
      <c r="J438" s="24" t="s">
        <v>3225</v>
      </c>
      <c r="K438" s="11" t="s">
        <v>3229</v>
      </c>
      <c r="L438" s="11"/>
      <c r="M438" s="8" t="s">
        <v>96</v>
      </c>
      <c r="N438" s="11"/>
      <c r="O438" s="11"/>
      <c r="P438" s="11"/>
      <c r="Q438" s="8" t="s">
        <v>99</v>
      </c>
      <c r="R438" s="11"/>
      <c r="S438" s="11"/>
      <c r="T438" s="11"/>
      <c r="U438" s="11"/>
      <c r="V438" s="11"/>
      <c r="W438" s="83" t="str">
        <f t="shared" si="1086"/>
        <v>НБИбд</v>
      </c>
      <c r="X438" s="110" t="s">
        <v>3244</v>
      </c>
      <c r="Y438" s="11">
        <v>2</v>
      </c>
      <c r="Z438" s="11">
        <v>1</v>
      </c>
      <c r="AA438" s="83">
        <f t="shared" si="35"/>
        <v>15</v>
      </c>
      <c r="AB438" s="11">
        <v>12</v>
      </c>
      <c r="AC438" s="11">
        <v>3</v>
      </c>
      <c r="AD438" s="81">
        <f t="shared" si="1087"/>
        <v>1</v>
      </c>
      <c r="AE438" s="82">
        <f t="shared" si="36"/>
        <v>1</v>
      </c>
      <c r="AF438" s="82">
        <f t="shared" si="37"/>
        <v>15</v>
      </c>
      <c r="AG438" s="102" t="s">
        <v>3250</v>
      </c>
      <c r="AH438" s="113" t="s">
        <v>204</v>
      </c>
      <c r="AI438" s="113" t="s">
        <v>213</v>
      </c>
      <c r="AJ438" s="121" t="s">
        <v>3259</v>
      </c>
      <c r="AK438" s="8"/>
      <c r="AL438" s="42">
        <f t="shared" si="1088"/>
        <v>0</v>
      </c>
      <c r="AM438" s="42">
        <f t="shared" si="1098"/>
        <v>0</v>
      </c>
      <c r="AN438" s="42">
        <f t="shared" si="1099"/>
        <v>0</v>
      </c>
      <c r="AO438" s="42">
        <f t="shared" ref="AO438:AO494" si="1112">(IF((AND(OR(K438=1,K438=2,K438=3,K438=4,K438=5,K438=6,K438=7,K438=8,K438=9,K438=10,K438=11,K438=12),OR(Q438="Зач",Q438="Экз"))),ТКиРА*AA438,0)+IF(SUM(N438:P438)&lt;&gt;0,IF(Q438="ТК",ТКиРА*AA438,0),0))*(IF(F438="ФТД",0,1))</f>
        <v>0</v>
      </c>
      <c r="AP438" s="42">
        <f t="shared" si="1100"/>
        <v>0</v>
      </c>
      <c r="AQ438" s="42">
        <f t="shared" si="1101"/>
        <v>0</v>
      </c>
      <c r="AR438" s="42">
        <f t="shared" si="1089"/>
        <v>0</v>
      </c>
      <c r="AS438" s="42">
        <f t="shared" si="1102"/>
        <v>0</v>
      </c>
      <c r="AT438" s="42">
        <f t="shared" si="1103"/>
        <v>0</v>
      </c>
      <c r="AU438" s="42">
        <f t="shared" si="1104"/>
        <v>0</v>
      </c>
      <c r="AV438" s="42">
        <f>IF(M438="ПП",РПП*AA438*(U438/1.5),IF(M438="ВП",ВПр*AA438*(U438/1.5),IF(M438="РПА",РПА*AA438*(U438/1.5),IF(M438="КПА",КПА*AA438*(U438/1.5),0))))</f>
        <v>0</v>
      </c>
      <c r="AW438" s="42">
        <f t="shared" si="1105"/>
        <v>0</v>
      </c>
      <c r="AX438" s="42">
        <f t="shared" si="1090"/>
        <v>0</v>
      </c>
      <c r="AY438" s="42">
        <f t="shared" si="1091"/>
        <v>0</v>
      </c>
      <c r="AZ438" s="42">
        <f t="shared" si="1106"/>
        <v>0</v>
      </c>
      <c r="BA438" s="42">
        <f t="shared" si="1092"/>
        <v>0</v>
      </c>
      <c r="BB438" s="42">
        <f t="shared" si="1093"/>
        <v>330</v>
      </c>
      <c r="BC438" s="42">
        <f t="shared" si="1094"/>
        <v>0</v>
      </c>
      <c r="BD438" s="42">
        <f t="shared" si="1107"/>
        <v>0</v>
      </c>
      <c r="BE438" s="43">
        <f t="shared" si="1108"/>
        <v>330</v>
      </c>
      <c r="BF438" s="44"/>
      <c r="BG438" s="45">
        <f t="shared" si="1109"/>
        <v>0</v>
      </c>
      <c r="BH438" s="45">
        <f t="shared" si="1110"/>
        <v>0</v>
      </c>
      <c r="BI438" s="45">
        <f t="shared" si="1111"/>
        <v>0</v>
      </c>
      <c r="BJ438" s="46">
        <f t="shared" si="1095"/>
        <v>0</v>
      </c>
      <c r="BK438" s="46">
        <f t="shared" si="1096"/>
        <v>0</v>
      </c>
      <c r="BL438" s="46">
        <f t="shared" si="1097"/>
        <v>330</v>
      </c>
    </row>
    <row r="439" spans="1:64" ht="30" customHeight="1" x14ac:dyDescent="0.25">
      <c r="A439" s="84" t="str">
        <f t="shared" si="1085"/>
        <v>Д</v>
      </c>
      <c r="B439" s="84" t="str">
        <f t="shared" si="32"/>
        <v>Б</v>
      </c>
      <c r="C439" s="101" t="s">
        <v>1473</v>
      </c>
      <c r="D439" s="16" t="str">
        <f t="shared" si="33"/>
        <v>'38.03.05</v>
      </c>
      <c r="E439" s="17" t="str">
        <f t="shared" si="34"/>
        <v>Бизнес-информатика</v>
      </c>
      <c r="F439" s="9" t="s">
        <v>498</v>
      </c>
      <c r="G439" s="9" t="s">
        <v>42</v>
      </c>
      <c r="H439" s="10" t="s">
        <v>3233</v>
      </c>
      <c r="I439" s="10"/>
      <c r="J439" s="24" t="s">
        <v>73</v>
      </c>
      <c r="K439" s="11" t="s">
        <v>3229</v>
      </c>
      <c r="L439" s="11"/>
      <c r="M439" s="8" t="s">
        <v>27</v>
      </c>
      <c r="N439" s="11"/>
      <c r="O439" s="11"/>
      <c r="P439" s="11"/>
      <c r="Q439" s="8"/>
      <c r="R439" s="11"/>
      <c r="S439" s="11"/>
      <c r="T439" s="11"/>
      <c r="U439" s="11"/>
      <c r="V439" s="11"/>
      <c r="W439" s="83" t="str">
        <f t="shared" si="1086"/>
        <v>НБИбд</v>
      </c>
      <c r="X439" s="110" t="s">
        <v>3244</v>
      </c>
      <c r="Y439" s="11">
        <v>2</v>
      </c>
      <c r="Z439" s="11">
        <v>1</v>
      </c>
      <c r="AA439" s="83">
        <f t="shared" si="35"/>
        <v>15</v>
      </c>
      <c r="AB439" s="11">
        <v>12</v>
      </c>
      <c r="AC439" s="11">
        <v>3</v>
      </c>
      <c r="AD439" s="81">
        <f t="shared" si="1087"/>
        <v>1</v>
      </c>
      <c r="AE439" s="82">
        <f t="shared" si="36"/>
        <v>1</v>
      </c>
      <c r="AF439" s="82">
        <f t="shared" si="37"/>
        <v>15</v>
      </c>
      <c r="AG439" s="102" t="s">
        <v>3250</v>
      </c>
      <c r="AH439" s="113" t="s">
        <v>204</v>
      </c>
      <c r="AI439" s="113" t="s">
        <v>213</v>
      </c>
      <c r="AJ439" s="121" t="s">
        <v>3259</v>
      </c>
      <c r="AK439" s="8"/>
      <c r="AL439" s="42">
        <f t="shared" si="1088"/>
        <v>0</v>
      </c>
      <c r="AM439" s="42">
        <f t="shared" si="1098"/>
        <v>0</v>
      </c>
      <c r="AN439" s="42">
        <f t="shared" si="1099"/>
        <v>0</v>
      </c>
      <c r="AO439" s="42">
        <f t="shared" si="1112"/>
        <v>0</v>
      </c>
      <c r="AP439" s="42">
        <f t="shared" si="1100"/>
        <v>0</v>
      </c>
      <c r="AQ439" s="42">
        <f t="shared" si="1101"/>
        <v>0</v>
      </c>
      <c r="AR439" s="42">
        <f t="shared" si="1089"/>
        <v>0</v>
      </c>
      <c r="AS439" s="42">
        <f t="shared" si="1102"/>
        <v>0</v>
      </c>
      <c r="AT439" s="42">
        <f t="shared" si="1103"/>
        <v>0</v>
      </c>
      <c r="AU439" s="42">
        <f t="shared" si="1104"/>
        <v>0</v>
      </c>
      <c r="AV439" s="42">
        <f>IF(M439="ПП",РПП*AA439*(U439/1.5),IF(M439="ВП",ВПр*AA439*(U439/1.5),IF(M439="РПА",РПА*AA439*(U439/1.5),IF(M439="КПА",КПА*AA439*(U439/1.5),0))))</f>
        <v>0</v>
      </c>
      <c r="AW439" s="42">
        <f t="shared" si="1105"/>
        <v>0</v>
      </c>
      <c r="AX439" s="42">
        <f t="shared" si="1090"/>
        <v>0</v>
      </c>
      <c r="AY439" s="42">
        <f t="shared" si="1091"/>
        <v>0</v>
      </c>
      <c r="AZ439" s="42">
        <f t="shared" si="1106"/>
        <v>0</v>
      </c>
      <c r="BA439" s="42">
        <f t="shared" si="1092"/>
        <v>0</v>
      </c>
      <c r="BB439" s="42">
        <f t="shared" si="1093"/>
        <v>0</v>
      </c>
      <c r="BC439" s="42">
        <f t="shared" si="1094"/>
        <v>30</v>
      </c>
      <c r="BD439" s="42">
        <f t="shared" si="1107"/>
        <v>0</v>
      </c>
      <c r="BE439" s="43">
        <f t="shared" si="1108"/>
        <v>30</v>
      </c>
      <c r="BF439" s="44"/>
      <c r="BG439" s="45">
        <f t="shared" si="1109"/>
        <v>0</v>
      </c>
      <c r="BH439" s="45">
        <f t="shared" si="1110"/>
        <v>0</v>
      </c>
      <c r="BI439" s="45">
        <f t="shared" si="1111"/>
        <v>0</v>
      </c>
      <c r="BJ439" s="46">
        <f t="shared" si="1095"/>
        <v>0</v>
      </c>
      <c r="BK439" s="46">
        <f t="shared" si="1096"/>
        <v>0</v>
      </c>
      <c r="BL439" s="46">
        <f t="shared" si="1097"/>
        <v>30</v>
      </c>
    </row>
    <row r="440" spans="1:64" ht="30" customHeight="1" x14ac:dyDescent="0.25">
      <c r="A440" s="84" t="str">
        <f t="shared" si="1085"/>
        <v>Д</v>
      </c>
      <c r="B440" s="84" t="str">
        <f t="shared" si="32"/>
        <v>Б</v>
      </c>
      <c r="C440" s="101" t="s">
        <v>1475</v>
      </c>
      <c r="D440" s="16" t="str">
        <f t="shared" si="33"/>
        <v>'38.03.05</v>
      </c>
      <c r="E440" s="17" t="str">
        <f t="shared" si="34"/>
        <v>Кибербезопасность в экономике</v>
      </c>
      <c r="F440" s="9" t="s">
        <v>413</v>
      </c>
      <c r="G440" s="9" t="s">
        <v>42</v>
      </c>
      <c r="H440" s="10"/>
      <c r="I440" s="10"/>
      <c r="J440" s="24" t="s">
        <v>3303</v>
      </c>
      <c r="K440" s="12">
        <v>3</v>
      </c>
      <c r="L440" s="11">
        <v>18</v>
      </c>
      <c r="M440" s="8" t="s">
        <v>23</v>
      </c>
      <c r="N440" s="12">
        <v>1</v>
      </c>
      <c r="O440" s="12"/>
      <c r="P440" s="12"/>
      <c r="Q440" s="8" t="s">
        <v>103</v>
      </c>
      <c r="R440" s="11"/>
      <c r="S440" s="11"/>
      <c r="T440" s="23"/>
      <c r="U440" s="11"/>
      <c r="V440" s="11"/>
      <c r="W440" s="83" t="str">
        <f t="shared" si="1086"/>
        <v>НБИбд</v>
      </c>
      <c r="X440" s="110" t="s">
        <v>3234</v>
      </c>
      <c r="Y440" s="11">
        <v>2</v>
      </c>
      <c r="Z440" s="11">
        <v>1</v>
      </c>
      <c r="AA440" s="83">
        <f t="shared" si="35"/>
        <v>30</v>
      </c>
      <c r="AB440" s="11">
        <v>23</v>
      </c>
      <c r="AC440" s="11">
        <v>7</v>
      </c>
      <c r="AD440" s="81">
        <f t="shared" si="1087"/>
        <v>30</v>
      </c>
      <c r="AE440" s="82">
        <f t="shared" si="36"/>
        <v>1</v>
      </c>
      <c r="AF440" s="82">
        <f t="shared" si="37"/>
        <v>1</v>
      </c>
      <c r="AG440" s="102" t="s">
        <v>3250</v>
      </c>
      <c r="AH440" s="113" t="s">
        <v>204</v>
      </c>
      <c r="AI440" s="113" t="s">
        <v>212</v>
      </c>
      <c r="AJ440" s="125" t="s">
        <v>3346</v>
      </c>
      <c r="AK440" s="8" t="s">
        <v>949</v>
      </c>
      <c r="AL440" s="42">
        <f t="shared" si="1088"/>
        <v>18</v>
      </c>
      <c r="AM440" s="42">
        <f t="shared" si="1098"/>
        <v>0</v>
      </c>
      <c r="AN440" s="42">
        <f t="shared" si="1099"/>
        <v>0</v>
      </c>
      <c r="AO440" s="42">
        <f t="shared" si="1112"/>
        <v>9.9</v>
      </c>
      <c r="AP440" s="42">
        <f t="shared" si="1100"/>
        <v>15</v>
      </c>
      <c r="AQ440" s="42">
        <f t="shared" si="1101"/>
        <v>1</v>
      </c>
      <c r="AR440" s="42">
        <f t="shared" si="1089"/>
        <v>0.9</v>
      </c>
      <c r="AS440" s="42">
        <f t="shared" si="1102"/>
        <v>0</v>
      </c>
      <c r="AT440" s="42">
        <f t="shared" si="1103"/>
        <v>0</v>
      </c>
      <c r="AU440" s="42">
        <f t="shared" si="1104"/>
        <v>0</v>
      </c>
      <c r="AV440" s="42">
        <f>IF(M440="ПП",РПП*AA440*(U440/1.5),IF(M440="ВП",ВПр*AA440*(U440/1.5),IF(M440="РПА",РПА*AA440*(U440/1.5),IF(M440="КПА",КПА*AA440*(U440/1.5),0))))</f>
        <v>0</v>
      </c>
      <c r="AW440" s="42">
        <f t="shared" si="1105"/>
        <v>0</v>
      </c>
      <c r="AX440" s="42">
        <f t="shared" si="1090"/>
        <v>0</v>
      </c>
      <c r="AY440" s="42">
        <f t="shared" si="1091"/>
        <v>0</v>
      </c>
      <c r="AZ440" s="42">
        <f t="shared" si="1106"/>
        <v>0</v>
      </c>
      <c r="BA440" s="42">
        <f t="shared" si="1092"/>
        <v>0</v>
      </c>
      <c r="BB440" s="42">
        <f t="shared" si="1093"/>
        <v>0</v>
      </c>
      <c r="BC440" s="42">
        <f t="shared" si="1094"/>
        <v>0</v>
      </c>
      <c r="BD440" s="42">
        <f t="shared" si="1107"/>
        <v>0</v>
      </c>
      <c r="BE440" s="43">
        <f t="shared" si="1108"/>
        <v>44.8</v>
      </c>
      <c r="BF440" s="44"/>
      <c r="BG440" s="45">
        <f t="shared" si="1109"/>
        <v>18</v>
      </c>
      <c r="BH440" s="45">
        <f t="shared" si="1110"/>
        <v>0.5</v>
      </c>
      <c r="BI440" s="45">
        <f t="shared" si="1111"/>
        <v>26.799999999999997</v>
      </c>
      <c r="BJ440" s="46">
        <f t="shared" si="1095"/>
        <v>0</v>
      </c>
      <c r="BK440" s="46">
        <f t="shared" si="1096"/>
        <v>0</v>
      </c>
      <c r="BL440" s="46">
        <f t="shared" si="1097"/>
        <v>0</v>
      </c>
    </row>
    <row r="441" spans="1:64" ht="30" customHeight="1" x14ac:dyDescent="0.25">
      <c r="A441" s="84" t="str">
        <f t="shared" si="1085"/>
        <v>Д</v>
      </c>
      <c r="B441" s="84" t="str">
        <f t="shared" si="32"/>
        <v>Б</v>
      </c>
      <c r="C441" s="101" t="s">
        <v>1475</v>
      </c>
      <c r="D441" s="16" t="str">
        <f t="shared" si="33"/>
        <v>'38.03.05</v>
      </c>
      <c r="E441" s="17" t="str">
        <f t="shared" si="34"/>
        <v>Кибербезопасность в экономике</v>
      </c>
      <c r="F441" s="9" t="s">
        <v>413</v>
      </c>
      <c r="G441" s="9" t="s">
        <v>42</v>
      </c>
      <c r="H441" s="10"/>
      <c r="I441" s="10"/>
      <c r="J441" s="24" t="s">
        <v>3303</v>
      </c>
      <c r="K441" s="11">
        <v>3</v>
      </c>
      <c r="L441" s="11">
        <v>18</v>
      </c>
      <c r="M441" s="8" t="s">
        <v>24</v>
      </c>
      <c r="N441" s="11"/>
      <c r="O441" s="11"/>
      <c r="P441" s="11">
        <v>2</v>
      </c>
      <c r="Q441" s="8"/>
      <c r="R441" s="11"/>
      <c r="S441" s="11"/>
      <c r="T441" s="11"/>
      <c r="U441" s="11"/>
      <c r="V441" s="11"/>
      <c r="W441" s="83" t="str">
        <f t="shared" si="1086"/>
        <v>НБИбд</v>
      </c>
      <c r="X441" s="110" t="s">
        <v>3234</v>
      </c>
      <c r="Y441" s="11">
        <v>2</v>
      </c>
      <c r="Z441" s="11">
        <v>1</v>
      </c>
      <c r="AA441" s="83">
        <f t="shared" si="35"/>
        <v>30</v>
      </c>
      <c r="AB441" s="11">
        <v>23</v>
      </c>
      <c r="AC441" s="11">
        <v>7</v>
      </c>
      <c r="AD441" s="81">
        <f t="shared" si="1087"/>
        <v>24</v>
      </c>
      <c r="AE441" s="82">
        <f t="shared" si="36"/>
        <v>1</v>
      </c>
      <c r="AF441" s="82">
        <f t="shared" si="37"/>
        <v>1.25</v>
      </c>
      <c r="AG441" s="102" t="s">
        <v>3250</v>
      </c>
      <c r="AH441" s="113" t="s">
        <v>203</v>
      </c>
      <c r="AI441" s="113" t="s">
        <v>214</v>
      </c>
      <c r="AJ441" s="121" t="s">
        <v>3346</v>
      </c>
      <c r="AK441" s="8"/>
      <c r="AL441" s="42">
        <f t="shared" si="1088"/>
        <v>0</v>
      </c>
      <c r="AM441" s="42">
        <f t="shared" si="1098"/>
        <v>36</v>
      </c>
      <c r="AN441" s="42">
        <f t="shared" si="1099"/>
        <v>0</v>
      </c>
      <c r="AO441" s="42">
        <f t="shared" si="1112"/>
        <v>0</v>
      </c>
      <c r="AP441" s="42">
        <f t="shared" si="1100"/>
        <v>0</v>
      </c>
      <c r="AQ441" s="42">
        <f t="shared" si="1101"/>
        <v>0</v>
      </c>
      <c r="AR441" s="42">
        <f t="shared" si="1089"/>
        <v>0</v>
      </c>
      <c r="AS441" s="42">
        <f t="shared" si="1102"/>
        <v>0</v>
      </c>
      <c r="AT441" s="42">
        <f t="shared" si="1103"/>
        <v>0</v>
      </c>
      <c r="AU441" s="42">
        <f t="shared" si="1104"/>
        <v>0</v>
      </c>
      <c r="AV441" s="42">
        <f>IF(M441="ПП",РПП*AA441*(U441/1.5),IF(M441="ВП",ВПр*AA441*(U441/1.5),IF(M441="РПА",РПА*AA441*(U441/1.5),IF(M441="КПА",КПА*AA441*(U441/1.5),0))))</f>
        <v>0</v>
      </c>
      <c r="AW441" s="42">
        <f t="shared" si="1105"/>
        <v>0</v>
      </c>
      <c r="AX441" s="42">
        <f t="shared" si="1090"/>
        <v>0</v>
      </c>
      <c r="AY441" s="42">
        <f t="shared" si="1091"/>
        <v>0</v>
      </c>
      <c r="AZ441" s="42">
        <f t="shared" si="1106"/>
        <v>0</v>
      </c>
      <c r="BA441" s="42">
        <f t="shared" si="1092"/>
        <v>0</v>
      </c>
      <c r="BB441" s="42">
        <f t="shared" si="1093"/>
        <v>0</v>
      </c>
      <c r="BC441" s="42">
        <f t="shared" si="1094"/>
        <v>0</v>
      </c>
      <c r="BD441" s="42">
        <f t="shared" si="1107"/>
        <v>0</v>
      </c>
      <c r="BE441" s="43">
        <f t="shared" si="1108"/>
        <v>36</v>
      </c>
      <c r="BF441" s="44"/>
      <c r="BG441" s="45">
        <f t="shared" si="1109"/>
        <v>36</v>
      </c>
      <c r="BH441" s="45">
        <f t="shared" si="1110"/>
        <v>1</v>
      </c>
      <c r="BI441" s="45">
        <f t="shared" si="1111"/>
        <v>0</v>
      </c>
      <c r="BJ441" s="46">
        <f t="shared" si="1095"/>
        <v>0</v>
      </c>
      <c r="BK441" s="46">
        <f t="shared" si="1096"/>
        <v>0</v>
      </c>
      <c r="BL441" s="46">
        <f t="shared" si="1097"/>
        <v>0</v>
      </c>
    </row>
    <row r="442" spans="1:64" ht="30" customHeight="1" x14ac:dyDescent="0.25">
      <c r="A442" s="84" t="str">
        <f t="shared" si="1085"/>
        <v>Д</v>
      </c>
      <c r="B442" s="84" t="str">
        <f t="shared" si="32"/>
        <v>Б</v>
      </c>
      <c r="C442" s="101" t="s">
        <v>1475</v>
      </c>
      <c r="D442" s="16" t="str">
        <f t="shared" si="33"/>
        <v>'38.03.05</v>
      </c>
      <c r="E442" s="17" t="str">
        <f t="shared" si="34"/>
        <v>Кибербезопасность в экономике</v>
      </c>
      <c r="F442" s="9" t="s">
        <v>413</v>
      </c>
      <c r="G442" s="9" t="s">
        <v>42</v>
      </c>
      <c r="H442" s="10" t="s">
        <v>3233</v>
      </c>
      <c r="I442" s="10"/>
      <c r="J442" s="24" t="s">
        <v>3204</v>
      </c>
      <c r="K442" s="11">
        <v>1</v>
      </c>
      <c r="L442" s="11">
        <v>18</v>
      </c>
      <c r="M442" s="8" t="s">
        <v>23</v>
      </c>
      <c r="N442" s="11">
        <v>1</v>
      </c>
      <c r="O442" s="11"/>
      <c r="P442" s="11"/>
      <c r="Q442" s="8"/>
      <c r="R442" s="11"/>
      <c r="S442" s="11"/>
      <c r="T442" s="11"/>
      <c r="U442" s="11"/>
      <c r="V442" s="11"/>
      <c r="W442" s="83" t="str">
        <f t="shared" si="1086"/>
        <v>НБИбд</v>
      </c>
      <c r="X442" s="110" t="s">
        <v>3246</v>
      </c>
      <c r="Y442" s="11">
        <v>2</v>
      </c>
      <c r="Z442" s="11">
        <v>1</v>
      </c>
      <c r="AA442" s="83">
        <f t="shared" si="35"/>
        <v>0</v>
      </c>
      <c r="AB442" s="11"/>
      <c r="AC442" s="11"/>
      <c r="AD442" s="81">
        <f t="shared" si="1087"/>
        <v>0</v>
      </c>
      <c r="AE442" s="82" t="e">
        <f t="shared" si="36"/>
        <v>#DIV/0!</v>
      </c>
      <c r="AF442" s="82" t="e">
        <f t="shared" si="37"/>
        <v>#DIV/0!</v>
      </c>
      <c r="AG442" s="102" t="s">
        <v>3250</v>
      </c>
      <c r="AH442" s="113" t="s">
        <v>204</v>
      </c>
      <c r="AI442" s="113" t="s">
        <v>212</v>
      </c>
      <c r="AJ442" s="119" t="s">
        <v>3255</v>
      </c>
      <c r="AK442" s="8"/>
      <c r="AL442" s="42">
        <f t="shared" si="1088"/>
        <v>18</v>
      </c>
      <c r="AM442" s="42">
        <f t="shared" si="1098"/>
        <v>0</v>
      </c>
      <c r="AN442" s="42">
        <f t="shared" si="1099"/>
        <v>0</v>
      </c>
      <c r="AO442" s="42">
        <f t="shared" si="1112"/>
        <v>0</v>
      </c>
      <c r="AP442" s="42">
        <f t="shared" si="1100"/>
        <v>0</v>
      </c>
      <c r="AQ442" s="42">
        <f t="shared" si="1101"/>
        <v>0</v>
      </c>
      <c r="AR442" s="42">
        <f t="shared" si="1089"/>
        <v>0.9</v>
      </c>
      <c r="AS442" s="42">
        <f t="shared" si="1102"/>
        <v>0</v>
      </c>
      <c r="AT442" s="42">
        <f t="shared" si="1103"/>
        <v>0</v>
      </c>
      <c r="AU442" s="42">
        <f t="shared" si="1104"/>
        <v>0</v>
      </c>
      <c r="AV442" s="42">
        <f>IF(M442="ПП",РПП*AA442*(U442/1.5),IF(M442="ВП",ВПр*AA442*(U442/1.5),IF(M442="РПА",РПА*AA442*(U442/1.5),IF(M442="КПА",КПА*AA442*(U442/1.5),0))))</f>
        <v>0</v>
      </c>
      <c r="AW442" s="42">
        <f t="shared" si="1105"/>
        <v>0</v>
      </c>
      <c r="AX442" s="42">
        <f t="shared" si="1090"/>
        <v>0</v>
      </c>
      <c r="AY442" s="42">
        <f t="shared" si="1091"/>
        <v>0</v>
      </c>
      <c r="AZ442" s="42">
        <f t="shared" si="1106"/>
        <v>0</v>
      </c>
      <c r="BA442" s="42">
        <f t="shared" si="1092"/>
        <v>0</v>
      </c>
      <c r="BB442" s="42">
        <f t="shared" si="1093"/>
        <v>0</v>
      </c>
      <c r="BC442" s="42">
        <f t="shared" si="1094"/>
        <v>0</v>
      </c>
      <c r="BD442" s="42">
        <f t="shared" si="1107"/>
        <v>0</v>
      </c>
      <c r="BE442" s="43">
        <f t="shared" si="1108"/>
        <v>18.899999999999999</v>
      </c>
      <c r="BF442" s="44"/>
      <c r="BG442" s="45">
        <f t="shared" si="1109"/>
        <v>18</v>
      </c>
      <c r="BH442" s="45">
        <f t="shared" si="1110"/>
        <v>0.5</v>
      </c>
      <c r="BI442" s="45">
        <f t="shared" si="1111"/>
        <v>0.9</v>
      </c>
      <c r="BJ442" s="46">
        <f t="shared" si="1095"/>
        <v>0</v>
      </c>
      <c r="BK442" s="46">
        <f t="shared" si="1096"/>
        <v>0</v>
      </c>
      <c r="BL442" s="46">
        <f t="shared" si="1097"/>
        <v>0</v>
      </c>
    </row>
    <row r="443" spans="1:64" ht="30" customHeight="1" x14ac:dyDescent="0.25">
      <c r="A443" s="84" t="str">
        <f t="shared" si="1085"/>
        <v>Д</v>
      </c>
      <c r="B443" s="84" t="str">
        <f t="shared" si="32"/>
        <v>Б</v>
      </c>
      <c r="C443" s="101" t="s">
        <v>1475</v>
      </c>
      <c r="D443" s="16" t="str">
        <f t="shared" si="33"/>
        <v>'38.03.05</v>
      </c>
      <c r="E443" s="17" t="str">
        <f t="shared" si="34"/>
        <v>Кибербезопасность в экономике</v>
      </c>
      <c r="F443" s="9" t="s">
        <v>413</v>
      </c>
      <c r="G443" s="9" t="s">
        <v>42</v>
      </c>
      <c r="H443" s="10" t="s">
        <v>3233</v>
      </c>
      <c r="I443" s="10"/>
      <c r="J443" s="24" t="s">
        <v>3204</v>
      </c>
      <c r="K443" s="11">
        <v>1</v>
      </c>
      <c r="L443" s="11">
        <v>18</v>
      </c>
      <c r="M443" s="8" t="s">
        <v>94</v>
      </c>
      <c r="N443" s="11"/>
      <c r="O443" s="11">
        <v>2</v>
      </c>
      <c r="P443" s="11"/>
      <c r="Q443" s="8" t="s">
        <v>102</v>
      </c>
      <c r="R443" s="11"/>
      <c r="S443" s="11"/>
      <c r="T443" s="11"/>
      <c r="U443" s="11"/>
      <c r="V443" s="11"/>
      <c r="W443" s="83" t="str">
        <f t="shared" si="1086"/>
        <v>НБИбд</v>
      </c>
      <c r="X443" s="110" t="s">
        <v>3246</v>
      </c>
      <c r="Y443" s="11">
        <v>1</v>
      </c>
      <c r="Z443" s="11">
        <v>1</v>
      </c>
      <c r="AA443" s="83">
        <f t="shared" si="35"/>
        <v>0</v>
      </c>
      <c r="AB443" s="11"/>
      <c r="AC443" s="11"/>
      <c r="AD443" s="81">
        <f t="shared" si="1087"/>
        <v>12</v>
      </c>
      <c r="AE443" s="82">
        <f t="shared" si="36"/>
        <v>0</v>
      </c>
      <c r="AF443" s="82">
        <f t="shared" si="37"/>
        <v>0</v>
      </c>
      <c r="AG443" s="102" t="s">
        <v>3250</v>
      </c>
      <c r="AH443" s="113" t="s">
        <v>203</v>
      </c>
      <c r="AI443" s="113" t="s">
        <v>213</v>
      </c>
      <c r="AJ443" s="119" t="s">
        <v>3344</v>
      </c>
      <c r="AK443" s="8"/>
      <c r="AL443" s="42">
        <f t="shared" si="1088"/>
        <v>0</v>
      </c>
      <c r="AM443" s="42">
        <f t="shared" si="1098"/>
        <v>0</v>
      </c>
      <c r="AN443" s="42">
        <f t="shared" si="1099"/>
        <v>0</v>
      </c>
      <c r="AO443" s="42">
        <f t="shared" si="1112"/>
        <v>0</v>
      </c>
      <c r="AP443" s="42">
        <f t="shared" si="1100"/>
        <v>0</v>
      </c>
      <c r="AQ443" s="42">
        <f t="shared" si="1101"/>
        <v>0</v>
      </c>
      <c r="AR443" s="42">
        <f t="shared" si="1089"/>
        <v>0</v>
      </c>
      <c r="AS443" s="42">
        <f t="shared" si="1102"/>
        <v>0</v>
      </c>
      <c r="AT443" s="42">
        <f t="shared" si="1103"/>
        <v>0</v>
      </c>
      <c r="AU443" s="42">
        <f t="shared" si="1104"/>
        <v>0</v>
      </c>
      <c r="AV443" s="42">
        <f>IF(M443="ПП",РПП*AA443*(U443/1.5),IF(M443="ВП",ВПр*AA443*(U443/1.5),IF(M443="РПА",РПА*AA443*(U443/1.5),IF(M443="КПА",КПА*AA443*(U443/1.5),0))))</f>
        <v>0</v>
      </c>
      <c r="AW443" s="42">
        <f t="shared" si="1105"/>
        <v>0</v>
      </c>
      <c r="AX443" s="42">
        <f t="shared" si="1090"/>
        <v>0</v>
      </c>
      <c r="AY443" s="42">
        <f t="shared" si="1091"/>
        <v>0</v>
      </c>
      <c r="AZ443" s="42">
        <f t="shared" si="1106"/>
        <v>0</v>
      </c>
      <c r="BA443" s="42">
        <f t="shared" si="1092"/>
        <v>0</v>
      </c>
      <c r="BB443" s="42">
        <f t="shared" si="1093"/>
        <v>0</v>
      </c>
      <c r="BC443" s="42">
        <f t="shared" si="1094"/>
        <v>0</v>
      </c>
      <c r="BD443" s="42">
        <f t="shared" si="1107"/>
        <v>0</v>
      </c>
      <c r="BE443" s="43">
        <f t="shared" si="1108"/>
        <v>0</v>
      </c>
      <c r="BF443" s="44"/>
      <c r="BG443" s="45">
        <f t="shared" si="1109"/>
        <v>0</v>
      </c>
      <c r="BH443" s="45">
        <f t="shared" si="1110"/>
        <v>0</v>
      </c>
      <c r="BI443" s="45">
        <f t="shared" si="1111"/>
        <v>0</v>
      </c>
      <c r="BJ443" s="46">
        <f t="shared" si="1095"/>
        <v>0</v>
      </c>
      <c r="BK443" s="46">
        <f t="shared" si="1096"/>
        <v>0</v>
      </c>
      <c r="BL443" s="46">
        <f t="shared" si="1097"/>
        <v>0</v>
      </c>
    </row>
    <row r="444" spans="1:64" ht="30" customHeight="1" x14ac:dyDescent="0.25">
      <c r="A444" s="84" t="str">
        <f t="shared" si="1085"/>
        <v>Д</v>
      </c>
      <c r="B444" s="84" t="str">
        <f t="shared" si="32"/>
        <v>Б</v>
      </c>
      <c r="C444" s="101" t="s">
        <v>1475</v>
      </c>
      <c r="D444" s="16" t="str">
        <f t="shared" si="33"/>
        <v>'38.03.05</v>
      </c>
      <c r="E444" s="17" t="str">
        <f t="shared" si="34"/>
        <v>Кибербезопасность в экономике</v>
      </c>
      <c r="F444" s="9" t="s">
        <v>413</v>
      </c>
      <c r="G444" s="9" t="s">
        <v>42</v>
      </c>
      <c r="H444" s="10" t="s">
        <v>3233</v>
      </c>
      <c r="I444" s="10"/>
      <c r="J444" s="24" t="s">
        <v>3204</v>
      </c>
      <c r="K444" s="11">
        <v>1</v>
      </c>
      <c r="L444" s="11">
        <v>18</v>
      </c>
      <c r="M444" s="8" t="s">
        <v>94</v>
      </c>
      <c r="N444" s="11"/>
      <c r="O444" s="11">
        <v>2</v>
      </c>
      <c r="P444" s="11"/>
      <c r="Q444" s="8" t="s">
        <v>102</v>
      </c>
      <c r="R444" s="11"/>
      <c r="S444" s="11"/>
      <c r="T444" s="11"/>
      <c r="U444" s="11"/>
      <c r="V444" s="11"/>
      <c r="W444" s="83" t="str">
        <f t="shared" si="1086"/>
        <v>НБИбд</v>
      </c>
      <c r="X444" s="110" t="s">
        <v>3246</v>
      </c>
      <c r="Y444" s="11">
        <v>1</v>
      </c>
      <c r="Z444" s="11">
        <v>1</v>
      </c>
      <c r="AA444" s="83">
        <f t="shared" si="35"/>
        <v>0</v>
      </c>
      <c r="AB444" s="11"/>
      <c r="AC444" s="11"/>
      <c r="AD444" s="81">
        <f t="shared" si="1087"/>
        <v>12</v>
      </c>
      <c r="AE444" s="82">
        <f t="shared" si="36"/>
        <v>0</v>
      </c>
      <c r="AF444" s="82">
        <f t="shared" si="37"/>
        <v>0</v>
      </c>
      <c r="AG444" s="102" t="s">
        <v>3250</v>
      </c>
      <c r="AH444" s="113" t="s">
        <v>203</v>
      </c>
      <c r="AI444" s="113" t="s">
        <v>213</v>
      </c>
      <c r="AJ444" s="119" t="s">
        <v>3344</v>
      </c>
      <c r="AK444" s="8"/>
      <c r="AL444" s="42">
        <f t="shared" si="1088"/>
        <v>0</v>
      </c>
      <c r="AM444" s="42">
        <f t="shared" si="1098"/>
        <v>0</v>
      </c>
      <c r="AN444" s="42">
        <f t="shared" si="1099"/>
        <v>0</v>
      </c>
      <c r="AO444" s="42">
        <f t="shared" si="1112"/>
        <v>0</v>
      </c>
      <c r="AP444" s="42">
        <f t="shared" si="1100"/>
        <v>0</v>
      </c>
      <c r="AQ444" s="42">
        <f t="shared" si="1101"/>
        <v>0</v>
      </c>
      <c r="AR444" s="42">
        <f t="shared" si="1089"/>
        <v>0</v>
      </c>
      <c r="AS444" s="42">
        <f t="shared" si="1102"/>
        <v>0</v>
      </c>
      <c r="AT444" s="42">
        <f t="shared" si="1103"/>
        <v>0</v>
      </c>
      <c r="AU444" s="42">
        <f t="shared" si="1104"/>
        <v>0</v>
      </c>
      <c r="AV444" s="42">
        <f>IF(M444="ПП",РПП*AA444*(U444/1.5),IF(M444="ВП",ВПр*AA444*(U444/1.5),IF(M444="РПА",РПА*AA444*(U444/1.5),IF(M444="КПА",КПА*AA444*(U444/1.5),0))))</f>
        <v>0</v>
      </c>
      <c r="AW444" s="42">
        <f t="shared" si="1105"/>
        <v>0</v>
      </c>
      <c r="AX444" s="42">
        <f t="shared" si="1090"/>
        <v>0</v>
      </c>
      <c r="AY444" s="42">
        <f t="shared" si="1091"/>
        <v>0</v>
      </c>
      <c r="AZ444" s="42">
        <f t="shared" si="1106"/>
        <v>0</v>
      </c>
      <c r="BA444" s="42">
        <f t="shared" si="1092"/>
        <v>0</v>
      </c>
      <c r="BB444" s="42">
        <f t="shared" si="1093"/>
        <v>0</v>
      </c>
      <c r="BC444" s="42">
        <f t="shared" si="1094"/>
        <v>0</v>
      </c>
      <c r="BD444" s="42">
        <f t="shared" si="1107"/>
        <v>0</v>
      </c>
      <c r="BE444" s="43">
        <f t="shared" si="1108"/>
        <v>0</v>
      </c>
      <c r="BF444" s="44"/>
      <c r="BG444" s="45">
        <f t="shared" si="1109"/>
        <v>0</v>
      </c>
      <c r="BH444" s="45">
        <f t="shared" si="1110"/>
        <v>0</v>
      </c>
      <c r="BI444" s="45">
        <f t="shared" si="1111"/>
        <v>0</v>
      </c>
      <c r="BJ444" s="46">
        <f t="shared" si="1095"/>
        <v>0</v>
      </c>
      <c r="BK444" s="46">
        <f t="shared" si="1096"/>
        <v>0</v>
      </c>
      <c r="BL444" s="46">
        <f t="shared" si="1097"/>
        <v>0</v>
      </c>
    </row>
    <row r="445" spans="1:64" ht="30" customHeight="1" x14ac:dyDescent="0.25">
      <c r="A445" s="84" t="str">
        <f t="shared" si="1085"/>
        <v>Д</v>
      </c>
      <c r="B445" s="84" t="str">
        <f t="shared" si="32"/>
        <v>Б</v>
      </c>
      <c r="C445" s="101" t="s">
        <v>1475</v>
      </c>
      <c r="D445" s="16" t="str">
        <f t="shared" si="33"/>
        <v>'38.03.05</v>
      </c>
      <c r="E445" s="17" t="str">
        <f t="shared" si="34"/>
        <v>Кибербезопасность в экономике</v>
      </c>
      <c r="F445" s="9" t="s">
        <v>413</v>
      </c>
      <c r="G445" s="9" t="s">
        <v>42</v>
      </c>
      <c r="H445" s="10" t="s">
        <v>3233</v>
      </c>
      <c r="I445" s="10"/>
      <c r="J445" s="24" t="s">
        <v>3210</v>
      </c>
      <c r="K445" s="11">
        <v>2</v>
      </c>
      <c r="L445" s="11">
        <v>18</v>
      </c>
      <c r="M445" s="8" t="s">
        <v>23</v>
      </c>
      <c r="N445" s="11">
        <v>1</v>
      </c>
      <c r="O445" s="11"/>
      <c r="P445" s="11"/>
      <c r="Q445" s="8" t="s">
        <v>103</v>
      </c>
      <c r="R445" s="11"/>
      <c r="S445" s="11"/>
      <c r="T445" s="11"/>
      <c r="U445" s="11"/>
      <c r="V445" s="11"/>
      <c r="W445" s="83" t="str">
        <f t="shared" si="1086"/>
        <v>НБИбд</v>
      </c>
      <c r="X445" s="110" t="s">
        <v>3246</v>
      </c>
      <c r="Y445" s="11">
        <v>2</v>
      </c>
      <c r="Z445" s="11">
        <v>1</v>
      </c>
      <c r="AA445" s="83">
        <f t="shared" si="35"/>
        <v>0</v>
      </c>
      <c r="AB445" s="11"/>
      <c r="AC445" s="11"/>
      <c r="AD445" s="81">
        <f t="shared" si="1087"/>
        <v>0</v>
      </c>
      <c r="AE445" s="82" t="e">
        <f t="shared" si="36"/>
        <v>#DIV/0!</v>
      </c>
      <c r="AF445" s="82" t="e">
        <f t="shared" si="37"/>
        <v>#DIV/0!</v>
      </c>
      <c r="AG445" s="102" t="s">
        <v>3250</v>
      </c>
      <c r="AH445" s="113" t="s">
        <v>204</v>
      </c>
      <c r="AI445" s="113" t="s">
        <v>212</v>
      </c>
      <c r="AJ445" s="121" t="s">
        <v>3261</v>
      </c>
      <c r="AK445" s="8"/>
      <c r="AL445" s="42">
        <f t="shared" si="1088"/>
        <v>18</v>
      </c>
      <c r="AM445" s="42">
        <f t="shared" si="1098"/>
        <v>0</v>
      </c>
      <c r="AN445" s="42">
        <f t="shared" si="1099"/>
        <v>0</v>
      </c>
      <c r="AO445" s="42">
        <f t="shared" si="1112"/>
        <v>0</v>
      </c>
      <c r="AP445" s="42">
        <f t="shared" si="1100"/>
        <v>0</v>
      </c>
      <c r="AQ445" s="42">
        <f t="shared" si="1101"/>
        <v>0</v>
      </c>
      <c r="AR445" s="42">
        <f t="shared" si="1089"/>
        <v>0.9</v>
      </c>
      <c r="AS445" s="42">
        <f t="shared" si="1102"/>
        <v>0</v>
      </c>
      <c r="AT445" s="42">
        <f t="shared" si="1103"/>
        <v>0</v>
      </c>
      <c r="AU445" s="42">
        <f t="shared" si="1104"/>
        <v>0</v>
      </c>
      <c r="AV445" s="42">
        <f>IF(M445="ПП",РПП*AA445*(U445/1.5),IF(M445="ВП",ВПр*AA445*(U445/1.5),IF(M445="РПА",РПА*AA445*(U445/1.5),IF(M445="КПА",КПА*AA445*(U445/1.5),0))))</f>
        <v>0</v>
      </c>
      <c r="AW445" s="42">
        <f t="shared" si="1105"/>
        <v>0</v>
      </c>
      <c r="AX445" s="42">
        <f t="shared" si="1090"/>
        <v>0</v>
      </c>
      <c r="AY445" s="42">
        <f t="shared" si="1091"/>
        <v>0</v>
      </c>
      <c r="AZ445" s="42">
        <f t="shared" si="1106"/>
        <v>0</v>
      </c>
      <c r="BA445" s="42">
        <f t="shared" si="1092"/>
        <v>0</v>
      </c>
      <c r="BB445" s="42">
        <f t="shared" si="1093"/>
        <v>0</v>
      </c>
      <c r="BC445" s="42">
        <f t="shared" si="1094"/>
        <v>0</v>
      </c>
      <c r="BD445" s="42">
        <f t="shared" si="1107"/>
        <v>0</v>
      </c>
      <c r="BE445" s="43">
        <f t="shared" si="1108"/>
        <v>18.899999999999999</v>
      </c>
      <c r="BF445" s="44"/>
      <c r="BG445" s="45">
        <f t="shared" si="1109"/>
        <v>0</v>
      </c>
      <c r="BH445" s="45">
        <f t="shared" si="1110"/>
        <v>0</v>
      </c>
      <c r="BI445" s="45">
        <f t="shared" si="1111"/>
        <v>0</v>
      </c>
      <c r="BJ445" s="46">
        <f t="shared" si="1095"/>
        <v>18</v>
      </c>
      <c r="BK445" s="46">
        <f t="shared" si="1096"/>
        <v>0.5</v>
      </c>
      <c r="BL445" s="46">
        <f t="shared" si="1097"/>
        <v>0.9</v>
      </c>
    </row>
    <row r="446" spans="1:64" ht="30" customHeight="1" x14ac:dyDescent="0.25">
      <c r="A446" s="84" t="str">
        <f t="shared" si="1085"/>
        <v>Д</v>
      </c>
      <c r="B446" s="84" t="str">
        <f t="shared" si="32"/>
        <v>Б</v>
      </c>
      <c r="C446" s="101" t="s">
        <v>1475</v>
      </c>
      <c r="D446" s="16" t="str">
        <f t="shared" si="33"/>
        <v>'38.03.05</v>
      </c>
      <c r="E446" s="17" t="str">
        <f t="shared" si="34"/>
        <v>Кибербезопасность в экономике</v>
      </c>
      <c r="F446" s="9" t="s">
        <v>413</v>
      </c>
      <c r="G446" s="9" t="s">
        <v>42</v>
      </c>
      <c r="H446" s="10" t="s">
        <v>3233</v>
      </c>
      <c r="I446" s="10"/>
      <c r="J446" s="24" t="s">
        <v>3210</v>
      </c>
      <c r="K446" s="11">
        <v>2</v>
      </c>
      <c r="L446" s="11">
        <v>18</v>
      </c>
      <c r="M446" s="8" t="s">
        <v>94</v>
      </c>
      <c r="N446" s="11"/>
      <c r="O446" s="11">
        <v>2</v>
      </c>
      <c r="P446" s="11"/>
      <c r="Q446" s="8"/>
      <c r="R446" s="12"/>
      <c r="S446" s="12"/>
      <c r="T446" s="12"/>
      <c r="U446" s="12"/>
      <c r="V446" s="12"/>
      <c r="W446" s="83" t="str">
        <f t="shared" si="1086"/>
        <v>НБИбд</v>
      </c>
      <c r="X446" s="110" t="s">
        <v>3246</v>
      </c>
      <c r="Y446" s="11">
        <v>1</v>
      </c>
      <c r="Z446" s="11">
        <v>1</v>
      </c>
      <c r="AA446" s="83">
        <f t="shared" si="35"/>
        <v>0</v>
      </c>
      <c r="AB446" s="11"/>
      <c r="AC446" s="12"/>
      <c r="AD446" s="81">
        <f t="shared" si="1087"/>
        <v>12</v>
      </c>
      <c r="AE446" s="82">
        <f t="shared" si="36"/>
        <v>0</v>
      </c>
      <c r="AF446" s="82">
        <f t="shared" si="37"/>
        <v>0</v>
      </c>
      <c r="AG446" s="102" t="s">
        <v>3250</v>
      </c>
      <c r="AH446" s="113" t="s">
        <v>204</v>
      </c>
      <c r="AI446" s="113" t="s">
        <v>212</v>
      </c>
      <c r="AJ446" s="121" t="s">
        <v>3261</v>
      </c>
      <c r="AK446" s="8"/>
      <c r="AL446" s="42">
        <f t="shared" si="1088"/>
        <v>0</v>
      </c>
      <c r="AM446" s="42">
        <f t="shared" si="1098"/>
        <v>0</v>
      </c>
      <c r="AN446" s="42">
        <f t="shared" si="1099"/>
        <v>0</v>
      </c>
      <c r="AO446" s="42">
        <f t="shared" si="1112"/>
        <v>0</v>
      </c>
      <c r="AP446" s="42">
        <f t="shared" si="1100"/>
        <v>0</v>
      </c>
      <c r="AQ446" s="42">
        <f t="shared" si="1101"/>
        <v>0</v>
      </c>
      <c r="AR446" s="42">
        <f t="shared" si="1089"/>
        <v>0</v>
      </c>
      <c r="AS446" s="42">
        <f t="shared" si="1102"/>
        <v>0</v>
      </c>
      <c r="AT446" s="42">
        <f t="shared" si="1103"/>
        <v>0</v>
      </c>
      <c r="AU446" s="42">
        <f t="shared" si="1104"/>
        <v>0</v>
      </c>
      <c r="AV446" s="42">
        <f>IF(M446="ПП",РПП*AA446*(U446/1.5),IF(M446="ВП",ВПр*AA446*(U446/1.5),IF(M446="РПА",РПА*AA446*(U446/1.5),IF(M446="КПА",КПА*AA446*(U446/1.5),0))))</f>
        <v>0</v>
      </c>
      <c r="AW446" s="42">
        <f t="shared" si="1105"/>
        <v>0</v>
      </c>
      <c r="AX446" s="42">
        <f t="shared" si="1090"/>
        <v>0</v>
      </c>
      <c r="AY446" s="42">
        <f t="shared" si="1091"/>
        <v>0</v>
      </c>
      <c r="AZ446" s="42">
        <f t="shared" si="1106"/>
        <v>0</v>
      </c>
      <c r="BA446" s="42">
        <f t="shared" si="1092"/>
        <v>0</v>
      </c>
      <c r="BB446" s="42">
        <f t="shared" si="1093"/>
        <v>0</v>
      </c>
      <c r="BC446" s="42">
        <f t="shared" si="1094"/>
        <v>0</v>
      </c>
      <c r="BD446" s="42">
        <f t="shared" si="1107"/>
        <v>0</v>
      </c>
      <c r="BE446" s="43">
        <f t="shared" si="1108"/>
        <v>0</v>
      </c>
      <c r="BF446" s="44"/>
      <c r="BG446" s="45">
        <f t="shared" si="1109"/>
        <v>0</v>
      </c>
      <c r="BH446" s="45">
        <f t="shared" si="1110"/>
        <v>0</v>
      </c>
      <c r="BI446" s="45">
        <f t="shared" si="1111"/>
        <v>0</v>
      </c>
      <c r="BJ446" s="46">
        <f t="shared" si="1095"/>
        <v>0</v>
      </c>
      <c r="BK446" s="46">
        <f t="shared" si="1096"/>
        <v>0</v>
      </c>
      <c r="BL446" s="46">
        <f t="shared" si="1097"/>
        <v>0</v>
      </c>
    </row>
    <row r="447" spans="1:64" ht="30" customHeight="1" x14ac:dyDescent="0.25">
      <c r="A447" s="84" t="str">
        <f t="shared" si="1085"/>
        <v>Д</v>
      </c>
      <c r="B447" s="84" t="str">
        <f t="shared" si="32"/>
        <v>Б</v>
      </c>
      <c r="C447" s="101" t="s">
        <v>1475</v>
      </c>
      <c r="D447" s="16" t="str">
        <f t="shared" si="33"/>
        <v>'38.03.05</v>
      </c>
      <c r="E447" s="17" t="str">
        <f t="shared" si="34"/>
        <v>Кибербезопасность в экономике</v>
      </c>
      <c r="F447" s="9" t="s">
        <v>413</v>
      </c>
      <c r="G447" s="9" t="s">
        <v>42</v>
      </c>
      <c r="H447" s="10" t="s">
        <v>3233</v>
      </c>
      <c r="I447" s="10"/>
      <c r="J447" s="24" t="s">
        <v>3210</v>
      </c>
      <c r="K447" s="11">
        <v>2</v>
      </c>
      <c r="L447" s="11">
        <v>18</v>
      </c>
      <c r="M447" s="8" t="s">
        <v>94</v>
      </c>
      <c r="N447" s="11"/>
      <c r="O447" s="11">
        <v>2</v>
      </c>
      <c r="P447" s="11"/>
      <c r="Q447" s="8"/>
      <c r="R447" s="11"/>
      <c r="S447" s="11"/>
      <c r="T447" s="23"/>
      <c r="U447" s="11"/>
      <c r="V447" s="11"/>
      <c r="W447" s="83" t="str">
        <f t="shared" si="1086"/>
        <v>НБИбд</v>
      </c>
      <c r="X447" s="110" t="s">
        <v>3246</v>
      </c>
      <c r="Y447" s="11">
        <v>1</v>
      </c>
      <c r="Z447" s="11">
        <v>1</v>
      </c>
      <c r="AA447" s="83">
        <f t="shared" si="35"/>
        <v>0</v>
      </c>
      <c r="AB447" s="11"/>
      <c r="AC447" s="11"/>
      <c r="AD447" s="81">
        <f t="shared" si="1087"/>
        <v>12</v>
      </c>
      <c r="AE447" s="82">
        <f t="shared" si="36"/>
        <v>0</v>
      </c>
      <c r="AF447" s="82">
        <f t="shared" si="37"/>
        <v>0</v>
      </c>
      <c r="AG447" s="102" t="s">
        <v>3250</v>
      </c>
      <c r="AH447" s="113" t="s">
        <v>204</v>
      </c>
      <c r="AI447" s="113" t="s">
        <v>212</v>
      </c>
      <c r="AJ447" s="121" t="s">
        <v>3261</v>
      </c>
      <c r="AK447" s="8"/>
      <c r="AL447" s="42">
        <f t="shared" si="1088"/>
        <v>0</v>
      </c>
      <c r="AM447" s="42">
        <f t="shared" si="1098"/>
        <v>0</v>
      </c>
      <c r="AN447" s="42">
        <f t="shared" si="1099"/>
        <v>0</v>
      </c>
      <c r="AO447" s="42">
        <f t="shared" si="1112"/>
        <v>0</v>
      </c>
      <c r="AP447" s="42">
        <f t="shared" si="1100"/>
        <v>0</v>
      </c>
      <c r="AQ447" s="42">
        <f t="shared" si="1101"/>
        <v>0</v>
      </c>
      <c r="AR447" s="42">
        <f t="shared" si="1089"/>
        <v>0</v>
      </c>
      <c r="AS447" s="42">
        <f t="shared" si="1102"/>
        <v>0</v>
      </c>
      <c r="AT447" s="42">
        <f t="shared" si="1103"/>
        <v>0</v>
      </c>
      <c r="AU447" s="42">
        <f t="shared" si="1104"/>
        <v>0</v>
      </c>
      <c r="AV447" s="42">
        <f>IF(M447="ПП",РПП*AA447*(U447/1.5),IF(M447="ВП",ВПр*AA447*(U447/1.5),IF(M447="РПА",РПА*AA447*(U447/1.5),IF(M447="КПА",КПА*AA447*(U447/1.5),0))))</f>
        <v>0</v>
      </c>
      <c r="AW447" s="42">
        <f t="shared" si="1105"/>
        <v>0</v>
      </c>
      <c r="AX447" s="42">
        <f t="shared" si="1090"/>
        <v>0</v>
      </c>
      <c r="AY447" s="42">
        <f t="shared" si="1091"/>
        <v>0</v>
      </c>
      <c r="AZ447" s="42">
        <f t="shared" si="1106"/>
        <v>0</v>
      </c>
      <c r="BA447" s="42">
        <f t="shared" si="1092"/>
        <v>0</v>
      </c>
      <c r="BB447" s="42">
        <f t="shared" si="1093"/>
        <v>0</v>
      </c>
      <c r="BC447" s="42">
        <f t="shared" si="1094"/>
        <v>0</v>
      </c>
      <c r="BD447" s="42">
        <f t="shared" si="1107"/>
        <v>0</v>
      </c>
      <c r="BE447" s="43">
        <f t="shared" si="1108"/>
        <v>0</v>
      </c>
      <c r="BF447" s="44"/>
      <c r="BG447" s="45">
        <f t="shared" si="1109"/>
        <v>0</v>
      </c>
      <c r="BH447" s="45">
        <f t="shared" si="1110"/>
        <v>0</v>
      </c>
      <c r="BI447" s="45">
        <f t="shared" si="1111"/>
        <v>0</v>
      </c>
      <c r="BJ447" s="46">
        <f t="shared" si="1095"/>
        <v>0</v>
      </c>
      <c r="BK447" s="46">
        <f t="shared" si="1096"/>
        <v>0</v>
      </c>
      <c r="BL447" s="46">
        <f t="shared" si="1097"/>
        <v>0</v>
      </c>
    </row>
    <row r="448" spans="1:64" ht="30" customHeight="1" x14ac:dyDescent="0.25">
      <c r="A448" s="84" t="str">
        <f t="shared" si="1085"/>
        <v>Д</v>
      </c>
      <c r="B448" s="84" t="str">
        <f t="shared" si="32"/>
        <v>Б</v>
      </c>
      <c r="C448" s="101" t="s">
        <v>1475</v>
      </c>
      <c r="D448" s="16" t="str">
        <f t="shared" si="33"/>
        <v>'38.03.05</v>
      </c>
      <c r="E448" s="17" t="str">
        <f t="shared" si="34"/>
        <v>Кибербезопасность в экономике</v>
      </c>
      <c r="F448" s="9" t="s">
        <v>413</v>
      </c>
      <c r="G448" s="9" t="s">
        <v>42</v>
      </c>
      <c r="H448" s="10" t="s">
        <v>3233</v>
      </c>
      <c r="I448" s="10"/>
      <c r="J448" s="24" t="s">
        <v>3304</v>
      </c>
      <c r="K448" s="12">
        <v>3</v>
      </c>
      <c r="L448" s="11">
        <v>18</v>
      </c>
      <c r="M448" s="8" t="s">
        <v>23</v>
      </c>
      <c r="N448" s="12">
        <v>1</v>
      </c>
      <c r="O448" s="12"/>
      <c r="P448" s="12"/>
      <c r="Q448" s="8"/>
      <c r="R448" s="11"/>
      <c r="S448" s="11"/>
      <c r="T448" s="23"/>
      <c r="U448" s="11"/>
      <c r="V448" s="11"/>
      <c r="W448" s="83" t="str">
        <f t="shared" si="1086"/>
        <v>НБИбд</v>
      </c>
      <c r="X448" s="110" t="s">
        <v>3234</v>
      </c>
      <c r="Y448" s="11">
        <v>2</v>
      </c>
      <c r="Z448" s="11">
        <v>1</v>
      </c>
      <c r="AA448" s="83">
        <f t="shared" si="35"/>
        <v>30</v>
      </c>
      <c r="AB448" s="11">
        <v>23</v>
      </c>
      <c r="AC448" s="11">
        <v>7</v>
      </c>
      <c r="AD448" s="81">
        <f t="shared" si="1087"/>
        <v>30</v>
      </c>
      <c r="AE448" s="82">
        <f t="shared" si="36"/>
        <v>1</v>
      </c>
      <c r="AF448" s="82">
        <f t="shared" si="37"/>
        <v>1</v>
      </c>
      <c r="AG448" s="102" t="s">
        <v>3250</v>
      </c>
      <c r="AH448" s="113" t="s">
        <v>204</v>
      </c>
      <c r="AI448" s="113" t="s">
        <v>212</v>
      </c>
      <c r="AJ448" s="122" t="s">
        <v>3259</v>
      </c>
      <c r="AK448" s="8"/>
      <c r="AL448" s="42">
        <f t="shared" si="1088"/>
        <v>18</v>
      </c>
      <c r="AM448" s="42">
        <f t="shared" si="1098"/>
        <v>0</v>
      </c>
      <c r="AN448" s="42">
        <f t="shared" si="1099"/>
        <v>0</v>
      </c>
      <c r="AO448" s="42">
        <f t="shared" si="1112"/>
        <v>0</v>
      </c>
      <c r="AP448" s="42">
        <f t="shared" si="1100"/>
        <v>0</v>
      </c>
      <c r="AQ448" s="42">
        <f t="shared" si="1101"/>
        <v>0</v>
      </c>
      <c r="AR448" s="42">
        <f t="shared" si="1089"/>
        <v>0.9</v>
      </c>
      <c r="AS448" s="42">
        <f t="shared" si="1102"/>
        <v>0</v>
      </c>
      <c r="AT448" s="42">
        <f t="shared" si="1103"/>
        <v>0</v>
      </c>
      <c r="AU448" s="42">
        <f t="shared" si="1104"/>
        <v>0</v>
      </c>
      <c r="AV448" s="42">
        <f>IF(M448="ПП",РПП*AA448*(U448/1.5),IF(M448="ВП",ВПр*AA448*(U448/1.5),IF(M448="РПА",РПА*AA448*(U448/1.5),IF(M448="КПА",КПА*AA448*(U448/1.5),0))))</f>
        <v>0</v>
      </c>
      <c r="AW448" s="42">
        <f t="shared" si="1105"/>
        <v>0</v>
      </c>
      <c r="AX448" s="42">
        <f t="shared" si="1090"/>
        <v>0</v>
      </c>
      <c r="AY448" s="42">
        <f t="shared" si="1091"/>
        <v>0</v>
      </c>
      <c r="AZ448" s="42">
        <f t="shared" si="1106"/>
        <v>0</v>
      </c>
      <c r="BA448" s="42">
        <f t="shared" si="1092"/>
        <v>0</v>
      </c>
      <c r="BB448" s="42">
        <f t="shared" si="1093"/>
        <v>0</v>
      </c>
      <c r="BC448" s="42">
        <f t="shared" si="1094"/>
        <v>0</v>
      </c>
      <c r="BD448" s="42">
        <f t="shared" si="1107"/>
        <v>0</v>
      </c>
      <c r="BE448" s="43">
        <f t="shared" si="1108"/>
        <v>18.899999999999999</v>
      </c>
      <c r="BF448" s="44"/>
      <c r="BG448" s="45">
        <f t="shared" si="1109"/>
        <v>18</v>
      </c>
      <c r="BH448" s="45">
        <f t="shared" si="1110"/>
        <v>0.5</v>
      </c>
      <c r="BI448" s="45">
        <f t="shared" si="1111"/>
        <v>0.9</v>
      </c>
      <c r="BJ448" s="46">
        <f t="shared" ref="BJ448:BJ511" si="1113">IF(OR(K448="2;3",K448="2;4",K448=2,K448="4;3",K448="4;4",K448=4,K448="6;3",K448="6;4",K448=6,K448="8;3",K448="8;4",K448=8,K448="10;3",K448="10;4",K448=10,K448=12),SUM(AL448:AN448),0)</f>
        <v>0</v>
      </c>
      <c r="BK448" s="46">
        <f t="shared" ref="BK448:BK511" si="1114">IF(BJ448&lt;&gt;0,SUM(N448:P448)/2,0)</f>
        <v>0</v>
      </c>
      <c r="BL448" s="46">
        <f t="shared" ref="BL448:BL511" si="1115">IF(OR(K448="2;3",K448="2;4",K448=2,K448="4;3",K448="4;4",K448=4,K448="6;3",K448="6;4",K448=6,K448="8;3",K448="8;4",K448=8,K448="10;3",K448="10;4",K448=10,K448=12),SUM(AO448:BD448),0)</f>
        <v>0</v>
      </c>
    </row>
    <row r="449" spans="1:64" ht="30" customHeight="1" x14ac:dyDescent="0.25">
      <c r="A449" s="84" t="str">
        <f t="shared" si="1085"/>
        <v>Д</v>
      </c>
      <c r="B449" s="84" t="str">
        <f t="shared" si="32"/>
        <v>Б</v>
      </c>
      <c r="C449" s="101" t="s">
        <v>1475</v>
      </c>
      <c r="D449" s="16" t="str">
        <f t="shared" si="33"/>
        <v>'38.03.05</v>
      </c>
      <c r="E449" s="17" t="str">
        <f t="shared" si="34"/>
        <v>Кибербезопасность в экономике</v>
      </c>
      <c r="F449" s="9" t="s">
        <v>413</v>
      </c>
      <c r="G449" s="9" t="s">
        <v>42</v>
      </c>
      <c r="H449" s="10" t="s">
        <v>3233</v>
      </c>
      <c r="I449" s="10"/>
      <c r="J449" s="24" t="s">
        <v>3304</v>
      </c>
      <c r="K449" s="11">
        <v>3</v>
      </c>
      <c r="L449" s="11">
        <v>18</v>
      </c>
      <c r="M449" s="8" t="s">
        <v>24</v>
      </c>
      <c r="N449" s="11"/>
      <c r="O449" s="11"/>
      <c r="P449" s="11">
        <v>1</v>
      </c>
      <c r="Q449" s="8" t="s">
        <v>102</v>
      </c>
      <c r="R449" s="11"/>
      <c r="S449" s="11"/>
      <c r="T449" s="11"/>
      <c r="U449" s="11"/>
      <c r="V449" s="11"/>
      <c r="W449" s="83" t="str">
        <f t="shared" si="1086"/>
        <v>НБИбд</v>
      </c>
      <c r="X449" s="110" t="s">
        <v>3234</v>
      </c>
      <c r="Y449" s="11">
        <v>2</v>
      </c>
      <c r="Z449" s="11">
        <v>1</v>
      </c>
      <c r="AA449" s="83">
        <f t="shared" si="35"/>
        <v>30</v>
      </c>
      <c r="AB449" s="11">
        <v>23</v>
      </c>
      <c r="AC449" s="11">
        <v>7</v>
      </c>
      <c r="AD449" s="81">
        <f t="shared" si="1087"/>
        <v>24</v>
      </c>
      <c r="AE449" s="82">
        <f t="shared" si="36"/>
        <v>1</v>
      </c>
      <c r="AF449" s="82">
        <f t="shared" si="37"/>
        <v>1.25</v>
      </c>
      <c r="AG449" s="102" t="s">
        <v>3250</v>
      </c>
      <c r="AH449" s="113" t="s">
        <v>201</v>
      </c>
      <c r="AI449" s="113" t="s">
        <v>213</v>
      </c>
      <c r="AJ449" s="124" t="s">
        <v>3259</v>
      </c>
      <c r="AK449" s="8"/>
      <c r="AL449" s="42">
        <f t="shared" si="1088"/>
        <v>0</v>
      </c>
      <c r="AM449" s="42">
        <f t="shared" si="1098"/>
        <v>18</v>
      </c>
      <c r="AN449" s="42">
        <f t="shared" si="1099"/>
        <v>0</v>
      </c>
      <c r="AO449" s="42">
        <f t="shared" si="1112"/>
        <v>9.9</v>
      </c>
      <c r="AP449" s="42">
        <f t="shared" si="1100"/>
        <v>15</v>
      </c>
      <c r="AQ449" s="42">
        <f t="shared" si="1101"/>
        <v>1</v>
      </c>
      <c r="AR449" s="42">
        <f t="shared" si="1089"/>
        <v>0</v>
      </c>
      <c r="AS449" s="42">
        <f t="shared" si="1102"/>
        <v>0</v>
      </c>
      <c r="AT449" s="42">
        <f t="shared" si="1103"/>
        <v>0</v>
      </c>
      <c r="AU449" s="42">
        <f t="shared" si="1104"/>
        <v>0</v>
      </c>
      <c r="AV449" s="42">
        <f>IF(M449="ПП",РПП*AA449*(U449/1.5),IF(M449="ВП",ВПр*AA449*(U449/1.5),IF(M449="РПА",РПА*AA449*(U449/1.5),IF(M449="КПА",КПА*AA449*(U449/1.5),0))))</f>
        <v>0</v>
      </c>
      <c r="AW449" s="42">
        <f t="shared" si="1105"/>
        <v>0</v>
      </c>
      <c r="AX449" s="42">
        <f t="shared" si="1090"/>
        <v>0</v>
      </c>
      <c r="AY449" s="42">
        <f t="shared" si="1091"/>
        <v>0</v>
      </c>
      <c r="AZ449" s="42">
        <f t="shared" si="1106"/>
        <v>0</v>
      </c>
      <c r="BA449" s="42">
        <f t="shared" si="1092"/>
        <v>0</v>
      </c>
      <c r="BB449" s="42">
        <f t="shared" si="1093"/>
        <v>0</v>
      </c>
      <c r="BC449" s="42">
        <f t="shared" si="1094"/>
        <v>0</v>
      </c>
      <c r="BD449" s="42">
        <f t="shared" si="1107"/>
        <v>0</v>
      </c>
      <c r="BE449" s="43">
        <f t="shared" si="1108"/>
        <v>43.9</v>
      </c>
      <c r="BF449" s="44"/>
      <c r="BG449" s="45">
        <f t="shared" si="1109"/>
        <v>18</v>
      </c>
      <c r="BH449" s="45">
        <f t="shared" si="1110"/>
        <v>0.5</v>
      </c>
      <c r="BI449" s="45">
        <f t="shared" si="1111"/>
        <v>25.9</v>
      </c>
      <c r="BJ449" s="46">
        <f t="shared" si="1113"/>
        <v>0</v>
      </c>
      <c r="BK449" s="46">
        <f t="shared" si="1114"/>
        <v>0</v>
      </c>
      <c r="BL449" s="46">
        <f t="shared" si="1115"/>
        <v>0</v>
      </c>
    </row>
    <row r="450" spans="1:64" ht="30" customHeight="1" x14ac:dyDescent="0.25">
      <c r="A450" s="84" t="str">
        <f t="shared" si="1085"/>
        <v>Д</v>
      </c>
      <c r="B450" s="84" t="str">
        <f t="shared" ref="B450:B451" si="1116">IF(C450&gt;0, VLOOKUP(C450,Код_ООП,11,FALSE),0)</f>
        <v>Б</v>
      </c>
      <c r="C450" s="101" t="s">
        <v>1475</v>
      </c>
      <c r="D450" s="16" t="str">
        <f t="shared" ref="D450:D451" si="1117">IF(C450&gt;0, VLOOKUP(C450,Код_ООП,2,FALSE),0)</f>
        <v>'38.03.05</v>
      </c>
      <c r="E450" s="17" t="str">
        <f t="shared" ref="E450:E451" si="1118">IF(C450&gt;0, VLOOKUP(C450,Код_ООП,13,FALSE),0)</f>
        <v>Кибербезопасность в экономике</v>
      </c>
      <c r="F450" s="9" t="s">
        <v>413</v>
      </c>
      <c r="G450" s="9" t="s">
        <v>42</v>
      </c>
      <c r="H450" s="10" t="s">
        <v>3233</v>
      </c>
      <c r="I450" s="10"/>
      <c r="J450" s="24" t="s">
        <v>3309</v>
      </c>
      <c r="K450" s="12">
        <v>3</v>
      </c>
      <c r="L450" s="11">
        <v>18</v>
      </c>
      <c r="M450" s="8" t="s">
        <v>23</v>
      </c>
      <c r="N450" s="12">
        <v>1</v>
      </c>
      <c r="O450" s="12"/>
      <c r="P450" s="12"/>
      <c r="Q450" s="8"/>
      <c r="R450" s="11"/>
      <c r="S450" s="11"/>
      <c r="T450" s="23"/>
      <c r="U450" s="11"/>
      <c r="V450" s="11"/>
      <c r="W450" s="83" t="str">
        <f t="shared" si="1086"/>
        <v>НБИбд</v>
      </c>
      <c r="X450" s="110" t="s">
        <v>3234</v>
      </c>
      <c r="Y450" s="11">
        <v>2</v>
      </c>
      <c r="Z450" s="11">
        <v>1</v>
      </c>
      <c r="AA450" s="83">
        <f t="shared" ref="AA450:AA451" si="1119">AB450+AC450</f>
        <v>30</v>
      </c>
      <c r="AB450" s="11">
        <v>23</v>
      </c>
      <c r="AC450" s="11">
        <v>7</v>
      </c>
      <c r="AD450" s="81">
        <f t="shared" si="1087"/>
        <v>30</v>
      </c>
      <c r="AE450" s="82">
        <f t="shared" ref="AE450:AE451" si="1120">IF(AF450&gt;1,1,AF450)</f>
        <v>1</v>
      </c>
      <c r="AF450" s="82">
        <f t="shared" ref="AF450:AF451" si="1121">AA450/AD450</f>
        <v>1</v>
      </c>
      <c r="AG450" s="102" t="s">
        <v>3250</v>
      </c>
      <c r="AH450" s="113" t="s">
        <v>205</v>
      </c>
      <c r="AI450" s="113" t="s">
        <v>213</v>
      </c>
      <c r="AJ450" s="122" t="s">
        <v>3258</v>
      </c>
      <c r="AK450" s="8"/>
      <c r="AL450" s="42">
        <f t="shared" si="1088"/>
        <v>18</v>
      </c>
      <c r="AM450" s="42">
        <f t="shared" ref="AM450:AM451" si="1122">IF(OR(M450="пр",M450="ия",M450="сп"),P450*AE450*L450,0)</f>
        <v>0</v>
      </c>
      <c r="AN450" s="42">
        <f t="shared" ref="AN450:AN451" si="1123">IF(OR(M450="лаб",M450="клн"),O450*AE450*L450,0)</f>
        <v>0</v>
      </c>
      <c r="AO450" s="42">
        <f t="shared" ref="AO450:AO451" si="1124">(IF((AND(OR(K450=1,K450=2,K450=3,K450=4,K450=5,K450=6,K450=7,K450=8,K450=9,K450=10,K450=11,K450=12),OR(Q450="Зач",Q450="Экз"))),ТКиРА*AA450,0)+IF(SUM(N450:P450)&lt;&gt;0,IF(Q450="ТК",ТКиРА*AA450,0),0))*(IF(F450="ФТД",0,1))</f>
        <v>0</v>
      </c>
      <c r="AP450" s="42">
        <f t="shared" ref="AP450:AP451" si="1125">IF(SUM(O450:P450)&lt;&gt;0,IF(Q450="Зач",ПАБРС*AA450,0),0)+IF(N450&lt;&gt;0,IF(Q450="Экз",ПАБРС*AA450,0),0)</f>
        <v>0</v>
      </c>
      <c r="AQ450" s="42">
        <f t="shared" ref="AQ450:AQ451" si="1126">(IF(AP450&lt;&gt;0,ОфВед*(IF(OR(M450="лек",M450="лаб"),Z450,AE450)),0))*(IF(F450="ФТД",0,1))</f>
        <v>0</v>
      </c>
      <c r="AR450" s="42">
        <f t="shared" si="1089"/>
        <v>0.9</v>
      </c>
      <c r="AS450" s="42">
        <f t="shared" ref="AS450:AS451" si="1127">IF(OR(M450="лаб",M450="пр"),IF(R450="К",AA450*ВПКР,IF(R450="М",AA450*ВПИБ,0)),0)</f>
        <v>0</v>
      </c>
      <c r="AT450" s="42">
        <f t="shared" ref="AT450:AT451" si="1128">IF(OR(M450="лаб",M450="пр"),IF(S450="К",AA450*ВПКП,0),0)</f>
        <v>0</v>
      </c>
      <c r="AU450" s="42">
        <f t="shared" ref="AU450:AU451" si="1129">IF(M450="УП",T450/1.5*AA450*РУП,IF(M450="УПМ",T450/1.5*AA450*РУПЛеч,0))</f>
        <v>0</v>
      </c>
      <c r="AV450" s="42">
        <f>IF(M450="ПП",РПП*AA450*(U450/1.5),IF(M450="ВП",ВПр*AA450*(U450/1.5),IF(M450="РПА",РПА*AA450*(U450/1.5),IF(M450="КПА",КПА*AA450*(U450/1.5),0))))</f>
        <v>0</v>
      </c>
      <c r="AW450" s="42">
        <f t="shared" ref="AW450:AW451" si="1130">IF(M450="НР",(AB450*НИРМ+AC450*НИРМИн)*(V450/1.5),IF(M450="НИ",(AB450*НИРА+AC450*НИРАИ)*(V450/1.5),0))</f>
        <v>0</v>
      </c>
      <c r="AX450" s="42">
        <f t="shared" si="1090"/>
        <v>0</v>
      </c>
      <c r="AY450" s="42">
        <f t="shared" si="1091"/>
        <v>0</v>
      </c>
      <c r="AZ450" s="42">
        <f t="shared" ref="AZ450:AZ451" si="1131">IF(AND(Q450="КЭ",M450="ЧК"),AA450*КдЭк,0)</f>
        <v>0</v>
      </c>
      <c r="BA450" s="42">
        <f t="shared" si="1092"/>
        <v>0</v>
      </c>
      <c r="BB450" s="42">
        <f t="shared" si="1093"/>
        <v>0</v>
      </c>
      <c r="BC450" s="42">
        <f t="shared" si="1094"/>
        <v>0</v>
      </c>
      <c r="BD450" s="42">
        <f t="shared" ref="BD450:BD451" si="1132">IF(M450="ЧГ",AA450*ЧГ,IF(M450="ПГ",AA450*ПГ,IF(M450="ТЕСТ",ТГИЭ*AE450,IF(M450="СГ",AA450*СГ,0))))</f>
        <v>0</v>
      </c>
      <c r="BE450" s="43">
        <f t="shared" ref="BE450:BE451" si="1133">SUM(AL450:BD450)</f>
        <v>18.899999999999999</v>
      </c>
      <c r="BF450" s="44"/>
      <c r="BG450" s="45">
        <f t="shared" ref="BG450:BG451" si="1134">IF(OR(K450="1;1",K450="1;2",K450=1,K450="3;1",K450="3;2",K450=3,K450="5;1",K450="5;2",K450=5,K450="7;1",K450="7;2",K450=7,K450="9;1",K450="9;2",K450=9,K450=11),SUM(AL450:AN450),0)</f>
        <v>18</v>
      </c>
      <c r="BH450" s="45">
        <f t="shared" ref="BH450:BH451" si="1135">IF(BG450&lt;&gt;0,SUM(N450:P450)/2,0)</f>
        <v>0.5</v>
      </c>
      <c r="BI450" s="45">
        <f t="shared" ref="BI450:BI451" si="1136">IF(OR(K450="1;1",K450="1;2",K450=1,K450="3;1",K450="3;2",K450=3,K450="5;1",K450="5;2",K450=5,K450="7;1",K450="7;2",K450=7,K450="9;1",K450="9;2",K450=9,K450=11),SUM(AO450:BD450),0)</f>
        <v>0.9</v>
      </c>
      <c r="BJ450" s="46">
        <f t="shared" si="1113"/>
        <v>0</v>
      </c>
      <c r="BK450" s="46">
        <f t="shared" si="1114"/>
        <v>0</v>
      </c>
      <c r="BL450" s="46">
        <f t="shared" si="1115"/>
        <v>0</v>
      </c>
    </row>
    <row r="451" spans="1:64" ht="30" customHeight="1" x14ac:dyDescent="0.25">
      <c r="A451" s="84" t="str">
        <f t="shared" si="1085"/>
        <v>Д</v>
      </c>
      <c r="B451" s="84" t="str">
        <f t="shared" si="1116"/>
        <v>Б</v>
      </c>
      <c r="C451" s="101" t="s">
        <v>1475</v>
      </c>
      <c r="D451" s="16" t="str">
        <f t="shared" si="1117"/>
        <v>'38.03.05</v>
      </c>
      <c r="E451" s="17" t="str">
        <f t="shared" si="1118"/>
        <v>Кибербезопасность в экономике</v>
      </c>
      <c r="F451" s="9" t="s">
        <v>413</v>
      </c>
      <c r="G451" s="9" t="s">
        <v>42</v>
      </c>
      <c r="H451" s="10" t="s">
        <v>3233</v>
      </c>
      <c r="I451" s="10"/>
      <c r="J451" s="24" t="s">
        <v>3309</v>
      </c>
      <c r="K451" s="11">
        <v>3</v>
      </c>
      <c r="L451" s="11">
        <v>18</v>
      </c>
      <c r="M451" s="8" t="s">
        <v>24</v>
      </c>
      <c r="N451" s="11"/>
      <c r="O451" s="11"/>
      <c r="P451" s="11">
        <v>2</v>
      </c>
      <c r="Q451" s="8" t="s">
        <v>102</v>
      </c>
      <c r="R451" s="11"/>
      <c r="S451" s="11"/>
      <c r="T451" s="11"/>
      <c r="U451" s="11"/>
      <c r="V451" s="11"/>
      <c r="W451" s="83" t="str">
        <f t="shared" si="1086"/>
        <v>НБИбд</v>
      </c>
      <c r="X451" s="110" t="s">
        <v>3234</v>
      </c>
      <c r="Y451" s="11">
        <v>2</v>
      </c>
      <c r="Z451" s="11">
        <v>1</v>
      </c>
      <c r="AA451" s="83">
        <f t="shared" si="1119"/>
        <v>30</v>
      </c>
      <c r="AB451" s="11">
        <v>23</v>
      </c>
      <c r="AC451" s="11">
        <v>7</v>
      </c>
      <c r="AD451" s="81">
        <f t="shared" si="1087"/>
        <v>24</v>
      </c>
      <c r="AE451" s="82">
        <f t="shared" si="1120"/>
        <v>1</v>
      </c>
      <c r="AF451" s="82">
        <f t="shared" si="1121"/>
        <v>1.25</v>
      </c>
      <c r="AG451" s="102" t="s">
        <v>3250</v>
      </c>
      <c r="AH451" s="113" t="s">
        <v>205</v>
      </c>
      <c r="AI451" s="113" t="s">
        <v>213</v>
      </c>
      <c r="AJ451" s="124" t="s">
        <v>3258</v>
      </c>
      <c r="AK451" s="8"/>
      <c r="AL451" s="42">
        <f t="shared" si="1088"/>
        <v>0</v>
      </c>
      <c r="AM451" s="42">
        <f t="shared" si="1122"/>
        <v>36</v>
      </c>
      <c r="AN451" s="42">
        <f t="shared" si="1123"/>
        <v>0</v>
      </c>
      <c r="AO451" s="42">
        <f t="shared" si="1124"/>
        <v>9.9</v>
      </c>
      <c r="AP451" s="42">
        <f t="shared" si="1125"/>
        <v>15</v>
      </c>
      <c r="AQ451" s="42">
        <f t="shared" si="1126"/>
        <v>1</v>
      </c>
      <c r="AR451" s="42">
        <f t="shared" si="1089"/>
        <v>0</v>
      </c>
      <c r="AS451" s="42">
        <f t="shared" si="1127"/>
        <v>0</v>
      </c>
      <c r="AT451" s="42">
        <f t="shared" si="1128"/>
        <v>0</v>
      </c>
      <c r="AU451" s="42">
        <f t="shared" si="1129"/>
        <v>0</v>
      </c>
      <c r="AV451" s="42">
        <f>IF(M451="ПП",РПП*AA451*(U451/1.5),IF(M451="ВП",ВПр*AA451*(U451/1.5),IF(M451="РПА",РПА*AA451*(U451/1.5),IF(M451="КПА",КПА*AA451*(U451/1.5),0))))</f>
        <v>0</v>
      </c>
      <c r="AW451" s="42">
        <f t="shared" si="1130"/>
        <v>0</v>
      </c>
      <c r="AX451" s="42">
        <f t="shared" si="1090"/>
        <v>0</v>
      </c>
      <c r="AY451" s="42">
        <f t="shared" si="1091"/>
        <v>0</v>
      </c>
      <c r="AZ451" s="42">
        <f t="shared" si="1131"/>
        <v>0</v>
      </c>
      <c r="BA451" s="42">
        <f t="shared" si="1092"/>
        <v>0</v>
      </c>
      <c r="BB451" s="42">
        <f t="shared" si="1093"/>
        <v>0</v>
      </c>
      <c r="BC451" s="42">
        <f t="shared" si="1094"/>
        <v>0</v>
      </c>
      <c r="BD451" s="42">
        <f t="shared" si="1132"/>
        <v>0</v>
      </c>
      <c r="BE451" s="43">
        <f t="shared" si="1133"/>
        <v>61.9</v>
      </c>
      <c r="BF451" s="44"/>
      <c r="BG451" s="45">
        <f t="shared" si="1134"/>
        <v>36</v>
      </c>
      <c r="BH451" s="45">
        <f t="shared" si="1135"/>
        <v>1</v>
      </c>
      <c r="BI451" s="45">
        <f t="shared" si="1136"/>
        <v>25.9</v>
      </c>
      <c r="BJ451" s="46">
        <f t="shared" si="1113"/>
        <v>0</v>
      </c>
      <c r="BK451" s="46">
        <f t="shared" si="1114"/>
        <v>0</v>
      </c>
      <c r="BL451" s="46">
        <f t="shared" si="1115"/>
        <v>0</v>
      </c>
    </row>
    <row r="452" spans="1:64" ht="30" customHeight="1" x14ac:dyDescent="0.25">
      <c r="A452" s="84" t="str">
        <f t="shared" si="1085"/>
        <v>Д</v>
      </c>
      <c r="B452" s="84" t="str">
        <f t="shared" ref="B452:B453" si="1137">IF(C452&gt;0, VLOOKUP(C452,Код_ООП,11,FALSE),0)</f>
        <v>Б</v>
      </c>
      <c r="C452" s="101" t="s">
        <v>1475</v>
      </c>
      <c r="D452" s="16" t="str">
        <f t="shared" ref="D452:D453" si="1138">IF(C452&gt;0, VLOOKUP(C452,Код_ООП,2,FALSE),0)</f>
        <v>'38.03.05</v>
      </c>
      <c r="E452" s="17" t="str">
        <f t="shared" ref="E452:E453" si="1139">IF(C452&gt;0, VLOOKUP(C452,Код_ООП,13,FALSE),0)</f>
        <v>Кибербезопасность в экономике</v>
      </c>
      <c r="F452" s="9" t="s">
        <v>413</v>
      </c>
      <c r="G452" s="9" t="s">
        <v>42</v>
      </c>
      <c r="H452" s="10" t="s">
        <v>3233</v>
      </c>
      <c r="I452" s="10"/>
      <c r="J452" s="24" t="s">
        <v>3311</v>
      </c>
      <c r="K452" s="12">
        <v>6</v>
      </c>
      <c r="L452" s="11">
        <v>18</v>
      </c>
      <c r="M452" s="8" t="s">
        <v>23</v>
      </c>
      <c r="N452" s="12">
        <v>1</v>
      </c>
      <c r="O452" s="12"/>
      <c r="P452" s="12"/>
      <c r="Q452" s="8"/>
      <c r="R452" s="11"/>
      <c r="S452" s="11"/>
      <c r="T452" s="23"/>
      <c r="U452" s="11"/>
      <c r="V452" s="11"/>
      <c r="W452" s="83" t="str">
        <f t="shared" si="1086"/>
        <v>НБИбд</v>
      </c>
      <c r="X452" s="110" t="s">
        <v>3234</v>
      </c>
      <c r="Y452" s="11">
        <v>2</v>
      </c>
      <c r="Z452" s="11">
        <v>1</v>
      </c>
      <c r="AA452" s="83">
        <f t="shared" ref="AA452:AA453" si="1140">AB452+AC452</f>
        <v>30</v>
      </c>
      <c r="AB452" s="11">
        <v>23</v>
      </c>
      <c r="AC452" s="11">
        <v>7</v>
      </c>
      <c r="AD452" s="81">
        <f t="shared" si="1087"/>
        <v>30</v>
      </c>
      <c r="AE452" s="82">
        <f t="shared" ref="AE452:AE453" si="1141">IF(AF452&gt;1,1,AF452)</f>
        <v>1</v>
      </c>
      <c r="AF452" s="82">
        <f t="shared" ref="AF452:AF453" si="1142">AA452/AD452</f>
        <v>1</v>
      </c>
      <c r="AG452" s="102" t="s">
        <v>3250</v>
      </c>
      <c r="AH452" s="113" t="s">
        <v>204</v>
      </c>
      <c r="AI452" s="113" t="s">
        <v>212</v>
      </c>
      <c r="AJ452" s="121" t="s">
        <v>3254</v>
      </c>
      <c r="AK452" s="8"/>
      <c r="AL452" s="42">
        <f t="shared" si="1088"/>
        <v>18</v>
      </c>
      <c r="AM452" s="42">
        <f t="shared" ref="AM452:AM453" si="1143">IF(OR(M452="пр",M452="ия",M452="сп"),P452*AE452*L452,0)</f>
        <v>0</v>
      </c>
      <c r="AN452" s="42">
        <f t="shared" ref="AN452:AN453" si="1144">IF(OR(M452="лаб",M452="клн"),O452*AE452*L452,0)</f>
        <v>0</v>
      </c>
      <c r="AO452" s="42">
        <f t="shared" ref="AO452:AO453" si="1145">(IF((AND(OR(K452=1,K452=2,K452=3,K452=4,K452=5,K452=6,K452=7,K452=8,K452=9,K452=10,K452=11,K452=12),OR(Q452="Зач",Q452="Экз"))),ТКиРА*AA452,0)+IF(SUM(N452:P452)&lt;&gt;0,IF(Q452="ТК",ТКиРА*AA452,0),0))*(IF(F452="ФТД",0,1))</f>
        <v>0</v>
      </c>
      <c r="AP452" s="42">
        <f t="shared" ref="AP452:AP453" si="1146">IF(SUM(O452:P452)&lt;&gt;0,IF(Q452="Зач",ПАБРС*AA452,0),0)+IF(N452&lt;&gt;0,IF(Q452="Экз",ПАБРС*AA452,0),0)</f>
        <v>0</v>
      </c>
      <c r="AQ452" s="42">
        <f t="shared" ref="AQ452:AQ453" si="1147">(IF(AP452&lt;&gt;0,ОфВед*(IF(OR(M452="лек",M452="лаб"),Z452,AE452)),0))*(IF(F452="ФТД",0,1))</f>
        <v>0</v>
      </c>
      <c r="AR452" s="42">
        <f t="shared" si="1089"/>
        <v>0.9</v>
      </c>
      <c r="AS452" s="42">
        <f t="shared" ref="AS452:AS453" si="1148">IF(OR(M452="лаб",M452="пр"),IF(R452="К",AA452*ВПКР,IF(R452="М",AA452*ВПИБ,0)),0)</f>
        <v>0</v>
      </c>
      <c r="AT452" s="42">
        <f t="shared" ref="AT452:AT453" si="1149">IF(OR(M452="лаб",M452="пр"),IF(S452="К",AA452*ВПКП,0),0)</f>
        <v>0</v>
      </c>
      <c r="AU452" s="42">
        <f t="shared" ref="AU452:AU453" si="1150">IF(M452="УП",T452/1.5*AA452*РУП,IF(M452="УПМ",T452/1.5*AA452*РУПЛеч,0))</f>
        <v>0</v>
      </c>
      <c r="AV452" s="42">
        <f>IF(M452="ПП",РПП*AA452*(U452/1.5),IF(M452="ВП",ВПр*AA452*(U452/1.5),IF(M452="РПА",РПА*AA452*(U452/1.5),IF(M452="КПА",КПА*AA452*(U452/1.5),0))))</f>
        <v>0</v>
      </c>
      <c r="AW452" s="42">
        <f t="shared" ref="AW452:AW453" si="1151">IF(M452="НР",(AB452*НИРМ+AC452*НИРМИн)*(V452/1.5),IF(M452="НИ",(AB452*НИРА+AC452*НИРАИ)*(V452/1.5),0))</f>
        <v>0</v>
      </c>
      <c r="AX452" s="42">
        <f t="shared" si="1090"/>
        <v>0</v>
      </c>
      <c r="AY452" s="42">
        <f t="shared" si="1091"/>
        <v>0</v>
      </c>
      <c r="AZ452" s="42">
        <f t="shared" ref="AZ452:AZ453" si="1152">IF(AND(Q452="КЭ",M452="ЧК"),AA452*КдЭк,0)</f>
        <v>0</v>
      </c>
      <c r="BA452" s="42">
        <f t="shared" si="1092"/>
        <v>0</v>
      </c>
      <c r="BB452" s="42">
        <f t="shared" si="1093"/>
        <v>0</v>
      </c>
      <c r="BC452" s="42">
        <f t="shared" si="1094"/>
        <v>0</v>
      </c>
      <c r="BD452" s="42">
        <f t="shared" ref="BD452:BD453" si="1153">IF(M452="ЧГ",AA452*ЧГ,IF(M452="ПГ",AA452*ПГ,IF(M452="ТЕСТ",ТГИЭ*AE452,IF(M452="СГ",AA452*СГ,0))))</f>
        <v>0</v>
      </c>
      <c r="BE452" s="43">
        <f t="shared" ref="BE452:BE453" si="1154">SUM(AL452:BD452)</f>
        <v>18.899999999999999</v>
      </c>
      <c r="BF452" s="44"/>
      <c r="BG452" s="45">
        <f t="shared" ref="BG452:BG453" si="1155">IF(OR(K452="1;1",K452="1;2",K452=1,K452="3;1",K452="3;2",K452=3,K452="5;1",K452="5;2",K452=5,K452="7;1",K452="7;2",K452=7,K452="9;1",K452="9;2",K452=9,K452=11),SUM(AL452:AN452),0)</f>
        <v>0</v>
      </c>
      <c r="BH452" s="45">
        <f t="shared" ref="BH452:BH453" si="1156">IF(BG452&lt;&gt;0,SUM(N452:P452)/2,0)</f>
        <v>0</v>
      </c>
      <c r="BI452" s="45">
        <f t="shared" ref="BI452:BI453" si="1157">IF(OR(K452="1;1",K452="1;2",K452=1,K452="3;1",K452="3;2",K452=3,K452="5;1",K452="5;2",K452=5,K452="7;1",K452="7;2",K452=7,K452="9;1",K452="9;2",K452=9,K452=11),SUM(AO452:BD452),0)</f>
        <v>0</v>
      </c>
      <c r="BJ452" s="46">
        <f t="shared" si="1113"/>
        <v>18</v>
      </c>
      <c r="BK452" s="46">
        <f t="shared" si="1114"/>
        <v>0.5</v>
      </c>
      <c r="BL452" s="46">
        <f t="shared" si="1115"/>
        <v>0.9</v>
      </c>
    </row>
    <row r="453" spans="1:64" ht="30" customHeight="1" x14ac:dyDescent="0.25">
      <c r="A453" s="84" t="str">
        <f t="shared" si="1085"/>
        <v>Д</v>
      </c>
      <c r="B453" s="84" t="str">
        <f t="shared" si="1137"/>
        <v>Б</v>
      </c>
      <c r="C453" s="101" t="s">
        <v>1475</v>
      </c>
      <c r="D453" s="16" t="str">
        <f t="shared" si="1138"/>
        <v>'38.03.05</v>
      </c>
      <c r="E453" s="17" t="str">
        <f t="shared" si="1139"/>
        <v>Кибербезопасность в экономике</v>
      </c>
      <c r="F453" s="9" t="s">
        <v>413</v>
      </c>
      <c r="G453" s="9" t="s">
        <v>42</v>
      </c>
      <c r="H453" s="10" t="s">
        <v>3233</v>
      </c>
      <c r="I453" s="10"/>
      <c r="J453" s="24" t="s">
        <v>3311</v>
      </c>
      <c r="K453" s="11">
        <v>6</v>
      </c>
      <c r="L453" s="11">
        <v>18</v>
      </c>
      <c r="M453" s="8" t="s">
        <v>24</v>
      </c>
      <c r="N453" s="11"/>
      <c r="O453" s="11"/>
      <c r="P453" s="11">
        <v>2</v>
      </c>
      <c r="Q453" s="8" t="s">
        <v>102</v>
      </c>
      <c r="R453" s="11"/>
      <c r="S453" s="11"/>
      <c r="T453" s="11"/>
      <c r="U453" s="11"/>
      <c r="V453" s="11"/>
      <c r="W453" s="83" t="str">
        <f t="shared" si="1086"/>
        <v>НБИбд</v>
      </c>
      <c r="X453" s="110" t="s">
        <v>3234</v>
      </c>
      <c r="Y453" s="11">
        <v>2</v>
      </c>
      <c r="Z453" s="11">
        <v>1</v>
      </c>
      <c r="AA453" s="83">
        <f t="shared" si="1140"/>
        <v>30</v>
      </c>
      <c r="AB453" s="11">
        <v>23</v>
      </c>
      <c r="AC453" s="11">
        <v>7</v>
      </c>
      <c r="AD453" s="81">
        <f t="shared" si="1087"/>
        <v>24</v>
      </c>
      <c r="AE453" s="82">
        <f t="shared" si="1141"/>
        <v>1</v>
      </c>
      <c r="AF453" s="82">
        <f t="shared" si="1142"/>
        <v>1.25</v>
      </c>
      <c r="AG453" s="102" t="s">
        <v>3250</v>
      </c>
      <c r="AH453" s="113" t="s">
        <v>204</v>
      </c>
      <c r="AI453" s="113" t="s">
        <v>212</v>
      </c>
      <c r="AJ453" s="121" t="s">
        <v>3254</v>
      </c>
      <c r="AK453" s="8"/>
      <c r="AL453" s="42">
        <f t="shared" si="1088"/>
        <v>0</v>
      </c>
      <c r="AM453" s="42">
        <f t="shared" si="1143"/>
        <v>36</v>
      </c>
      <c r="AN453" s="42">
        <f t="shared" si="1144"/>
        <v>0</v>
      </c>
      <c r="AO453" s="42">
        <f t="shared" si="1145"/>
        <v>9.9</v>
      </c>
      <c r="AP453" s="42">
        <f t="shared" si="1146"/>
        <v>15</v>
      </c>
      <c r="AQ453" s="42">
        <f t="shared" si="1147"/>
        <v>1</v>
      </c>
      <c r="AR453" s="42">
        <f t="shared" si="1089"/>
        <v>0</v>
      </c>
      <c r="AS453" s="42">
        <f t="shared" si="1148"/>
        <v>0</v>
      </c>
      <c r="AT453" s="42">
        <f t="shared" si="1149"/>
        <v>0</v>
      </c>
      <c r="AU453" s="42">
        <f t="shared" si="1150"/>
        <v>0</v>
      </c>
      <c r="AV453" s="42">
        <f>IF(M453="ПП",РПП*AA453*(U453/1.5),IF(M453="ВП",ВПр*AA453*(U453/1.5),IF(M453="РПА",РПА*AA453*(U453/1.5),IF(M453="КПА",КПА*AA453*(U453/1.5),0))))</f>
        <v>0</v>
      </c>
      <c r="AW453" s="42">
        <f t="shared" si="1151"/>
        <v>0</v>
      </c>
      <c r="AX453" s="42">
        <f t="shared" si="1090"/>
        <v>0</v>
      </c>
      <c r="AY453" s="42">
        <f t="shared" si="1091"/>
        <v>0</v>
      </c>
      <c r="AZ453" s="42">
        <f t="shared" si="1152"/>
        <v>0</v>
      </c>
      <c r="BA453" s="42">
        <f t="shared" si="1092"/>
        <v>0</v>
      </c>
      <c r="BB453" s="42">
        <f t="shared" si="1093"/>
        <v>0</v>
      </c>
      <c r="BC453" s="42">
        <f t="shared" si="1094"/>
        <v>0</v>
      </c>
      <c r="BD453" s="42">
        <f t="shared" si="1153"/>
        <v>0</v>
      </c>
      <c r="BE453" s="43">
        <f t="shared" si="1154"/>
        <v>61.9</v>
      </c>
      <c r="BF453" s="44"/>
      <c r="BG453" s="45">
        <f t="shared" si="1155"/>
        <v>0</v>
      </c>
      <c r="BH453" s="45">
        <f t="shared" si="1156"/>
        <v>0</v>
      </c>
      <c r="BI453" s="45">
        <f t="shared" si="1157"/>
        <v>0</v>
      </c>
      <c r="BJ453" s="46">
        <f t="shared" si="1113"/>
        <v>36</v>
      </c>
      <c r="BK453" s="46">
        <f t="shared" si="1114"/>
        <v>1</v>
      </c>
      <c r="BL453" s="46">
        <f t="shared" si="1115"/>
        <v>25.9</v>
      </c>
    </row>
    <row r="454" spans="1:64" ht="30" customHeight="1" x14ac:dyDescent="0.25">
      <c r="A454" s="84" t="str">
        <f t="shared" ref="A454:A517" si="1158">IF(C454&gt;0, VLOOKUP(C454,Код_ООП,12,FALSE),0)</f>
        <v>Д</v>
      </c>
      <c r="B454" s="84" t="str">
        <f t="shared" si="32"/>
        <v>Б</v>
      </c>
      <c r="C454" s="101" t="s">
        <v>1475</v>
      </c>
      <c r="D454" s="16" t="str">
        <f t="shared" si="33"/>
        <v>'38.03.05</v>
      </c>
      <c r="E454" s="17" t="str">
        <f t="shared" si="34"/>
        <v>Кибербезопасность в экономике</v>
      </c>
      <c r="F454" s="9" t="s">
        <v>413</v>
      </c>
      <c r="G454" s="9" t="s">
        <v>42</v>
      </c>
      <c r="H454" s="10" t="s">
        <v>3233</v>
      </c>
      <c r="I454" s="10"/>
      <c r="J454" s="24" t="s">
        <v>3307</v>
      </c>
      <c r="K454" s="11">
        <v>4</v>
      </c>
      <c r="L454" s="11">
        <v>18</v>
      </c>
      <c r="M454" s="8" t="s">
        <v>23</v>
      </c>
      <c r="N454" s="11">
        <v>1</v>
      </c>
      <c r="O454" s="11"/>
      <c r="P454" s="11"/>
      <c r="Q454" s="8"/>
      <c r="R454" s="11"/>
      <c r="S454" s="11"/>
      <c r="T454" s="11"/>
      <c r="U454" s="11"/>
      <c r="V454" s="11"/>
      <c r="W454" s="83" t="str">
        <f t="shared" ref="W454:W517" si="1159">MID(C454,1,5)</f>
        <v>НБИбд</v>
      </c>
      <c r="X454" s="110" t="s">
        <v>3234</v>
      </c>
      <c r="Y454" s="11">
        <v>2</v>
      </c>
      <c r="Z454" s="11">
        <v>1</v>
      </c>
      <c r="AA454" s="83">
        <f t="shared" si="35"/>
        <v>30</v>
      </c>
      <c r="AB454" s="11">
        <v>23</v>
      </c>
      <c r="AC454" s="11">
        <v>7</v>
      </c>
      <c r="AD454" s="81">
        <f t="shared" ref="AD454:AD517" si="1160">IF(M454="сп",6,IF(M454="клн",8,IF(OR(M454="лаб",M454="ия"),12,IF(OR(M454="пр",M454="ТЕСТ"),IF(OR(B454="Б",B454="С"),24,12),IF(M454="лек",AA454,1)))))</f>
        <v>30</v>
      </c>
      <c r="AE454" s="82">
        <f t="shared" si="36"/>
        <v>1</v>
      </c>
      <c r="AF454" s="82">
        <f t="shared" si="37"/>
        <v>1</v>
      </c>
      <c r="AG454" s="102" t="s">
        <v>3250</v>
      </c>
      <c r="AH454" s="113" t="s">
        <v>204</v>
      </c>
      <c r="AI454" s="113" t="s">
        <v>213</v>
      </c>
      <c r="AJ454" s="121" t="s">
        <v>3259</v>
      </c>
      <c r="AK454" s="8"/>
      <c r="AL454" s="42">
        <f t="shared" ref="AL454:AL517" si="1161">IF(OR(M454="лек",M454="ТУИС"),(IF(NOT(B454="ЦМ"),N454*L454,0)),0)</f>
        <v>18</v>
      </c>
      <c r="AM454" s="42">
        <f t="shared" si="1098"/>
        <v>0</v>
      </c>
      <c r="AN454" s="42">
        <f t="shared" si="1099"/>
        <v>0</v>
      </c>
      <c r="AO454" s="42">
        <f t="shared" si="1112"/>
        <v>0</v>
      </c>
      <c r="AP454" s="42">
        <f t="shared" si="1100"/>
        <v>0</v>
      </c>
      <c r="AQ454" s="42">
        <f t="shared" si="1101"/>
        <v>0</v>
      </c>
      <c r="AR454" s="42">
        <f t="shared" ref="AR454:AR517" si="1162">(IF(A454="Д",ТКЛД,IF(A454="В",ТКЛВ,IF(A454="З",ТКЛЗ,0))))*(IF(F454="ФТД",0,AL454))*Z454</f>
        <v>0.9</v>
      </c>
      <c r="AS454" s="42">
        <f t="shared" si="1102"/>
        <v>0</v>
      </c>
      <c r="AT454" s="42">
        <f t="shared" si="1103"/>
        <v>0</v>
      </c>
      <c r="AU454" s="42">
        <f t="shared" si="1104"/>
        <v>0</v>
      </c>
      <c r="AV454" s="42">
        <f>IF(M454="ПП",РПП*AA454*(U454/1.5),IF(M454="ВП",ВПр*AA454*(U454/1.5),IF(M454="РПА",РПА*AA454*(U454/1.5),IF(M454="КПА",КПА*AA454*(U454/1.5),0))))</f>
        <v>0</v>
      </c>
      <c r="AW454" s="42">
        <f t="shared" si="1105"/>
        <v>0</v>
      </c>
      <c r="AX454" s="42">
        <f t="shared" ref="AX454:AX517" si="1163">IF(AND(M454="ЦП",B454="ЦМ"),AA454*ЦП,0)</f>
        <v>0</v>
      </c>
      <c r="AY454" s="42">
        <f t="shared" ref="AY454:AY517" si="1164">IF(B454="А",IF(M454="РР",AA454*РефАсп,IF(M454="РРФ",AA454*РефФил,0)),0)</f>
        <v>0</v>
      </c>
      <c r="AZ454" s="42">
        <f t="shared" si="1106"/>
        <v>0</v>
      </c>
      <c r="BA454" s="42">
        <f t="shared" ref="BA454:BA517" si="1165">IF(AND(M454="НКД",B454="Д"),AA454*НКД,0)+IF(AND(M454="РПЛ",B454="А"),AA454*РукПЛ,0)+IF(AND(M454="РСтж",B454="А"),AB454*РукСт+AC454*РукИСт,0)+IF(M454="ФГТ",AB454*РукРФа+AC454*РукИна,0)</f>
        <v>0</v>
      </c>
      <c r="BB454" s="42">
        <f t="shared" ref="BB454:BB517" si="1166">IF(M454="РК",IF(OR(B454="С",B454="М",B454="ЦМ"),(AB454*РСМ+AC454*РСМИ),0),0)+IF(M454="РК",IF(B454="Б",(AB454*РБ+AC454*РБИ),0),0)+IF(M454="РК",IF(B454="А",(AB454*РНКР+AC454*РНКРИн),0),0)+IF(AND(Q454="ПАкр"),AA454*0.3)</f>
        <v>0</v>
      </c>
      <c r="BC454" s="42">
        <f t="shared" ref="BC454:BC517" si="1167">IF(M454="РДП",IF(B454="А",AA454*РРА,IF(OR(B454="С",B454="М",B454="ЦМ"),AA454*РРСМ,IF(B454="Б",AA454*РРБ,0))),IF(M454="РДИ",AA454*РДП,0))</f>
        <v>0</v>
      </c>
      <c r="BD454" s="42">
        <f t="shared" si="1107"/>
        <v>0</v>
      </c>
      <c r="BE454" s="43">
        <f t="shared" si="1108"/>
        <v>18.899999999999999</v>
      </c>
      <c r="BF454" s="44"/>
      <c r="BG454" s="45">
        <f t="shared" si="1109"/>
        <v>0</v>
      </c>
      <c r="BH454" s="45">
        <f t="shared" si="1110"/>
        <v>0</v>
      </c>
      <c r="BI454" s="45">
        <f t="shared" si="1111"/>
        <v>0</v>
      </c>
      <c r="BJ454" s="46">
        <f t="shared" si="1113"/>
        <v>18</v>
      </c>
      <c r="BK454" s="46">
        <f t="shared" si="1114"/>
        <v>0.5</v>
      </c>
      <c r="BL454" s="46">
        <f t="shared" si="1115"/>
        <v>0.9</v>
      </c>
    </row>
    <row r="455" spans="1:64" ht="30" customHeight="1" x14ac:dyDescent="0.25">
      <c r="A455" s="84" t="str">
        <f t="shared" si="1158"/>
        <v>Д</v>
      </c>
      <c r="B455" s="84" t="str">
        <f t="shared" si="32"/>
        <v>Б</v>
      </c>
      <c r="C455" s="101" t="s">
        <v>1475</v>
      </c>
      <c r="D455" s="16" t="str">
        <f t="shared" si="33"/>
        <v>'38.03.05</v>
      </c>
      <c r="E455" s="17" t="str">
        <f t="shared" si="34"/>
        <v>Кибербезопасность в экономике</v>
      </c>
      <c r="F455" s="9" t="s">
        <v>413</v>
      </c>
      <c r="G455" s="9" t="s">
        <v>42</v>
      </c>
      <c r="H455" s="10" t="s">
        <v>3233</v>
      </c>
      <c r="I455" s="10"/>
      <c r="J455" s="24" t="s">
        <v>3307</v>
      </c>
      <c r="K455" s="11">
        <v>4</v>
      </c>
      <c r="L455" s="11">
        <v>18</v>
      </c>
      <c r="M455" s="8" t="s">
        <v>24</v>
      </c>
      <c r="N455" s="11"/>
      <c r="O455" s="11"/>
      <c r="P455" s="11">
        <v>1</v>
      </c>
      <c r="Q455" s="8" t="s">
        <v>102</v>
      </c>
      <c r="R455" s="11"/>
      <c r="S455" s="11"/>
      <c r="T455" s="11"/>
      <c r="U455" s="11"/>
      <c r="V455" s="11"/>
      <c r="W455" s="83" t="str">
        <f t="shared" si="1159"/>
        <v>НБИбд</v>
      </c>
      <c r="X455" s="110" t="s">
        <v>3234</v>
      </c>
      <c r="Y455" s="11">
        <v>2</v>
      </c>
      <c r="Z455" s="11">
        <v>1</v>
      </c>
      <c r="AA455" s="83">
        <f t="shared" si="35"/>
        <v>30</v>
      </c>
      <c r="AB455" s="11">
        <v>23</v>
      </c>
      <c r="AC455" s="11">
        <v>7</v>
      </c>
      <c r="AD455" s="81">
        <f t="shared" si="1160"/>
        <v>24</v>
      </c>
      <c r="AE455" s="82">
        <f t="shared" si="36"/>
        <v>1</v>
      </c>
      <c r="AF455" s="82">
        <f t="shared" si="37"/>
        <v>1.25</v>
      </c>
      <c r="AG455" s="102" t="s">
        <v>3250</v>
      </c>
      <c r="AH455" s="113" t="s">
        <v>204</v>
      </c>
      <c r="AI455" s="113" t="s">
        <v>213</v>
      </c>
      <c r="AJ455" s="121" t="s">
        <v>3259</v>
      </c>
      <c r="AK455" s="8"/>
      <c r="AL455" s="42">
        <f t="shared" si="1161"/>
        <v>0</v>
      </c>
      <c r="AM455" s="42">
        <f t="shared" si="1098"/>
        <v>18</v>
      </c>
      <c r="AN455" s="42">
        <f t="shared" si="1099"/>
        <v>0</v>
      </c>
      <c r="AO455" s="42">
        <f t="shared" si="1112"/>
        <v>9.9</v>
      </c>
      <c r="AP455" s="42">
        <f t="shared" si="1100"/>
        <v>15</v>
      </c>
      <c r="AQ455" s="42">
        <f t="shared" si="1101"/>
        <v>1</v>
      </c>
      <c r="AR455" s="42">
        <f t="shared" si="1162"/>
        <v>0</v>
      </c>
      <c r="AS455" s="42">
        <f t="shared" si="1102"/>
        <v>0</v>
      </c>
      <c r="AT455" s="42">
        <f t="shared" si="1103"/>
        <v>0</v>
      </c>
      <c r="AU455" s="42">
        <f t="shared" si="1104"/>
        <v>0</v>
      </c>
      <c r="AV455" s="42">
        <f>IF(M455="ПП",РПП*AA455*(U455/1.5),IF(M455="ВП",ВПр*AA455*(U455/1.5),IF(M455="РПА",РПА*AA455*(U455/1.5),IF(M455="КПА",КПА*AA455*(U455/1.5),0))))</f>
        <v>0</v>
      </c>
      <c r="AW455" s="42">
        <f t="shared" si="1105"/>
        <v>0</v>
      </c>
      <c r="AX455" s="42">
        <f t="shared" si="1163"/>
        <v>0</v>
      </c>
      <c r="AY455" s="42">
        <f t="shared" si="1164"/>
        <v>0</v>
      </c>
      <c r="AZ455" s="42">
        <f t="shared" si="1106"/>
        <v>0</v>
      </c>
      <c r="BA455" s="42">
        <f t="shared" si="1165"/>
        <v>0</v>
      </c>
      <c r="BB455" s="42">
        <f t="shared" si="1166"/>
        <v>0</v>
      </c>
      <c r="BC455" s="42">
        <f t="shared" si="1167"/>
        <v>0</v>
      </c>
      <c r="BD455" s="42">
        <f t="shared" si="1107"/>
        <v>0</v>
      </c>
      <c r="BE455" s="43">
        <f t="shared" si="1108"/>
        <v>43.9</v>
      </c>
      <c r="BF455" s="44"/>
      <c r="BG455" s="45">
        <f t="shared" si="1109"/>
        <v>0</v>
      </c>
      <c r="BH455" s="45">
        <f t="shared" si="1110"/>
        <v>0</v>
      </c>
      <c r="BI455" s="45">
        <f t="shared" si="1111"/>
        <v>0</v>
      </c>
      <c r="BJ455" s="46">
        <f t="shared" si="1113"/>
        <v>18</v>
      </c>
      <c r="BK455" s="46">
        <f t="shared" si="1114"/>
        <v>0.5</v>
      </c>
      <c r="BL455" s="46">
        <f t="shared" si="1115"/>
        <v>25.9</v>
      </c>
    </row>
    <row r="456" spans="1:64" ht="30" customHeight="1" x14ac:dyDescent="0.25">
      <c r="A456" s="84" t="str">
        <f t="shared" si="1158"/>
        <v>Д</v>
      </c>
      <c r="B456" s="84" t="str">
        <f t="shared" si="32"/>
        <v>М</v>
      </c>
      <c r="C456" s="101" t="s">
        <v>1492</v>
      </c>
      <c r="D456" s="16" t="str">
        <f t="shared" si="33"/>
        <v>'09.04.03</v>
      </c>
      <c r="E456" s="17" t="str">
        <f t="shared" si="34"/>
        <v>Искусственный интеллект и анализ данных</v>
      </c>
      <c r="F456" s="9" t="s">
        <v>413</v>
      </c>
      <c r="G456" s="9" t="s">
        <v>42</v>
      </c>
      <c r="H456" s="10" t="s">
        <v>3233</v>
      </c>
      <c r="I456" s="10"/>
      <c r="J456" s="24" t="s">
        <v>3312</v>
      </c>
      <c r="K456" s="11">
        <v>1</v>
      </c>
      <c r="L456" s="11">
        <v>18</v>
      </c>
      <c r="M456" s="8" t="s">
        <v>23</v>
      </c>
      <c r="N456" s="11">
        <v>1</v>
      </c>
      <c r="O456" s="11"/>
      <c r="P456" s="11"/>
      <c r="Q456" s="8" t="s">
        <v>103</v>
      </c>
      <c r="R456" s="12"/>
      <c r="S456" s="12"/>
      <c r="T456" s="12"/>
      <c r="U456" s="12"/>
      <c r="V456" s="12"/>
      <c r="W456" s="83" t="str">
        <f t="shared" si="1159"/>
        <v>НПИмд</v>
      </c>
      <c r="X456" s="110" t="s">
        <v>3246</v>
      </c>
      <c r="Y456" s="11">
        <v>2</v>
      </c>
      <c r="Z456" s="11">
        <v>1</v>
      </c>
      <c r="AA456" s="83">
        <f t="shared" si="35"/>
        <v>22</v>
      </c>
      <c r="AB456" s="11">
        <v>11</v>
      </c>
      <c r="AC456" s="12">
        <v>11</v>
      </c>
      <c r="AD456" s="81">
        <f t="shared" si="1160"/>
        <v>22</v>
      </c>
      <c r="AE456" s="82">
        <f t="shared" si="36"/>
        <v>1</v>
      </c>
      <c r="AF456" s="82">
        <f t="shared" si="37"/>
        <v>1</v>
      </c>
      <c r="AG456" s="102" t="s">
        <v>3250</v>
      </c>
      <c r="AH456" s="113" t="s">
        <v>201</v>
      </c>
      <c r="AI456" s="113" t="s">
        <v>212</v>
      </c>
      <c r="AJ456" s="121" t="s">
        <v>3349</v>
      </c>
      <c r="AK456" s="8"/>
      <c r="AL456" s="42">
        <f t="shared" si="1161"/>
        <v>18</v>
      </c>
      <c r="AM456" s="42">
        <f t="shared" si="1098"/>
        <v>0</v>
      </c>
      <c r="AN456" s="42">
        <f t="shared" si="1099"/>
        <v>0</v>
      </c>
      <c r="AO456" s="42">
        <f t="shared" si="1112"/>
        <v>7.2600000000000007</v>
      </c>
      <c r="AP456" s="42">
        <f t="shared" si="1100"/>
        <v>11</v>
      </c>
      <c r="AQ456" s="42">
        <f t="shared" si="1101"/>
        <v>1</v>
      </c>
      <c r="AR456" s="42">
        <f t="shared" si="1162"/>
        <v>0.9</v>
      </c>
      <c r="AS456" s="42">
        <f t="shared" si="1102"/>
        <v>0</v>
      </c>
      <c r="AT456" s="42">
        <f t="shared" si="1103"/>
        <v>0</v>
      </c>
      <c r="AU456" s="42">
        <f t="shared" si="1104"/>
        <v>0</v>
      </c>
      <c r="AV456" s="42">
        <f>IF(M456="ПП",РПП*AA456*(U456/1.5),IF(M456="ВП",ВПр*AA456*(U456/1.5),IF(M456="РПА",РПА*AA456*(U456/1.5),IF(M456="КПА",КПА*AA456*(U456/1.5),0))))</f>
        <v>0</v>
      </c>
      <c r="AW456" s="42">
        <f t="shared" si="1105"/>
        <v>0</v>
      </c>
      <c r="AX456" s="42">
        <f t="shared" si="1163"/>
        <v>0</v>
      </c>
      <c r="AY456" s="42">
        <f t="shared" si="1164"/>
        <v>0</v>
      </c>
      <c r="AZ456" s="42">
        <f t="shared" si="1106"/>
        <v>0</v>
      </c>
      <c r="BA456" s="42">
        <f t="shared" si="1165"/>
        <v>0</v>
      </c>
      <c r="BB456" s="42">
        <f t="shared" si="1166"/>
        <v>0</v>
      </c>
      <c r="BC456" s="42">
        <f t="shared" si="1167"/>
        <v>0</v>
      </c>
      <c r="BD456" s="42">
        <f t="shared" si="1107"/>
        <v>0</v>
      </c>
      <c r="BE456" s="43">
        <f t="shared" si="1108"/>
        <v>38.160000000000004</v>
      </c>
      <c r="BF456" s="44"/>
      <c r="BG456" s="45">
        <f t="shared" si="1109"/>
        <v>18</v>
      </c>
      <c r="BH456" s="45">
        <f t="shared" si="1110"/>
        <v>0.5</v>
      </c>
      <c r="BI456" s="45">
        <f t="shared" si="1111"/>
        <v>20.16</v>
      </c>
      <c r="BJ456" s="46">
        <f t="shared" si="1113"/>
        <v>0</v>
      </c>
      <c r="BK456" s="46">
        <f t="shared" si="1114"/>
        <v>0</v>
      </c>
      <c r="BL456" s="46">
        <f t="shared" si="1115"/>
        <v>0</v>
      </c>
    </row>
    <row r="457" spans="1:64" ht="30" customHeight="1" x14ac:dyDescent="0.25">
      <c r="A457" s="84" t="str">
        <f t="shared" si="1158"/>
        <v>Д</v>
      </c>
      <c r="B457" s="84" t="str">
        <f t="shared" si="32"/>
        <v>М</v>
      </c>
      <c r="C457" s="101" t="s">
        <v>1492</v>
      </c>
      <c r="D457" s="16" t="str">
        <f t="shared" si="33"/>
        <v>'09.04.03</v>
      </c>
      <c r="E457" s="17" t="str">
        <f t="shared" si="34"/>
        <v>Искусственный интеллект и анализ данных</v>
      </c>
      <c r="F457" s="9" t="s">
        <v>413</v>
      </c>
      <c r="G457" s="9" t="s">
        <v>42</v>
      </c>
      <c r="H457" s="10" t="s">
        <v>3233</v>
      </c>
      <c r="I457" s="10"/>
      <c r="J457" s="24" t="s">
        <v>3312</v>
      </c>
      <c r="K457" s="11">
        <v>1</v>
      </c>
      <c r="L457" s="11">
        <v>18</v>
      </c>
      <c r="M457" s="8" t="s">
        <v>94</v>
      </c>
      <c r="N457" s="11"/>
      <c r="O457" s="11">
        <v>1</v>
      </c>
      <c r="P457" s="11"/>
      <c r="Q457" s="8"/>
      <c r="R457" s="13"/>
      <c r="S457" s="13"/>
      <c r="T457" s="13"/>
      <c r="U457" s="13"/>
      <c r="V457" s="13"/>
      <c r="W457" s="83" t="str">
        <f t="shared" si="1159"/>
        <v>НПИмд</v>
      </c>
      <c r="X457" s="110" t="s">
        <v>3246</v>
      </c>
      <c r="Y457" s="11">
        <v>2</v>
      </c>
      <c r="Z457" s="11">
        <v>1</v>
      </c>
      <c r="AA457" s="83">
        <f t="shared" si="35"/>
        <v>22</v>
      </c>
      <c r="AB457" s="11">
        <v>11</v>
      </c>
      <c r="AC457" s="12">
        <v>11</v>
      </c>
      <c r="AD457" s="81">
        <f t="shared" si="1160"/>
        <v>12</v>
      </c>
      <c r="AE457" s="82">
        <f t="shared" si="36"/>
        <v>1</v>
      </c>
      <c r="AF457" s="82">
        <f t="shared" si="37"/>
        <v>1.8333333333333333</v>
      </c>
      <c r="AG457" s="102" t="s">
        <v>3250</v>
      </c>
      <c r="AH457" s="113" t="s">
        <v>201</v>
      </c>
      <c r="AI457" s="113" t="s">
        <v>212</v>
      </c>
      <c r="AJ457" s="121" t="s">
        <v>3349</v>
      </c>
      <c r="AK457" s="8"/>
      <c r="AL457" s="42">
        <f t="shared" si="1161"/>
        <v>0</v>
      </c>
      <c r="AM457" s="42">
        <f t="shared" si="1098"/>
        <v>0</v>
      </c>
      <c r="AN457" s="42">
        <f t="shared" si="1099"/>
        <v>18</v>
      </c>
      <c r="AO457" s="42">
        <f t="shared" si="1112"/>
        <v>0</v>
      </c>
      <c r="AP457" s="42">
        <f t="shared" si="1100"/>
        <v>0</v>
      </c>
      <c r="AQ457" s="42">
        <f t="shared" si="1101"/>
        <v>0</v>
      </c>
      <c r="AR457" s="42">
        <f t="shared" si="1162"/>
        <v>0</v>
      </c>
      <c r="AS457" s="42">
        <f t="shared" si="1102"/>
        <v>0</v>
      </c>
      <c r="AT457" s="42">
        <f t="shared" si="1103"/>
        <v>0</v>
      </c>
      <c r="AU457" s="42">
        <f t="shared" si="1104"/>
        <v>0</v>
      </c>
      <c r="AV457" s="42">
        <f>IF(M457="ПП",РПП*AA457*(U457/1.5),IF(M457="ВП",ВПр*AA457*(U457/1.5),IF(M457="РПА",РПА*AA457*(U457/1.5),IF(M457="КПА",КПА*AA457*(U457/1.5),0))))</f>
        <v>0</v>
      </c>
      <c r="AW457" s="42">
        <f t="shared" si="1105"/>
        <v>0</v>
      </c>
      <c r="AX457" s="42">
        <f t="shared" si="1163"/>
        <v>0</v>
      </c>
      <c r="AY457" s="42">
        <f t="shared" si="1164"/>
        <v>0</v>
      </c>
      <c r="AZ457" s="42">
        <f t="shared" si="1106"/>
        <v>0</v>
      </c>
      <c r="BA457" s="42">
        <f t="shared" si="1165"/>
        <v>0</v>
      </c>
      <c r="BB457" s="42">
        <f t="shared" si="1166"/>
        <v>0</v>
      </c>
      <c r="BC457" s="42">
        <f t="shared" si="1167"/>
        <v>0</v>
      </c>
      <c r="BD457" s="42">
        <f t="shared" si="1107"/>
        <v>0</v>
      </c>
      <c r="BE457" s="43">
        <f t="shared" si="1108"/>
        <v>18</v>
      </c>
      <c r="BF457" s="44"/>
      <c r="BG457" s="45">
        <f t="shared" si="1109"/>
        <v>18</v>
      </c>
      <c r="BH457" s="45">
        <f t="shared" si="1110"/>
        <v>0.5</v>
      </c>
      <c r="BI457" s="45">
        <f t="shared" si="1111"/>
        <v>0</v>
      </c>
      <c r="BJ457" s="46">
        <f t="shared" si="1113"/>
        <v>0</v>
      </c>
      <c r="BK457" s="46">
        <f t="shared" si="1114"/>
        <v>0</v>
      </c>
      <c r="BL457" s="46">
        <f t="shared" si="1115"/>
        <v>0</v>
      </c>
    </row>
    <row r="458" spans="1:64" ht="30" customHeight="1" x14ac:dyDescent="0.25">
      <c r="A458" s="84" t="str">
        <f t="shared" si="1158"/>
        <v>Д</v>
      </c>
      <c r="B458" s="84" t="str">
        <f t="shared" si="32"/>
        <v>М</v>
      </c>
      <c r="C458" s="101" t="s">
        <v>1492</v>
      </c>
      <c r="D458" s="16" t="str">
        <f t="shared" si="33"/>
        <v>'09.04.03</v>
      </c>
      <c r="E458" s="17" t="str">
        <f t="shared" si="34"/>
        <v>Искусственный интеллект и анализ данных</v>
      </c>
      <c r="F458" s="9" t="s">
        <v>413</v>
      </c>
      <c r="G458" s="9" t="s">
        <v>42</v>
      </c>
      <c r="H458" s="10" t="s">
        <v>3233</v>
      </c>
      <c r="I458" s="10"/>
      <c r="J458" s="24" t="s">
        <v>3313</v>
      </c>
      <c r="K458" s="12">
        <v>2</v>
      </c>
      <c r="L458" s="11">
        <v>18</v>
      </c>
      <c r="M458" s="8" t="s">
        <v>23</v>
      </c>
      <c r="N458" s="12">
        <v>2</v>
      </c>
      <c r="O458" s="12"/>
      <c r="P458" s="12"/>
      <c r="Q458" s="8"/>
      <c r="R458" s="13"/>
      <c r="S458" s="13"/>
      <c r="T458" s="13"/>
      <c r="U458" s="13"/>
      <c r="V458" s="13"/>
      <c r="W458" s="83" t="str">
        <f t="shared" si="1159"/>
        <v>НПИмд</v>
      </c>
      <c r="X458" s="110" t="s">
        <v>3246</v>
      </c>
      <c r="Y458" s="11">
        <v>2</v>
      </c>
      <c r="Z458" s="11">
        <v>1</v>
      </c>
      <c r="AA458" s="83">
        <f t="shared" si="35"/>
        <v>22</v>
      </c>
      <c r="AB458" s="11">
        <v>11</v>
      </c>
      <c r="AC458" s="12">
        <v>11</v>
      </c>
      <c r="AD458" s="81">
        <f t="shared" si="1160"/>
        <v>22</v>
      </c>
      <c r="AE458" s="82">
        <f t="shared" si="36"/>
        <v>1</v>
      </c>
      <c r="AF458" s="82">
        <f t="shared" si="37"/>
        <v>1</v>
      </c>
      <c r="AG458" s="102" t="s">
        <v>3250</v>
      </c>
      <c r="AH458" s="113" t="s">
        <v>204</v>
      </c>
      <c r="AI458" s="113" t="s">
        <v>212</v>
      </c>
      <c r="AJ458" s="121" t="s">
        <v>3256</v>
      </c>
      <c r="AK458" s="8"/>
      <c r="AL458" s="42">
        <f t="shared" si="1161"/>
        <v>36</v>
      </c>
      <c r="AM458" s="42">
        <f t="shared" si="1098"/>
        <v>0</v>
      </c>
      <c r="AN458" s="42">
        <f t="shared" si="1099"/>
        <v>0</v>
      </c>
      <c r="AO458" s="42">
        <f t="shared" si="1112"/>
        <v>0</v>
      </c>
      <c r="AP458" s="42">
        <f t="shared" si="1100"/>
        <v>0</v>
      </c>
      <c r="AQ458" s="42">
        <f t="shared" si="1101"/>
        <v>0</v>
      </c>
      <c r="AR458" s="42">
        <f t="shared" si="1162"/>
        <v>1.8</v>
      </c>
      <c r="AS458" s="42">
        <f t="shared" si="1102"/>
        <v>0</v>
      </c>
      <c r="AT458" s="42">
        <f t="shared" si="1103"/>
        <v>0</v>
      </c>
      <c r="AU458" s="42">
        <f t="shared" si="1104"/>
        <v>0</v>
      </c>
      <c r="AV458" s="42">
        <f>IF(M458="ПП",РПП*AA458*(U458/1.5),IF(M458="ВП",ВПр*AA458*(U458/1.5),IF(M458="РПА",РПА*AA458*(U458/1.5),IF(M458="КПА",КПА*AA458*(U458/1.5),0))))</f>
        <v>0</v>
      </c>
      <c r="AW458" s="42">
        <f t="shared" si="1105"/>
        <v>0</v>
      </c>
      <c r="AX458" s="42">
        <f t="shared" si="1163"/>
        <v>0</v>
      </c>
      <c r="AY458" s="42">
        <f t="shared" si="1164"/>
        <v>0</v>
      </c>
      <c r="AZ458" s="42">
        <f t="shared" si="1106"/>
        <v>0</v>
      </c>
      <c r="BA458" s="42">
        <f t="shared" si="1165"/>
        <v>0</v>
      </c>
      <c r="BB458" s="42">
        <f t="shared" si="1166"/>
        <v>0</v>
      </c>
      <c r="BC458" s="42">
        <f t="shared" si="1167"/>
        <v>0</v>
      </c>
      <c r="BD458" s="42">
        <f t="shared" si="1107"/>
        <v>0</v>
      </c>
      <c r="BE458" s="43">
        <f t="shared" si="1108"/>
        <v>37.799999999999997</v>
      </c>
      <c r="BF458" s="44"/>
      <c r="BG458" s="45">
        <f t="shared" si="1109"/>
        <v>0</v>
      </c>
      <c r="BH458" s="45">
        <f t="shared" si="1110"/>
        <v>0</v>
      </c>
      <c r="BI458" s="45">
        <f t="shared" si="1111"/>
        <v>0</v>
      </c>
      <c r="BJ458" s="46">
        <f t="shared" si="1113"/>
        <v>36</v>
      </c>
      <c r="BK458" s="46">
        <f t="shared" si="1114"/>
        <v>1</v>
      </c>
      <c r="BL458" s="46">
        <f t="shared" si="1115"/>
        <v>1.8</v>
      </c>
    </row>
    <row r="459" spans="1:64" ht="30" customHeight="1" x14ac:dyDescent="0.25">
      <c r="A459" s="84" t="str">
        <f t="shared" si="1158"/>
        <v>Д</v>
      </c>
      <c r="B459" s="84" t="str">
        <f t="shared" ref="B459:B519" si="1168">IF(C459&gt;0, VLOOKUP(C459,Код_ООП,11,FALSE),0)</f>
        <v>М</v>
      </c>
      <c r="C459" s="101" t="s">
        <v>1492</v>
      </c>
      <c r="D459" s="16" t="str">
        <f t="shared" ref="D459:D519" si="1169">IF(C459&gt;0, VLOOKUP(C459,Код_ООП,2,FALSE),0)</f>
        <v>'09.04.03</v>
      </c>
      <c r="E459" s="17" t="str">
        <f t="shared" ref="E459:E519" si="1170">IF(C459&gt;0, VLOOKUP(C459,Код_ООП,13,FALSE),0)</f>
        <v>Искусственный интеллект и анализ данных</v>
      </c>
      <c r="F459" s="9" t="s">
        <v>413</v>
      </c>
      <c r="G459" s="9" t="s">
        <v>42</v>
      </c>
      <c r="H459" s="10" t="s">
        <v>3233</v>
      </c>
      <c r="I459" s="10"/>
      <c r="J459" s="24" t="s">
        <v>3313</v>
      </c>
      <c r="K459" s="13">
        <v>2</v>
      </c>
      <c r="L459" s="11">
        <v>18</v>
      </c>
      <c r="M459" s="8" t="s">
        <v>24</v>
      </c>
      <c r="N459" s="13"/>
      <c r="O459" s="13"/>
      <c r="P459" s="13">
        <v>1</v>
      </c>
      <c r="Q459" s="8" t="s">
        <v>102</v>
      </c>
      <c r="R459" s="11"/>
      <c r="S459" s="11"/>
      <c r="T459" s="23"/>
      <c r="U459" s="11"/>
      <c r="V459" s="11"/>
      <c r="W459" s="83" t="str">
        <f t="shared" si="1159"/>
        <v>НПИмд</v>
      </c>
      <c r="X459" s="110" t="s">
        <v>3246</v>
      </c>
      <c r="Y459" s="11">
        <v>2</v>
      </c>
      <c r="Z459" s="11">
        <v>1</v>
      </c>
      <c r="AA459" s="83">
        <f t="shared" ref="AA459:AA516" si="1171">AB459+AC459</f>
        <v>22</v>
      </c>
      <c r="AB459" s="11">
        <v>11</v>
      </c>
      <c r="AC459" s="12">
        <v>11</v>
      </c>
      <c r="AD459" s="81">
        <f t="shared" si="1160"/>
        <v>12</v>
      </c>
      <c r="AE459" s="82">
        <f t="shared" ref="AE459:AE519" si="1172">IF(AF459&gt;1,1,AF459)</f>
        <v>1</v>
      </c>
      <c r="AF459" s="82">
        <f t="shared" ref="AF459:AF519" si="1173">AA459/AD459</f>
        <v>1.8333333333333333</v>
      </c>
      <c r="AG459" s="102" t="s">
        <v>3250</v>
      </c>
      <c r="AH459" s="113" t="s">
        <v>204</v>
      </c>
      <c r="AI459" s="113" t="s">
        <v>212</v>
      </c>
      <c r="AJ459" s="121" t="s">
        <v>3256</v>
      </c>
      <c r="AK459" s="8"/>
      <c r="AL459" s="42">
        <f t="shared" si="1161"/>
        <v>0</v>
      </c>
      <c r="AM459" s="42">
        <f t="shared" si="1098"/>
        <v>18</v>
      </c>
      <c r="AN459" s="42">
        <f t="shared" si="1099"/>
        <v>0</v>
      </c>
      <c r="AO459" s="42">
        <f t="shared" si="1112"/>
        <v>7.2600000000000007</v>
      </c>
      <c r="AP459" s="42">
        <f t="shared" si="1100"/>
        <v>11</v>
      </c>
      <c r="AQ459" s="42">
        <f t="shared" si="1101"/>
        <v>1</v>
      </c>
      <c r="AR459" s="42">
        <f t="shared" si="1162"/>
        <v>0</v>
      </c>
      <c r="AS459" s="42">
        <f t="shared" si="1102"/>
        <v>0</v>
      </c>
      <c r="AT459" s="42">
        <f t="shared" si="1103"/>
        <v>0</v>
      </c>
      <c r="AU459" s="42">
        <f t="shared" si="1104"/>
        <v>0</v>
      </c>
      <c r="AV459" s="42">
        <f>IF(M459="ПП",РПП*AA459*(U459/1.5),IF(M459="ВП",ВПр*AA459*(U459/1.5),IF(M459="РПА",РПА*AA459*(U459/1.5),IF(M459="КПА",КПА*AA459*(U459/1.5),0))))</f>
        <v>0</v>
      </c>
      <c r="AW459" s="42">
        <f t="shared" si="1105"/>
        <v>0</v>
      </c>
      <c r="AX459" s="42">
        <f t="shared" si="1163"/>
        <v>0</v>
      </c>
      <c r="AY459" s="42">
        <f t="shared" si="1164"/>
        <v>0</v>
      </c>
      <c r="AZ459" s="42">
        <f t="shared" si="1106"/>
        <v>0</v>
      </c>
      <c r="BA459" s="42">
        <f t="shared" si="1165"/>
        <v>0</v>
      </c>
      <c r="BB459" s="42">
        <f t="shared" si="1166"/>
        <v>0</v>
      </c>
      <c r="BC459" s="42">
        <f t="shared" si="1167"/>
        <v>0</v>
      </c>
      <c r="BD459" s="42">
        <f t="shared" si="1107"/>
        <v>0</v>
      </c>
      <c r="BE459" s="43">
        <f t="shared" si="1108"/>
        <v>37.260000000000005</v>
      </c>
      <c r="BF459" s="44"/>
      <c r="BG459" s="45">
        <f t="shared" si="1109"/>
        <v>0</v>
      </c>
      <c r="BH459" s="45">
        <f t="shared" si="1110"/>
        <v>0</v>
      </c>
      <c r="BI459" s="45">
        <f t="shared" si="1111"/>
        <v>0</v>
      </c>
      <c r="BJ459" s="46">
        <f t="shared" si="1113"/>
        <v>18</v>
      </c>
      <c r="BK459" s="46">
        <f t="shared" si="1114"/>
        <v>0.5</v>
      </c>
      <c r="BL459" s="46">
        <f t="shared" si="1115"/>
        <v>19.260000000000002</v>
      </c>
    </row>
    <row r="460" spans="1:64" ht="30" customHeight="1" x14ac:dyDescent="0.25">
      <c r="A460" s="84" t="str">
        <f t="shared" si="1158"/>
        <v>Д</v>
      </c>
      <c r="B460" s="84" t="str">
        <f t="shared" si="1168"/>
        <v>М</v>
      </c>
      <c r="C460" s="101" t="s">
        <v>1492</v>
      </c>
      <c r="D460" s="16" t="str">
        <f t="shared" si="1169"/>
        <v>'09.04.03</v>
      </c>
      <c r="E460" s="17" t="str">
        <f t="shared" si="1170"/>
        <v>Искусственный интеллект и анализ данных</v>
      </c>
      <c r="F460" s="9" t="s">
        <v>413</v>
      </c>
      <c r="G460" s="9" t="s">
        <v>22</v>
      </c>
      <c r="H460" s="10" t="s">
        <v>3233</v>
      </c>
      <c r="I460" s="10"/>
      <c r="J460" s="24" t="s">
        <v>3219</v>
      </c>
      <c r="K460" s="13">
        <v>1</v>
      </c>
      <c r="L460" s="11">
        <v>18</v>
      </c>
      <c r="M460" s="8" t="s">
        <v>23</v>
      </c>
      <c r="N460" s="13">
        <v>1</v>
      </c>
      <c r="O460" s="13"/>
      <c r="P460" s="13"/>
      <c r="Q460" s="8" t="s">
        <v>103</v>
      </c>
      <c r="R460" s="11"/>
      <c r="S460" s="11"/>
      <c r="T460" s="23"/>
      <c r="U460" s="11"/>
      <c r="V460" s="11"/>
      <c r="W460" s="83" t="str">
        <f t="shared" si="1159"/>
        <v>НПИмд</v>
      </c>
      <c r="X460" s="110" t="s">
        <v>3246</v>
      </c>
      <c r="Y460" s="11">
        <v>2</v>
      </c>
      <c r="Z460" s="11">
        <v>1</v>
      </c>
      <c r="AA460" s="83">
        <f t="shared" si="1171"/>
        <v>22</v>
      </c>
      <c r="AB460" s="11">
        <v>11</v>
      </c>
      <c r="AC460" s="12">
        <v>11</v>
      </c>
      <c r="AD460" s="81">
        <f t="shared" si="1160"/>
        <v>22</v>
      </c>
      <c r="AE460" s="82">
        <f t="shared" si="1172"/>
        <v>1</v>
      </c>
      <c r="AF460" s="82">
        <f t="shared" si="1173"/>
        <v>1</v>
      </c>
      <c r="AG460" s="102" t="s">
        <v>3250</v>
      </c>
      <c r="AH460" s="113" t="s">
        <v>204</v>
      </c>
      <c r="AI460" s="113" t="s">
        <v>213</v>
      </c>
      <c r="AJ460" s="121" t="s">
        <v>3259</v>
      </c>
      <c r="AK460" s="8"/>
      <c r="AL460" s="42">
        <f t="shared" si="1161"/>
        <v>18</v>
      </c>
      <c r="AM460" s="42">
        <f t="shared" ref="AM460:AM516" si="1174">IF(OR(M460="пр",M460="ия",M460="сп"),P460*AE460*L460,0)</f>
        <v>0</v>
      </c>
      <c r="AN460" s="42">
        <f t="shared" ref="AN460:AN516" si="1175">IF(OR(M460="лаб",M460="клн"),O460*AE460*L460,0)</f>
        <v>0</v>
      </c>
      <c r="AO460" s="42">
        <f t="shared" si="1112"/>
        <v>7.2600000000000007</v>
      </c>
      <c r="AP460" s="42">
        <f t="shared" ref="AP460:AP516" si="1176">IF(SUM(O460:P460)&lt;&gt;0,IF(Q460="Зач",ПАБРС*AA460,0),0)+IF(N460&lt;&gt;0,IF(Q460="Экз",ПАБРС*AA460,0),0)</f>
        <v>11</v>
      </c>
      <c r="AQ460" s="42">
        <f t="shared" ref="AQ460:AQ516" si="1177">(IF(AP460&lt;&gt;0,ОфВед*(IF(OR(M460="лек",M460="лаб"),Z460,AE460)),0))*(IF(F460="ФТД",0,1))</f>
        <v>1</v>
      </c>
      <c r="AR460" s="42">
        <f t="shared" si="1162"/>
        <v>0.9</v>
      </c>
      <c r="AS460" s="42">
        <f t="shared" ref="AS460:AS516" si="1178">IF(OR(M460="лаб",M460="пр"),IF(R460="К",AA460*ВПКР,IF(R460="М",AA460*ВПИБ,0)),0)</f>
        <v>0</v>
      </c>
      <c r="AT460" s="42">
        <f t="shared" ref="AT460:AT516" si="1179">IF(OR(M460="лаб",M460="пр"),IF(S460="К",AA460*ВПКП,0),0)</f>
        <v>0</v>
      </c>
      <c r="AU460" s="42">
        <f t="shared" ref="AU460:AU516" si="1180">IF(M460="УП",T460/1.5*AA460*РУП,IF(M460="УПМ",T460/1.5*AA460*РУПЛеч,0))</f>
        <v>0</v>
      </c>
      <c r="AV460" s="42">
        <f>IF(M460="ПП",РПП*AA460*(U460/1.5),IF(M460="ВП",ВПр*AA460*(U460/1.5),IF(M460="РПА",РПА*AA460*(U460/1.5),IF(M460="КПА",КПА*AA460*(U460/1.5),0))))</f>
        <v>0</v>
      </c>
      <c r="AW460" s="42">
        <f t="shared" ref="AW460:AW516" si="1181">IF(M460="НР",(AB460*НИРМ+AC460*НИРМИн)*(V460/1.5),IF(M460="НИ",(AB460*НИРА+AC460*НИРАИ)*(V460/1.5),0))</f>
        <v>0</v>
      </c>
      <c r="AX460" s="42">
        <f t="shared" si="1163"/>
        <v>0</v>
      </c>
      <c r="AY460" s="42">
        <f t="shared" si="1164"/>
        <v>0</v>
      </c>
      <c r="AZ460" s="42">
        <f t="shared" ref="AZ460:AZ516" si="1182">IF(AND(Q460="КЭ",M460="ЧК"),AA460*КдЭк,0)</f>
        <v>0</v>
      </c>
      <c r="BA460" s="42">
        <f t="shared" si="1165"/>
        <v>0</v>
      </c>
      <c r="BB460" s="42">
        <f t="shared" si="1166"/>
        <v>0</v>
      </c>
      <c r="BC460" s="42">
        <f t="shared" si="1167"/>
        <v>0</v>
      </c>
      <c r="BD460" s="42">
        <f t="shared" ref="BD460:BD516" si="1183">IF(M460="ЧГ",AA460*ЧГ,IF(M460="ПГ",AA460*ПГ,IF(M460="ТЕСТ",ТГИЭ*AE460,IF(M460="СГ",AA460*СГ,0))))</f>
        <v>0</v>
      </c>
      <c r="BE460" s="43">
        <f t="shared" ref="BE460:BE516" si="1184">SUM(AL460:BD460)</f>
        <v>38.160000000000004</v>
      </c>
      <c r="BF460" s="44"/>
      <c r="BG460" s="45">
        <f t="shared" ref="BG460:BG516" si="1185">IF(OR(K460="1;1",K460="1;2",K460=1,K460="3;1",K460="3;2",K460=3,K460="5;1",K460="5;2",K460=5,K460="7;1",K460="7;2",K460=7,K460="9;1",K460="9;2",K460=9,K460=11),SUM(AL460:AN460),0)</f>
        <v>18</v>
      </c>
      <c r="BH460" s="45">
        <f t="shared" ref="BH460:BH516" si="1186">IF(BG460&lt;&gt;0,SUM(N460:P460)/2,0)</f>
        <v>0.5</v>
      </c>
      <c r="BI460" s="45">
        <f t="shared" ref="BI460:BI516" si="1187">IF(OR(K460="1;1",K460="1;2",K460=1,K460="3;1",K460="3;2",K460=3,K460="5;1",K460="5;2",K460=5,K460="7;1",K460="7;2",K460=7,K460="9;1",K460="9;2",K460=9,K460=11),SUM(AO460:BD460),0)</f>
        <v>20.16</v>
      </c>
      <c r="BJ460" s="46">
        <f t="shared" si="1113"/>
        <v>0</v>
      </c>
      <c r="BK460" s="46">
        <f t="shared" si="1114"/>
        <v>0</v>
      </c>
      <c r="BL460" s="46">
        <f t="shared" si="1115"/>
        <v>0</v>
      </c>
    </row>
    <row r="461" spans="1:64" ht="30" customHeight="1" x14ac:dyDescent="0.25">
      <c r="A461" s="84" t="str">
        <f t="shared" si="1158"/>
        <v>Д</v>
      </c>
      <c r="B461" s="84" t="str">
        <f t="shared" si="1168"/>
        <v>М</v>
      </c>
      <c r="C461" s="101" t="s">
        <v>1492</v>
      </c>
      <c r="D461" s="16" t="str">
        <f t="shared" si="1169"/>
        <v>'09.04.03</v>
      </c>
      <c r="E461" s="17" t="str">
        <f t="shared" si="1170"/>
        <v>Искусственный интеллект и анализ данных</v>
      </c>
      <c r="F461" s="9" t="s">
        <v>413</v>
      </c>
      <c r="G461" s="9" t="s">
        <v>22</v>
      </c>
      <c r="H461" s="10" t="s">
        <v>3233</v>
      </c>
      <c r="I461" s="10"/>
      <c r="J461" s="24" t="s">
        <v>3219</v>
      </c>
      <c r="K461" s="11">
        <v>1</v>
      </c>
      <c r="L461" s="11">
        <v>18</v>
      </c>
      <c r="M461" s="8" t="s">
        <v>24</v>
      </c>
      <c r="N461" s="11"/>
      <c r="O461" s="11"/>
      <c r="P461" s="11">
        <v>2</v>
      </c>
      <c r="Q461" s="8"/>
      <c r="R461" s="11"/>
      <c r="S461" s="11"/>
      <c r="T461" s="23"/>
      <c r="U461" s="11"/>
      <c r="V461" s="11"/>
      <c r="W461" s="83" t="str">
        <f t="shared" si="1159"/>
        <v>НПИмд</v>
      </c>
      <c r="X461" s="110" t="s">
        <v>3246</v>
      </c>
      <c r="Y461" s="11">
        <v>2</v>
      </c>
      <c r="Z461" s="11">
        <v>1</v>
      </c>
      <c r="AA461" s="83">
        <f t="shared" si="1171"/>
        <v>22</v>
      </c>
      <c r="AB461" s="11">
        <v>11</v>
      </c>
      <c r="AC461" s="12">
        <v>11</v>
      </c>
      <c r="AD461" s="81">
        <f t="shared" si="1160"/>
        <v>12</v>
      </c>
      <c r="AE461" s="82">
        <f t="shared" si="1172"/>
        <v>1</v>
      </c>
      <c r="AF461" s="82">
        <f t="shared" si="1173"/>
        <v>1.8333333333333333</v>
      </c>
      <c r="AG461" s="102" t="s">
        <v>3250</v>
      </c>
      <c r="AH461" s="113" t="s">
        <v>204</v>
      </c>
      <c r="AI461" s="113" t="s">
        <v>213</v>
      </c>
      <c r="AJ461" s="126" t="s">
        <v>3259</v>
      </c>
      <c r="AK461" s="8"/>
      <c r="AL461" s="42">
        <f t="shared" si="1161"/>
        <v>0</v>
      </c>
      <c r="AM461" s="42">
        <f t="shared" si="1174"/>
        <v>36</v>
      </c>
      <c r="AN461" s="42">
        <f t="shared" si="1175"/>
        <v>0</v>
      </c>
      <c r="AO461" s="42">
        <f t="shared" si="1112"/>
        <v>0</v>
      </c>
      <c r="AP461" s="42">
        <f t="shared" si="1176"/>
        <v>0</v>
      </c>
      <c r="AQ461" s="42">
        <f t="shared" si="1177"/>
        <v>0</v>
      </c>
      <c r="AR461" s="42">
        <f t="shared" si="1162"/>
        <v>0</v>
      </c>
      <c r="AS461" s="42">
        <f t="shared" si="1178"/>
        <v>0</v>
      </c>
      <c r="AT461" s="42">
        <f t="shared" si="1179"/>
        <v>0</v>
      </c>
      <c r="AU461" s="42">
        <f t="shared" si="1180"/>
        <v>0</v>
      </c>
      <c r="AV461" s="42">
        <f>IF(M461="ПП",РПП*AA461*(U461/1.5),IF(M461="ВП",ВПр*AA461*(U461/1.5),IF(M461="РПА",РПА*AA461*(U461/1.5),IF(M461="КПА",КПА*AA461*(U461/1.5),0))))</f>
        <v>0</v>
      </c>
      <c r="AW461" s="42">
        <f t="shared" si="1181"/>
        <v>0</v>
      </c>
      <c r="AX461" s="42">
        <f t="shared" si="1163"/>
        <v>0</v>
      </c>
      <c r="AY461" s="42">
        <f t="shared" si="1164"/>
        <v>0</v>
      </c>
      <c r="AZ461" s="42">
        <f t="shared" si="1182"/>
        <v>0</v>
      </c>
      <c r="BA461" s="42">
        <f t="shared" si="1165"/>
        <v>0</v>
      </c>
      <c r="BB461" s="42">
        <f t="shared" si="1166"/>
        <v>0</v>
      </c>
      <c r="BC461" s="42">
        <f t="shared" si="1167"/>
        <v>0</v>
      </c>
      <c r="BD461" s="42">
        <f t="shared" si="1183"/>
        <v>0</v>
      </c>
      <c r="BE461" s="43">
        <f t="shared" si="1184"/>
        <v>36</v>
      </c>
      <c r="BF461" s="44"/>
      <c r="BG461" s="45">
        <f t="shared" si="1185"/>
        <v>36</v>
      </c>
      <c r="BH461" s="45">
        <f t="shared" si="1186"/>
        <v>1</v>
      </c>
      <c r="BI461" s="45">
        <f t="shared" si="1187"/>
        <v>0</v>
      </c>
      <c r="BJ461" s="46">
        <f t="shared" si="1113"/>
        <v>0</v>
      </c>
      <c r="BK461" s="46">
        <f t="shared" si="1114"/>
        <v>0</v>
      </c>
      <c r="BL461" s="46">
        <f t="shared" si="1115"/>
        <v>0</v>
      </c>
    </row>
    <row r="462" spans="1:64" ht="30" customHeight="1" x14ac:dyDescent="0.25">
      <c r="A462" s="84" t="str">
        <f t="shared" si="1158"/>
        <v>Д</v>
      </c>
      <c r="B462" s="84" t="str">
        <f t="shared" si="1168"/>
        <v>М</v>
      </c>
      <c r="C462" s="101" t="s">
        <v>1492</v>
      </c>
      <c r="D462" s="16" t="str">
        <f t="shared" si="1169"/>
        <v>'09.04.03</v>
      </c>
      <c r="E462" s="17" t="str">
        <f t="shared" si="1170"/>
        <v>Искусственный интеллект и анализ данных</v>
      </c>
      <c r="F462" s="9" t="s">
        <v>413</v>
      </c>
      <c r="G462" s="9" t="s">
        <v>22</v>
      </c>
      <c r="H462" s="10" t="s">
        <v>3233</v>
      </c>
      <c r="I462" s="10"/>
      <c r="J462" s="24" t="s">
        <v>3314</v>
      </c>
      <c r="K462" s="11">
        <v>1</v>
      </c>
      <c r="L462" s="11">
        <v>18</v>
      </c>
      <c r="M462" s="8" t="s">
        <v>23</v>
      </c>
      <c r="N462" s="11">
        <v>1</v>
      </c>
      <c r="O462" s="11"/>
      <c r="P462" s="11"/>
      <c r="Q462" s="8" t="s">
        <v>103</v>
      </c>
      <c r="R462" s="11"/>
      <c r="S462" s="11"/>
      <c r="T462" s="23"/>
      <c r="U462" s="11"/>
      <c r="V462" s="11"/>
      <c r="W462" s="83" t="str">
        <f t="shared" si="1159"/>
        <v>НПИмд</v>
      </c>
      <c r="X462" s="110" t="s">
        <v>3246</v>
      </c>
      <c r="Y462" s="11">
        <v>2</v>
      </c>
      <c r="Z462" s="11">
        <v>1</v>
      </c>
      <c r="AA462" s="83">
        <f t="shared" si="1171"/>
        <v>22</v>
      </c>
      <c r="AB462" s="11">
        <v>11</v>
      </c>
      <c r="AC462" s="12">
        <v>11</v>
      </c>
      <c r="AD462" s="81">
        <f t="shared" si="1160"/>
        <v>22</v>
      </c>
      <c r="AE462" s="82">
        <f t="shared" si="1172"/>
        <v>1</v>
      </c>
      <c r="AF462" s="82">
        <f t="shared" si="1173"/>
        <v>1</v>
      </c>
      <c r="AG462" s="102" t="s">
        <v>3250</v>
      </c>
      <c r="AH462" s="113" t="s">
        <v>201</v>
      </c>
      <c r="AI462" s="113" t="s">
        <v>212</v>
      </c>
      <c r="AJ462" s="121" t="s">
        <v>3349</v>
      </c>
      <c r="AK462" s="8"/>
      <c r="AL462" s="42">
        <f t="shared" si="1161"/>
        <v>18</v>
      </c>
      <c r="AM462" s="42">
        <f t="shared" si="1174"/>
        <v>0</v>
      </c>
      <c r="AN462" s="42">
        <f t="shared" si="1175"/>
        <v>0</v>
      </c>
      <c r="AO462" s="42">
        <f t="shared" si="1112"/>
        <v>7.2600000000000007</v>
      </c>
      <c r="AP462" s="42">
        <f t="shared" si="1176"/>
        <v>11</v>
      </c>
      <c r="AQ462" s="42">
        <f t="shared" si="1177"/>
        <v>1</v>
      </c>
      <c r="AR462" s="42">
        <f t="shared" si="1162"/>
        <v>0.9</v>
      </c>
      <c r="AS462" s="42">
        <f t="shared" si="1178"/>
        <v>0</v>
      </c>
      <c r="AT462" s="42">
        <f t="shared" si="1179"/>
        <v>0</v>
      </c>
      <c r="AU462" s="42">
        <f t="shared" si="1180"/>
        <v>0</v>
      </c>
      <c r="AV462" s="42">
        <f>IF(M462="ПП",РПП*AA462*(U462/1.5),IF(M462="ВП",ВПр*AA462*(U462/1.5),IF(M462="РПА",РПА*AA462*(U462/1.5),IF(M462="КПА",КПА*AA462*(U462/1.5),0))))</f>
        <v>0</v>
      </c>
      <c r="AW462" s="42">
        <f t="shared" si="1181"/>
        <v>0</v>
      </c>
      <c r="AX462" s="42">
        <f t="shared" si="1163"/>
        <v>0</v>
      </c>
      <c r="AY462" s="42">
        <f t="shared" si="1164"/>
        <v>0</v>
      </c>
      <c r="AZ462" s="42">
        <f t="shared" si="1182"/>
        <v>0</v>
      </c>
      <c r="BA462" s="42">
        <f t="shared" si="1165"/>
        <v>0</v>
      </c>
      <c r="BB462" s="42">
        <f t="shared" si="1166"/>
        <v>0</v>
      </c>
      <c r="BC462" s="42">
        <f t="shared" si="1167"/>
        <v>0</v>
      </c>
      <c r="BD462" s="42">
        <f t="shared" si="1183"/>
        <v>0</v>
      </c>
      <c r="BE462" s="43">
        <f t="shared" si="1184"/>
        <v>38.160000000000004</v>
      </c>
      <c r="BF462" s="44"/>
      <c r="BG462" s="45">
        <f t="shared" si="1185"/>
        <v>18</v>
      </c>
      <c r="BH462" s="45">
        <f t="shared" si="1186"/>
        <v>0.5</v>
      </c>
      <c r="BI462" s="45">
        <f t="shared" si="1187"/>
        <v>20.16</v>
      </c>
      <c r="BJ462" s="46">
        <f t="shared" si="1113"/>
        <v>0</v>
      </c>
      <c r="BK462" s="46">
        <f t="shared" si="1114"/>
        <v>0</v>
      </c>
      <c r="BL462" s="46">
        <f t="shared" si="1115"/>
        <v>0</v>
      </c>
    </row>
    <row r="463" spans="1:64" ht="30" customHeight="1" x14ac:dyDescent="0.25">
      <c r="A463" s="84" t="str">
        <f t="shared" si="1158"/>
        <v>Д</v>
      </c>
      <c r="B463" s="84" t="str">
        <f t="shared" si="1168"/>
        <v>М</v>
      </c>
      <c r="C463" s="101" t="s">
        <v>1492</v>
      </c>
      <c r="D463" s="16" t="str">
        <f t="shared" si="1169"/>
        <v>'09.04.03</v>
      </c>
      <c r="E463" s="17" t="str">
        <f t="shared" si="1170"/>
        <v>Искусственный интеллект и анализ данных</v>
      </c>
      <c r="F463" s="9" t="s">
        <v>413</v>
      </c>
      <c r="G463" s="9" t="s">
        <v>22</v>
      </c>
      <c r="H463" s="10" t="s">
        <v>3233</v>
      </c>
      <c r="I463" s="10"/>
      <c r="J463" s="24" t="s">
        <v>3314</v>
      </c>
      <c r="K463" s="11">
        <v>1</v>
      </c>
      <c r="L463" s="11">
        <v>18</v>
      </c>
      <c r="M463" s="8" t="s">
        <v>24</v>
      </c>
      <c r="N463" s="11"/>
      <c r="O463" s="11"/>
      <c r="P463" s="11">
        <v>1</v>
      </c>
      <c r="Q463" s="8"/>
      <c r="R463" s="11"/>
      <c r="S463" s="11"/>
      <c r="T463" s="23"/>
      <c r="U463" s="11"/>
      <c r="V463" s="11"/>
      <c r="W463" s="83" t="str">
        <f t="shared" si="1159"/>
        <v>НПИмд</v>
      </c>
      <c r="X463" s="110" t="s">
        <v>3246</v>
      </c>
      <c r="Y463" s="11">
        <v>2</v>
      </c>
      <c r="Z463" s="11">
        <v>1</v>
      </c>
      <c r="AA463" s="83">
        <f t="shared" si="1171"/>
        <v>22</v>
      </c>
      <c r="AB463" s="11">
        <v>11</v>
      </c>
      <c r="AC463" s="12">
        <v>11</v>
      </c>
      <c r="AD463" s="81">
        <f t="shared" si="1160"/>
        <v>12</v>
      </c>
      <c r="AE463" s="82">
        <f t="shared" si="1172"/>
        <v>1</v>
      </c>
      <c r="AF463" s="82">
        <f t="shared" si="1173"/>
        <v>1.8333333333333333</v>
      </c>
      <c r="AG463" s="102" t="s">
        <v>3250</v>
      </c>
      <c r="AH463" s="113" t="s">
        <v>201</v>
      </c>
      <c r="AI463" s="113" t="s">
        <v>212</v>
      </c>
      <c r="AJ463" s="121" t="s">
        <v>3349</v>
      </c>
      <c r="AK463" s="8"/>
      <c r="AL463" s="42">
        <f t="shared" si="1161"/>
        <v>0</v>
      </c>
      <c r="AM463" s="42">
        <f t="shared" si="1174"/>
        <v>18</v>
      </c>
      <c r="AN463" s="42">
        <f t="shared" si="1175"/>
        <v>0</v>
      </c>
      <c r="AO463" s="42">
        <f t="shared" si="1112"/>
        <v>0</v>
      </c>
      <c r="AP463" s="42">
        <f t="shared" si="1176"/>
        <v>0</v>
      </c>
      <c r="AQ463" s="42">
        <f t="shared" si="1177"/>
        <v>0</v>
      </c>
      <c r="AR463" s="42">
        <f t="shared" si="1162"/>
        <v>0</v>
      </c>
      <c r="AS463" s="42">
        <f t="shared" si="1178"/>
        <v>0</v>
      </c>
      <c r="AT463" s="42">
        <f t="shared" si="1179"/>
        <v>0</v>
      </c>
      <c r="AU463" s="42">
        <f t="shared" si="1180"/>
        <v>0</v>
      </c>
      <c r="AV463" s="42">
        <f>IF(M463="ПП",РПП*AA463*(U463/1.5),IF(M463="ВП",ВПр*AA463*(U463/1.5),IF(M463="РПА",РПА*AA463*(U463/1.5),IF(M463="КПА",КПА*AA463*(U463/1.5),0))))</f>
        <v>0</v>
      </c>
      <c r="AW463" s="42">
        <f t="shared" si="1181"/>
        <v>0</v>
      </c>
      <c r="AX463" s="42">
        <f t="shared" si="1163"/>
        <v>0</v>
      </c>
      <c r="AY463" s="42">
        <f t="shared" si="1164"/>
        <v>0</v>
      </c>
      <c r="AZ463" s="42">
        <f t="shared" si="1182"/>
        <v>0</v>
      </c>
      <c r="BA463" s="42">
        <f t="shared" si="1165"/>
        <v>0</v>
      </c>
      <c r="BB463" s="42">
        <f t="shared" si="1166"/>
        <v>0</v>
      </c>
      <c r="BC463" s="42">
        <f t="shared" si="1167"/>
        <v>0</v>
      </c>
      <c r="BD463" s="42">
        <f t="shared" si="1183"/>
        <v>0</v>
      </c>
      <c r="BE463" s="43">
        <f t="shared" si="1184"/>
        <v>18</v>
      </c>
      <c r="BF463" s="44"/>
      <c r="BG463" s="45">
        <f t="shared" si="1185"/>
        <v>18</v>
      </c>
      <c r="BH463" s="45">
        <f t="shared" si="1186"/>
        <v>0.5</v>
      </c>
      <c r="BI463" s="45">
        <f t="shared" si="1187"/>
        <v>0</v>
      </c>
      <c r="BJ463" s="46">
        <f t="shared" si="1113"/>
        <v>0</v>
      </c>
      <c r="BK463" s="46">
        <f t="shared" si="1114"/>
        <v>0</v>
      </c>
      <c r="BL463" s="46">
        <f t="shared" si="1115"/>
        <v>0</v>
      </c>
    </row>
    <row r="464" spans="1:64" ht="30" customHeight="1" x14ac:dyDescent="0.25">
      <c r="A464" s="84" t="str">
        <f t="shared" si="1158"/>
        <v>Д</v>
      </c>
      <c r="B464" s="84" t="str">
        <f t="shared" si="1168"/>
        <v>М</v>
      </c>
      <c r="C464" s="101" t="s">
        <v>1492</v>
      </c>
      <c r="D464" s="16" t="str">
        <f t="shared" si="1169"/>
        <v>'09.04.03</v>
      </c>
      <c r="E464" s="17" t="str">
        <f t="shared" si="1170"/>
        <v>Искусственный интеллект и анализ данных</v>
      </c>
      <c r="F464" s="9" t="s">
        <v>413</v>
      </c>
      <c r="G464" s="9" t="s">
        <v>22</v>
      </c>
      <c r="H464" s="10" t="s">
        <v>3233</v>
      </c>
      <c r="I464" s="10"/>
      <c r="J464" s="24" t="s">
        <v>3315</v>
      </c>
      <c r="K464" s="11">
        <v>2</v>
      </c>
      <c r="L464" s="11">
        <v>18</v>
      </c>
      <c r="M464" s="8" t="s">
        <v>23</v>
      </c>
      <c r="N464" s="11">
        <v>1</v>
      </c>
      <c r="O464" s="11"/>
      <c r="P464" s="11"/>
      <c r="Q464" s="8" t="s">
        <v>103</v>
      </c>
      <c r="R464" s="11"/>
      <c r="S464" s="11"/>
      <c r="T464" s="23"/>
      <c r="U464" s="11"/>
      <c r="V464" s="11"/>
      <c r="W464" s="83" t="str">
        <f t="shared" si="1159"/>
        <v>НПИмд</v>
      </c>
      <c r="X464" s="110" t="s">
        <v>3246</v>
      </c>
      <c r="Y464" s="11">
        <v>2</v>
      </c>
      <c r="Z464" s="11">
        <v>1</v>
      </c>
      <c r="AA464" s="83">
        <f t="shared" si="1171"/>
        <v>22</v>
      </c>
      <c r="AB464" s="11">
        <v>11</v>
      </c>
      <c r="AC464" s="12">
        <v>11</v>
      </c>
      <c r="AD464" s="81">
        <f t="shared" si="1160"/>
        <v>22</v>
      </c>
      <c r="AE464" s="82">
        <f t="shared" si="1172"/>
        <v>1</v>
      </c>
      <c r="AF464" s="82">
        <f t="shared" si="1173"/>
        <v>1</v>
      </c>
      <c r="AG464" s="102" t="s">
        <v>3250</v>
      </c>
      <c r="AH464" s="113" t="s">
        <v>204</v>
      </c>
      <c r="AI464" s="113" t="s">
        <v>213</v>
      </c>
      <c r="AJ464" s="121" t="s">
        <v>3263</v>
      </c>
      <c r="AK464" s="8"/>
      <c r="AL464" s="42">
        <f t="shared" si="1161"/>
        <v>18</v>
      </c>
      <c r="AM464" s="42">
        <f t="shared" si="1174"/>
        <v>0</v>
      </c>
      <c r="AN464" s="42">
        <f t="shared" si="1175"/>
        <v>0</v>
      </c>
      <c r="AO464" s="42">
        <f t="shared" si="1112"/>
        <v>7.2600000000000007</v>
      </c>
      <c r="AP464" s="42">
        <f t="shared" si="1176"/>
        <v>11</v>
      </c>
      <c r="AQ464" s="42">
        <f t="shared" si="1177"/>
        <v>1</v>
      </c>
      <c r="AR464" s="42">
        <f t="shared" si="1162"/>
        <v>0.9</v>
      </c>
      <c r="AS464" s="42">
        <f t="shared" si="1178"/>
        <v>0</v>
      </c>
      <c r="AT464" s="42">
        <f t="shared" si="1179"/>
        <v>0</v>
      </c>
      <c r="AU464" s="42">
        <f t="shared" si="1180"/>
        <v>0</v>
      </c>
      <c r="AV464" s="42">
        <f>IF(M464="ПП",РПП*AA464*(U464/1.5),IF(M464="ВП",ВПр*AA464*(U464/1.5),IF(M464="РПА",РПА*AA464*(U464/1.5),IF(M464="КПА",КПА*AA464*(U464/1.5),0))))</f>
        <v>0</v>
      </c>
      <c r="AW464" s="42">
        <f t="shared" si="1181"/>
        <v>0</v>
      </c>
      <c r="AX464" s="42">
        <f t="shared" si="1163"/>
        <v>0</v>
      </c>
      <c r="AY464" s="42">
        <f t="shared" si="1164"/>
        <v>0</v>
      </c>
      <c r="AZ464" s="42">
        <f t="shared" si="1182"/>
        <v>0</v>
      </c>
      <c r="BA464" s="42">
        <f t="shared" si="1165"/>
        <v>0</v>
      </c>
      <c r="BB464" s="42">
        <f t="shared" si="1166"/>
        <v>0</v>
      </c>
      <c r="BC464" s="42">
        <f t="shared" si="1167"/>
        <v>0</v>
      </c>
      <c r="BD464" s="42">
        <f t="shared" si="1183"/>
        <v>0</v>
      </c>
      <c r="BE464" s="43">
        <f t="shared" si="1184"/>
        <v>38.160000000000004</v>
      </c>
      <c r="BF464" s="44"/>
      <c r="BG464" s="45">
        <f t="shared" si="1185"/>
        <v>0</v>
      </c>
      <c r="BH464" s="45">
        <f t="shared" si="1186"/>
        <v>0</v>
      </c>
      <c r="BI464" s="45">
        <f t="shared" si="1187"/>
        <v>0</v>
      </c>
      <c r="BJ464" s="46">
        <f t="shared" si="1113"/>
        <v>18</v>
      </c>
      <c r="BK464" s="46">
        <f t="shared" si="1114"/>
        <v>0.5</v>
      </c>
      <c r="BL464" s="46">
        <f t="shared" si="1115"/>
        <v>20.16</v>
      </c>
    </row>
    <row r="465" spans="1:64" ht="30" customHeight="1" x14ac:dyDescent="0.25">
      <c r="A465" s="84" t="str">
        <f t="shared" si="1158"/>
        <v>Д</v>
      </c>
      <c r="B465" s="84" t="str">
        <f t="shared" si="1168"/>
        <v>М</v>
      </c>
      <c r="C465" s="101" t="s">
        <v>1492</v>
      </c>
      <c r="D465" s="16" t="str">
        <f t="shared" si="1169"/>
        <v>'09.04.03</v>
      </c>
      <c r="E465" s="17" t="str">
        <f t="shared" si="1170"/>
        <v>Искусственный интеллект и анализ данных</v>
      </c>
      <c r="F465" s="9" t="s">
        <v>413</v>
      </c>
      <c r="G465" s="9" t="s">
        <v>22</v>
      </c>
      <c r="H465" s="10" t="s">
        <v>3233</v>
      </c>
      <c r="I465" s="10"/>
      <c r="J465" s="24" t="s">
        <v>3315</v>
      </c>
      <c r="K465" s="11">
        <v>2</v>
      </c>
      <c r="L465" s="11">
        <v>18</v>
      </c>
      <c r="M465" s="8" t="s">
        <v>24</v>
      </c>
      <c r="N465" s="11"/>
      <c r="O465" s="11"/>
      <c r="P465" s="11">
        <v>2</v>
      </c>
      <c r="Q465" s="8"/>
      <c r="R465" s="11"/>
      <c r="S465" s="11"/>
      <c r="T465" s="23"/>
      <c r="U465" s="11"/>
      <c r="V465" s="11"/>
      <c r="W465" s="83" t="str">
        <f t="shared" si="1159"/>
        <v>НПИмд</v>
      </c>
      <c r="X465" s="110" t="s">
        <v>3246</v>
      </c>
      <c r="Y465" s="11">
        <v>2</v>
      </c>
      <c r="Z465" s="11">
        <v>1</v>
      </c>
      <c r="AA465" s="83">
        <f t="shared" si="1171"/>
        <v>22</v>
      </c>
      <c r="AB465" s="11">
        <v>11</v>
      </c>
      <c r="AC465" s="12">
        <v>11</v>
      </c>
      <c r="AD465" s="81">
        <f t="shared" si="1160"/>
        <v>12</v>
      </c>
      <c r="AE465" s="82">
        <f t="shared" si="1172"/>
        <v>1</v>
      </c>
      <c r="AF465" s="82">
        <f t="shared" si="1173"/>
        <v>1.8333333333333333</v>
      </c>
      <c r="AG465" s="102" t="s">
        <v>3250</v>
      </c>
      <c r="AH465" s="113" t="s">
        <v>204</v>
      </c>
      <c r="AI465" s="113" t="s">
        <v>213</v>
      </c>
      <c r="AJ465" s="121" t="s">
        <v>3263</v>
      </c>
      <c r="AK465" s="8"/>
      <c r="AL465" s="42">
        <f t="shared" si="1161"/>
        <v>0</v>
      </c>
      <c r="AM465" s="42">
        <f t="shared" si="1174"/>
        <v>36</v>
      </c>
      <c r="AN465" s="42">
        <f t="shared" si="1175"/>
        <v>0</v>
      </c>
      <c r="AO465" s="42">
        <f t="shared" si="1112"/>
        <v>0</v>
      </c>
      <c r="AP465" s="42">
        <f t="shared" si="1176"/>
        <v>0</v>
      </c>
      <c r="AQ465" s="42">
        <f t="shared" si="1177"/>
        <v>0</v>
      </c>
      <c r="AR465" s="42">
        <f t="shared" si="1162"/>
        <v>0</v>
      </c>
      <c r="AS465" s="42">
        <f t="shared" si="1178"/>
        <v>0</v>
      </c>
      <c r="AT465" s="42">
        <f t="shared" si="1179"/>
        <v>0</v>
      </c>
      <c r="AU465" s="42">
        <f t="shared" si="1180"/>
        <v>0</v>
      </c>
      <c r="AV465" s="42">
        <f>IF(M465="ПП",РПП*AA465*(U465/1.5),IF(M465="ВП",ВПр*AA465*(U465/1.5),IF(M465="РПА",РПА*AA465*(U465/1.5),IF(M465="КПА",КПА*AA465*(U465/1.5),0))))</f>
        <v>0</v>
      </c>
      <c r="AW465" s="42">
        <f t="shared" si="1181"/>
        <v>0</v>
      </c>
      <c r="AX465" s="42">
        <f t="shared" si="1163"/>
        <v>0</v>
      </c>
      <c r="AY465" s="42">
        <f t="shared" si="1164"/>
        <v>0</v>
      </c>
      <c r="AZ465" s="42">
        <f t="shared" si="1182"/>
        <v>0</v>
      </c>
      <c r="BA465" s="42">
        <f t="shared" si="1165"/>
        <v>0</v>
      </c>
      <c r="BB465" s="42">
        <f t="shared" si="1166"/>
        <v>0</v>
      </c>
      <c r="BC465" s="42">
        <f t="shared" si="1167"/>
        <v>0</v>
      </c>
      <c r="BD465" s="42">
        <f t="shared" si="1183"/>
        <v>0</v>
      </c>
      <c r="BE465" s="43">
        <f t="shared" si="1184"/>
        <v>36</v>
      </c>
      <c r="BF465" s="44"/>
      <c r="BG465" s="45">
        <f t="shared" si="1185"/>
        <v>0</v>
      </c>
      <c r="BH465" s="45">
        <f t="shared" si="1186"/>
        <v>0</v>
      </c>
      <c r="BI465" s="45">
        <f t="shared" si="1187"/>
        <v>0</v>
      </c>
      <c r="BJ465" s="46">
        <f t="shared" si="1113"/>
        <v>36</v>
      </c>
      <c r="BK465" s="46">
        <f t="shared" si="1114"/>
        <v>1</v>
      </c>
      <c r="BL465" s="46">
        <f t="shared" si="1115"/>
        <v>0</v>
      </c>
    </row>
    <row r="466" spans="1:64" ht="30" customHeight="1" x14ac:dyDescent="0.25">
      <c r="A466" s="84" t="str">
        <f t="shared" si="1158"/>
        <v>Д</v>
      </c>
      <c r="B466" s="84" t="str">
        <f t="shared" si="1168"/>
        <v>М</v>
      </c>
      <c r="C466" s="101" t="s">
        <v>1492</v>
      </c>
      <c r="D466" s="16" t="str">
        <f t="shared" si="1169"/>
        <v>'09.04.03</v>
      </c>
      <c r="E466" s="17" t="str">
        <f t="shared" si="1170"/>
        <v>Искусственный интеллект и анализ данных</v>
      </c>
      <c r="F466" s="9" t="s">
        <v>413</v>
      </c>
      <c r="G466" s="9" t="s">
        <v>22</v>
      </c>
      <c r="H466" s="10" t="s">
        <v>3233</v>
      </c>
      <c r="I466" s="10"/>
      <c r="J466" s="24" t="s">
        <v>3316</v>
      </c>
      <c r="K466" s="11">
        <v>2</v>
      </c>
      <c r="L466" s="11">
        <v>18</v>
      </c>
      <c r="M466" s="8" t="s">
        <v>23</v>
      </c>
      <c r="N466" s="11">
        <v>1</v>
      </c>
      <c r="O466" s="11"/>
      <c r="P466" s="11"/>
      <c r="Q466" s="8" t="s">
        <v>103</v>
      </c>
      <c r="R466" s="11"/>
      <c r="S466" s="11"/>
      <c r="T466" s="23"/>
      <c r="U466" s="11"/>
      <c r="V466" s="11"/>
      <c r="W466" s="83" t="str">
        <f t="shared" si="1159"/>
        <v>НПИмд</v>
      </c>
      <c r="X466" s="110" t="s">
        <v>3246</v>
      </c>
      <c r="Y466" s="11">
        <v>2</v>
      </c>
      <c r="Z466" s="11">
        <v>1</v>
      </c>
      <c r="AA466" s="83">
        <f t="shared" si="1171"/>
        <v>22</v>
      </c>
      <c r="AB466" s="11">
        <v>11</v>
      </c>
      <c r="AC466" s="12">
        <v>11</v>
      </c>
      <c r="AD466" s="81">
        <f t="shared" si="1160"/>
        <v>22</v>
      </c>
      <c r="AE466" s="82">
        <f t="shared" si="1172"/>
        <v>1</v>
      </c>
      <c r="AF466" s="82">
        <f t="shared" si="1173"/>
        <v>1</v>
      </c>
      <c r="AG466" s="102" t="s">
        <v>3250</v>
      </c>
      <c r="AH466" s="113" t="s">
        <v>205</v>
      </c>
      <c r="AI466" s="113" t="s">
        <v>213</v>
      </c>
      <c r="AJ466" s="121" t="s">
        <v>3258</v>
      </c>
      <c r="AK466" s="8"/>
      <c r="AL466" s="42">
        <f t="shared" si="1161"/>
        <v>18</v>
      </c>
      <c r="AM466" s="42">
        <f t="shared" si="1174"/>
        <v>0</v>
      </c>
      <c r="AN466" s="42">
        <f t="shared" si="1175"/>
        <v>0</v>
      </c>
      <c r="AO466" s="42">
        <f t="shared" si="1112"/>
        <v>7.2600000000000007</v>
      </c>
      <c r="AP466" s="42">
        <f t="shared" si="1176"/>
        <v>11</v>
      </c>
      <c r="AQ466" s="42">
        <f t="shared" si="1177"/>
        <v>1</v>
      </c>
      <c r="AR466" s="42">
        <f t="shared" si="1162"/>
        <v>0.9</v>
      </c>
      <c r="AS466" s="42">
        <f t="shared" si="1178"/>
        <v>0</v>
      </c>
      <c r="AT466" s="42">
        <f t="shared" si="1179"/>
        <v>0</v>
      </c>
      <c r="AU466" s="42">
        <f t="shared" si="1180"/>
        <v>0</v>
      </c>
      <c r="AV466" s="42">
        <f>IF(M466="ПП",РПП*AA466*(U466/1.5),IF(M466="ВП",ВПр*AA466*(U466/1.5),IF(M466="РПА",РПА*AA466*(U466/1.5),IF(M466="КПА",КПА*AA466*(U466/1.5),0))))</f>
        <v>0</v>
      </c>
      <c r="AW466" s="42">
        <f t="shared" si="1181"/>
        <v>0</v>
      </c>
      <c r="AX466" s="42">
        <f t="shared" si="1163"/>
        <v>0</v>
      </c>
      <c r="AY466" s="42">
        <f t="shared" si="1164"/>
        <v>0</v>
      </c>
      <c r="AZ466" s="42">
        <f t="shared" si="1182"/>
        <v>0</v>
      </c>
      <c r="BA466" s="42">
        <f t="shared" si="1165"/>
        <v>0</v>
      </c>
      <c r="BB466" s="42">
        <f t="shared" si="1166"/>
        <v>0</v>
      </c>
      <c r="BC466" s="42">
        <f t="shared" si="1167"/>
        <v>0</v>
      </c>
      <c r="BD466" s="42">
        <f t="shared" si="1183"/>
        <v>0</v>
      </c>
      <c r="BE466" s="43">
        <f t="shared" si="1184"/>
        <v>38.160000000000004</v>
      </c>
      <c r="BF466" s="44"/>
      <c r="BG466" s="45">
        <f t="shared" si="1185"/>
        <v>0</v>
      </c>
      <c r="BH466" s="45">
        <f t="shared" si="1186"/>
        <v>0</v>
      </c>
      <c r="BI466" s="45">
        <f t="shared" si="1187"/>
        <v>0</v>
      </c>
      <c r="BJ466" s="46">
        <f t="shared" si="1113"/>
        <v>18</v>
      </c>
      <c r="BK466" s="46">
        <f t="shared" si="1114"/>
        <v>0.5</v>
      </c>
      <c r="BL466" s="46">
        <f t="shared" si="1115"/>
        <v>20.16</v>
      </c>
    </row>
    <row r="467" spans="1:64" ht="30" customHeight="1" x14ac:dyDescent="0.25">
      <c r="A467" s="84" t="str">
        <f t="shared" si="1158"/>
        <v>Д</v>
      </c>
      <c r="B467" s="84" t="str">
        <f t="shared" si="1168"/>
        <v>М</v>
      </c>
      <c r="C467" s="101" t="s">
        <v>1492</v>
      </c>
      <c r="D467" s="16" t="str">
        <f t="shared" si="1169"/>
        <v>'09.04.03</v>
      </c>
      <c r="E467" s="17" t="str">
        <f t="shared" si="1170"/>
        <v>Искусственный интеллект и анализ данных</v>
      </c>
      <c r="F467" s="9" t="s">
        <v>413</v>
      </c>
      <c r="G467" s="9" t="s">
        <v>22</v>
      </c>
      <c r="H467" s="10" t="s">
        <v>3233</v>
      </c>
      <c r="I467" s="10"/>
      <c r="J467" s="24" t="s">
        <v>3316</v>
      </c>
      <c r="K467" s="11">
        <v>2</v>
      </c>
      <c r="L467" s="11">
        <v>18</v>
      </c>
      <c r="M467" s="8" t="s">
        <v>24</v>
      </c>
      <c r="N467" s="11"/>
      <c r="O467" s="11"/>
      <c r="P467" s="11">
        <v>2</v>
      </c>
      <c r="Q467" s="8"/>
      <c r="R467" s="11"/>
      <c r="S467" s="11"/>
      <c r="T467" s="11"/>
      <c r="U467" s="11"/>
      <c r="V467" s="11"/>
      <c r="W467" s="83" t="str">
        <f t="shared" si="1159"/>
        <v>НПИмд</v>
      </c>
      <c r="X467" s="110" t="s">
        <v>3246</v>
      </c>
      <c r="Y467" s="11">
        <v>2</v>
      </c>
      <c r="Z467" s="11">
        <v>1</v>
      </c>
      <c r="AA467" s="83">
        <f t="shared" si="1171"/>
        <v>22</v>
      </c>
      <c r="AB467" s="11">
        <v>11</v>
      </c>
      <c r="AC467" s="12">
        <v>11</v>
      </c>
      <c r="AD467" s="81">
        <f t="shared" si="1160"/>
        <v>12</v>
      </c>
      <c r="AE467" s="82">
        <f t="shared" si="1172"/>
        <v>1</v>
      </c>
      <c r="AF467" s="82">
        <f t="shared" si="1173"/>
        <v>1.8333333333333333</v>
      </c>
      <c r="AG467" s="102" t="s">
        <v>3250</v>
      </c>
      <c r="AH467" s="113" t="s">
        <v>205</v>
      </c>
      <c r="AI467" s="113" t="s">
        <v>213</v>
      </c>
      <c r="AJ467" s="121" t="s">
        <v>3258</v>
      </c>
      <c r="AK467" s="8"/>
      <c r="AL467" s="42">
        <f t="shared" si="1161"/>
        <v>0</v>
      </c>
      <c r="AM467" s="42">
        <f t="shared" si="1174"/>
        <v>36</v>
      </c>
      <c r="AN467" s="42">
        <f t="shared" si="1175"/>
        <v>0</v>
      </c>
      <c r="AO467" s="42">
        <f t="shared" si="1112"/>
        <v>0</v>
      </c>
      <c r="AP467" s="42">
        <f t="shared" si="1176"/>
        <v>0</v>
      </c>
      <c r="AQ467" s="42">
        <f t="shared" si="1177"/>
        <v>0</v>
      </c>
      <c r="AR467" s="42">
        <f t="shared" si="1162"/>
        <v>0</v>
      </c>
      <c r="AS467" s="42">
        <f t="shared" si="1178"/>
        <v>0</v>
      </c>
      <c r="AT467" s="42">
        <f t="shared" si="1179"/>
        <v>0</v>
      </c>
      <c r="AU467" s="42">
        <f t="shared" si="1180"/>
        <v>0</v>
      </c>
      <c r="AV467" s="42">
        <f>IF(M467="ПП",РПП*AA467*(U467/1.5),IF(M467="ВП",ВПр*AA467*(U467/1.5),IF(M467="РПА",РПА*AA467*(U467/1.5),IF(M467="КПА",КПА*AA467*(U467/1.5),0))))</f>
        <v>0</v>
      </c>
      <c r="AW467" s="42">
        <f t="shared" si="1181"/>
        <v>0</v>
      </c>
      <c r="AX467" s="42">
        <f t="shared" si="1163"/>
        <v>0</v>
      </c>
      <c r="AY467" s="42">
        <f t="shared" si="1164"/>
        <v>0</v>
      </c>
      <c r="AZ467" s="42">
        <f t="shared" si="1182"/>
        <v>0</v>
      </c>
      <c r="BA467" s="42">
        <f t="shared" si="1165"/>
        <v>0</v>
      </c>
      <c r="BB467" s="42">
        <f t="shared" si="1166"/>
        <v>0</v>
      </c>
      <c r="BC467" s="42">
        <f t="shared" si="1167"/>
        <v>0</v>
      </c>
      <c r="BD467" s="42">
        <f t="shared" si="1183"/>
        <v>0</v>
      </c>
      <c r="BE467" s="43">
        <f t="shared" si="1184"/>
        <v>36</v>
      </c>
      <c r="BF467" s="44"/>
      <c r="BG467" s="45">
        <f t="shared" si="1185"/>
        <v>0</v>
      </c>
      <c r="BH467" s="45">
        <f t="shared" si="1186"/>
        <v>0</v>
      </c>
      <c r="BI467" s="45">
        <f t="shared" si="1187"/>
        <v>0</v>
      </c>
      <c r="BJ467" s="46">
        <f t="shared" si="1113"/>
        <v>36</v>
      </c>
      <c r="BK467" s="46">
        <f t="shared" si="1114"/>
        <v>1</v>
      </c>
      <c r="BL467" s="46">
        <f t="shared" si="1115"/>
        <v>0</v>
      </c>
    </row>
    <row r="468" spans="1:64" ht="30" customHeight="1" x14ac:dyDescent="0.25">
      <c r="A468" s="84" t="str">
        <f t="shared" si="1158"/>
        <v>Д</v>
      </c>
      <c r="B468" s="84" t="str">
        <f t="shared" si="1168"/>
        <v>М</v>
      </c>
      <c r="C468" s="101" t="s">
        <v>1492</v>
      </c>
      <c r="D468" s="16" t="str">
        <f t="shared" si="1169"/>
        <v>'09.04.03</v>
      </c>
      <c r="E468" s="17" t="str">
        <f t="shared" si="1170"/>
        <v>Искусственный интеллект и анализ данных</v>
      </c>
      <c r="F468" s="9" t="s">
        <v>413</v>
      </c>
      <c r="G468" s="9" t="s">
        <v>503</v>
      </c>
      <c r="H468" s="10" t="s">
        <v>3233</v>
      </c>
      <c r="I468" s="10" t="s">
        <v>3231</v>
      </c>
      <c r="J468" s="24" t="s">
        <v>3317</v>
      </c>
      <c r="K468" s="11">
        <v>1</v>
      </c>
      <c r="L468" s="11">
        <v>18</v>
      </c>
      <c r="M468" s="8" t="s">
        <v>23</v>
      </c>
      <c r="N468" s="11">
        <v>1</v>
      </c>
      <c r="O468" s="11"/>
      <c r="P468" s="11"/>
      <c r="Q468" s="8" t="s">
        <v>103</v>
      </c>
      <c r="R468" s="11"/>
      <c r="S468" s="11"/>
      <c r="T468" s="11"/>
      <c r="U468" s="11"/>
      <c r="V468" s="11"/>
      <c r="W468" s="83" t="str">
        <f t="shared" si="1159"/>
        <v>НПИмд</v>
      </c>
      <c r="X468" s="110" t="s">
        <v>3246</v>
      </c>
      <c r="Y468" s="11">
        <v>2</v>
      </c>
      <c r="Z468" s="11">
        <v>1</v>
      </c>
      <c r="AA468" s="83">
        <f t="shared" si="1171"/>
        <v>11</v>
      </c>
      <c r="AB468" s="11">
        <v>6</v>
      </c>
      <c r="AC468" s="12">
        <v>5</v>
      </c>
      <c r="AD468" s="81">
        <f t="shared" si="1160"/>
        <v>11</v>
      </c>
      <c r="AE468" s="82">
        <f t="shared" si="1172"/>
        <v>1</v>
      </c>
      <c r="AF468" s="82">
        <f t="shared" si="1173"/>
        <v>1</v>
      </c>
      <c r="AG468" s="102" t="s">
        <v>3250</v>
      </c>
      <c r="AH468" s="113" t="s">
        <v>204</v>
      </c>
      <c r="AI468" s="113" t="s">
        <v>212</v>
      </c>
      <c r="AJ468" s="121" t="s">
        <v>3265</v>
      </c>
      <c r="AK468" s="8"/>
      <c r="AL468" s="42">
        <f t="shared" si="1161"/>
        <v>18</v>
      </c>
      <c r="AM468" s="42">
        <f t="shared" si="1174"/>
        <v>0</v>
      </c>
      <c r="AN468" s="42">
        <f t="shared" si="1175"/>
        <v>0</v>
      </c>
      <c r="AO468" s="42">
        <f t="shared" si="1112"/>
        <v>3.6300000000000003</v>
      </c>
      <c r="AP468" s="42">
        <f t="shared" si="1176"/>
        <v>5.5</v>
      </c>
      <c r="AQ468" s="42">
        <f t="shared" si="1177"/>
        <v>1</v>
      </c>
      <c r="AR468" s="42">
        <f t="shared" si="1162"/>
        <v>0.9</v>
      </c>
      <c r="AS468" s="42">
        <f t="shared" si="1178"/>
        <v>0</v>
      </c>
      <c r="AT468" s="42">
        <f t="shared" si="1179"/>
        <v>0</v>
      </c>
      <c r="AU468" s="42">
        <f t="shared" si="1180"/>
        <v>0</v>
      </c>
      <c r="AV468" s="42">
        <f>IF(M468="ПП",РПП*AA468*(U468/1.5),IF(M468="ВП",ВПр*AA468*(U468/1.5),IF(M468="РПА",РПА*AA468*(U468/1.5),IF(M468="КПА",КПА*AA468*(U468/1.5),0))))</f>
        <v>0</v>
      </c>
      <c r="AW468" s="42">
        <f t="shared" si="1181"/>
        <v>0</v>
      </c>
      <c r="AX468" s="42">
        <f t="shared" si="1163"/>
        <v>0</v>
      </c>
      <c r="AY468" s="42">
        <f t="shared" si="1164"/>
        <v>0</v>
      </c>
      <c r="AZ468" s="42">
        <f t="shared" si="1182"/>
        <v>0</v>
      </c>
      <c r="BA468" s="42">
        <f t="shared" si="1165"/>
        <v>0</v>
      </c>
      <c r="BB468" s="42">
        <f t="shared" si="1166"/>
        <v>0</v>
      </c>
      <c r="BC468" s="42">
        <f t="shared" si="1167"/>
        <v>0</v>
      </c>
      <c r="BD468" s="42">
        <f t="shared" si="1183"/>
        <v>0</v>
      </c>
      <c r="BE468" s="43">
        <f t="shared" si="1184"/>
        <v>29.029999999999998</v>
      </c>
      <c r="BF468" s="44"/>
      <c r="BG468" s="45">
        <f t="shared" si="1185"/>
        <v>18</v>
      </c>
      <c r="BH468" s="45">
        <f t="shared" si="1186"/>
        <v>0.5</v>
      </c>
      <c r="BI468" s="45">
        <f t="shared" si="1187"/>
        <v>11.030000000000001</v>
      </c>
      <c r="BJ468" s="46">
        <f t="shared" si="1113"/>
        <v>0</v>
      </c>
      <c r="BK468" s="46">
        <f t="shared" si="1114"/>
        <v>0</v>
      </c>
      <c r="BL468" s="46">
        <f t="shared" si="1115"/>
        <v>0</v>
      </c>
    </row>
    <row r="469" spans="1:64" ht="30" customHeight="1" x14ac:dyDescent="0.25">
      <c r="A469" s="84" t="str">
        <f t="shared" si="1158"/>
        <v>Д</v>
      </c>
      <c r="B469" s="84" t="str">
        <f t="shared" si="1168"/>
        <v>М</v>
      </c>
      <c r="C469" s="101" t="s">
        <v>1492</v>
      </c>
      <c r="D469" s="16" t="str">
        <f t="shared" si="1169"/>
        <v>'09.04.03</v>
      </c>
      <c r="E469" s="17" t="str">
        <f t="shared" si="1170"/>
        <v>Искусственный интеллект и анализ данных</v>
      </c>
      <c r="F469" s="9" t="s">
        <v>413</v>
      </c>
      <c r="G469" s="9" t="s">
        <v>503</v>
      </c>
      <c r="H469" s="10" t="s">
        <v>3233</v>
      </c>
      <c r="I469" s="10" t="s">
        <v>3231</v>
      </c>
      <c r="J469" s="24" t="s">
        <v>3317</v>
      </c>
      <c r="K469" s="11">
        <v>1</v>
      </c>
      <c r="L469" s="11">
        <v>18</v>
      </c>
      <c r="M469" s="8" t="s">
        <v>24</v>
      </c>
      <c r="N469" s="11"/>
      <c r="O469" s="11"/>
      <c r="P469" s="11">
        <v>1</v>
      </c>
      <c r="Q469" s="8"/>
      <c r="R469" s="11"/>
      <c r="S469" s="11"/>
      <c r="T469" s="11"/>
      <c r="U469" s="11"/>
      <c r="V469" s="11"/>
      <c r="W469" s="83" t="str">
        <f t="shared" si="1159"/>
        <v>НПИмд</v>
      </c>
      <c r="X469" s="110" t="s">
        <v>3246</v>
      </c>
      <c r="Y469" s="11">
        <v>2</v>
      </c>
      <c r="Z469" s="11">
        <v>1</v>
      </c>
      <c r="AA469" s="83">
        <f t="shared" si="1171"/>
        <v>11</v>
      </c>
      <c r="AB469" s="11">
        <v>6</v>
      </c>
      <c r="AC469" s="12">
        <v>5</v>
      </c>
      <c r="AD469" s="81">
        <f t="shared" si="1160"/>
        <v>12</v>
      </c>
      <c r="AE469" s="82">
        <f t="shared" si="1172"/>
        <v>0.91666666666666663</v>
      </c>
      <c r="AF469" s="82">
        <f t="shared" si="1173"/>
        <v>0.91666666666666663</v>
      </c>
      <c r="AG469" s="102" t="s">
        <v>3250</v>
      </c>
      <c r="AH469" s="113" t="s">
        <v>204</v>
      </c>
      <c r="AI469" s="113" t="s">
        <v>212</v>
      </c>
      <c r="AJ469" s="126" t="s">
        <v>3265</v>
      </c>
      <c r="AK469" s="8"/>
      <c r="AL469" s="42">
        <f t="shared" si="1161"/>
        <v>0</v>
      </c>
      <c r="AM469" s="42">
        <f t="shared" si="1174"/>
        <v>16.5</v>
      </c>
      <c r="AN469" s="42">
        <f t="shared" si="1175"/>
        <v>0</v>
      </c>
      <c r="AO469" s="42">
        <f t="shared" si="1112"/>
        <v>0</v>
      </c>
      <c r="AP469" s="42">
        <f t="shared" si="1176"/>
        <v>0</v>
      </c>
      <c r="AQ469" s="42">
        <f t="shared" si="1177"/>
        <v>0</v>
      </c>
      <c r="AR469" s="42">
        <f t="shared" si="1162"/>
        <v>0</v>
      </c>
      <c r="AS469" s="42">
        <f t="shared" si="1178"/>
        <v>0</v>
      </c>
      <c r="AT469" s="42">
        <f t="shared" si="1179"/>
        <v>0</v>
      </c>
      <c r="AU469" s="42">
        <f t="shared" si="1180"/>
        <v>0</v>
      </c>
      <c r="AV469" s="42">
        <f>IF(M469="ПП",РПП*AA469*(U469/1.5),IF(M469="ВП",ВПр*AA469*(U469/1.5),IF(M469="РПА",РПА*AA469*(U469/1.5),IF(M469="КПА",КПА*AA469*(U469/1.5),0))))</f>
        <v>0</v>
      </c>
      <c r="AW469" s="42">
        <f t="shared" si="1181"/>
        <v>0</v>
      </c>
      <c r="AX469" s="42">
        <f t="shared" si="1163"/>
        <v>0</v>
      </c>
      <c r="AY469" s="42">
        <f t="shared" si="1164"/>
        <v>0</v>
      </c>
      <c r="AZ469" s="42">
        <f t="shared" si="1182"/>
        <v>0</v>
      </c>
      <c r="BA469" s="42">
        <f t="shared" si="1165"/>
        <v>0</v>
      </c>
      <c r="BB469" s="42">
        <f t="shared" si="1166"/>
        <v>0</v>
      </c>
      <c r="BC469" s="42">
        <f t="shared" si="1167"/>
        <v>0</v>
      </c>
      <c r="BD469" s="42">
        <f t="shared" si="1183"/>
        <v>0</v>
      </c>
      <c r="BE469" s="43">
        <f t="shared" si="1184"/>
        <v>16.5</v>
      </c>
      <c r="BF469" s="44"/>
      <c r="BG469" s="45">
        <f t="shared" si="1185"/>
        <v>16.5</v>
      </c>
      <c r="BH469" s="45">
        <f t="shared" si="1186"/>
        <v>0.5</v>
      </c>
      <c r="BI469" s="45">
        <f t="shared" si="1187"/>
        <v>0</v>
      </c>
      <c r="BJ469" s="46">
        <f t="shared" si="1113"/>
        <v>0</v>
      </c>
      <c r="BK469" s="46">
        <f t="shared" si="1114"/>
        <v>0</v>
      </c>
      <c r="BL469" s="46">
        <f t="shared" si="1115"/>
        <v>0</v>
      </c>
    </row>
    <row r="470" spans="1:64" ht="30" customHeight="1" x14ac:dyDescent="0.25">
      <c r="A470" s="84" t="str">
        <f t="shared" si="1158"/>
        <v>Д</v>
      </c>
      <c r="B470" s="84" t="str">
        <f t="shared" si="1168"/>
        <v>М</v>
      </c>
      <c r="C470" s="101" t="s">
        <v>1492</v>
      </c>
      <c r="D470" s="16" t="str">
        <f t="shared" si="1169"/>
        <v>'09.04.03</v>
      </c>
      <c r="E470" s="17" t="str">
        <f t="shared" si="1170"/>
        <v>Искусственный интеллект и анализ данных</v>
      </c>
      <c r="F470" s="9" t="s">
        <v>413</v>
      </c>
      <c r="G470" s="9" t="s">
        <v>503</v>
      </c>
      <c r="H470" s="10" t="s">
        <v>3233</v>
      </c>
      <c r="I470" s="10" t="s">
        <v>3231</v>
      </c>
      <c r="J470" s="24" t="s">
        <v>3318</v>
      </c>
      <c r="K470" s="11">
        <v>1</v>
      </c>
      <c r="L470" s="11">
        <v>18</v>
      </c>
      <c r="M470" s="8" t="s">
        <v>23</v>
      </c>
      <c r="N470" s="11">
        <v>1</v>
      </c>
      <c r="O470" s="11"/>
      <c r="P470" s="11"/>
      <c r="Q470" s="8" t="s">
        <v>103</v>
      </c>
      <c r="R470" s="11"/>
      <c r="S470" s="11"/>
      <c r="T470" s="11"/>
      <c r="U470" s="11"/>
      <c r="V470" s="11"/>
      <c r="W470" s="83" t="str">
        <f t="shared" si="1159"/>
        <v>НПИмд</v>
      </c>
      <c r="X470" s="110" t="s">
        <v>3246</v>
      </c>
      <c r="Y470" s="11">
        <v>2</v>
      </c>
      <c r="Z470" s="11">
        <v>1</v>
      </c>
      <c r="AA470" s="83">
        <f t="shared" si="1171"/>
        <v>11</v>
      </c>
      <c r="AB470" s="11">
        <v>6</v>
      </c>
      <c r="AC470" s="12">
        <v>5</v>
      </c>
      <c r="AD470" s="81">
        <f t="shared" si="1160"/>
        <v>11</v>
      </c>
      <c r="AE470" s="82">
        <f t="shared" si="1172"/>
        <v>1</v>
      </c>
      <c r="AF470" s="82">
        <f t="shared" si="1173"/>
        <v>1</v>
      </c>
      <c r="AG470" s="102" t="s">
        <v>3250</v>
      </c>
      <c r="AH470" s="113" t="s">
        <v>201</v>
      </c>
      <c r="AI470" s="113" t="s">
        <v>213</v>
      </c>
      <c r="AJ470" s="121" t="s">
        <v>3260</v>
      </c>
      <c r="AK470" s="8"/>
      <c r="AL470" s="42">
        <f t="shared" si="1161"/>
        <v>18</v>
      </c>
      <c r="AM470" s="42">
        <f t="shared" si="1174"/>
        <v>0</v>
      </c>
      <c r="AN470" s="42">
        <f t="shared" si="1175"/>
        <v>0</v>
      </c>
      <c r="AO470" s="42">
        <f t="shared" si="1112"/>
        <v>3.6300000000000003</v>
      </c>
      <c r="AP470" s="42">
        <f t="shared" si="1176"/>
        <v>5.5</v>
      </c>
      <c r="AQ470" s="42">
        <f t="shared" si="1177"/>
        <v>1</v>
      </c>
      <c r="AR470" s="42">
        <f t="shared" si="1162"/>
        <v>0.9</v>
      </c>
      <c r="AS470" s="42">
        <f t="shared" si="1178"/>
        <v>0</v>
      </c>
      <c r="AT470" s="42">
        <f t="shared" si="1179"/>
        <v>0</v>
      </c>
      <c r="AU470" s="42">
        <f t="shared" si="1180"/>
        <v>0</v>
      </c>
      <c r="AV470" s="42">
        <f>IF(M470="ПП",РПП*AA470*(U470/1.5),IF(M470="ВП",ВПр*AA470*(U470/1.5),IF(M470="РПА",РПА*AA470*(U470/1.5),IF(M470="КПА",КПА*AA470*(U470/1.5),0))))</f>
        <v>0</v>
      </c>
      <c r="AW470" s="42">
        <f t="shared" si="1181"/>
        <v>0</v>
      </c>
      <c r="AX470" s="42">
        <f t="shared" si="1163"/>
        <v>0</v>
      </c>
      <c r="AY470" s="42">
        <f t="shared" si="1164"/>
        <v>0</v>
      </c>
      <c r="AZ470" s="42">
        <f t="shared" si="1182"/>
        <v>0</v>
      </c>
      <c r="BA470" s="42">
        <f t="shared" si="1165"/>
        <v>0</v>
      </c>
      <c r="BB470" s="42">
        <f t="shared" si="1166"/>
        <v>0</v>
      </c>
      <c r="BC470" s="42">
        <f t="shared" si="1167"/>
        <v>0</v>
      </c>
      <c r="BD470" s="42">
        <f t="shared" si="1183"/>
        <v>0</v>
      </c>
      <c r="BE470" s="43">
        <f t="shared" si="1184"/>
        <v>29.029999999999998</v>
      </c>
      <c r="BF470" s="44"/>
      <c r="BG470" s="45">
        <f t="shared" si="1185"/>
        <v>18</v>
      </c>
      <c r="BH470" s="45">
        <f t="shared" si="1186"/>
        <v>0.5</v>
      </c>
      <c r="BI470" s="45">
        <f t="shared" si="1187"/>
        <v>11.030000000000001</v>
      </c>
      <c r="BJ470" s="46">
        <f t="shared" si="1113"/>
        <v>0</v>
      </c>
      <c r="BK470" s="46">
        <f t="shared" si="1114"/>
        <v>0</v>
      </c>
      <c r="BL470" s="46">
        <f t="shared" si="1115"/>
        <v>0</v>
      </c>
    </row>
    <row r="471" spans="1:64" ht="30" customHeight="1" x14ac:dyDescent="0.25">
      <c r="A471" s="84" t="str">
        <f t="shared" si="1158"/>
        <v>Д</v>
      </c>
      <c r="B471" s="84" t="str">
        <f t="shared" si="1168"/>
        <v>М</v>
      </c>
      <c r="C471" s="101" t="s">
        <v>1492</v>
      </c>
      <c r="D471" s="16" t="str">
        <f t="shared" si="1169"/>
        <v>'09.04.03</v>
      </c>
      <c r="E471" s="17" t="str">
        <f t="shared" si="1170"/>
        <v>Искусственный интеллект и анализ данных</v>
      </c>
      <c r="F471" s="9" t="s">
        <v>413</v>
      </c>
      <c r="G471" s="9" t="s">
        <v>503</v>
      </c>
      <c r="H471" s="10" t="s">
        <v>3233</v>
      </c>
      <c r="I471" s="10" t="s">
        <v>3231</v>
      </c>
      <c r="J471" s="24" t="s">
        <v>3318</v>
      </c>
      <c r="K471" s="11">
        <v>1</v>
      </c>
      <c r="L471" s="11">
        <v>18</v>
      </c>
      <c r="M471" s="8" t="s">
        <v>24</v>
      </c>
      <c r="N471" s="11"/>
      <c r="O471" s="11"/>
      <c r="P471" s="11">
        <v>1</v>
      </c>
      <c r="Q471" s="8"/>
      <c r="R471" s="11"/>
      <c r="S471" s="11"/>
      <c r="T471" s="11"/>
      <c r="U471" s="11"/>
      <c r="V471" s="11"/>
      <c r="W471" s="83" t="str">
        <f t="shared" si="1159"/>
        <v>НПИмд</v>
      </c>
      <c r="X471" s="110" t="s">
        <v>3246</v>
      </c>
      <c r="Y471" s="11">
        <v>2</v>
      </c>
      <c r="Z471" s="11">
        <v>1</v>
      </c>
      <c r="AA471" s="83">
        <f t="shared" si="1171"/>
        <v>11</v>
      </c>
      <c r="AB471" s="11">
        <v>6</v>
      </c>
      <c r="AC471" s="12">
        <v>5</v>
      </c>
      <c r="AD471" s="81">
        <f t="shared" si="1160"/>
        <v>12</v>
      </c>
      <c r="AE471" s="82">
        <f t="shared" si="1172"/>
        <v>0.91666666666666663</v>
      </c>
      <c r="AF471" s="82">
        <f t="shared" si="1173"/>
        <v>0.91666666666666663</v>
      </c>
      <c r="AG471" s="102" t="s">
        <v>3250</v>
      </c>
      <c r="AH471" s="113" t="s">
        <v>201</v>
      </c>
      <c r="AI471" s="113" t="s">
        <v>213</v>
      </c>
      <c r="AJ471" s="121" t="s">
        <v>3260</v>
      </c>
      <c r="AK471" s="8"/>
      <c r="AL471" s="42">
        <f t="shared" si="1161"/>
        <v>0</v>
      </c>
      <c r="AM471" s="42">
        <f t="shared" si="1174"/>
        <v>16.5</v>
      </c>
      <c r="AN471" s="42">
        <f t="shared" si="1175"/>
        <v>0</v>
      </c>
      <c r="AO471" s="42">
        <f t="shared" si="1112"/>
        <v>0</v>
      </c>
      <c r="AP471" s="42">
        <f t="shared" si="1176"/>
        <v>0</v>
      </c>
      <c r="AQ471" s="42">
        <f t="shared" si="1177"/>
        <v>0</v>
      </c>
      <c r="AR471" s="42">
        <f t="shared" si="1162"/>
        <v>0</v>
      </c>
      <c r="AS471" s="42">
        <f t="shared" si="1178"/>
        <v>0</v>
      </c>
      <c r="AT471" s="42">
        <f t="shared" si="1179"/>
        <v>0</v>
      </c>
      <c r="AU471" s="42">
        <f t="shared" si="1180"/>
        <v>0</v>
      </c>
      <c r="AV471" s="42">
        <f>IF(M471="ПП",РПП*AA471*(U471/1.5),IF(M471="ВП",ВПр*AA471*(U471/1.5),IF(M471="РПА",РПА*AA471*(U471/1.5),IF(M471="КПА",КПА*AA471*(U471/1.5),0))))</f>
        <v>0</v>
      </c>
      <c r="AW471" s="42">
        <f t="shared" si="1181"/>
        <v>0</v>
      </c>
      <c r="AX471" s="42">
        <f t="shared" si="1163"/>
        <v>0</v>
      </c>
      <c r="AY471" s="42">
        <f t="shared" si="1164"/>
        <v>0</v>
      </c>
      <c r="AZ471" s="42">
        <f t="shared" si="1182"/>
        <v>0</v>
      </c>
      <c r="BA471" s="42">
        <f t="shared" si="1165"/>
        <v>0</v>
      </c>
      <c r="BB471" s="42">
        <f t="shared" si="1166"/>
        <v>0</v>
      </c>
      <c r="BC471" s="42">
        <f t="shared" si="1167"/>
        <v>0</v>
      </c>
      <c r="BD471" s="42">
        <f t="shared" si="1183"/>
        <v>0</v>
      </c>
      <c r="BE471" s="43">
        <f t="shared" si="1184"/>
        <v>16.5</v>
      </c>
      <c r="BF471" s="44"/>
      <c r="BG471" s="45">
        <f t="shared" si="1185"/>
        <v>16.5</v>
      </c>
      <c r="BH471" s="45">
        <f t="shared" si="1186"/>
        <v>0.5</v>
      </c>
      <c r="BI471" s="45">
        <f t="shared" si="1187"/>
        <v>0</v>
      </c>
      <c r="BJ471" s="46">
        <f t="shared" si="1113"/>
        <v>0</v>
      </c>
      <c r="BK471" s="46">
        <f t="shared" si="1114"/>
        <v>0</v>
      </c>
      <c r="BL471" s="46">
        <f t="shared" si="1115"/>
        <v>0</v>
      </c>
    </row>
    <row r="472" spans="1:64" ht="30" customHeight="1" x14ac:dyDescent="0.25">
      <c r="A472" s="84" t="str">
        <f t="shared" si="1158"/>
        <v>Д</v>
      </c>
      <c r="B472" s="84" t="str">
        <f t="shared" si="1168"/>
        <v>М</v>
      </c>
      <c r="C472" s="101" t="s">
        <v>1492</v>
      </c>
      <c r="D472" s="16" t="str">
        <f t="shared" si="1169"/>
        <v>'09.04.03</v>
      </c>
      <c r="E472" s="17" t="str">
        <f t="shared" si="1170"/>
        <v>Искусственный интеллект и анализ данных</v>
      </c>
      <c r="F472" s="9" t="s">
        <v>413</v>
      </c>
      <c r="G472" s="9" t="s">
        <v>503</v>
      </c>
      <c r="H472" s="10" t="s">
        <v>3233</v>
      </c>
      <c r="I472" s="10" t="s">
        <v>3231</v>
      </c>
      <c r="J472" s="24" t="s">
        <v>3319</v>
      </c>
      <c r="K472" s="11">
        <v>2</v>
      </c>
      <c r="L472" s="11">
        <v>18</v>
      </c>
      <c r="M472" s="8" t="s">
        <v>23</v>
      </c>
      <c r="N472" s="11">
        <v>1</v>
      </c>
      <c r="O472" s="11"/>
      <c r="P472" s="11"/>
      <c r="Q472" s="8" t="s">
        <v>103</v>
      </c>
      <c r="R472" s="12"/>
      <c r="S472" s="12"/>
      <c r="T472" s="12"/>
      <c r="U472" s="12"/>
      <c r="V472" s="12"/>
      <c r="W472" s="83" t="str">
        <f t="shared" si="1159"/>
        <v>НПИмд</v>
      </c>
      <c r="X472" s="110" t="s">
        <v>3246</v>
      </c>
      <c r="Y472" s="11">
        <v>2</v>
      </c>
      <c r="Z472" s="11">
        <v>1</v>
      </c>
      <c r="AA472" s="83">
        <f t="shared" si="1171"/>
        <v>11</v>
      </c>
      <c r="AB472" s="11">
        <v>6</v>
      </c>
      <c r="AC472" s="12">
        <v>5</v>
      </c>
      <c r="AD472" s="81">
        <f t="shared" si="1160"/>
        <v>11</v>
      </c>
      <c r="AE472" s="82">
        <f t="shared" si="1172"/>
        <v>1</v>
      </c>
      <c r="AF472" s="82">
        <f t="shared" si="1173"/>
        <v>1</v>
      </c>
      <c r="AG472" s="102" t="s">
        <v>3250</v>
      </c>
      <c r="AH472" s="113" t="s">
        <v>201</v>
      </c>
      <c r="AI472" s="113" t="s">
        <v>212</v>
      </c>
      <c r="AJ472" s="121" t="s">
        <v>3349</v>
      </c>
      <c r="AK472" s="8"/>
      <c r="AL472" s="42">
        <f t="shared" si="1161"/>
        <v>18</v>
      </c>
      <c r="AM472" s="42">
        <f t="shared" si="1174"/>
        <v>0</v>
      </c>
      <c r="AN472" s="42">
        <f t="shared" si="1175"/>
        <v>0</v>
      </c>
      <c r="AO472" s="42">
        <f t="shared" si="1112"/>
        <v>3.6300000000000003</v>
      </c>
      <c r="AP472" s="42">
        <f t="shared" si="1176"/>
        <v>5.5</v>
      </c>
      <c r="AQ472" s="42">
        <f t="shared" si="1177"/>
        <v>1</v>
      </c>
      <c r="AR472" s="42">
        <f t="shared" si="1162"/>
        <v>0.9</v>
      </c>
      <c r="AS472" s="42">
        <f t="shared" si="1178"/>
        <v>0</v>
      </c>
      <c r="AT472" s="42">
        <f t="shared" si="1179"/>
        <v>0</v>
      </c>
      <c r="AU472" s="42">
        <f t="shared" si="1180"/>
        <v>0</v>
      </c>
      <c r="AV472" s="42">
        <f>IF(M472="ПП",РПП*AA472*(U472/1.5),IF(M472="ВП",ВПр*AA472*(U472/1.5),IF(M472="РПА",РПА*AA472*(U472/1.5),IF(M472="КПА",КПА*AA472*(U472/1.5),0))))</f>
        <v>0</v>
      </c>
      <c r="AW472" s="42">
        <f t="shared" si="1181"/>
        <v>0</v>
      </c>
      <c r="AX472" s="42">
        <f t="shared" si="1163"/>
        <v>0</v>
      </c>
      <c r="AY472" s="42">
        <f t="shared" si="1164"/>
        <v>0</v>
      </c>
      <c r="AZ472" s="42">
        <f t="shared" si="1182"/>
        <v>0</v>
      </c>
      <c r="BA472" s="42">
        <f t="shared" si="1165"/>
        <v>0</v>
      </c>
      <c r="BB472" s="42">
        <f t="shared" si="1166"/>
        <v>0</v>
      </c>
      <c r="BC472" s="42">
        <f t="shared" si="1167"/>
        <v>0</v>
      </c>
      <c r="BD472" s="42">
        <f t="shared" si="1183"/>
        <v>0</v>
      </c>
      <c r="BE472" s="43">
        <f t="shared" si="1184"/>
        <v>29.029999999999998</v>
      </c>
      <c r="BF472" s="44"/>
      <c r="BG472" s="45">
        <f t="shared" si="1185"/>
        <v>0</v>
      </c>
      <c r="BH472" s="45">
        <f t="shared" si="1186"/>
        <v>0</v>
      </c>
      <c r="BI472" s="45">
        <f t="shared" si="1187"/>
        <v>0</v>
      </c>
      <c r="BJ472" s="46">
        <f t="shared" si="1113"/>
        <v>18</v>
      </c>
      <c r="BK472" s="46">
        <f t="shared" si="1114"/>
        <v>0.5</v>
      </c>
      <c r="BL472" s="46">
        <f t="shared" si="1115"/>
        <v>11.030000000000001</v>
      </c>
    </row>
    <row r="473" spans="1:64" ht="30" customHeight="1" x14ac:dyDescent="0.25">
      <c r="A473" s="84" t="str">
        <f t="shared" si="1158"/>
        <v>Д</v>
      </c>
      <c r="B473" s="84" t="str">
        <f t="shared" si="1168"/>
        <v>М</v>
      </c>
      <c r="C473" s="101" t="s">
        <v>1492</v>
      </c>
      <c r="D473" s="16" t="str">
        <f t="shared" si="1169"/>
        <v>'09.04.03</v>
      </c>
      <c r="E473" s="17" t="str">
        <f t="shared" si="1170"/>
        <v>Искусственный интеллект и анализ данных</v>
      </c>
      <c r="F473" s="9" t="s">
        <v>413</v>
      </c>
      <c r="G473" s="9" t="s">
        <v>503</v>
      </c>
      <c r="H473" s="10" t="s">
        <v>3233</v>
      </c>
      <c r="I473" s="10" t="s">
        <v>3231</v>
      </c>
      <c r="J473" s="24" t="s">
        <v>3319</v>
      </c>
      <c r="K473" s="11">
        <v>2</v>
      </c>
      <c r="L473" s="11">
        <v>18</v>
      </c>
      <c r="M473" s="8" t="s">
        <v>24</v>
      </c>
      <c r="N473" s="11"/>
      <c r="O473" s="11"/>
      <c r="P473" s="11">
        <v>1</v>
      </c>
      <c r="Q473" s="8"/>
      <c r="R473" s="11"/>
      <c r="S473" s="11"/>
      <c r="T473" s="23"/>
      <c r="U473" s="11"/>
      <c r="V473" s="11"/>
      <c r="W473" s="83" t="str">
        <f t="shared" si="1159"/>
        <v>НПИмд</v>
      </c>
      <c r="X473" s="110" t="s">
        <v>3246</v>
      </c>
      <c r="Y473" s="11">
        <v>2</v>
      </c>
      <c r="Z473" s="11">
        <v>1</v>
      </c>
      <c r="AA473" s="83">
        <f t="shared" si="1171"/>
        <v>11</v>
      </c>
      <c r="AB473" s="11">
        <v>6</v>
      </c>
      <c r="AC473" s="12">
        <v>5</v>
      </c>
      <c r="AD473" s="81">
        <f t="shared" si="1160"/>
        <v>12</v>
      </c>
      <c r="AE473" s="82">
        <f t="shared" si="1172"/>
        <v>0.91666666666666663</v>
      </c>
      <c r="AF473" s="82">
        <f t="shared" si="1173"/>
        <v>0.91666666666666663</v>
      </c>
      <c r="AG473" s="102" t="s">
        <v>3250</v>
      </c>
      <c r="AH473" s="113" t="s">
        <v>201</v>
      </c>
      <c r="AI473" s="113" t="s">
        <v>212</v>
      </c>
      <c r="AJ473" s="121" t="s">
        <v>3349</v>
      </c>
      <c r="AK473" s="8"/>
      <c r="AL473" s="42">
        <f t="shared" si="1161"/>
        <v>0</v>
      </c>
      <c r="AM473" s="42">
        <f t="shared" si="1174"/>
        <v>16.5</v>
      </c>
      <c r="AN473" s="42">
        <f t="shared" si="1175"/>
        <v>0</v>
      </c>
      <c r="AO473" s="42">
        <f t="shared" si="1112"/>
        <v>0</v>
      </c>
      <c r="AP473" s="42">
        <f t="shared" si="1176"/>
        <v>0</v>
      </c>
      <c r="AQ473" s="42">
        <f t="shared" si="1177"/>
        <v>0</v>
      </c>
      <c r="AR473" s="42">
        <f t="shared" si="1162"/>
        <v>0</v>
      </c>
      <c r="AS473" s="42">
        <f t="shared" si="1178"/>
        <v>0</v>
      </c>
      <c r="AT473" s="42">
        <f t="shared" si="1179"/>
        <v>0</v>
      </c>
      <c r="AU473" s="42">
        <f t="shared" si="1180"/>
        <v>0</v>
      </c>
      <c r="AV473" s="42">
        <f>IF(M473="ПП",РПП*AA473*(U473/1.5),IF(M473="ВП",ВПр*AA473*(U473/1.5),IF(M473="РПА",РПА*AA473*(U473/1.5),IF(M473="КПА",КПА*AA473*(U473/1.5),0))))</f>
        <v>0</v>
      </c>
      <c r="AW473" s="42">
        <f t="shared" si="1181"/>
        <v>0</v>
      </c>
      <c r="AX473" s="42">
        <f t="shared" si="1163"/>
        <v>0</v>
      </c>
      <c r="AY473" s="42">
        <f t="shared" si="1164"/>
        <v>0</v>
      </c>
      <c r="AZ473" s="42">
        <f t="shared" si="1182"/>
        <v>0</v>
      </c>
      <c r="BA473" s="42">
        <f t="shared" si="1165"/>
        <v>0</v>
      </c>
      <c r="BB473" s="42">
        <f t="shared" si="1166"/>
        <v>0</v>
      </c>
      <c r="BC473" s="42">
        <f t="shared" si="1167"/>
        <v>0</v>
      </c>
      <c r="BD473" s="42">
        <f t="shared" si="1183"/>
        <v>0</v>
      </c>
      <c r="BE473" s="43">
        <f t="shared" si="1184"/>
        <v>16.5</v>
      </c>
      <c r="BF473" s="44"/>
      <c r="BG473" s="45">
        <f t="shared" si="1185"/>
        <v>0</v>
      </c>
      <c r="BH473" s="45">
        <f t="shared" si="1186"/>
        <v>0</v>
      </c>
      <c r="BI473" s="45">
        <f t="shared" si="1187"/>
        <v>0</v>
      </c>
      <c r="BJ473" s="46">
        <f t="shared" si="1113"/>
        <v>16.5</v>
      </c>
      <c r="BK473" s="46">
        <f t="shared" si="1114"/>
        <v>0.5</v>
      </c>
      <c r="BL473" s="46">
        <f t="shared" si="1115"/>
        <v>0</v>
      </c>
    </row>
    <row r="474" spans="1:64" ht="30" customHeight="1" x14ac:dyDescent="0.25">
      <c r="A474" s="84" t="str">
        <f t="shared" si="1158"/>
        <v>Д</v>
      </c>
      <c r="B474" s="84" t="str">
        <f t="shared" si="1168"/>
        <v>М</v>
      </c>
      <c r="C474" s="101" t="s">
        <v>1492</v>
      </c>
      <c r="D474" s="16" t="str">
        <f t="shared" si="1169"/>
        <v>'09.04.03</v>
      </c>
      <c r="E474" s="17" t="str">
        <f t="shared" si="1170"/>
        <v>Искусственный интеллект и анализ данных</v>
      </c>
      <c r="F474" s="9" t="s">
        <v>413</v>
      </c>
      <c r="G474" s="9" t="s">
        <v>503</v>
      </c>
      <c r="H474" s="10" t="s">
        <v>3233</v>
      </c>
      <c r="I474" s="10" t="s">
        <v>3231</v>
      </c>
      <c r="J474" s="24" t="s">
        <v>3321</v>
      </c>
      <c r="K474" s="12">
        <v>2</v>
      </c>
      <c r="L474" s="11">
        <v>18</v>
      </c>
      <c r="M474" s="8" t="s">
        <v>23</v>
      </c>
      <c r="N474" s="12">
        <v>1</v>
      </c>
      <c r="O474" s="12"/>
      <c r="P474" s="12"/>
      <c r="Q474" s="8" t="s">
        <v>103</v>
      </c>
      <c r="R474" s="11"/>
      <c r="S474" s="11"/>
      <c r="T474" s="23"/>
      <c r="U474" s="11"/>
      <c r="V474" s="11"/>
      <c r="W474" s="83" t="str">
        <f t="shared" si="1159"/>
        <v>НПИмд</v>
      </c>
      <c r="X474" s="110" t="s">
        <v>3246</v>
      </c>
      <c r="Y474" s="11">
        <v>2</v>
      </c>
      <c r="Z474" s="11">
        <v>1</v>
      </c>
      <c r="AA474" s="83">
        <f t="shared" si="1171"/>
        <v>11</v>
      </c>
      <c r="AB474" s="11">
        <v>6</v>
      </c>
      <c r="AC474" s="12">
        <v>5</v>
      </c>
      <c r="AD474" s="81">
        <f t="shared" si="1160"/>
        <v>11</v>
      </c>
      <c r="AE474" s="82">
        <f t="shared" si="1172"/>
        <v>1</v>
      </c>
      <c r="AF474" s="82">
        <f t="shared" si="1173"/>
        <v>1</v>
      </c>
      <c r="AG474" s="102" t="s">
        <v>3250</v>
      </c>
      <c r="AH474" s="113" t="s">
        <v>205</v>
      </c>
      <c r="AI474" s="113" t="s">
        <v>213</v>
      </c>
      <c r="AJ474" s="121" t="s">
        <v>3296</v>
      </c>
      <c r="AK474" s="8"/>
      <c r="AL474" s="42">
        <f t="shared" si="1161"/>
        <v>18</v>
      </c>
      <c r="AM474" s="42">
        <f t="shared" si="1174"/>
        <v>0</v>
      </c>
      <c r="AN474" s="42">
        <f t="shared" si="1175"/>
        <v>0</v>
      </c>
      <c r="AO474" s="42">
        <f t="shared" si="1112"/>
        <v>3.6300000000000003</v>
      </c>
      <c r="AP474" s="42">
        <f t="shared" si="1176"/>
        <v>5.5</v>
      </c>
      <c r="AQ474" s="42">
        <f t="shared" si="1177"/>
        <v>1</v>
      </c>
      <c r="AR474" s="42">
        <f t="shared" si="1162"/>
        <v>0.9</v>
      </c>
      <c r="AS474" s="42">
        <f t="shared" si="1178"/>
        <v>0</v>
      </c>
      <c r="AT474" s="42">
        <f t="shared" si="1179"/>
        <v>0</v>
      </c>
      <c r="AU474" s="42">
        <f t="shared" si="1180"/>
        <v>0</v>
      </c>
      <c r="AV474" s="42">
        <f>IF(M474="ПП",РПП*AA474*(U474/1.5),IF(M474="ВП",ВПр*AA474*(U474/1.5),IF(M474="РПА",РПА*AA474*(U474/1.5),IF(M474="КПА",КПА*AA474*(U474/1.5),0))))</f>
        <v>0</v>
      </c>
      <c r="AW474" s="42">
        <f t="shared" si="1181"/>
        <v>0</v>
      </c>
      <c r="AX474" s="42">
        <f t="shared" si="1163"/>
        <v>0</v>
      </c>
      <c r="AY474" s="42">
        <f t="shared" si="1164"/>
        <v>0</v>
      </c>
      <c r="AZ474" s="42">
        <f t="shared" si="1182"/>
        <v>0</v>
      </c>
      <c r="BA474" s="42">
        <f t="shared" si="1165"/>
        <v>0</v>
      </c>
      <c r="BB474" s="42">
        <f t="shared" si="1166"/>
        <v>0</v>
      </c>
      <c r="BC474" s="42">
        <f t="shared" si="1167"/>
        <v>0</v>
      </c>
      <c r="BD474" s="42">
        <f t="shared" si="1183"/>
        <v>0</v>
      </c>
      <c r="BE474" s="43">
        <f t="shared" si="1184"/>
        <v>29.029999999999998</v>
      </c>
      <c r="BF474" s="44"/>
      <c r="BG474" s="45">
        <f t="shared" si="1185"/>
        <v>0</v>
      </c>
      <c r="BH474" s="45">
        <f t="shared" si="1186"/>
        <v>0</v>
      </c>
      <c r="BI474" s="45">
        <f t="shared" si="1187"/>
        <v>0</v>
      </c>
      <c r="BJ474" s="46">
        <f t="shared" si="1113"/>
        <v>18</v>
      </c>
      <c r="BK474" s="46">
        <f t="shared" si="1114"/>
        <v>0.5</v>
      </c>
      <c r="BL474" s="46">
        <f t="shared" si="1115"/>
        <v>11.030000000000001</v>
      </c>
    </row>
    <row r="475" spans="1:64" ht="30" customHeight="1" x14ac:dyDescent="0.25">
      <c r="A475" s="84" t="str">
        <f t="shared" si="1158"/>
        <v>Д</v>
      </c>
      <c r="B475" s="84" t="str">
        <f t="shared" si="1168"/>
        <v>М</v>
      </c>
      <c r="C475" s="101" t="s">
        <v>1492</v>
      </c>
      <c r="D475" s="16" t="str">
        <f t="shared" si="1169"/>
        <v>'09.04.03</v>
      </c>
      <c r="E475" s="17" t="str">
        <f t="shared" si="1170"/>
        <v>Искусственный интеллект и анализ данных</v>
      </c>
      <c r="F475" s="9" t="s">
        <v>413</v>
      </c>
      <c r="G475" s="9" t="s">
        <v>503</v>
      </c>
      <c r="H475" s="10" t="s">
        <v>3233</v>
      </c>
      <c r="I475" s="10" t="s">
        <v>3231</v>
      </c>
      <c r="J475" s="24" t="s">
        <v>3321</v>
      </c>
      <c r="K475" s="11">
        <v>2</v>
      </c>
      <c r="L475" s="11">
        <v>18</v>
      </c>
      <c r="M475" s="8" t="s">
        <v>24</v>
      </c>
      <c r="N475" s="11"/>
      <c r="O475" s="11"/>
      <c r="P475" s="11">
        <v>1</v>
      </c>
      <c r="Q475" s="8"/>
      <c r="R475" s="11"/>
      <c r="S475" s="11"/>
      <c r="T475" s="11"/>
      <c r="U475" s="11"/>
      <c r="V475" s="11"/>
      <c r="W475" s="83" t="str">
        <f t="shared" si="1159"/>
        <v>НПИмд</v>
      </c>
      <c r="X475" s="110" t="s">
        <v>3246</v>
      </c>
      <c r="Y475" s="11">
        <v>2</v>
      </c>
      <c r="Z475" s="11">
        <v>1</v>
      </c>
      <c r="AA475" s="83">
        <f t="shared" si="1171"/>
        <v>11</v>
      </c>
      <c r="AB475" s="11">
        <v>6</v>
      </c>
      <c r="AC475" s="12">
        <v>5</v>
      </c>
      <c r="AD475" s="81">
        <f t="shared" si="1160"/>
        <v>12</v>
      </c>
      <c r="AE475" s="82">
        <f t="shared" si="1172"/>
        <v>0.91666666666666663</v>
      </c>
      <c r="AF475" s="82">
        <f t="shared" si="1173"/>
        <v>0.91666666666666663</v>
      </c>
      <c r="AG475" s="102" t="s">
        <v>3250</v>
      </c>
      <c r="AH475" s="113" t="s">
        <v>205</v>
      </c>
      <c r="AI475" s="113" t="s">
        <v>213</v>
      </c>
      <c r="AJ475" s="121" t="s">
        <v>3296</v>
      </c>
      <c r="AK475" s="8"/>
      <c r="AL475" s="42">
        <f t="shared" si="1161"/>
        <v>0</v>
      </c>
      <c r="AM475" s="42">
        <f t="shared" si="1174"/>
        <v>16.5</v>
      </c>
      <c r="AN475" s="42">
        <f t="shared" si="1175"/>
        <v>0</v>
      </c>
      <c r="AO475" s="42">
        <f t="shared" si="1112"/>
        <v>0</v>
      </c>
      <c r="AP475" s="42">
        <f t="shared" si="1176"/>
        <v>0</v>
      </c>
      <c r="AQ475" s="42">
        <f t="shared" si="1177"/>
        <v>0</v>
      </c>
      <c r="AR475" s="42">
        <f t="shared" si="1162"/>
        <v>0</v>
      </c>
      <c r="AS475" s="42">
        <f t="shared" si="1178"/>
        <v>0</v>
      </c>
      <c r="AT475" s="42">
        <f t="shared" si="1179"/>
        <v>0</v>
      </c>
      <c r="AU475" s="42">
        <f t="shared" si="1180"/>
        <v>0</v>
      </c>
      <c r="AV475" s="42">
        <f>IF(M475="ПП",РПП*AA475*(U475/1.5),IF(M475="ВП",ВПр*AA475*(U475/1.5),IF(M475="РПА",РПА*AA475*(U475/1.5),IF(M475="КПА",КПА*AA475*(U475/1.5),0))))</f>
        <v>0</v>
      </c>
      <c r="AW475" s="42">
        <f t="shared" si="1181"/>
        <v>0</v>
      </c>
      <c r="AX475" s="42">
        <f t="shared" si="1163"/>
        <v>0</v>
      </c>
      <c r="AY475" s="42">
        <f t="shared" si="1164"/>
        <v>0</v>
      </c>
      <c r="AZ475" s="42">
        <f t="shared" si="1182"/>
        <v>0</v>
      </c>
      <c r="BA475" s="42">
        <f t="shared" si="1165"/>
        <v>0</v>
      </c>
      <c r="BB475" s="42">
        <f t="shared" si="1166"/>
        <v>0</v>
      </c>
      <c r="BC475" s="42">
        <f t="shared" si="1167"/>
        <v>0</v>
      </c>
      <c r="BD475" s="42">
        <f t="shared" si="1183"/>
        <v>0</v>
      </c>
      <c r="BE475" s="43">
        <f t="shared" si="1184"/>
        <v>16.5</v>
      </c>
      <c r="BF475" s="44"/>
      <c r="BG475" s="45">
        <f t="shared" si="1185"/>
        <v>0</v>
      </c>
      <c r="BH475" s="45">
        <f t="shared" si="1186"/>
        <v>0</v>
      </c>
      <c r="BI475" s="45">
        <f t="shared" si="1187"/>
        <v>0</v>
      </c>
      <c r="BJ475" s="46">
        <f t="shared" si="1113"/>
        <v>16.5</v>
      </c>
      <c r="BK475" s="46">
        <f t="shared" si="1114"/>
        <v>0.5</v>
      </c>
      <c r="BL475" s="46">
        <f t="shared" si="1115"/>
        <v>0</v>
      </c>
    </row>
    <row r="476" spans="1:64" ht="30" customHeight="1" x14ac:dyDescent="0.25">
      <c r="A476" s="84" t="str">
        <f t="shared" si="1158"/>
        <v>Д</v>
      </c>
      <c r="B476" s="84" t="str">
        <f t="shared" si="1168"/>
        <v>М</v>
      </c>
      <c r="C476" s="101" t="s">
        <v>1492</v>
      </c>
      <c r="D476" s="16" t="str">
        <f t="shared" si="1169"/>
        <v>'09.04.03</v>
      </c>
      <c r="E476" s="17" t="str">
        <f t="shared" si="1170"/>
        <v>Искусственный интеллект и анализ данных</v>
      </c>
      <c r="F476" s="9" t="s">
        <v>414</v>
      </c>
      <c r="G476" s="9" t="s">
        <v>42</v>
      </c>
      <c r="H476" s="10" t="s">
        <v>3233</v>
      </c>
      <c r="I476" s="10"/>
      <c r="J476" s="24" t="s">
        <v>3320</v>
      </c>
      <c r="K476" s="11">
        <v>2</v>
      </c>
      <c r="L476" s="11"/>
      <c r="M476" s="8" t="s">
        <v>95</v>
      </c>
      <c r="N476" s="11"/>
      <c r="O476" s="11"/>
      <c r="P476" s="11"/>
      <c r="Q476" s="8"/>
      <c r="R476" s="11"/>
      <c r="S476" s="11"/>
      <c r="T476" s="11">
        <v>3</v>
      </c>
      <c r="U476" s="11"/>
      <c r="V476" s="11"/>
      <c r="W476" s="83" t="str">
        <f t="shared" si="1159"/>
        <v>НПИмд</v>
      </c>
      <c r="X476" s="110" t="s">
        <v>3246</v>
      </c>
      <c r="Y476" s="11">
        <v>1</v>
      </c>
      <c r="Z476" s="11">
        <v>1</v>
      </c>
      <c r="AA476" s="83">
        <f t="shared" si="1171"/>
        <v>22</v>
      </c>
      <c r="AB476" s="130">
        <v>11</v>
      </c>
      <c r="AC476" s="129">
        <v>11</v>
      </c>
      <c r="AD476" s="81">
        <f t="shared" si="1160"/>
        <v>1</v>
      </c>
      <c r="AE476" s="82">
        <f t="shared" si="1172"/>
        <v>1</v>
      </c>
      <c r="AF476" s="82">
        <f t="shared" si="1173"/>
        <v>22</v>
      </c>
      <c r="AG476" s="102" t="s">
        <v>3250</v>
      </c>
      <c r="AH476" s="113" t="s">
        <v>203</v>
      </c>
      <c r="AI476" s="113" t="s">
        <v>214</v>
      </c>
      <c r="AJ476" s="121" t="s">
        <v>3285</v>
      </c>
      <c r="AK476" s="8"/>
      <c r="AL476" s="42">
        <f t="shared" si="1161"/>
        <v>0</v>
      </c>
      <c r="AM476" s="42">
        <f t="shared" si="1174"/>
        <v>0</v>
      </c>
      <c r="AN476" s="42">
        <f t="shared" si="1175"/>
        <v>0</v>
      </c>
      <c r="AO476" s="42">
        <f t="shared" si="1112"/>
        <v>0</v>
      </c>
      <c r="AP476" s="42">
        <f t="shared" si="1176"/>
        <v>0</v>
      </c>
      <c r="AQ476" s="42">
        <f t="shared" si="1177"/>
        <v>0</v>
      </c>
      <c r="AR476" s="42">
        <f t="shared" si="1162"/>
        <v>0</v>
      </c>
      <c r="AS476" s="42">
        <f t="shared" si="1178"/>
        <v>0</v>
      </c>
      <c r="AT476" s="42">
        <f t="shared" si="1179"/>
        <v>0</v>
      </c>
      <c r="AU476" s="42">
        <f t="shared" si="1180"/>
        <v>66</v>
      </c>
      <c r="AV476" s="42">
        <f>IF(M476="ПП",РПП*AA476*(U476/1.5),IF(M476="ВП",ВПр*AA476*(U476/1.5),IF(M476="РПА",РПА*AA476*(U476/1.5),IF(M476="КПА",КПА*AA476*(U476/1.5),0))))</f>
        <v>0</v>
      </c>
      <c r="AW476" s="42">
        <f t="shared" si="1181"/>
        <v>0</v>
      </c>
      <c r="AX476" s="42">
        <f t="shared" si="1163"/>
        <v>0</v>
      </c>
      <c r="AY476" s="42">
        <f t="shared" si="1164"/>
        <v>0</v>
      </c>
      <c r="AZ476" s="42">
        <f t="shared" si="1182"/>
        <v>0</v>
      </c>
      <c r="BA476" s="42">
        <f t="shared" si="1165"/>
        <v>0</v>
      </c>
      <c r="BB476" s="42">
        <f t="shared" si="1166"/>
        <v>0</v>
      </c>
      <c r="BC476" s="42">
        <f t="shared" si="1167"/>
        <v>0</v>
      </c>
      <c r="BD476" s="42">
        <f t="shared" si="1183"/>
        <v>0</v>
      </c>
      <c r="BE476" s="43">
        <f t="shared" si="1184"/>
        <v>66</v>
      </c>
      <c r="BF476" s="44"/>
      <c r="BG476" s="45">
        <f t="shared" si="1185"/>
        <v>0</v>
      </c>
      <c r="BH476" s="45">
        <f t="shared" si="1186"/>
        <v>0</v>
      </c>
      <c r="BI476" s="45">
        <f t="shared" si="1187"/>
        <v>0</v>
      </c>
      <c r="BJ476" s="46">
        <f t="shared" si="1113"/>
        <v>0</v>
      </c>
      <c r="BK476" s="46">
        <f t="shared" si="1114"/>
        <v>0</v>
      </c>
      <c r="BL476" s="46">
        <f t="shared" si="1115"/>
        <v>66</v>
      </c>
    </row>
    <row r="477" spans="1:64" ht="30" customHeight="1" x14ac:dyDescent="0.25">
      <c r="A477" s="84" t="str">
        <f t="shared" si="1158"/>
        <v>Д</v>
      </c>
      <c r="B477" s="84" t="str">
        <f t="shared" si="1168"/>
        <v>М</v>
      </c>
      <c r="C477" s="101" t="s">
        <v>1492</v>
      </c>
      <c r="D477" s="16" t="str">
        <f t="shared" si="1169"/>
        <v>'09.04.03</v>
      </c>
      <c r="E477" s="17" t="str">
        <f t="shared" si="1170"/>
        <v>Искусственный интеллект и анализ данных</v>
      </c>
      <c r="F477" s="9" t="s">
        <v>413</v>
      </c>
      <c r="G477" s="9" t="s">
        <v>42</v>
      </c>
      <c r="H477" s="10"/>
      <c r="I477" s="10"/>
      <c r="J477" s="24" t="s">
        <v>3322</v>
      </c>
      <c r="K477" s="11">
        <v>3</v>
      </c>
      <c r="L477" s="11">
        <v>18</v>
      </c>
      <c r="M477" s="8" t="s">
        <v>23</v>
      </c>
      <c r="N477" s="11">
        <v>1</v>
      </c>
      <c r="O477" s="11"/>
      <c r="P477" s="11"/>
      <c r="Q477" s="8"/>
      <c r="R477" s="11"/>
      <c r="S477" s="11"/>
      <c r="T477" s="11"/>
      <c r="U477" s="11"/>
      <c r="V477" s="11"/>
      <c r="W477" s="83" t="str">
        <f t="shared" si="1159"/>
        <v>НПИмд</v>
      </c>
      <c r="X477" s="110" t="s">
        <v>3234</v>
      </c>
      <c r="Y477" s="11">
        <v>1</v>
      </c>
      <c r="Z477" s="11">
        <v>1</v>
      </c>
      <c r="AA477" s="83">
        <f t="shared" si="1171"/>
        <v>4</v>
      </c>
      <c r="AB477" s="11">
        <v>2</v>
      </c>
      <c r="AC477" s="11">
        <v>2</v>
      </c>
      <c r="AD477" s="81">
        <f t="shared" si="1160"/>
        <v>4</v>
      </c>
      <c r="AE477" s="82">
        <f t="shared" si="1172"/>
        <v>1</v>
      </c>
      <c r="AF477" s="82">
        <f t="shared" si="1173"/>
        <v>1</v>
      </c>
      <c r="AG477" s="102" t="s">
        <v>3250</v>
      </c>
      <c r="AH477" s="8" t="s">
        <v>204</v>
      </c>
      <c r="AI477" s="8" t="s">
        <v>212</v>
      </c>
      <c r="AJ477" s="36" t="s">
        <v>3254</v>
      </c>
      <c r="AK477" s="8"/>
      <c r="AL477" s="42">
        <f t="shared" si="1161"/>
        <v>18</v>
      </c>
      <c r="AM477" s="42">
        <f t="shared" si="1174"/>
        <v>0</v>
      </c>
      <c r="AN477" s="42">
        <f t="shared" si="1175"/>
        <v>0</v>
      </c>
      <c r="AO477" s="42">
        <f t="shared" si="1112"/>
        <v>0</v>
      </c>
      <c r="AP477" s="42">
        <f t="shared" si="1176"/>
        <v>0</v>
      </c>
      <c r="AQ477" s="42">
        <f t="shared" si="1177"/>
        <v>0</v>
      </c>
      <c r="AR477" s="42">
        <f t="shared" si="1162"/>
        <v>0.9</v>
      </c>
      <c r="AS477" s="42">
        <f t="shared" si="1178"/>
        <v>0</v>
      </c>
      <c r="AT477" s="42">
        <f t="shared" si="1179"/>
        <v>0</v>
      </c>
      <c r="AU477" s="42">
        <f t="shared" si="1180"/>
        <v>0</v>
      </c>
      <c r="AV477" s="42">
        <f>IF(M477="ПП",РПП*AA477*(U477/1.5),IF(M477="ВП",ВПр*AA477*(U477/1.5),IF(M477="РПА",РПА*AA477*(U477/1.5),IF(M477="КПА",КПА*AA477*(U477/1.5),0))))</f>
        <v>0</v>
      </c>
      <c r="AW477" s="42">
        <f t="shared" si="1181"/>
        <v>0</v>
      </c>
      <c r="AX477" s="42">
        <f t="shared" si="1163"/>
        <v>0</v>
      </c>
      <c r="AY477" s="42">
        <f t="shared" si="1164"/>
        <v>0</v>
      </c>
      <c r="AZ477" s="42">
        <f t="shared" si="1182"/>
        <v>0</v>
      </c>
      <c r="BA477" s="42">
        <f t="shared" si="1165"/>
        <v>0</v>
      </c>
      <c r="BB477" s="42">
        <f t="shared" si="1166"/>
        <v>0</v>
      </c>
      <c r="BC477" s="42">
        <f t="shared" si="1167"/>
        <v>0</v>
      </c>
      <c r="BD477" s="42">
        <f t="shared" si="1183"/>
        <v>0</v>
      </c>
      <c r="BE477" s="43">
        <f t="shared" si="1184"/>
        <v>18.899999999999999</v>
      </c>
      <c r="BF477" s="44"/>
      <c r="BG477" s="45">
        <f t="shared" si="1185"/>
        <v>18</v>
      </c>
      <c r="BH477" s="45">
        <f t="shared" si="1186"/>
        <v>0.5</v>
      </c>
      <c r="BI477" s="45">
        <f t="shared" si="1187"/>
        <v>0.9</v>
      </c>
      <c r="BJ477" s="46">
        <f t="shared" si="1113"/>
        <v>0</v>
      </c>
      <c r="BK477" s="46">
        <f t="shared" si="1114"/>
        <v>0</v>
      </c>
      <c r="BL477" s="46">
        <f t="shared" si="1115"/>
        <v>0</v>
      </c>
    </row>
    <row r="478" spans="1:64" ht="30" customHeight="1" x14ac:dyDescent="0.25">
      <c r="A478" s="84" t="str">
        <f t="shared" si="1158"/>
        <v>Д</v>
      </c>
      <c r="B478" s="84" t="str">
        <f t="shared" si="1168"/>
        <v>М</v>
      </c>
      <c r="C478" s="101" t="s">
        <v>1492</v>
      </c>
      <c r="D478" s="16" t="str">
        <f t="shared" si="1169"/>
        <v>'09.04.03</v>
      </c>
      <c r="E478" s="17" t="str">
        <f t="shared" si="1170"/>
        <v>Искусственный интеллект и анализ данных</v>
      </c>
      <c r="F478" s="9" t="s">
        <v>413</v>
      </c>
      <c r="G478" s="9" t="s">
        <v>42</v>
      </c>
      <c r="H478" s="10"/>
      <c r="I478" s="10"/>
      <c r="J478" s="24" t="s">
        <v>3322</v>
      </c>
      <c r="K478" s="11">
        <v>3</v>
      </c>
      <c r="L478" s="11">
        <v>18</v>
      </c>
      <c r="M478" s="8" t="s">
        <v>94</v>
      </c>
      <c r="N478" s="11"/>
      <c r="O478" s="11">
        <v>1</v>
      </c>
      <c r="P478" s="11"/>
      <c r="Q478" s="8"/>
      <c r="R478" s="11"/>
      <c r="S478" s="11"/>
      <c r="T478" s="11"/>
      <c r="U478" s="11"/>
      <c r="V478" s="11"/>
      <c r="W478" s="83" t="str">
        <f t="shared" si="1159"/>
        <v>НПИмд</v>
      </c>
      <c r="X478" s="110" t="s">
        <v>3234</v>
      </c>
      <c r="Y478" s="11">
        <v>1</v>
      </c>
      <c r="Z478" s="11">
        <v>1</v>
      </c>
      <c r="AA478" s="83">
        <f t="shared" si="1171"/>
        <v>4</v>
      </c>
      <c r="AB478" s="11">
        <v>2</v>
      </c>
      <c r="AC478" s="11">
        <v>2</v>
      </c>
      <c r="AD478" s="81">
        <f t="shared" si="1160"/>
        <v>12</v>
      </c>
      <c r="AE478" s="82">
        <f t="shared" si="1172"/>
        <v>0.33333333333333331</v>
      </c>
      <c r="AF478" s="82">
        <f t="shared" si="1173"/>
        <v>0.33333333333333331</v>
      </c>
      <c r="AG478" s="102" t="s">
        <v>3250</v>
      </c>
      <c r="AH478" s="8" t="s">
        <v>204</v>
      </c>
      <c r="AI478" s="8" t="s">
        <v>212</v>
      </c>
      <c r="AJ478" s="36" t="s">
        <v>3254</v>
      </c>
      <c r="AK478" s="8"/>
      <c r="AL478" s="42">
        <f t="shared" si="1161"/>
        <v>0</v>
      </c>
      <c r="AM478" s="42">
        <f t="shared" si="1174"/>
        <v>0</v>
      </c>
      <c r="AN478" s="42">
        <f t="shared" si="1175"/>
        <v>6</v>
      </c>
      <c r="AO478" s="42">
        <f t="shared" si="1112"/>
        <v>0</v>
      </c>
      <c r="AP478" s="42">
        <f t="shared" si="1176"/>
        <v>0</v>
      </c>
      <c r="AQ478" s="42">
        <f t="shared" si="1177"/>
        <v>0</v>
      </c>
      <c r="AR478" s="42">
        <f t="shared" si="1162"/>
        <v>0</v>
      </c>
      <c r="AS478" s="42">
        <f t="shared" si="1178"/>
        <v>0</v>
      </c>
      <c r="AT478" s="42">
        <f t="shared" si="1179"/>
        <v>0</v>
      </c>
      <c r="AU478" s="42">
        <f t="shared" si="1180"/>
        <v>0</v>
      </c>
      <c r="AV478" s="42">
        <f>IF(M478="ПП",РПП*AA478*(U478/1.5),IF(M478="ВП",ВПр*AA478*(U478/1.5),IF(M478="РПА",РПА*AA478*(U478/1.5),IF(M478="КПА",КПА*AA478*(U478/1.5),0))))</f>
        <v>0</v>
      </c>
      <c r="AW478" s="42">
        <f t="shared" si="1181"/>
        <v>0</v>
      </c>
      <c r="AX478" s="42">
        <f t="shared" si="1163"/>
        <v>0</v>
      </c>
      <c r="AY478" s="42">
        <f t="shared" si="1164"/>
        <v>0</v>
      </c>
      <c r="AZ478" s="42">
        <f t="shared" si="1182"/>
        <v>0</v>
      </c>
      <c r="BA478" s="42">
        <f t="shared" si="1165"/>
        <v>0</v>
      </c>
      <c r="BB478" s="42">
        <f t="shared" si="1166"/>
        <v>0</v>
      </c>
      <c r="BC478" s="42">
        <f t="shared" si="1167"/>
        <v>0</v>
      </c>
      <c r="BD478" s="42">
        <f t="shared" si="1183"/>
        <v>0</v>
      </c>
      <c r="BE478" s="43">
        <f t="shared" si="1184"/>
        <v>6</v>
      </c>
      <c r="BF478" s="44"/>
      <c r="BG478" s="45">
        <f t="shared" si="1185"/>
        <v>6</v>
      </c>
      <c r="BH478" s="45">
        <f t="shared" si="1186"/>
        <v>0.5</v>
      </c>
      <c r="BI478" s="45">
        <f t="shared" si="1187"/>
        <v>0</v>
      </c>
      <c r="BJ478" s="46">
        <f t="shared" si="1113"/>
        <v>0</v>
      </c>
      <c r="BK478" s="46">
        <f t="shared" si="1114"/>
        <v>0</v>
      </c>
      <c r="BL478" s="46">
        <f t="shared" si="1115"/>
        <v>0</v>
      </c>
    </row>
    <row r="479" spans="1:64" ht="30" customHeight="1" x14ac:dyDescent="0.25">
      <c r="A479" s="84" t="str">
        <f t="shared" si="1158"/>
        <v>Д</v>
      </c>
      <c r="B479" s="84" t="str">
        <f t="shared" si="1168"/>
        <v>М</v>
      </c>
      <c r="C479" s="101" t="s">
        <v>1492</v>
      </c>
      <c r="D479" s="16" t="str">
        <f t="shared" si="1169"/>
        <v>'09.04.03</v>
      </c>
      <c r="E479" s="17" t="str">
        <f t="shared" si="1170"/>
        <v>Искусственный интеллект и анализ данных</v>
      </c>
      <c r="F479" s="9" t="s">
        <v>413</v>
      </c>
      <c r="G479" s="9" t="s">
        <v>42</v>
      </c>
      <c r="H479" s="10"/>
      <c r="I479" s="10"/>
      <c r="J479" s="24" t="s">
        <v>3323</v>
      </c>
      <c r="K479" s="11">
        <v>3</v>
      </c>
      <c r="L479" s="11">
        <v>18</v>
      </c>
      <c r="M479" s="8" t="s">
        <v>23</v>
      </c>
      <c r="N479" s="11">
        <v>1</v>
      </c>
      <c r="O479" s="11"/>
      <c r="P479" s="11"/>
      <c r="Q479" s="8"/>
      <c r="R479" s="11"/>
      <c r="S479" s="11"/>
      <c r="T479" s="11"/>
      <c r="U479" s="11"/>
      <c r="V479" s="11"/>
      <c r="W479" s="83" t="str">
        <f t="shared" si="1159"/>
        <v>НПИмд</v>
      </c>
      <c r="X479" s="110" t="s">
        <v>3234</v>
      </c>
      <c r="Y479" s="11">
        <v>1</v>
      </c>
      <c r="Z479" s="11">
        <v>1</v>
      </c>
      <c r="AA479" s="83">
        <f t="shared" si="1171"/>
        <v>4</v>
      </c>
      <c r="AB479" s="11">
        <v>2</v>
      </c>
      <c r="AC479" s="11">
        <v>2</v>
      </c>
      <c r="AD479" s="81">
        <f t="shared" si="1160"/>
        <v>4</v>
      </c>
      <c r="AE479" s="82">
        <f t="shared" si="1172"/>
        <v>1</v>
      </c>
      <c r="AF479" s="82">
        <f t="shared" si="1173"/>
        <v>1</v>
      </c>
      <c r="AG479" s="102" t="s">
        <v>3250</v>
      </c>
      <c r="AH479" s="8" t="s">
        <v>204</v>
      </c>
      <c r="AI479" s="8" t="s">
        <v>212</v>
      </c>
      <c r="AJ479" s="37" t="s">
        <v>3265</v>
      </c>
      <c r="AK479" s="8"/>
      <c r="AL479" s="42">
        <f t="shared" si="1161"/>
        <v>18</v>
      </c>
      <c r="AM479" s="42">
        <f t="shared" si="1174"/>
        <v>0</v>
      </c>
      <c r="AN479" s="42">
        <f t="shared" si="1175"/>
        <v>0</v>
      </c>
      <c r="AO479" s="42">
        <f t="shared" si="1112"/>
        <v>0</v>
      </c>
      <c r="AP479" s="42">
        <f t="shared" si="1176"/>
        <v>0</v>
      </c>
      <c r="AQ479" s="42">
        <f t="shared" si="1177"/>
        <v>0</v>
      </c>
      <c r="AR479" s="42">
        <f t="shared" si="1162"/>
        <v>0.9</v>
      </c>
      <c r="AS479" s="42">
        <f t="shared" si="1178"/>
        <v>0</v>
      </c>
      <c r="AT479" s="42">
        <f t="shared" si="1179"/>
        <v>0</v>
      </c>
      <c r="AU479" s="42">
        <f t="shared" si="1180"/>
        <v>0</v>
      </c>
      <c r="AV479" s="42">
        <f>IF(M479="ПП",РПП*AA479*(U479/1.5),IF(M479="ВП",ВПр*AA479*(U479/1.5),IF(M479="РПА",РПА*AA479*(U479/1.5),IF(M479="КПА",КПА*AA479*(U479/1.5),0))))</f>
        <v>0</v>
      </c>
      <c r="AW479" s="42">
        <f t="shared" si="1181"/>
        <v>0</v>
      </c>
      <c r="AX479" s="42">
        <f t="shared" si="1163"/>
        <v>0</v>
      </c>
      <c r="AY479" s="42">
        <f t="shared" si="1164"/>
        <v>0</v>
      </c>
      <c r="AZ479" s="42">
        <f t="shared" si="1182"/>
        <v>0</v>
      </c>
      <c r="BA479" s="42">
        <f t="shared" si="1165"/>
        <v>0</v>
      </c>
      <c r="BB479" s="42">
        <f t="shared" si="1166"/>
        <v>0</v>
      </c>
      <c r="BC479" s="42">
        <f t="shared" si="1167"/>
        <v>0</v>
      </c>
      <c r="BD479" s="42">
        <f t="shared" si="1183"/>
        <v>0</v>
      </c>
      <c r="BE479" s="43">
        <f t="shared" si="1184"/>
        <v>18.899999999999999</v>
      </c>
      <c r="BF479" s="44"/>
      <c r="BG479" s="45">
        <f t="shared" si="1185"/>
        <v>18</v>
      </c>
      <c r="BH479" s="45">
        <f t="shared" si="1186"/>
        <v>0.5</v>
      </c>
      <c r="BI479" s="45">
        <f t="shared" si="1187"/>
        <v>0.9</v>
      </c>
      <c r="BJ479" s="46">
        <f t="shared" si="1113"/>
        <v>0</v>
      </c>
      <c r="BK479" s="46">
        <f t="shared" si="1114"/>
        <v>0</v>
      </c>
      <c r="BL479" s="46">
        <f t="shared" si="1115"/>
        <v>0</v>
      </c>
    </row>
    <row r="480" spans="1:64" ht="30" customHeight="1" x14ac:dyDescent="0.25">
      <c r="A480" s="84" t="str">
        <f t="shared" si="1158"/>
        <v>Д</v>
      </c>
      <c r="B480" s="84" t="str">
        <f t="shared" si="1168"/>
        <v>М</v>
      </c>
      <c r="C480" s="101" t="s">
        <v>1492</v>
      </c>
      <c r="D480" s="16" t="str">
        <f t="shared" si="1169"/>
        <v>'09.04.03</v>
      </c>
      <c r="E480" s="17" t="str">
        <f t="shared" si="1170"/>
        <v>Искусственный интеллект и анализ данных</v>
      </c>
      <c r="F480" s="9" t="s">
        <v>413</v>
      </c>
      <c r="G480" s="9" t="s">
        <v>42</v>
      </c>
      <c r="H480" s="10"/>
      <c r="I480" s="10"/>
      <c r="J480" s="24" t="s">
        <v>3323</v>
      </c>
      <c r="K480" s="11">
        <v>3</v>
      </c>
      <c r="L480" s="11">
        <v>18</v>
      </c>
      <c r="M480" s="8" t="s">
        <v>24</v>
      </c>
      <c r="N480" s="11"/>
      <c r="O480" s="11"/>
      <c r="P480" s="11">
        <v>2</v>
      </c>
      <c r="Q480" s="8"/>
      <c r="R480" s="12"/>
      <c r="S480" s="12"/>
      <c r="T480" s="12"/>
      <c r="U480" s="12"/>
      <c r="V480" s="12"/>
      <c r="W480" s="83" t="str">
        <f t="shared" si="1159"/>
        <v>НПИмд</v>
      </c>
      <c r="X480" s="110" t="s">
        <v>3234</v>
      </c>
      <c r="Y480" s="11">
        <v>1</v>
      </c>
      <c r="Z480" s="11">
        <v>1</v>
      </c>
      <c r="AA480" s="83">
        <f t="shared" si="1171"/>
        <v>4</v>
      </c>
      <c r="AB480" s="11">
        <v>2</v>
      </c>
      <c r="AC480" s="11">
        <v>2</v>
      </c>
      <c r="AD480" s="81">
        <f t="shared" si="1160"/>
        <v>12</v>
      </c>
      <c r="AE480" s="82">
        <f t="shared" si="1172"/>
        <v>0.33333333333333331</v>
      </c>
      <c r="AF480" s="82">
        <f t="shared" si="1173"/>
        <v>0.33333333333333331</v>
      </c>
      <c r="AG480" s="102" t="s">
        <v>3250</v>
      </c>
      <c r="AH480" s="8" t="s">
        <v>204</v>
      </c>
      <c r="AI480" s="8" t="s">
        <v>212</v>
      </c>
      <c r="AJ480" s="35" t="s">
        <v>3265</v>
      </c>
      <c r="AK480" s="8"/>
      <c r="AL480" s="42">
        <f t="shared" si="1161"/>
        <v>0</v>
      </c>
      <c r="AM480" s="42">
        <f t="shared" si="1174"/>
        <v>12</v>
      </c>
      <c r="AN480" s="42">
        <f t="shared" si="1175"/>
        <v>0</v>
      </c>
      <c r="AO480" s="42">
        <f t="shared" si="1112"/>
        <v>0</v>
      </c>
      <c r="AP480" s="42">
        <f t="shared" si="1176"/>
        <v>0</v>
      </c>
      <c r="AQ480" s="42">
        <f t="shared" si="1177"/>
        <v>0</v>
      </c>
      <c r="AR480" s="42">
        <f t="shared" si="1162"/>
        <v>0</v>
      </c>
      <c r="AS480" s="42">
        <f t="shared" si="1178"/>
        <v>0</v>
      </c>
      <c r="AT480" s="42">
        <f t="shared" si="1179"/>
        <v>0</v>
      </c>
      <c r="AU480" s="42">
        <f t="shared" si="1180"/>
        <v>0</v>
      </c>
      <c r="AV480" s="42">
        <f>IF(M480="ПП",РПП*AA480*(U480/1.5),IF(M480="ВП",ВПр*AA480*(U480/1.5),IF(M480="РПА",РПА*AA480*(U480/1.5),IF(M480="КПА",КПА*AA480*(U480/1.5),0))))</f>
        <v>0</v>
      </c>
      <c r="AW480" s="42">
        <f t="shared" si="1181"/>
        <v>0</v>
      </c>
      <c r="AX480" s="42">
        <f t="shared" si="1163"/>
        <v>0</v>
      </c>
      <c r="AY480" s="42">
        <f t="shared" si="1164"/>
        <v>0</v>
      </c>
      <c r="AZ480" s="42">
        <f t="shared" si="1182"/>
        <v>0</v>
      </c>
      <c r="BA480" s="42">
        <f t="shared" si="1165"/>
        <v>0</v>
      </c>
      <c r="BB480" s="42">
        <f t="shared" si="1166"/>
        <v>0</v>
      </c>
      <c r="BC480" s="42">
        <f t="shared" si="1167"/>
        <v>0</v>
      </c>
      <c r="BD480" s="42">
        <f t="shared" si="1183"/>
        <v>0</v>
      </c>
      <c r="BE480" s="43">
        <f t="shared" si="1184"/>
        <v>12</v>
      </c>
      <c r="BF480" s="44"/>
      <c r="BG480" s="45">
        <f t="shared" si="1185"/>
        <v>12</v>
      </c>
      <c r="BH480" s="45">
        <f t="shared" si="1186"/>
        <v>1</v>
      </c>
      <c r="BI480" s="45">
        <f t="shared" si="1187"/>
        <v>0</v>
      </c>
      <c r="BJ480" s="46">
        <f t="shared" si="1113"/>
        <v>0</v>
      </c>
      <c r="BK480" s="46">
        <f t="shared" si="1114"/>
        <v>0</v>
      </c>
      <c r="BL480" s="46">
        <f t="shared" si="1115"/>
        <v>0</v>
      </c>
    </row>
    <row r="481" spans="1:64" ht="30" customHeight="1" x14ac:dyDescent="0.25">
      <c r="A481" s="84" t="str">
        <f t="shared" si="1158"/>
        <v>Д</v>
      </c>
      <c r="B481" s="84" t="str">
        <f t="shared" si="1168"/>
        <v>М</v>
      </c>
      <c r="C481" s="101" t="s">
        <v>1492</v>
      </c>
      <c r="D481" s="16" t="str">
        <f t="shared" si="1169"/>
        <v>'09.04.03</v>
      </c>
      <c r="E481" s="17" t="str">
        <f t="shared" si="1170"/>
        <v>Искусственный интеллект и анализ данных</v>
      </c>
      <c r="F481" s="9" t="s">
        <v>413</v>
      </c>
      <c r="G481" s="9" t="s">
        <v>503</v>
      </c>
      <c r="H481" s="10" t="s">
        <v>3233</v>
      </c>
      <c r="I481" s="10" t="s">
        <v>3231</v>
      </c>
      <c r="J481" s="24" t="s">
        <v>3324</v>
      </c>
      <c r="K481" s="11">
        <v>3</v>
      </c>
      <c r="L481" s="11">
        <v>18</v>
      </c>
      <c r="M481" s="8" t="s">
        <v>23</v>
      </c>
      <c r="N481" s="11">
        <v>1</v>
      </c>
      <c r="O481" s="11"/>
      <c r="P481" s="11"/>
      <c r="Q481" s="8"/>
      <c r="R481" s="11"/>
      <c r="S481" s="11"/>
      <c r="T481" s="23"/>
      <c r="U481" s="11"/>
      <c r="V481" s="11"/>
      <c r="W481" s="83" t="str">
        <f t="shared" si="1159"/>
        <v>НПИмд</v>
      </c>
      <c r="X481" s="110" t="s">
        <v>3234</v>
      </c>
      <c r="Y481" s="11">
        <v>1</v>
      </c>
      <c r="Z481" s="11">
        <v>1</v>
      </c>
      <c r="AA481" s="83">
        <f t="shared" si="1171"/>
        <v>2</v>
      </c>
      <c r="AB481" s="11">
        <v>1</v>
      </c>
      <c r="AC481" s="11">
        <v>1</v>
      </c>
      <c r="AD481" s="81">
        <f t="shared" si="1160"/>
        <v>2</v>
      </c>
      <c r="AE481" s="82">
        <f t="shared" si="1172"/>
        <v>1</v>
      </c>
      <c r="AF481" s="82">
        <f t="shared" si="1173"/>
        <v>1</v>
      </c>
      <c r="AG481" s="102" t="s">
        <v>3250</v>
      </c>
      <c r="AH481" s="8" t="s">
        <v>201</v>
      </c>
      <c r="AI481" s="8" t="s">
        <v>212</v>
      </c>
      <c r="AJ481" s="35" t="s">
        <v>3349</v>
      </c>
      <c r="AK481" s="8"/>
      <c r="AL481" s="42">
        <f t="shared" si="1161"/>
        <v>18</v>
      </c>
      <c r="AM481" s="42">
        <f t="shared" si="1174"/>
        <v>0</v>
      </c>
      <c r="AN481" s="42">
        <f t="shared" si="1175"/>
        <v>0</v>
      </c>
      <c r="AO481" s="42">
        <f t="shared" si="1112"/>
        <v>0</v>
      </c>
      <c r="AP481" s="42">
        <f t="shared" si="1176"/>
        <v>0</v>
      </c>
      <c r="AQ481" s="42">
        <f t="shared" si="1177"/>
        <v>0</v>
      </c>
      <c r="AR481" s="42">
        <f t="shared" si="1162"/>
        <v>0.9</v>
      </c>
      <c r="AS481" s="42">
        <f t="shared" si="1178"/>
        <v>0</v>
      </c>
      <c r="AT481" s="42">
        <f t="shared" si="1179"/>
        <v>0</v>
      </c>
      <c r="AU481" s="42">
        <f t="shared" si="1180"/>
        <v>0</v>
      </c>
      <c r="AV481" s="42">
        <f>IF(M481="ПП",РПП*AA481*(U481/1.5),IF(M481="ВП",ВПр*AA481*(U481/1.5),IF(M481="РПА",РПА*AA481*(U481/1.5),IF(M481="КПА",КПА*AA481*(U481/1.5),0))))</f>
        <v>0</v>
      </c>
      <c r="AW481" s="42">
        <f t="shared" si="1181"/>
        <v>0</v>
      </c>
      <c r="AX481" s="42">
        <f t="shared" si="1163"/>
        <v>0</v>
      </c>
      <c r="AY481" s="42">
        <f t="shared" si="1164"/>
        <v>0</v>
      </c>
      <c r="AZ481" s="42">
        <f t="shared" si="1182"/>
        <v>0</v>
      </c>
      <c r="BA481" s="42">
        <f t="shared" si="1165"/>
        <v>0</v>
      </c>
      <c r="BB481" s="42">
        <f t="shared" si="1166"/>
        <v>0</v>
      </c>
      <c r="BC481" s="42">
        <f t="shared" si="1167"/>
        <v>0</v>
      </c>
      <c r="BD481" s="42">
        <f t="shared" si="1183"/>
        <v>0</v>
      </c>
      <c r="BE481" s="43">
        <f t="shared" si="1184"/>
        <v>18.899999999999999</v>
      </c>
      <c r="BF481" s="44"/>
      <c r="BG481" s="45">
        <f t="shared" si="1185"/>
        <v>18</v>
      </c>
      <c r="BH481" s="45">
        <f t="shared" si="1186"/>
        <v>0.5</v>
      </c>
      <c r="BI481" s="45">
        <f t="shared" si="1187"/>
        <v>0.9</v>
      </c>
      <c r="BJ481" s="46">
        <f t="shared" si="1113"/>
        <v>0</v>
      </c>
      <c r="BK481" s="46">
        <f t="shared" si="1114"/>
        <v>0</v>
      </c>
      <c r="BL481" s="46">
        <f t="shared" si="1115"/>
        <v>0</v>
      </c>
    </row>
    <row r="482" spans="1:64" ht="30" customHeight="1" x14ac:dyDescent="0.25">
      <c r="A482" s="84" t="str">
        <f t="shared" si="1158"/>
        <v>Д</v>
      </c>
      <c r="B482" s="84" t="str">
        <f t="shared" si="1168"/>
        <v>М</v>
      </c>
      <c r="C482" s="101" t="s">
        <v>1492</v>
      </c>
      <c r="D482" s="16" t="str">
        <f t="shared" si="1169"/>
        <v>'09.04.03</v>
      </c>
      <c r="E482" s="17" t="str">
        <f t="shared" si="1170"/>
        <v>Искусственный интеллект и анализ данных</v>
      </c>
      <c r="F482" s="9" t="s">
        <v>413</v>
      </c>
      <c r="G482" s="9" t="s">
        <v>503</v>
      </c>
      <c r="H482" s="10" t="s">
        <v>3233</v>
      </c>
      <c r="I482" s="10" t="s">
        <v>3231</v>
      </c>
      <c r="J482" s="24" t="s">
        <v>3324</v>
      </c>
      <c r="K482" s="11">
        <v>3</v>
      </c>
      <c r="L482" s="11">
        <v>18</v>
      </c>
      <c r="M482" s="8" t="s">
        <v>24</v>
      </c>
      <c r="N482" s="12"/>
      <c r="O482" s="12"/>
      <c r="P482" s="12">
        <v>2</v>
      </c>
      <c r="Q482" s="8"/>
      <c r="R482" s="11"/>
      <c r="S482" s="11"/>
      <c r="T482" s="23"/>
      <c r="U482" s="11"/>
      <c r="V482" s="11"/>
      <c r="W482" s="83" t="str">
        <f t="shared" si="1159"/>
        <v>НПИмд</v>
      </c>
      <c r="X482" s="110" t="s">
        <v>3234</v>
      </c>
      <c r="Y482" s="11">
        <v>1</v>
      </c>
      <c r="Z482" s="11">
        <v>1</v>
      </c>
      <c r="AA482" s="83">
        <f t="shared" si="1171"/>
        <v>2</v>
      </c>
      <c r="AB482" s="11">
        <v>1</v>
      </c>
      <c r="AC482" s="11">
        <v>1</v>
      </c>
      <c r="AD482" s="81">
        <f t="shared" si="1160"/>
        <v>12</v>
      </c>
      <c r="AE482" s="82">
        <f t="shared" si="1172"/>
        <v>0.16666666666666666</v>
      </c>
      <c r="AF482" s="82">
        <f t="shared" si="1173"/>
        <v>0.16666666666666666</v>
      </c>
      <c r="AG482" s="102" t="s">
        <v>3250</v>
      </c>
      <c r="AH482" s="8" t="s">
        <v>201</v>
      </c>
      <c r="AI482" s="8" t="s">
        <v>212</v>
      </c>
      <c r="AJ482" s="35" t="s">
        <v>3349</v>
      </c>
      <c r="AK482" s="8"/>
      <c r="AL482" s="42">
        <f t="shared" si="1161"/>
        <v>0</v>
      </c>
      <c r="AM482" s="42">
        <f t="shared" si="1174"/>
        <v>6</v>
      </c>
      <c r="AN482" s="42">
        <f t="shared" si="1175"/>
        <v>0</v>
      </c>
      <c r="AO482" s="42">
        <f t="shared" si="1112"/>
        <v>0</v>
      </c>
      <c r="AP482" s="42">
        <f t="shared" si="1176"/>
        <v>0</v>
      </c>
      <c r="AQ482" s="42">
        <f t="shared" si="1177"/>
        <v>0</v>
      </c>
      <c r="AR482" s="42">
        <f t="shared" si="1162"/>
        <v>0</v>
      </c>
      <c r="AS482" s="42">
        <f t="shared" si="1178"/>
        <v>0</v>
      </c>
      <c r="AT482" s="42">
        <f t="shared" si="1179"/>
        <v>0</v>
      </c>
      <c r="AU482" s="42">
        <f t="shared" si="1180"/>
        <v>0</v>
      </c>
      <c r="AV482" s="42">
        <f>IF(M482="ПП",РПП*AA482*(U482/1.5),IF(M482="ВП",ВПр*AA482*(U482/1.5),IF(M482="РПА",РПА*AA482*(U482/1.5),IF(M482="КПА",КПА*AA482*(U482/1.5),0))))</f>
        <v>0</v>
      </c>
      <c r="AW482" s="42">
        <f t="shared" si="1181"/>
        <v>0</v>
      </c>
      <c r="AX482" s="42">
        <f t="shared" si="1163"/>
        <v>0</v>
      </c>
      <c r="AY482" s="42">
        <f t="shared" si="1164"/>
        <v>0</v>
      </c>
      <c r="AZ482" s="42">
        <f t="shared" si="1182"/>
        <v>0</v>
      </c>
      <c r="BA482" s="42">
        <f t="shared" si="1165"/>
        <v>0</v>
      </c>
      <c r="BB482" s="42">
        <f t="shared" si="1166"/>
        <v>0</v>
      </c>
      <c r="BC482" s="42">
        <f t="shared" si="1167"/>
        <v>0</v>
      </c>
      <c r="BD482" s="42">
        <f t="shared" si="1183"/>
        <v>0</v>
      </c>
      <c r="BE482" s="43">
        <f t="shared" si="1184"/>
        <v>6</v>
      </c>
      <c r="BF482" s="44"/>
      <c r="BG482" s="45">
        <f t="shared" si="1185"/>
        <v>6</v>
      </c>
      <c r="BH482" s="45">
        <f t="shared" si="1186"/>
        <v>1</v>
      </c>
      <c r="BI482" s="45">
        <f t="shared" si="1187"/>
        <v>0</v>
      </c>
      <c r="BJ482" s="46">
        <f t="shared" si="1113"/>
        <v>0</v>
      </c>
      <c r="BK482" s="46">
        <f t="shared" si="1114"/>
        <v>0</v>
      </c>
      <c r="BL482" s="46">
        <f t="shared" si="1115"/>
        <v>0</v>
      </c>
    </row>
    <row r="483" spans="1:64" ht="30" customHeight="1" x14ac:dyDescent="0.25">
      <c r="A483" s="84" t="str">
        <f t="shared" si="1158"/>
        <v>Д</v>
      </c>
      <c r="B483" s="84" t="str">
        <f t="shared" si="1168"/>
        <v>М</v>
      </c>
      <c r="C483" s="101" t="s">
        <v>1492</v>
      </c>
      <c r="D483" s="16" t="str">
        <f t="shared" si="1169"/>
        <v>'09.04.03</v>
      </c>
      <c r="E483" s="17" t="str">
        <f t="shared" si="1170"/>
        <v>Искусственный интеллект и анализ данных</v>
      </c>
      <c r="F483" s="9" t="s">
        <v>498</v>
      </c>
      <c r="G483" s="9" t="s">
        <v>42</v>
      </c>
      <c r="H483" s="10"/>
      <c r="I483" s="10"/>
      <c r="J483" s="24" t="s">
        <v>3325</v>
      </c>
      <c r="K483" s="11">
        <v>3</v>
      </c>
      <c r="L483" s="11">
        <v>18</v>
      </c>
      <c r="M483" s="128" t="s">
        <v>91</v>
      </c>
      <c r="N483" s="11"/>
      <c r="O483" s="11"/>
      <c r="P483" s="11"/>
      <c r="Q483" s="8"/>
      <c r="R483" s="11"/>
      <c r="S483" s="11"/>
      <c r="T483" s="11"/>
      <c r="U483" s="11">
        <v>6</v>
      </c>
      <c r="V483" s="11"/>
      <c r="W483" s="83" t="str">
        <f t="shared" si="1159"/>
        <v>НПИмд</v>
      </c>
      <c r="X483" s="110" t="s">
        <v>3234</v>
      </c>
      <c r="Y483" s="11">
        <v>1</v>
      </c>
      <c r="Z483" s="11">
        <v>1</v>
      </c>
      <c r="AA483" s="83">
        <f t="shared" si="1171"/>
        <v>4</v>
      </c>
      <c r="AB483" s="11">
        <v>2</v>
      </c>
      <c r="AC483" s="11">
        <v>2</v>
      </c>
      <c r="AD483" s="81">
        <f t="shared" si="1160"/>
        <v>1</v>
      </c>
      <c r="AE483" s="82">
        <f t="shared" si="1172"/>
        <v>1</v>
      </c>
      <c r="AF483" s="82">
        <f t="shared" si="1173"/>
        <v>4</v>
      </c>
      <c r="AG483" s="102" t="s">
        <v>3250</v>
      </c>
      <c r="AH483" s="8" t="s">
        <v>204</v>
      </c>
      <c r="AI483" s="8" t="s">
        <v>212</v>
      </c>
      <c r="AJ483" s="35" t="s">
        <v>3254</v>
      </c>
      <c r="AK483" s="8"/>
      <c r="AL483" s="42">
        <f t="shared" si="1161"/>
        <v>0</v>
      </c>
      <c r="AM483" s="42">
        <f t="shared" si="1174"/>
        <v>0</v>
      </c>
      <c r="AN483" s="42">
        <f t="shared" si="1175"/>
        <v>0</v>
      </c>
      <c r="AO483" s="42">
        <f t="shared" si="1112"/>
        <v>0</v>
      </c>
      <c r="AP483" s="42">
        <f t="shared" si="1176"/>
        <v>0</v>
      </c>
      <c r="AQ483" s="42">
        <f t="shared" si="1177"/>
        <v>0</v>
      </c>
      <c r="AR483" s="42">
        <f t="shared" si="1162"/>
        <v>0</v>
      </c>
      <c r="AS483" s="42">
        <f t="shared" si="1178"/>
        <v>0</v>
      </c>
      <c r="AT483" s="42">
        <f t="shared" si="1179"/>
        <v>0</v>
      </c>
      <c r="AU483" s="42">
        <f t="shared" si="1180"/>
        <v>0</v>
      </c>
      <c r="AV483" s="42">
        <f>IF(M483="ПП",РПП*AA483*(U483/1.5),IF(M483="ВП",ВПр*AA483*(U483/1.5),IF(M483="РПА",РПА*AA483*(U483/1.5),IF(M483="КПА",КПА*AA483*(U483/1.5),0))))</f>
        <v>12</v>
      </c>
      <c r="AW483" s="42">
        <f t="shared" si="1181"/>
        <v>0</v>
      </c>
      <c r="AX483" s="42">
        <f t="shared" si="1163"/>
        <v>0</v>
      </c>
      <c r="AY483" s="42">
        <f t="shared" si="1164"/>
        <v>0</v>
      </c>
      <c r="AZ483" s="42">
        <f t="shared" si="1182"/>
        <v>0</v>
      </c>
      <c r="BA483" s="42">
        <f t="shared" si="1165"/>
        <v>0</v>
      </c>
      <c r="BB483" s="42">
        <f t="shared" si="1166"/>
        <v>0</v>
      </c>
      <c r="BC483" s="42">
        <f t="shared" si="1167"/>
        <v>0</v>
      </c>
      <c r="BD483" s="42">
        <f t="shared" si="1183"/>
        <v>0</v>
      </c>
      <c r="BE483" s="43">
        <f t="shared" si="1184"/>
        <v>12</v>
      </c>
      <c r="BF483" s="44"/>
      <c r="BG483" s="45">
        <f t="shared" si="1185"/>
        <v>0</v>
      </c>
      <c r="BH483" s="45">
        <f t="shared" si="1186"/>
        <v>0</v>
      </c>
      <c r="BI483" s="45">
        <f t="shared" si="1187"/>
        <v>12</v>
      </c>
      <c r="BJ483" s="46">
        <f t="shared" si="1113"/>
        <v>0</v>
      </c>
      <c r="BK483" s="46">
        <f t="shared" si="1114"/>
        <v>0</v>
      </c>
      <c r="BL483" s="46">
        <f t="shared" si="1115"/>
        <v>0</v>
      </c>
    </row>
    <row r="484" spans="1:64" ht="30" customHeight="1" x14ac:dyDescent="0.25">
      <c r="A484" s="84" t="str">
        <f t="shared" si="1158"/>
        <v>Д</v>
      </c>
      <c r="B484" s="84" t="str">
        <f t="shared" si="1168"/>
        <v>М</v>
      </c>
      <c r="C484" s="101" t="s">
        <v>1492</v>
      </c>
      <c r="D484" s="16" t="str">
        <f t="shared" si="1169"/>
        <v>'09.04.03</v>
      </c>
      <c r="E484" s="17" t="str">
        <f t="shared" si="1170"/>
        <v>Искусственный интеллект и анализ данных</v>
      </c>
      <c r="F484" s="9" t="s">
        <v>498</v>
      </c>
      <c r="G484" s="9" t="s">
        <v>42</v>
      </c>
      <c r="H484" s="10"/>
      <c r="I484" s="10"/>
      <c r="J484" s="24" t="s">
        <v>3326</v>
      </c>
      <c r="K484" s="11">
        <v>4</v>
      </c>
      <c r="L484" s="11">
        <v>18</v>
      </c>
      <c r="M484" s="8" t="s">
        <v>95</v>
      </c>
      <c r="N484" s="11"/>
      <c r="O484" s="11"/>
      <c r="P484" s="11"/>
      <c r="Q484" s="8"/>
      <c r="R484" s="11"/>
      <c r="S484" s="11"/>
      <c r="T484" s="11">
        <v>6</v>
      </c>
      <c r="U484" s="11"/>
      <c r="V484" s="11"/>
      <c r="W484" s="83" t="str">
        <f t="shared" si="1159"/>
        <v>НПИмд</v>
      </c>
      <c r="X484" s="110" t="s">
        <v>3234</v>
      </c>
      <c r="Y484" s="11">
        <v>1</v>
      </c>
      <c r="Z484" s="11">
        <v>1</v>
      </c>
      <c r="AA484" s="83">
        <f t="shared" si="1171"/>
        <v>4</v>
      </c>
      <c r="AB484" s="11">
        <v>2</v>
      </c>
      <c r="AC484" s="11">
        <v>2</v>
      </c>
      <c r="AD484" s="81">
        <f t="shared" si="1160"/>
        <v>1</v>
      </c>
      <c r="AE484" s="82">
        <f t="shared" si="1172"/>
        <v>1</v>
      </c>
      <c r="AF484" s="82">
        <f t="shared" si="1173"/>
        <v>4</v>
      </c>
      <c r="AG484" s="102" t="s">
        <v>3250</v>
      </c>
      <c r="AH484" s="8" t="s">
        <v>203</v>
      </c>
      <c r="AI484" s="8" t="s">
        <v>214</v>
      </c>
      <c r="AJ484" s="35" t="s">
        <v>3285</v>
      </c>
      <c r="AK484" s="8"/>
      <c r="AL484" s="42">
        <f t="shared" si="1161"/>
        <v>0</v>
      </c>
      <c r="AM484" s="42">
        <f t="shared" si="1174"/>
        <v>0</v>
      </c>
      <c r="AN484" s="42">
        <f t="shared" si="1175"/>
        <v>0</v>
      </c>
      <c r="AO484" s="42">
        <f t="shared" si="1112"/>
        <v>0</v>
      </c>
      <c r="AP484" s="42">
        <f t="shared" si="1176"/>
        <v>0</v>
      </c>
      <c r="AQ484" s="42">
        <f t="shared" si="1177"/>
        <v>0</v>
      </c>
      <c r="AR484" s="42">
        <f t="shared" si="1162"/>
        <v>0</v>
      </c>
      <c r="AS484" s="42">
        <f t="shared" si="1178"/>
        <v>0</v>
      </c>
      <c r="AT484" s="42">
        <f t="shared" si="1179"/>
        <v>0</v>
      </c>
      <c r="AU484" s="42">
        <f t="shared" si="1180"/>
        <v>24</v>
      </c>
      <c r="AV484" s="42">
        <f>IF(M484="ПП",РПП*AA484*(U484/1.5),IF(M484="ВП",ВПр*AA484*(U484/1.5),IF(M484="РПА",РПА*AA484*(U484/1.5),IF(M484="КПА",КПА*AA484*(U484/1.5),0))))</f>
        <v>0</v>
      </c>
      <c r="AW484" s="42">
        <f t="shared" si="1181"/>
        <v>0</v>
      </c>
      <c r="AX484" s="42">
        <f t="shared" si="1163"/>
        <v>0</v>
      </c>
      <c r="AY484" s="42">
        <f t="shared" si="1164"/>
        <v>0</v>
      </c>
      <c r="AZ484" s="42">
        <f t="shared" si="1182"/>
        <v>0</v>
      </c>
      <c r="BA484" s="42">
        <f t="shared" si="1165"/>
        <v>0</v>
      </c>
      <c r="BB484" s="42">
        <f t="shared" si="1166"/>
        <v>0</v>
      </c>
      <c r="BC484" s="42">
        <f t="shared" si="1167"/>
        <v>0</v>
      </c>
      <c r="BD484" s="42">
        <f t="shared" si="1183"/>
        <v>0</v>
      </c>
      <c r="BE484" s="43">
        <f t="shared" si="1184"/>
        <v>24</v>
      </c>
      <c r="BF484" s="44"/>
      <c r="BG484" s="45">
        <f t="shared" si="1185"/>
        <v>0</v>
      </c>
      <c r="BH484" s="45">
        <f t="shared" si="1186"/>
        <v>0</v>
      </c>
      <c r="BI484" s="45">
        <f t="shared" si="1187"/>
        <v>0</v>
      </c>
      <c r="BJ484" s="46">
        <f t="shared" si="1113"/>
        <v>0</v>
      </c>
      <c r="BK484" s="46">
        <f t="shared" si="1114"/>
        <v>0</v>
      </c>
      <c r="BL484" s="46">
        <f t="shared" si="1115"/>
        <v>24</v>
      </c>
    </row>
    <row r="485" spans="1:64" ht="30" customHeight="1" x14ac:dyDescent="0.25">
      <c r="A485" s="84" t="str">
        <f t="shared" si="1158"/>
        <v>Д</v>
      </c>
      <c r="B485" s="84" t="str">
        <f t="shared" si="1168"/>
        <v>М</v>
      </c>
      <c r="C485" s="101" t="s">
        <v>1492</v>
      </c>
      <c r="D485" s="16" t="str">
        <f t="shared" si="1169"/>
        <v>'09.04.03</v>
      </c>
      <c r="E485" s="17" t="str">
        <f t="shared" si="1170"/>
        <v>Искусственный интеллект и анализ данных</v>
      </c>
      <c r="F485" s="9" t="s">
        <v>498</v>
      </c>
      <c r="G485" s="9" t="s">
        <v>42</v>
      </c>
      <c r="H485" s="10"/>
      <c r="I485" s="10"/>
      <c r="J485" s="24" t="s">
        <v>3202</v>
      </c>
      <c r="K485" s="11">
        <v>4</v>
      </c>
      <c r="L485" s="11">
        <v>18</v>
      </c>
      <c r="M485" s="8" t="s">
        <v>187</v>
      </c>
      <c r="N485" s="11"/>
      <c r="O485" s="11"/>
      <c r="P485" s="11"/>
      <c r="Q485" s="8"/>
      <c r="R485" s="11"/>
      <c r="S485" s="11"/>
      <c r="T485" s="11"/>
      <c r="U485" s="11">
        <v>15</v>
      </c>
      <c r="V485" s="11"/>
      <c r="W485" s="83" t="str">
        <f t="shared" si="1159"/>
        <v>НПИмд</v>
      </c>
      <c r="X485" s="110" t="s">
        <v>3234</v>
      </c>
      <c r="Y485" s="11">
        <v>1</v>
      </c>
      <c r="Z485" s="11">
        <v>1</v>
      </c>
      <c r="AA485" s="83">
        <f t="shared" si="1171"/>
        <v>4</v>
      </c>
      <c r="AB485" s="11">
        <v>2</v>
      </c>
      <c r="AC485" s="11">
        <v>2</v>
      </c>
      <c r="AD485" s="81">
        <f t="shared" si="1160"/>
        <v>1</v>
      </c>
      <c r="AE485" s="82">
        <f t="shared" si="1172"/>
        <v>1</v>
      </c>
      <c r="AF485" s="82">
        <f t="shared" si="1173"/>
        <v>4</v>
      </c>
      <c r="AG485" s="102" t="s">
        <v>3250</v>
      </c>
      <c r="AH485" s="8" t="s">
        <v>203</v>
      </c>
      <c r="AI485" s="8" t="s">
        <v>214</v>
      </c>
      <c r="AJ485" s="35" t="s">
        <v>3285</v>
      </c>
      <c r="AK485" s="8"/>
      <c r="AL485" s="42">
        <f t="shared" si="1161"/>
        <v>0</v>
      </c>
      <c r="AM485" s="42">
        <f t="shared" si="1174"/>
        <v>0</v>
      </c>
      <c r="AN485" s="42">
        <f t="shared" si="1175"/>
        <v>0</v>
      </c>
      <c r="AO485" s="42">
        <f t="shared" si="1112"/>
        <v>0</v>
      </c>
      <c r="AP485" s="42">
        <f t="shared" si="1176"/>
        <v>0</v>
      </c>
      <c r="AQ485" s="42">
        <f t="shared" si="1177"/>
        <v>0</v>
      </c>
      <c r="AR485" s="42">
        <f t="shared" si="1162"/>
        <v>0</v>
      </c>
      <c r="AS485" s="42">
        <f t="shared" si="1178"/>
        <v>0</v>
      </c>
      <c r="AT485" s="42">
        <f t="shared" si="1179"/>
        <v>0</v>
      </c>
      <c r="AU485" s="42">
        <f t="shared" si="1180"/>
        <v>0</v>
      </c>
      <c r="AV485" s="42">
        <f>IF(M485="ПП",РПП*AA485*(U485/1.5),IF(M485="ВП",ВПр*AA485*(U485/1.5),IF(M485="РПА",РПА*AA485*(U485/1.5),IF(M485="КПА",КПА*AA485*(U485/1.5),0))))</f>
        <v>60</v>
      </c>
      <c r="AW485" s="42">
        <f t="shared" si="1181"/>
        <v>0</v>
      </c>
      <c r="AX485" s="42">
        <f t="shared" si="1163"/>
        <v>0</v>
      </c>
      <c r="AY485" s="42">
        <f t="shared" si="1164"/>
        <v>0</v>
      </c>
      <c r="AZ485" s="42">
        <f t="shared" si="1182"/>
        <v>0</v>
      </c>
      <c r="BA485" s="42">
        <f t="shared" si="1165"/>
        <v>0</v>
      </c>
      <c r="BB485" s="42">
        <f t="shared" si="1166"/>
        <v>0</v>
      </c>
      <c r="BC485" s="42">
        <f t="shared" si="1167"/>
        <v>0</v>
      </c>
      <c r="BD485" s="42">
        <f t="shared" si="1183"/>
        <v>0</v>
      </c>
      <c r="BE485" s="43">
        <f t="shared" si="1184"/>
        <v>60</v>
      </c>
      <c r="BF485" s="44"/>
      <c r="BG485" s="45">
        <f t="shared" si="1185"/>
        <v>0</v>
      </c>
      <c r="BH485" s="45">
        <f t="shared" si="1186"/>
        <v>0</v>
      </c>
      <c r="BI485" s="45">
        <f t="shared" si="1187"/>
        <v>0</v>
      </c>
      <c r="BJ485" s="46">
        <f t="shared" si="1113"/>
        <v>0</v>
      </c>
      <c r="BK485" s="46">
        <f t="shared" si="1114"/>
        <v>0</v>
      </c>
      <c r="BL485" s="46">
        <f t="shared" si="1115"/>
        <v>60</v>
      </c>
    </row>
    <row r="486" spans="1:64" ht="30" customHeight="1" x14ac:dyDescent="0.25">
      <c r="A486" s="84" t="str">
        <f t="shared" si="1158"/>
        <v>Д</v>
      </c>
      <c r="B486" s="84" t="str">
        <f t="shared" si="1168"/>
        <v>М</v>
      </c>
      <c r="C486" s="101" t="s">
        <v>1492</v>
      </c>
      <c r="D486" s="16" t="str">
        <f t="shared" si="1169"/>
        <v>'09.04.03</v>
      </c>
      <c r="E486" s="17" t="str">
        <f t="shared" si="1170"/>
        <v>Искусственный интеллект и анализ данных</v>
      </c>
      <c r="F486" s="9" t="s">
        <v>498</v>
      </c>
      <c r="G486" s="9" t="s">
        <v>42</v>
      </c>
      <c r="H486" s="10"/>
      <c r="I486" s="10"/>
      <c r="J486" s="24" t="s">
        <v>3224</v>
      </c>
      <c r="K486" s="11">
        <v>4</v>
      </c>
      <c r="L486" s="11"/>
      <c r="M486" s="8" t="s">
        <v>98</v>
      </c>
      <c r="N486" s="11"/>
      <c r="O486" s="11"/>
      <c r="P486" s="11"/>
      <c r="Q486" s="8"/>
      <c r="R486" s="11">
        <v>3</v>
      </c>
      <c r="S486" s="11"/>
      <c r="T486" s="11"/>
      <c r="U486" s="11"/>
      <c r="V486" s="11"/>
      <c r="W486" s="83" t="str">
        <f t="shared" si="1159"/>
        <v>НПИмд</v>
      </c>
      <c r="X486" s="110" t="s">
        <v>3234</v>
      </c>
      <c r="Y486" s="11">
        <v>1</v>
      </c>
      <c r="Z486" s="11">
        <v>1</v>
      </c>
      <c r="AA486" s="83">
        <f t="shared" si="1171"/>
        <v>4</v>
      </c>
      <c r="AB486" s="11">
        <v>2</v>
      </c>
      <c r="AC486" s="11">
        <v>2</v>
      </c>
      <c r="AD486" s="81">
        <f t="shared" si="1160"/>
        <v>12</v>
      </c>
      <c r="AE486" s="82">
        <f t="shared" si="1172"/>
        <v>0.33333333333333331</v>
      </c>
      <c r="AF486" s="82">
        <f t="shared" si="1173"/>
        <v>0.33333333333333331</v>
      </c>
      <c r="AG486" s="102" t="s">
        <v>3250</v>
      </c>
      <c r="AH486" s="8" t="s">
        <v>204</v>
      </c>
      <c r="AI486" s="8" t="s">
        <v>212</v>
      </c>
      <c r="AJ486" s="35" t="s">
        <v>3252</v>
      </c>
      <c r="AK486" s="8"/>
      <c r="AL486" s="42">
        <f t="shared" si="1161"/>
        <v>0</v>
      </c>
      <c r="AM486" s="42">
        <f t="shared" si="1174"/>
        <v>0</v>
      </c>
      <c r="AN486" s="42">
        <f t="shared" si="1175"/>
        <v>0</v>
      </c>
      <c r="AO486" s="42">
        <f t="shared" si="1112"/>
        <v>0</v>
      </c>
      <c r="AP486" s="42">
        <f t="shared" si="1176"/>
        <v>0</v>
      </c>
      <c r="AQ486" s="42">
        <f t="shared" si="1177"/>
        <v>0</v>
      </c>
      <c r="AR486" s="42">
        <f t="shared" si="1162"/>
        <v>0</v>
      </c>
      <c r="AS486" s="42">
        <f t="shared" si="1178"/>
        <v>0</v>
      </c>
      <c r="AT486" s="42">
        <f t="shared" si="1179"/>
        <v>0</v>
      </c>
      <c r="AU486" s="42">
        <f t="shared" si="1180"/>
        <v>0</v>
      </c>
      <c r="AV486" s="42">
        <f>IF(M486="ПП",РПП*AA486*(U486/1.5),IF(M486="ВП",ВПр*AA486*(U486/1.5),IF(M486="РПА",РПА*AA486*(U486/1.5),IF(M486="КПА",КПА*AA486*(U486/1.5),0))))</f>
        <v>0</v>
      </c>
      <c r="AW486" s="42">
        <f t="shared" si="1181"/>
        <v>0</v>
      </c>
      <c r="AX486" s="42">
        <f t="shared" si="1163"/>
        <v>0</v>
      </c>
      <c r="AY486" s="42">
        <f t="shared" si="1164"/>
        <v>0</v>
      </c>
      <c r="AZ486" s="42">
        <f t="shared" si="1182"/>
        <v>0</v>
      </c>
      <c r="BA486" s="42">
        <f t="shared" si="1165"/>
        <v>0</v>
      </c>
      <c r="BB486" s="42">
        <f t="shared" si="1166"/>
        <v>0</v>
      </c>
      <c r="BC486" s="42">
        <f t="shared" si="1167"/>
        <v>0</v>
      </c>
      <c r="BD486" s="42">
        <f t="shared" si="1183"/>
        <v>0.66666666666666663</v>
      </c>
      <c r="BE486" s="43">
        <f t="shared" si="1184"/>
        <v>0.66666666666666663</v>
      </c>
      <c r="BF486" s="44"/>
      <c r="BG486" s="45">
        <f t="shared" si="1185"/>
        <v>0</v>
      </c>
      <c r="BH486" s="45">
        <f t="shared" si="1186"/>
        <v>0</v>
      </c>
      <c r="BI486" s="45">
        <f t="shared" si="1187"/>
        <v>0</v>
      </c>
      <c r="BJ486" s="46">
        <f t="shared" si="1113"/>
        <v>0</v>
      </c>
      <c r="BK486" s="46">
        <f t="shared" si="1114"/>
        <v>0</v>
      </c>
      <c r="BL486" s="46">
        <f t="shared" si="1115"/>
        <v>0.66666666666666663</v>
      </c>
    </row>
    <row r="487" spans="1:64" ht="30" customHeight="1" x14ac:dyDescent="0.25">
      <c r="A487" s="84" t="str">
        <f t="shared" si="1158"/>
        <v>Д</v>
      </c>
      <c r="B487" s="84" t="str">
        <f t="shared" si="1168"/>
        <v>М</v>
      </c>
      <c r="C487" s="101" t="s">
        <v>1492</v>
      </c>
      <c r="D487" s="16" t="str">
        <f t="shared" si="1169"/>
        <v>'09.04.03</v>
      </c>
      <c r="E487" s="17" t="str">
        <f t="shared" si="1170"/>
        <v>Искусственный интеллект и анализ данных</v>
      </c>
      <c r="F487" s="9" t="s">
        <v>498</v>
      </c>
      <c r="G487" s="9" t="s">
        <v>42</v>
      </c>
      <c r="H487" s="10"/>
      <c r="I487" s="10"/>
      <c r="J487" s="24" t="s">
        <v>3224</v>
      </c>
      <c r="K487" s="11">
        <v>4</v>
      </c>
      <c r="L487" s="11"/>
      <c r="M487" s="8" t="s">
        <v>12</v>
      </c>
      <c r="N487" s="11"/>
      <c r="O487" s="11"/>
      <c r="P487" s="11"/>
      <c r="Q487" s="8"/>
      <c r="R487" s="11"/>
      <c r="S487" s="11"/>
      <c r="T487" s="11"/>
      <c r="U487" s="11"/>
      <c r="V487" s="11"/>
      <c r="W487" s="83" t="str">
        <f t="shared" si="1159"/>
        <v>НПИмд</v>
      </c>
      <c r="X487" s="110" t="s">
        <v>3234</v>
      </c>
      <c r="Y487" s="11">
        <v>1</v>
      </c>
      <c r="Z487" s="11">
        <v>1</v>
      </c>
      <c r="AA487" s="83">
        <f t="shared" si="1171"/>
        <v>4</v>
      </c>
      <c r="AB487" s="11">
        <v>2</v>
      </c>
      <c r="AC487" s="11">
        <v>2</v>
      </c>
      <c r="AD487" s="81">
        <f t="shared" si="1160"/>
        <v>1</v>
      </c>
      <c r="AE487" s="82">
        <f t="shared" si="1172"/>
        <v>1</v>
      </c>
      <c r="AF487" s="82">
        <f t="shared" si="1173"/>
        <v>4</v>
      </c>
      <c r="AG487" s="102" t="s">
        <v>3250</v>
      </c>
      <c r="AH487" s="8" t="s">
        <v>447</v>
      </c>
      <c r="AI487" s="8"/>
      <c r="AJ487" s="37" t="s">
        <v>412</v>
      </c>
      <c r="AK487" s="8"/>
      <c r="AL487" s="42">
        <f t="shared" si="1161"/>
        <v>0</v>
      </c>
      <c r="AM487" s="42">
        <f t="shared" si="1174"/>
        <v>0</v>
      </c>
      <c r="AN487" s="42">
        <f t="shared" si="1175"/>
        <v>0</v>
      </c>
      <c r="AO487" s="42">
        <f t="shared" si="1112"/>
        <v>0</v>
      </c>
      <c r="AP487" s="42">
        <f t="shared" si="1176"/>
        <v>0</v>
      </c>
      <c r="AQ487" s="42">
        <f t="shared" si="1177"/>
        <v>0</v>
      </c>
      <c r="AR487" s="42">
        <f t="shared" si="1162"/>
        <v>0</v>
      </c>
      <c r="AS487" s="42">
        <f t="shared" si="1178"/>
        <v>0</v>
      </c>
      <c r="AT487" s="42">
        <f t="shared" si="1179"/>
        <v>0</v>
      </c>
      <c r="AU487" s="42">
        <f t="shared" si="1180"/>
        <v>0</v>
      </c>
      <c r="AV487" s="42">
        <f>IF(M487="ПП",РПП*AA487*(U487/1.5),IF(M487="ВП",ВПр*AA487*(U487/1.5),IF(M487="РПА",РПА*AA487*(U487/1.5),IF(M487="КПА",КПА*AA487*(U487/1.5),0))))</f>
        <v>0</v>
      </c>
      <c r="AW487" s="42">
        <f t="shared" si="1181"/>
        <v>0</v>
      </c>
      <c r="AX487" s="42">
        <f t="shared" si="1163"/>
        <v>0</v>
      </c>
      <c r="AY487" s="42">
        <f t="shared" si="1164"/>
        <v>0</v>
      </c>
      <c r="AZ487" s="42">
        <f t="shared" si="1182"/>
        <v>0</v>
      </c>
      <c r="BA487" s="42">
        <f t="shared" si="1165"/>
        <v>0</v>
      </c>
      <c r="BB487" s="42">
        <f t="shared" si="1166"/>
        <v>0</v>
      </c>
      <c r="BC487" s="42">
        <f t="shared" si="1167"/>
        <v>0</v>
      </c>
      <c r="BD487" s="42">
        <f t="shared" si="1183"/>
        <v>2</v>
      </c>
      <c r="BE487" s="43">
        <f t="shared" si="1184"/>
        <v>2</v>
      </c>
      <c r="BF487" s="44"/>
      <c r="BG487" s="45">
        <f t="shared" si="1185"/>
        <v>0</v>
      </c>
      <c r="BH487" s="45">
        <f t="shared" si="1186"/>
        <v>0</v>
      </c>
      <c r="BI487" s="45">
        <f t="shared" si="1187"/>
        <v>0</v>
      </c>
      <c r="BJ487" s="46">
        <f t="shared" si="1113"/>
        <v>0</v>
      </c>
      <c r="BK487" s="46">
        <f t="shared" si="1114"/>
        <v>0</v>
      </c>
      <c r="BL487" s="46">
        <f t="shared" si="1115"/>
        <v>2</v>
      </c>
    </row>
    <row r="488" spans="1:64" ht="30" customHeight="1" x14ac:dyDescent="0.25">
      <c r="A488" s="84" t="str">
        <f t="shared" si="1158"/>
        <v>Д</v>
      </c>
      <c r="B488" s="84" t="str">
        <f t="shared" si="1168"/>
        <v>М</v>
      </c>
      <c r="C488" s="101" t="s">
        <v>1492</v>
      </c>
      <c r="D488" s="16" t="str">
        <f t="shared" si="1169"/>
        <v>'09.04.03</v>
      </c>
      <c r="E488" s="17" t="str">
        <f t="shared" si="1170"/>
        <v>Искусственный интеллект и анализ данных</v>
      </c>
      <c r="F488" s="9" t="s">
        <v>498</v>
      </c>
      <c r="G488" s="9" t="s">
        <v>42</v>
      </c>
      <c r="H488" s="10"/>
      <c r="I488" s="10"/>
      <c r="J488" s="24" t="s">
        <v>3224</v>
      </c>
      <c r="K488" s="11">
        <v>4</v>
      </c>
      <c r="L488" s="11"/>
      <c r="M488" s="8" t="s">
        <v>1738</v>
      </c>
      <c r="N488" s="11"/>
      <c r="O488" s="11"/>
      <c r="P488" s="11"/>
      <c r="Q488" s="8"/>
      <c r="R488" s="12"/>
      <c r="S488" s="12"/>
      <c r="T488" s="12"/>
      <c r="U488" s="12"/>
      <c r="V488" s="12"/>
      <c r="W488" s="83" t="str">
        <f t="shared" si="1159"/>
        <v>НПИмд</v>
      </c>
      <c r="X488" s="110" t="s">
        <v>3234</v>
      </c>
      <c r="Y488" s="11">
        <v>1</v>
      </c>
      <c r="Z488" s="11">
        <v>1</v>
      </c>
      <c r="AA488" s="83">
        <f t="shared" si="1171"/>
        <v>4</v>
      </c>
      <c r="AB488" s="11">
        <v>2</v>
      </c>
      <c r="AC488" s="11">
        <v>2</v>
      </c>
      <c r="AD488" s="81">
        <f t="shared" si="1160"/>
        <v>1</v>
      </c>
      <c r="AE488" s="82">
        <f t="shared" si="1172"/>
        <v>1</v>
      </c>
      <c r="AF488" s="82">
        <f t="shared" si="1173"/>
        <v>4</v>
      </c>
      <c r="AG488" s="102" t="s">
        <v>3250</v>
      </c>
      <c r="AH488" s="8" t="s">
        <v>447</v>
      </c>
      <c r="AI488" s="8"/>
      <c r="AJ488" s="37" t="s">
        <v>412</v>
      </c>
      <c r="AK488" s="8"/>
      <c r="AL488" s="42">
        <f t="shared" si="1161"/>
        <v>0</v>
      </c>
      <c r="AM488" s="42">
        <f t="shared" si="1174"/>
        <v>0</v>
      </c>
      <c r="AN488" s="42">
        <f t="shared" si="1175"/>
        <v>0</v>
      </c>
      <c r="AO488" s="42">
        <f t="shared" si="1112"/>
        <v>0</v>
      </c>
      <c r="AP488" s="42">
        <f t="shared" si="1176"/>
        <v>0</v>
      </c>
      <c r="AQ488" s="42">
        <f t="shared" si="1177"/>
        <v>0</v>
      </c>
      <c r="AR488" s="42">
        <f t="shared" si="1162"/>
        <v>0</v>
      </c>
      <c r="AS488" s="42">
        <f t="shared" si="1178"/>
        <v>0</v>
      </c>
      <c r="AT488" s="42">
        <f t="shared" si="1179"/>
        <v>0</v>
      </c>
      <c r="AU488" s="42">
        <f t="shared" si="1180"/>
        <v>0</v>
      </c>
      <c r="AV488" s="42">
        <f>IF(M488="ПП",РПП*AA488*(U488/1.5),IF(M488="ВП",ВПр*AA488*(U488/1.5),IF(M488="РПА",РПА*AA488*(U488/1.5),IF(M488="КПА",КПА*AA488*(U488/1.5),0))))</f>
        <v>0</v>
      </c>
      <c r="AW488" s="42">
        <f t="shared" si="1181"/>
        <v>0</v>
      </c>
      <c r="AX488" s="42">
        <f t="shared" si="1163"/>
        <v>0</v>
      </c>
      <c r="AY488" s="42">
        <f t="shared" si="1164"/>
        <v>0</v>
      </c>
      <c r="AZ488" s="42">
        <f t="shared" si="1182"/>
        <v>0</v>
      </c>
      <c r="BA488" s="42">
        <f t="shared" si="1165"/>
        <v>0</v>
      </c>
      <c r="BB488" s="42">
        <f t="shared" si="1166"/>
        <v>0</v>
      </c>
      <c r="BC488" s="42">
        <f t="shared" si="1167"/>
        <v>0</v>
      </c>
      <c r="BD488" s="42">
        <f t="shared" si="1183"/>
        <v>2</v>
      </c>
      <c r="BE488" s="43">
        <f t="shared" si="1184"/>
        <v>2</v>
      </c>
      <c r="BF488" s="44"/>
      <c r="BG488" s="45">
        <f t="shared" si="1185"/>
        <v>0</v>
      </c>
      <c r="BH488" s="45">
        <f t="shared" si="1186"/>
        <v>0</v>
      </c>
      <c r="BI488" s="45">
        <f t="shared" si="1187"/>
        <v>0</v>
      </c>
      <c r="BJ488" s="46">
        <f t="shared" si="1113"/>
        <v>0</v>
      </c>
      <c r="BK488" s="46">
        <f t="shared" si="1114"/>
        <v>0</v>
      </c>
      <c r="BL488" s="46">
        <f t="shared" si="1115"/>
        <v>2</v>
      </c>
    </row>
    <row r="489" spans="1:64" ht="30" customHeight="1" x14ac:dyDescent="0.25">
      <c r="A489" s="84" t="str">
        <f t="shared" si="1158"/>
        <v>Д</v>
      </c>
      <c r="B489" s="84" t="str">
        <f t="shared" si="1168"/>
        <v>М</v>
      </c>
      <c r="C489" s="101" t="s">
        <v>1492</v>
      </c>
      <c r="D489" s="16" t="str">
        <f t="shared" si="1169"/>
        <v>'09.04.03</v>
      </c>
      <c r="E489" s="17" t="str">
        <f t="shared" si="1170"/>
        <v>Искусственный интеллект и анализ данных</v>
      </c>
      <c r="F489" s="9" t="s">
        <v>498</v>
      </c>
      <c r="G489" s="9" t="s">
        <v>42</v>
      </c>
      <c r="H489" s="10"/>
      <c r="I489" s="10"/>
      <c r="J489" s="115" t="s">
        <v>3225</v>
      </c>
      <c r="K489" s="11">
        <v>4</v>
      </c>
      <c r="L489" s="109"/>
      <c r="M489" s="113" t="s">
        <v>96</v>
      </c>
      <c r="N489" s="11"/>
      <c r="O489" s="11"/>
      <c r="P489" s="11"/>
      <c r="Q489" s="8"/>
      <c r="R489" s="11"/>
      <c r="S489" s="11"/>
      <c r="T489" s="23"/>
      <c r="U489" s="11"/>
      <c r="V489" s="11"/>
      <c r="W489" s="83" t="str">
        <f t="shared" si="1159"/>
        <v>НПИмд</v>
      </c>
      <c r="X489" s="110" t="s">
        <v>3234</v>
      </c>
      <c r="Y489" s="11">
        <v>1</v>
      </c>
      <c r="Z489" s="11">
        <v>1</v>
      </c>
      <c r="AA489" s="83">
        <f t="shared" si="1171"/>
        <v>4</v>
      </c>
      <c r="AB489" s="11">
        <v>2</v>
      </c>
      <c r="AC489" s="11">
        <v>2</v>
      </c>
      <c r="AD489" s="81">
        <f t="shared" si="1160"/>
        <v>1</v>
      </c>
      <c r="AE489" s="82">
        <f t="shared" si="1172"/>
        <v>1</v>
      </c>
      <c r="AF489" s="82">
        <f t="shared" si="1173"/>
        <v>4</v>
      </c>
      <c r="AG489" s="102" t="s">
        <v>3250</v>
      </c>
      <c r="AH489" s="8" t="s">
        <v>204</v>
      </c>
      <c r="AI489" s="8" t="s">
        <v>212</v>
      </c>
      <c r="AJ489" s="35" t="s">
        <v>3254</v>
      </c>
      <c r="AK489" s="8"/>
      <c r="AL489" s="42">
        <f t="shared" si="1161"/>
        <v>0</v>
      </c>
      <c r="AM489" s="42">
        <f t="shared" si="1174"/>
        <v>0</v>
      </c>
      <c r="AN489" s="42">
        <f t="shared" si="1175"/>
        <v>0</v>
      </c>
      <c r="AO489" s="42">
        <f t="shared" si="1112"/>
        <v>0</v>
      </c>
      <c r="AP489" s="42">
        <f t="shared" si="1176"/>
        <v>0</v>
      </c>
      <c r="AQ489" s="42">
        <f t="shared" si="1177"/>
        <v>0</v>
      </c>
      <c r="AR489" s="42">
        <f t="shared" si="1162"/>
        <v>0</v>
      </c>
      <c r="AS489" s="42">
        <f t="shared" si="1178"/>
        <v>0</v>
      </c>
      <c r="AT489" s="42">
        <f t="shared" si="1179"/>
        <v>0</v>
      </c>
      <c r="AU489" s="42">
        <f t="shared" si="1180"/>
        <v>0</v>
      </c>
      <c r="AV489" s="42">
        <f>IF(M489="ПП",РПП*AA489*(U489/1.5),IF(M489="ВП",ВПр*AA489*(U489/1.5),IF(M489="РПА",РПА*AA489*(U489/1.5),IF(M489="КПА",КПА*AA489*(U489/1.5),0))))</f>
        <v>0</v>
      </c>
      <c r="AW489" s="42">
        <f t="shared" si="1181"/>
        <v>0</v>
      </c>
      <c r="AX489" s="42">
        <f t="shared" si="1163"/>
        <v>0</v>
      </c>
      <c r="AY489" s="42">
        <f t="shared" si="1164"/>
        <v>0</v>
      </c>
      <c r="AZ489" s="42">
        <f t="shared" si="1182"/>
        <v>0</v>
      </c>
      <c r="BA489" s="42">
        <f t="shared" si="1165"/>
        <v>0</v>
      </c>
      <c r="BB489" s="42">
        <f t="shared" si="1166"/>
        <v>124</v>
      </c>
      <c r="BC489" s="42">
        <f t="shared" si="1167"/>
        <v>0</v>
      </c>
      <c r="BD489" s="42">
        <f t="shared" si="1183"/>
        <v>0</v>
      </c>
      <c r="BE489" s="43">
        <f t="shared" si="1184"/>
        <v>124</v>
      </c>
      <c r="BF489" s="44"/>
      <c r="BG489" s="45">
        <f t="shared" si="1185"/>
        <v>0</v>
      </c>
      <c r="BH489" s="45">
        <f t="shared" si="1186"/>
        <v>0</v>
      </c>
      <c r="BI489" s="45">
        <f t="shared" si="1187"/>
        <v>0</v>
      </c>
      <c r="BJ489" s="46">
        <f t="shared" si="1113"/>
        <v>0</v>
      </c>
      <c r="BK489" s="46">
        <f t="shared" si="1114"/>
        <v>0</v>
      </c>
      <c r="BL489" s="46">
        <f t="shared" si="1115"/>
        <v>124</v>
      </c>
    </row>
    <row r="490" spans="1:64" ht="30" customHeight="1" x14ac:dyDescent="0.25">
      <c r="A490" s="84" t="str">
        <f t="shared" si="1158"/>
        <v>Д</v>
      </c>
      <c r="B490" s="84" t="str">
        <f t="shared" si="1168"/>
        <v>М</v>
      </c>
      <c r="C490" s="101" t="s">
        <v>1492</v>
      </c>
      <c r="D490" s="16" t="str">
        <f t="shared" si="1169"/>
        <v>'09.04.03</v>
      </c>
      <c r="E490" s="17" t="str">
        <f t="shared" si="1170"/>
        <v>Искусственный интеллект и анализ данных</v>
      </c>
      <c r="F490" s="9" t="s">
        <v>498</v>
      </c>
      <c r="G490" s="9" t="s">
        <v>42</v>
      </c>
      <c r="H490" s="10"/>
      <c r="I490" s="10"/>
      <c r="J490" s="115" t="s">
        <v>73</v>
      </c>
      <c r="K490" s="11">
        <v>4</v>
      </c>
      <c r="L490" s="109"/>
      <c r="M490" s="113" t="s">
        <v>27</v>
      </c>
      <c r="N490" s="12"/>
      <c r="O490" s="12"/>
      <c r="P490" s="12"/>
      <c r="Q490" s="8"/>
      <c r="R490" s="11"/>
      <c r="S490" s="11"/>
      <c r="T490" s="23"/>
      <c r="U490" s="11"/>
      <c r="V490" s="11"/>
      <c r="W490" s="83" t="str">
        <f t="shared" si="1159"/>
        <v>НПИмд</v>
      </c>
      <c r="X490" s="110" t="s">
        <v>3234</v>
      </c>
      <c r="Y490" s="11">
        <v>1</v>
      </c>
      <c r="Z490" s="11">
        <v>1</v>
      </c>
      <c r="AA490" s="83">
        <f t="shared" si="1171"/>
        <v>4</v>
      </c>
      <c r="AB490" s="11">
        <v>2</v>
      </c>
      <c r="AC490" s="11">
        <v>2</v>
      </c>
      <c r="AD490" s="81">
        <f t="shared" si="1160"/>
        <v>1</v>
      </c>
      <c r="AE490" s="82">
        <f t="shared" si="1172"/>
        <v>1</v>
      </c>
      <c r="AF490" s="82">
        <f t="shared" si="1173"/>
        <v>4</v>
      </c>
      <c r="AG490" s="102" t="s">
        <v>3250</v>
      </c>
      <c r="AH490" s="8" t="s">
        <v>447</v>
      </c>
      <c r="AI490" s="8"/>
      <c r="AJ490" s="35" t="s">
        <v>412</v>
      </c>
      <c r="AK490" s="8"/>
      <c r="AL490" s="42">
        <f t="shared" si="1161"/>
        <v>0</v>
      </c>
      <c r="AM490" s="42">
        <f t="shared" si="1174"/>
        <v>0</v>
      </c>
      <c r="AN490" s="42">
        <f t="shared" si="1175"/>
        <v>0</v>
      </c>
      <c r="AO490" s="42">
        <f t="shared" si="1112"/>
        <v>0</v>
      </c>
      <c r="AP490" s="42">
        <f t="shared" si="1176"/>
        <v>0</v>
      </c>
      <c r="AQ490" s="42">
        <f t="shared" si="1177"/>
        <v>0</v>
      </c>
      <c r="AR490" s="42">
        <f t="shared" si="1162"/>
        <v>0</v>
      </c>
      <c r="AS490" s="42">
        <f t="shared" si="1178"/>
        <v>0</v>
      </c>
      <c r="AT490" s="42">
        <f t="shared" si="1179"/>
        <v>0</v>
      </c>
      <c r="AU490" s="42">
        <f t="shared" si="1180"/>
        <v>0</v>
      </c>
      <c r="AV490" s="42">
        <f>IF(M490="ПП",РПП*AA490*(U490/1.5),IF(M490="ВП",ВПр*AA490*(U490/1.5),IF(M490="РПА",РПА*AA490*(U490/1.5),IF(M490="КПА",КПА*AA490*(U490/1.5),0))))</f>
        <v>0</v>
      </c>
      <c r="AW490" s="42">
        <f t="shared" si="1181"/>
        <v>0</v>
      </c>
      <c r="AX490" s="42">
        <f t="shared" si="1163"/>
        <v>0</v>
      </c>
      <c r="AY490" s="42">
        <f t="shared" si="1164"/>
        <v>0</v>
      </c>
      <c r="AZ490" s="42">
        <f t="shared" si="1182"/>
        <v>0</v>
      </c>
      <c r="BA490" s="42">
        <f t="shared" si="1165"/>
        <v>0</v>
      </c>
      <c r="BB490" s="42">
        <f t="shared" si="1166"/>
        <v>0</v>
      </c>
      <c r="BC490" s="42">
        <f t="shared" si="1167"/>
        <v>16</v>
      </c>
      <c r="BD490" s="42">
        <f t="shared" si="1183"/>
        <v>0</v>
      </c>
      <c r="BE490" s="43">
        <f t="shared" si="1184"/>
        <v>16</v>
      </c>
      <c r="BF490" s="44"/>
      <c r="BG490" s="45">
        <f t="shared" si="1185"/>
        <v>0</v>
      </c>
      <c r="BH490" s="45">
        <f t="shared" si="1186"/>
        <v>0</v>
      </c>
      <c r="BI490" s="45">
        <f t="shared" si="1187"/>
        <v>0</v>
      </c>
      <c r="BJ490" s="46">
        <f t="shared" si="1113"/>
        <v>0</v>
      </c>
      <c r="BK490" s="46">
        <f t="shared" si="1114"/>
        <v>0</v>
      </c>
      <c r="BL490" s="46">
        <f t="shared" si="1115"/>
        <v>16</v>
      </c>
    </row>
    <row r="491" spans="1:64" ht="30" customHeight="1" x14ac:dyDescent="0.25">
      <c r="A491" s="84" t="str">
        <f t="shared" si="1158"/>
        <v>Д</v>
      </c>
      <c r="B491" s="84" t="str">
        <f t="shared" si="1168"/>
        <v>М</v>
      </c>
      <c r="C491" s="101" t="s">
        <v>1480</v>
      </c>
      <c r="D491" s="16" t="str">
        <f t="shared" si="1169"/>
        <v>'01.04.02</v>
      </c>
      <c r="E491" s="17" t="str">
        <f t="shared" si="1170"/>
        <v>Теория вероятностей и математическая статистика</v>
      </c>
      <c r="F491" s="9" t="s">
        <v>413</v>
      </c>
      <c r="G491" s="9" t="s">
        <v>42</v>
      </c>
      <c r="H491" s="10"/>
      <c r="I491" s="10"/>
      <c r="J491" s="24" t="s">
        <v>3327</v>
      </c>
      <c r="K491" s="11">
        <v>2</v>
      </c>
      <c r="L491" s="11">
        <v>18</v>
      </c>
      <c r="M491" s="8" t="s">
        <v>23</v>
      </c>
      <c r="N491" s="11">
        <v>1</v>
      </c>
      <c r="O491" s="11"/>
      <c r="P491" s="11"/>
      <c r="Q491" s="8"/>
      <c r="R491" s="11"/>
      <c r="S491" s="11"/>
      <c r="T491" s="11"/>
      <c r="U491" s="11"/>
      <c r="V491" s="11"/>
      <c r="W491" s="83" t="str">
        <f t="shared" si="1159"/>
        <v>НПМмд</v>
      </c>
      <c r="X491" s="110" t="s">
        <v>3247</v>
      </c>
      <c r="Y491" s="11">
        <v>1</v>
      </c>
      <c r="Z491" s="11">
        <v>1</v>
      </c>
      <c r="AA491" s="83">
        <f t="shared" si="1171"/>
        <v>17</v>
      </c>
      <c r="AB491" s="11">
        <v>15</v>
      </c>
      <c r="AC491" s="11">
        <v>2</v>
      </c>
      <c r="AD491" s="81">
        <f t="shared" si="1160"/>
        <v>17</v>
      </c>
      <c r="AE491" s="82">
        <f t="shared" si="1172"/>
        <v>1</v>
      </c>
      <c r="AF491" s="82">
        <f t="shared" si="1173"/>
        <v>1</v>
      </c>
      <c r="AG491" s="102" t="s">
        <v>3250</v>
      </c>
      <c r="AH491" s="8" t="s">
        <v>204</v>
      </c>
      <c r="AI491" s="8" t="s">
        <v>212</v>
      </c>
      <c r="AJ491" s="35" t="s">
        <v>3252</v>
      </c>
      <c r="AK491" s="8" t="s">
        <v>949</v>
      </c>
      <c r="AL491" s="42">
        <f t="shared" si="1161"/>
        <v>18</v>
      </c>
      <c r="AM491" s="42">
        <f t="shared" si="1174"/>
        <v>0</v>
      </c>
      <c r="AN491" s="42">
        <f t="shared" si="1175"/>
        <v>0</v>
      </c>
      <c r="AO491" s="42">
        <f t="shared" si="1112"/>
        <v>0</v>
      </c>
      <c r="AP491" s="42">
        <f t="shared" si="1176"/>
        <v>0</v>
      </c>
      <c r="AQ491" s="42">
        <f t="shared" si="1177"/>
        <v>0</v>
      </c>
      <c r="AR491" s="42">
        <f t="shared" si="1162"/>
        <v>0.9</v>
      </c>
      <c r="AS491" s="42">
        <f t="shared" si="1178"/>
        <v>0</v>
      </c>
      <c r="AT491" s="42">
        <f t="shared" si="1179"/>
        <v>0</v>
      </c>
      <c r="AU491" s="42">
        <f t="shared" si="1180"/>
        <v>0</v>
      </c>
      <c r="AV491" s="42">
        <f>IF(M491="ПП",РПП*AA491*(U491/1.5),IF(M491="ВП",ВПр*AA491*(U491/1.5),IF(M491="РПА",РПА*AA491*(U491/1.5),IF(M491="КПА",КПА*AA491*(U491/1.5),0))))</f>
        <v>0</v>
      </c>
      <c r="AW491" s="42">
        <f t="shared" si="1181"/>
        <v>0</v>
      </c>
      <c r="AX491" s="42">
        <f t="shared" si="1163"/>
        <v>0</v>
      </c>
      <c r="AY491" s="42">
        <f t="shared" si="1164"/>
        <v>0</v>
      </c>
      <c r="AZ491" s="42">
        <f t="shared" si="1182"/>
        <v>0</v>
      </c>
      <c r="BA491" s="42">
        <f t="shared" si="1165"/>
        <v>0</v>
      </c>
      <c r="BB491" s="42">
        <f t="shared" si="1166"/>
        <v>0</v>
      </c>
      <c r="BC491" s="42">
        <f t="shared" si="1167"/>
        <v>0</v>
      </c>
      <c r="BD491" s="42">
        <f t="shared" si="1183"/>
        <v>0</v>
      </c>
      <c r="BE491" s="43">
        <f t="shared" si="1184"/>
        <v>18.899999999999999</v>
      </c>
      <c r="BF491" s="44"/>
      <c r="BG491" s="45">
        <f t="shared" si="1185"/>
        <v>0</v>
      </c>
      <c r="BH491" s="45">
        <f t="shared" si="1186"/>
        <v>0</v>
      </c>
      <c r="BI491" s="45">
        <f t="shared" si="1187"/>
        <v>0</v>
      </c>
      <c r="BJ491" s="46">
        <f t="shared" si="1113"/>
        <v>18</v>
      </c>
      <c r="BK491" s="46">
        <f t="shared" si="1114"/>
        <v>0.5</v>
      </c>
      <c r="BL491" s="46">
        <f t="shared" si="1115"/>
        <v>0.9</v>
      </c>
    </row>
    <row r="492" spans="1:64" ht="30" customHeight="1" x14ac:dyDescent="0.25">
      <c r="A492" s="84" t="str">
        <f t="shared" si="1158"/>
        <v>Д</v>
      </c>
      <c r="B492" s="84" t="str">
        <f t="shared" si="1168"/>
        <v>М</v>
      </c>
      <c r="C492" s="101" t="s">
        <v>1480</v>
      </c>
      <c r="D492" s="16" t="str">
        <f t="shared" si="1169"/>
        <v>'01.04.02</v>
      </c>
      <c r="E492" s="17" t="str">
        <f t="shared" si="1170"/>
        <v>Теория вероятностей и математическая статистика</v>
      </c>
      <c r="F492" s="9" t="s">
        <v>413</v>
      </c>
      <c r="G492" s="9" t="s">
        <v>42</v>
      </c>
      <c r="H492" s="10"/>
      <c r="I492" s="10"/>
      <c r="J492" s="24" t="s">
        <v>3327</v>
      </c>
      <c r="K492" s="11">
        <v>2</v>
      </c>
      <c r="L492" s="11">
        <v>18</v>
      </c>
      <c r="M492" s="8" t="s">
        <v>24</v>
      </c>
      <c r="N492" s="11"/>
      <c r="O492" s="11"/>
      <c r="P492" s="11">
        <v>1</v>
      </c>
      <c r="Q492" s="8" t="s">
        <v>102</v>
      </c>
      <c r="R492" s="11"/>
      <c r="S492" s="11"/>
      <c r="T492" s="11"/>
      <c r="U492" s="11"/>
      <c r="V492" s="11"/>
      <c r="W492" s="83" t="str">
        <f t="shared" si="1159"/>
        <v>НПМмд</v>
      </c>
      <c r="X492" s="110" t="s">
        <v>3247</v>
      </c>
      <c r="Y492" s="11">
        <v>1</v>
      </c>
      <c r="Z492" s="11">
        <v>1</v>
      </c>
      <c r="AA492" s="83">
        <f t="shared" si="1171"/>
        <v>17</v>
      </c>
      <c r="AB492" s="11">
        <v>15</v>
      </c>
      <c r="AC492" s="11">
        <v>2</v>
      </c>
      <c r="AD492" s="81">
        <f t="shared" si="1160"/>
        <v>12</v>
      </c>
      <c r="AE492" s="82">
        <f t="shared" si="1172"/>
        <v>1</v>
      </c>
      <c r="AF492" s="82">
        <f t="shared" si="1173"/>
        <v>1.4166666666666667</v>
      </c>
      <c r="AG492" s="102" t="s">
        <v>3250</v>
      </c>
      <c r="AH492" s="8" t="s">
        <v>204</v>
      </c>
      <c r="AI492" s="8" t="s">
        <v>212</v>
      </c>
      <c r="AJ492" s="35" t="s">
        <v>3346</v>
      </c>
      <c r="AK492" s="8" t="s">
        <v>949</v>
      </c>
      <c r="AL492" s="42">
        <f t="shared" si="1161"/>
        <v>0</v>
      </c>
      <c r="AM492" s="42">
        <f t="shared" si="1174"/>
        <v>18</v>
      </c>
      <c r="AN492" s="42">
        <f t="shared" si="1175"/>
        <v>0</v>
      </c>
      <c r="AO492" s="42">
        <f t="shared" si="1112"/>
        <v>5.61</v>
      </c>
      <c r="AP492" s="42">
        <f t="shared" si="1176"/>
        <v>8.5</v>
      </c>
      <c r="AQ492" s="42">
        <f t="shared" si="1177"/>
        <v>1</v>
      </c>
      <c r="AR492" s="42">
        <f t="shared" si="1162"/>
        <v>0</v>
      </c>
      <c r="AS492" s="42">
        <f t="shared" si="1178"/>
        <v>0</v>
      </c>
      <c r="AT492" s="42">
        <f t="shared" si="1179"/>
        <v>0</v>
      </c>
      <c r="AU492" s="42">
        <f t="shared" si="1180"/>
        <v>0</v>
      </c>
      <c r="AV492" s="42">
        <f>IF(M492="ПП",РПП*AA492*(U492/1.5),IF(M492="ВП",ВПр*AA492*(U492/1.5),IF(M492="РПА",РПА*AA492*(U492/1.5),IF(M492="КПА",КПА*AA492*(U492/1.5),0))))</f>
        <v>0</v>
      </c>
      <c r="AW492" s="42">
        <f t="shared" si="1181"/>
        <v>0</v>
      </c>
      <c r="AX492" s="42">
        <f t="shared" si="1163"/>
        <v>0</v>
      </c>
      <c r="AY492" s="42">
        <f t="shared" si="1164"/>
        <v>0</v>
      </c>
      <c r="AZ492" s="42">
        <f t="shared" si="1182"/>
        <v>0</v>
      </c>
      <c r="BA492" s="42">
        <f t="shared" si="1165"/>
        <v>0</v>
      </c>
      <c r="BB492" s="42">
        <f t="shared" si="1166"/>
        <v>0</v>
      </c>
      <c r="BC492" s="42">
        <f t="shared" si="1167"/>
        <v>0</v>
      </c>
      <c r="BD492" s="42">
        <f t="shared" si="1183"/>
        <v>0</v>
      </c>
      <c r="BE492" s="43">
        <f t="shared" si="1184"/>
        <v>33.11</v>
      </c>
      <c r="BF492" s="44"/>
      <c r="BG492" s="45">
        <f t="shared" si="1185"/>
        <v>0</v>
      </c>
      <c r="BH492" s="45">
        <f t="shared" si="1186"/>
        <v>0</v>
      </c>
      <c r="BI492" s="45">
        <f t="shared" si="1187"/>
        <v>0</v>
      </c>
      <c r="BJ492" s="46">
        <f t="shared" si="1113"/>
        <v>18</v>
      </c>
      <c r="BK492" s="46">
        <f t="shared" si="1114"/>
        <v>0.5</v>
      </c>
      <c r="BL492" s="46">
        <f t="shared" si="1115"/>
        <v>15.11</v>
      </c>
    </row>
    <row r="493" spans="1:64" ht="30" customHeight="1" x14ac:dyDescent="0.25">
      <c r="A493" s="84" t="str">
        <f t="shared" si="1158"/>
        <v>Д</v>
      </c>
      <c r="B493" s="84" t="str">
        <f t="shared" si="1168"/>
        <v>М</v>
      </c>
      <c r="C493" s="101" t="s">
        <v>1480</v>
      </c>
      <c r="D493" s="16" t="str">
        <f t="shared" si="1169"/>
        <v>'01.04.02</v>
      </c>
      <c r="E493" s="17" t="str">
        <f t="shared" si="1170"/>
        <v>Теория вероятностей и математическая статистика</v>
      </c>
      <c r="F493" s="9" t="s">
        <v>413</v>
      </c>
      <c r="G493" s="9" t="s">
        <v>42</v>
      </c>
      <c r="H493" s="10"/>
      <c r="I493" s="10"/>
      <c r="J493" s="24" t="s">
        <v>3328</v>
      </c>
      <c r="K493" s="11">
        <v>2</v>
      </c>
      <c r="L493" s="11">
        <v>18</v>
      </c>
      <c r="M493" s="8" t="s">
        <v>23</v>
      </c>
      <c r="N493" s="11">
        <v>1</v>
      </c>
      <c r="O493" s="11"/>
      <c r="P493" s="11"/>
      <c r="Q493" s="8"/>
      <c r="R493" s="11"/>
      <c r="S493" s="11"/>
      <c r="T493" s="11"/>
      <c r="U493" s="11"/>
      <c r="V493" s="11"/>
      <c r="W493" s="83" t="str">
        <f t="shared" si="1159"/>
        <v>НПМмд</v>
      </c>
      <c r="X493" s="110" t="s">
        <v>3247</v>
      </c>
      <c r="Y493" s="11">
        <v>1</v>
      </c>
      <c r="Z493" s="11">
        <v>1</v>
      </c>
      <c r="AA493" s="83">
        <f t="shared" si="1171"/>
        <v>17</v>
      </c>
      <c r="AB493" s="11">
        <v>15</v>
      </c>
      <c r="AC493" s="11">
        <v>2</v>
      </c>
      <c r="AD493" s="81">
        <f t="shared" si="1160"/>
        <v>17</v>
      </c>
      <c r="AE493" s="82">
        <f t="shared" si="1172"/>
        <v>1</v>
      </c>
      <c r="AF493" s="82">
        <f t="shared" si="1173"/>
        <v>1</v>
      </c>
      <c r="AG493" s="102" t="s">
        <v>3250</v>
      </c>
      <c r="AH493" s="8" t="s">
        <v>204</v>
      </c>
      <c r="AI493" s="8" t="s">
        <v>212</v>
      </c>
      <c r="AJ493" s="36" t="s">
        <v>3294</v>
      </c>
      <c r="AK493" s="8"/>
      <c r="AL493" s="42">
        <f t="shared" si="1161"/>
        <v>18</v>
      </c>
      <c r="AM493" s="42">
        <f t="shared" si="1174"/>
        <v>0</v>
      </c>
      <c r="AN493" s="42">
        <f t="shared" si="1175"/>
        <v>0</v>
      </c>
      <c r="AO493" s="42">
        <f t="shared" si="1112"/>
        <v>0</v>
      </c>
      <c r="AP493" s="42">
        <f t="shared" si="1176"/>
        <v>0</v>
      </c>
      <c r="AQ493" s="42">
        <f t="shared" si="1177"/>
        <v>0</v>
      </c>
      <c r="AR493" s="42">
        <f t="shared" si="1162"/>
        <v>0.9</v>
      </c>
      <c r="AS493" s="42">
        <f t="shared" si="1178"/>
        <v>0</v>
      </c>
      <c r="AT493" s="42">
        <f t="shared" si="1179"/>
        <v>0</v>
      </c>
      <c r="AU493" s="42">
        <f t="shared" si="1180"/>
        <v>0</v>
      </c>
      <c r="AV493" s="42">
        <f>IF(M493="ПП",РПП*AA493*(U493/1.5),IF(M493="ВП",ВПр*AA493*(U493/1.5),IF(M493="РПА",РПА*AA493*(U493/1.5),IF(M493="КПА",КПА*AA493*(U493/1.5),0))))</f>
        <v>0</v>
      </c>
      <c r="AW493" s="42">
        <f t="shared" si="1181"/>
        <v>0</v>
      </c>
      <c r="AX493" s="42">
        <f t="shared" si="1163"/>
        <v>0</v>
      </c>
      <c r="AY493" s="42">
        <f t="shared" si="1164"/>
        <v>0</v>
      </c>
      <c r="AZ493" s="42">
        <f t="shared" si="1182"/>
        <v>0</v>
      </c>
      <c r="BA493" s="42">
        <f t="shared" si="1165"/>
        <v>0</v>
      </c>
      <c r="BB493" s="42">
        <f t="shared" si="1166"/>
        <v>0</v>
      </c>
      <c r="BC493" s="42">
        <f t="shared" si="1167"/>
        <v>0</v>
      </c>
      <c r="BD493" s="42">
        <f t="shared" si="1183"/>
        <v>0</v>
      </c>
      <c r="BE493" s="43">
        <f t="shared" si="1184"/>
        <v>18.899999999999999</v>
      </c>
      <c r="BF493" s="44"/>
      <c r="BG493" s="45">
        <f t="shared" si="1185"/>
        <v>0</v>
      </c>
      <c r="BH493" s="45">
        <f t="shared" si="1186"/>
        <v>0</v>
      </c>
      <c r="BI493" s="45">
        <f t="shared" si="1187"/>
        <v>0</v>
      </c>
      <c r="BJ493" s="46">
        <f t="shared" si="1113"/>
        <v>18</v>
      </c>
      <c r="BK493" s="46">
        <f t="shared" si="1114"/>
        <v>0.5</v>
      </c>
      <c r="BL493" s="46">
        <f t="shared" si="1115"/>
        <v>0.9</v>
      </c>
    </row>
    <row r="494" spans="1:64" ht="30" customHeight="1" x14ac:dyDescent="0.25">
      <c r="A494" s="84" t="str">
        <f t="shared" si="1158"/>
        <v>Д</v>
      </c>
      <c r="B494" s="84" t="str">
        <f t="shared" si="1168"/>
        <v>М</v>
      </c>
      <c r="C494" s="101" t="s">
        <v>1480</v>
      </c>
      <c r="D494" s="16" t="str">
        <f t="shared" si="1169"/>
        <v>'01.04.02</v>
      </c>
      <c r="E494" s="17" t="str">
        <f t="shared" si="1170"/>
        <v>Теория вероятностей и математическая статистика</v>
      </c>
      <c r="F494" s="9" t="s">
        <v>413</v>
      </c>
      <c r="G494" s="9" t="s">
        <v>42</v>
      </c>
      <c r="H494" s="10"/>
      <c r="I494" s="10"/>
      <c r="J494" s="24" t="s">
        <v>3328</v>
      </c>
      <c r="K494" s="11">
        <v>2</v>
      </c>
      <c r="L494" s="11">
        <v>18</v>
      </c>
      <c r="M494" s="8" t="s">
        <v>24</v>
      </c>
      <c r="N494" s="11"/>
      <c r="O494" s="11"/>
      <c r="P494" s="11">
        <v>1</v>
      </c>
      <c r="Q494" s="8" t="s">
        <v>102</v>
      </c>
      <c r="R494" s="11"/>
      <c r="S494" s="11"/>
      <c r="T494" s="11"/>
      <c r="U494" s="11"/>
      <c r="V494" s="11"/>
      <c r="W494" s="83" t="str">
        <f t="shared" si="1159"/>
        <v>НПМмд</v>
      </c>
      <c r="X494" s="110" t="s">
        <v>3247</v>
      </c>
      <c r="Y494" s="11">
        <v>1</v>
      </c>
      <c r="Z494" s="11">
        <v>1</v>
      </c>
      <c r="AA494" s="83">
        <f t="shared" si="1171"/>
        <v>17</v>
      </c>
      <c r="AB494" s="11">
        <v>15</v>
      </c>
      <c r="AC494" s="11">
        <v>2</v>
      </c>
      <c r="AD494" s="81">
        <f t="shared" si="1160"/>
        <v>12</v>
      </c>
      <c r="AE494" s="82">
        <f t="shared" si="1172"/>
        <v>1</v>
      </c>
      <c r="AF494" s="82">
        <f t="shared" si="1173"/>
        <v>1.4166666666666667</v>
      </c>
      <c r="AG494" s="102" t="s">
        <v>3250</v>
      </c>
      <c r="AH494" s="8" t="s">
        <v>204</v>
      </c>
      <c r="AI494" s="8" t="s">
        <v>212</v>
      </c>
      <c r="AJ494" s="35" t="s">
        <v>3294</v>
      </c>
      <c r="AK494" s="8"/>
      <c r="AL494" s="42">
        <f t="shared" si="1161"/>
        <v>0</v>
      </c>
      <c r="AM494" s="42">
        <f t="shared" si="1174"/>
        <v>18</v>
      </c>
      <c r="AN494" s="42">
        <f t="shared" si="1175"/>
        <v>0</v>
      </c>
      <c r="AO494" s="42">
        <f t="shared" si="1112"/>
        <v>5.61</v>
      </c>
      <c r="AP494" s="42">
        <f t="shared" si="1176"/>
        <v>8.5</v>
      </c>
      <c r="AQ494" s="42">
        <f t="shared" si="1177"/>
        <v>1</v>
      </c>
      <c r="AR494" s="42">
        <f t="shared" si="1162"/>
        <v>0</v>
      </c>
      <c r="AS494" s="42">
        <f t="shared" si="1178"/>
        <v>0</v>
      </c>
      <c r="AT494" s="42">
        <f t="shared" si="1179"/>
        <v>0</v>
      </c>
      <c r="AU494" s="42">
        <f t="shared" si="1180"/>
        <v>0</v>
      </c>
      <c r="AV494" s="42">
        <f>IF(M494="ПП",РПП*AA494*(U494/1.5),IF(M494="ВП",ВПр*AA494*(U494/1.5),IF(M494="РПА",РПА*AA494*(U494/1.5),IF(M494="КПА",КПА*AA494*(U494/1.5),0))))</f>
        <v>0</v>
      </c>
      <c r="AW494" s="42">
        <f t="shared" si="1181"/>
        <v>0</v>
      </c>
      <c r="AX494" s="42">
        <f t="shared" si="1163"/>
        <v>0</v>
      </c>
      <c r="AY494" s="42">
        <f t="shared" si="1164"/>
        <v>0</v>
      </c>
      <c r="AZ494" s="42">
        <f t="shared" si="1182"/>
        <v>0</v>
      </c>
      <c r="BA494" s="42">
        <f t="shared" si="1165"/>
        <v>0</v>
      </c>
      <c r="BB494" s="42">
        <f t="shared" si="1166"/>
        <v>0</v>
      </c>
      <c r="BC494" s="42">
        <f t="shared" si="1167"/>
        <v>0</v>
      </c>
      <c r="BD494" s="42">
        <f t="shared" si="1183"/>
        <v>0</v>
      </c>
      <c r="BE494" s="43">
        <f t="shared" si="1184"/>
        <v>33.11</v>
      </c>
      <c r="BF494" s="44"/>
      <c r="BG494" s="45">
        <f t="shared" si="1185"/>
        <v>0</v>
      </c>
      <c r="BH494" s="45">
        <f t="shared" si="1186"/>
        <v>0</v>
      </c>
      <c r="BI494" s="45">
        <f t="shared" si="1187"/>
        <v>0</v>
      </c>
      <c r="BJ494" s="46">
        <f t="shared" si="1113"/>
        <v>18</v>
      </c>
      <c r="BK494" s="46">
        <f t="shared" si="1114"/>
        <v>0.5</v>
      </c>
      <c r="BL494" s="46">
        <f t="shared" si="1115"/>
        <v>15.11</v>
      </c>
    </row>
    <row r="495" spans="1:64" ht="30" customHeight="1" x14ac:dyDescent="0.25">
      <c r="A495" s="84" t="str">
        <f t="shared" si="1158"/>
        <v>Д</v>
      </c>
      <c r="B495" s="84" t="str">
        <f t="shared" si="1168"/>
        <v>М</v>
      </c>
      <c r="C495" s="101" t="s">
        <v>1480</v>
      </c>
      <c r="D495" s="16" t="str">
        <f t="shared" si="1169"/>
        <v>'01.04.02</v>
      </c>
      <c r="E495" s="17" t="str">
        <f t="shared" si="1170"/>
        <v>Теория вероятностей и математическая статистика</v>
      </c>
      <c r="F495" s="9" t="s">
        <v>413</v>
      </c>
      <c r="G495" s="9" t="s">
        <v>42</v>
      </c>
      <c r="H495" s="10"/>
      <c r="I495" s="10"/>
      <c r="J495" s="24" t="s">
        <v>3329</v>
      </c>
      <c r="K495" s="11">
        <v>2</v>
      </c>
      <c r="L495" s="11">
        <v>18</v>
      </c>
      <c r="M495" s="8" t="s">
        <v>23</v>
      </c>
      <c r="N495" s="11">
        <v>1</v>
      </c>
      <c r="O495" s="11"/>
      <c r="P495" s="11"/>
      <c r="Q495" s="8" t="s">
        <v>103</v>
      </c>
      <c r="R495" s="11"/>
      <c r="S495" s="11"/>
      <c r="T495" s="11"/>
      <c r="U495" s="11"/>
      <c r="V495" s="11"/>
      <c r="W495" s="83" t="str">
        <f t="shared" si="1159"/>
        <v>НПМмд</v>
      </c>
      <c r="X495" s="110" t="s">
        <v>3247</v>
      </c>
      <c r="Y495" s="11">
        <v>1</v>
      </c>
      <c r="Z495" s="11">
        <v>1</v>
      </c>
      <c r="AA495" s="83">
        <f t="shared" si="1171"/>
        <v>17</v>
      </c>
      <c r="AB495" s="11">
        <v>15</v>
      </c>
      <c r="AC495" s="11">
        <v>2</v>
      </c>
      <c r="AD495" s="81">
        <f t="shared" si="1160"/>
        <v>17</v>
      </c>
      <c r="AE495" s="82">
        <f t="shared" si="1172"/>
        <v>1</v>
      </c>
      <c r="AF495" s="82">
        <f t="shared" si="1173"/>
        <v>1</v>
      </c>
      <c r="AG495" s="102" t="s">
        <v>3250</v>
      </c>
      <c r="AH495" s="8" t="s">
        <v>204</v>
      </c>
      <c r="AI495" s="8" t="s">
        <v>213</v>
      </c>
      <c r="AJ495" s="37" t="s">
        <v>3335</v>
      </c>
      <c r="AK495" s="8"/>
      <c r="AL495" s="42">
        <f t="shared" si="1161"/>
        <v>18</v>
      </c>
      <c r="AM495" s="42">
        <f t="shared" si="1174"/>
        <v>0</v>
      </c>
      <c r="AN495" s="42">
        <f t="shared" si="1175"/>
        <v>0</v>
      </c>
      <c r="AO495" s="42">
        <f t="shared" ref="AO495:AO547" si="1188">(IF((AND(OR(K495=1,K495=2,K495=3,K495=4,K495=5,K495=6,K495=7,K495=8,K495=9,K495=10,K495=11,K495=12),OR(Q495="Зач",Q495="Экз"))),ТКиРА*AA495,0)+IF(SUM(N495:P495)&lt;&gt;0,IF(Q495="ТК",ТКиРА*AA495,0),0))*(IF(F495="ФТД",0,1))</f>
        <v>5.61</v>
      </c>
      <c r="AP495" s="42">
        <f t="shared" si="1176"/>
        <v>8.5</v>
      </c>
      <c r="AQ495" s="42">
        <f t="shared" si="1177"/>
        <v>1</v>
      </c>
      <c r="AR495" s="42">
        <f t="shared" si="1162"/>
        <v>0.9</v>
      </c>
      <c r="AS495" s="42">
        <f t="shared" si="1178"/>
        <v>0</v>
      </c>
      <c r="AT495" s="42">
        <f t="shared" si="1179"/>
        <v>0</v>
      </c>
      <c r="AU495" s="42">
        <f t="shared" si="1180"/>
        <v>0</v>
      </c>
      <c r="AV495" s="42">
        <f>IF(M495="ПП",РПП*AA495*(U495/1.5),IF(M495="ВП",ВПр*AA495*(U495/1.5),IF(M495="РПА",РПА*AA495*(U495/1.5),IF(M495="КПА",КПА*AA495*(U495/1.5),0))))</f>
        <v>0</v>
      </c>
      <c r="AW495" s="42">
        <f t="shared" si="1181"/>
        <v>0</v>
      </c>
      <c r="AX495" s="42">
        <f t="shared" si="1163"/>
        <v>0</v>
      </c>
      <c r="AY495" s="42">
        <f t="shared" si="1164"/>
        <v>0</v>
      </c>
      <c r="AZ495" s="42">
        <f t="shared" si="1182"/>
        <v>0</v>
      </c>
      <c r="BA495" s="42">
        <f t="shared" si="1165"/>
        <v>0</v>
      </c>
      <c r="BB495" s="42">
        <f t="shared" si="1166"/>
        <v>0</v>
      </c>
      <c r="BC495" s="42">
        <f t="shared" si="1167"/>
        <v>0</v>
      </c>
      <c r="BD495" s="42">
        <f t="shared" si="1183"/>
        <v>0</v>
      </c>
      <c r="BE495" s="43">
        <f t="shared" si="1184"/>
        <v>34.01</v>
      </c>
      <c r="BF495" s="44"/>
      <c r="BG495" s="45">
        <f t="shared" si="1185"/>
        <v>0</v>
      </c>
      <c r="BH495" s="45">
        <f t="shared" si="1186"/>
        <v>0</v>
      </c>
      <c r="BI495" s="45">
        <f t="shared" si="1187"/>
        <v>0</v>
      </c>
      <c r="BJ495" s="46">
        <f t="shared" si="1113"/>
        <v>18</v>
      </c>
      <c r="BK495" s="46">
        <f t="shared" si="1114"/>
        <v>0.5</v>
      </c>
      <c r="BL495" s="46">
        <f t="shared" si="1115"/>
        <v>16.009999999999998</v>
      </c>
    </row>
    <row r="496" spans="1:64" ht="30" customHeight="1" x14ac:dyDescent="0.25">
      <c r="A496" s="84" t="str">
        <f t="shared" si="1158"/>
        <v>Д</v>
      </c>
      <c r="B496" s="84" t="str">
        <f t="shared" si="1168"/>
        <v>М</v>
      </c>
      <c r="C496" s="101" t="s">
        <v>1480</v>
      </c>
      <c r="D496" s="16" t="str">
        <f t="shared" si="1169"/>
        <v>'01.04.02</v>
      </c>
      <c r="E496" s="17" t="str">
        <f t="shared" si="1170"/>
        <v>Теория вероятностей и математическая статистика</v>
      </c>
      <c r="F496" s="9" t="s">
        <v>413</v>
      </c>
      <c r="G496" s="9" t="s">
        <v>42</v>
      </c>
      <c r="H496" s="10"/>
      <c r="I496" s="10"/>
      <c r="J496" s="24" t="s">
        <v>3329</v>
      </c>
      <c r="K496" s="11">
        <v>2</v>
      </c>
      <c r="L496" s="11">
        <v>18</v>
      </c>
      <c r="M496" s="8" t="s">
        <v>94</v>
      </c>
      <c r="N496" s="11"/>
      <c r="O496" s="11">
        <v>1</v>
      </c>
      <c r="P496" s="11"/>
      <c r="Q496" s="8"/>
      <c r="R496" s="12"/>
      <c r="S496" s="12"/>
      <c r="T496" s="12"/>
      <c r="U496" s="12"/>
      <c r="V496" s="12"/>
      <c r="W496" s="83" t="str">
        <f t="shared" si="1159"/>
        <v>НПМмд</v>
      </c>
      <c r="X496" s="110" t="s">
        <v>3247</v>
      </c>
      <c r="Y496" s="11">
        <v>1</v>
      </c>
      <c r="Z496" s="11">
        <v>1</v>
      </c>
      <c r="AA496" s="83">
        <f t="shared" si="1171"/>
        <v>17</v>
      </c>
      <c r="AB496" s="11">
        <v>15</v>
      </c>
      <c r="AC496" s="11">
        <v>2</v>
      </c>
      <c r="AD496" s="81">
        <f t="shared" si="1160"/>
        <v>12</v>
      </c>
      <c r="AE496" s="82">
        <f t="shared" si="1172"/>
        <v>1</v>
      </c>
      <c r="AF496" s="82">
        <f t="shared" si="1173"/>
        <v>1.4166666666666667</v>
      </c>
      <c r="AG496" s="102" t="s">
        <v>3250</v>
      </c>
      <c r="AH496" s="8" t="s">
        <v>204</v>
      </c>
      <c r="AI496" s="8" t="s">
        <v>213</v>
      </c>
      <c r="AJ496" s="35" t="s">
        <v>3335</v>
      </c>
      <c r="AK496" s="8"/>
      <c r="AL496" s="42">
        <f t="shared" si="1161"/>
        <v>0</v>
      </c>
      <c r="AM496" s="42">
        <f t="shared" si="1174"/>
        <v>0</v>
      </c>
      <c r="AN496" s="42">
        <f t="shared" si="1175"/>
        <v>18</v>
      </c>
      <c r="AO496" s="42">
        <f t="shared" si="1188"/>
        <v>0</v>
      </c>
      <c r="AP496" s="42">
        <f t="shared" si="1176"/>
        <v>0</v>
      </c>
      <c r="AQ496" s="42">
        <f t="shared" si="1177"/>
        <v>0</v>
      </c>
      <c r="AR496" s="42">
        <f t="shared" si="1162"/>
        <v>0</v>
      </c>
      <c r="AS496" s="42">
        <f t="shared" si="1178"/>
        <v>0</v>
      </c>
      <c r="AT496" s="42">
        <f t="shared" si="1179"/>
        <v>0</v>
      </c>
      <c r="AU496" s="42">
        <f t="shared" si="1180"/>
        <v>0</v>
      </c>
      <c r="AV496" s="42">
        <f>IF(M496="ПП",РПП*AA496*(U496/1.5),IF(M496="ВП",ВПр*AA496*(U496/1.5),IF(M496="РПА",РПА*AA496*(U496/1.5),IF(M496="КПА",КПА*AA496*(U496/1.5),0))))</f>
        <v>0</v>
      </c>
      <c r="AW496" s="42">
        <f t="shared" si="1181"/>
        <v>0</v>
      </c>
      <c r="AX496" s="42">
        <f t="shared" si="1163"/>
        <v>0</v>
      </c>
      <c r="AY496" s="42">
        <f t="shared" si="1164"/>
        <v>0</v>
      </c>
      <c r="AZ496" s="42">
        <f t="shared" si="1182"/>
        <v>0</v>
      </c>
      <c r="BA496" s="42">
        <f t="shared" si="1165"/>
        <v>0</v>
      </c>
      <c r="BB496" s="42">
        <f t="shared" si="1166"/>
        <v>0</v>
      </c>
      <c r="BC496" s="42">
        <f t="shared" si="1167"/>
        <v>0</v>
      </c>
      <c r="BD496" s="42">
        <f t="shared" si="1183"/>
        <v>0</v>
      </c>
      <c r="BE496" s="43">
        <f t="shared" si="1184"/>
        <v>18</v>
      </c>
      <c r="BF496" s="44"/>
      <c r="BG496" s="45">
        <f t="shared" si="1185"/>
        <v>0</v>
      </c>
      <c r="BH496" s="45">
        <f t="shared" si="1186"/>
        <v>0</v>
      </c>
      <c r="BI496" s="45">
        <f t="shared" si="1187"/>
        <v>0</v>
      </c>
      <c r="BJ496" s="46">
        <f t="shared" si="1113"/>
        <v>18</v>
      </c>
      <c r="BK496" s="46">
        <f t="shared" si="1114"/>
        <v>0.5</v>
      </c>
      <c r="BL496" s="46">
        <f t="shared" si="1115"/>
        <v>0</v>
      </c>
    </row>
    <row r="497" spans="1:64" ht="30" customHeight="1" x14ac:dyDescent="0.25">
      <c r="A497" s="84" t="str">
        <f t="shared" si="1158"/>
        <v>Д</v>
      </c>
      <c r="B497" s="84" t="str">
        <f t="shared" si="1168"/>
        <v>М</v>
      </c>
      <c r="C497" s="101" t="s">
        <v>1480</v>
      </c>
      <c r="D497" s="16" t="str">
        <f t="shared" si="1169"/>
        <v>'01.04.02</v>
      </c>
      <c r="E497" s="17" t="str">
        <f t="shared" si="1170"/>
        <v>Теория вероятностей и математическая статистика</v>
      </c>
      <c r="F497" s="9" t="s">
        <v>413</v>
      </c>
      <c r="G497" s="9" t="s">
        <v>22</v>
      </c>
      <c r="H497" s="10"/>
      <c r="I497" s="10"/>
      <c r="J497" s="24" t="s">
        <v>3330</v>
      </c>
      <c r="K497" s="11">
        <v>2</v>
      </c>
      <c r="L497" s="11">
        <v>18</v>
      </c>
      <c r="M497" s="8" t="s">
        <v>23</v>
      </c>
      <c r="N497" s="11">
        <v>1</v>
      </c>
      <c r="O497" s="11"/>
      <c r="P497" s="11"/>
      <c r="Q497" s="8" t="s">
        <v>103</v>
      </c>
      <c r="R497" s="11"/>
      <c r="S497" s="11"/>
      <c r="T497" s="23"/>
      <c r="U497" s="11"/>
      <c r="V497" s="11"/>
      <c r="W497" s="83" t="str">
        <f t="shared" si="1159"/>
        <v>НПМмд</v>
      </c>
      <c r="X497" s="110" t="s">
        <v>3247</v>
      </c>
      <c r="Y497" s="11">
        <v>1</v>
      </c>
      <c r="Z497" s="11">
        <v>1</v>
      </c>
      <c r="AA497" s="83">
        <f t="shared" si="1171"/>
        <v>17</v>
      </c>
      <c r="AB497" s="11">
        <v>15</v>
      </c>
      <c r="AC497" s="11">
        <v>2</v>
      </c>
      <c r="AD497" s="81">
        <f t="shared" si="1160"/>
        <v>17</v>
      </c>
      <c r="AE497" s="82">
        <f t="shared" si="1172"/>
        <v>1</v>
      </c>
      <c r="AF497" s="82">
        <f t="shared" si="1173"/>
        <v>1</v>
      </c>
      <c r="AG497" s="102" t="s">
        <v>3250</v>
      </c>
      <c r="AH497" s="8" t="s">
        <v>205</v>
      </c>
      <c r="AI497" s="8" t="s">
        <v>212</v>
      </c>
      <c r="AJ497" s="35" t="s">
        <v>3295</v>
      </c>
      <c r="AK497" s="8"/>
      <c r="AL497" s="42">
        <f t="shared" si="1161"/>
        <v>18</v>
      </c>
      <c r="AM497" s="42">
        <f t="shared" si="1174"/>
        <v>0</v>
      </c>
      <c r="AN497" s="42">
        <f t="shared" si="1175"/>
        <v>0</v>
      </c>
      <c r="AO497" s="42">
        <f t="shared" si="1188"/>
        <v>5.61</v>
      </c>
      <c r="AP497" s="42">
        <f t="shared" si="1176"/>
        <v>8.5</v>
      </c>
      <c r="AQ497" s="42">
        <f t="shared" si="1177"/>
        <v>1</v>
      </c>
      <c r="AR497" s="42">
        <f t="shared" si="1162"/>
        <v>0.9</v>
      </c>
      <c r="AS497" s="42">
        <f t="shared" si="1178"/>
        <v>0</v>
      </c>
      <c r="AT497" s="42">
        <f t="shared" si="1179"/>
        <v>0</v>
      </c>
      <c r="AU497" s="42">
        <f t="shared" si="1180"/>
        <v>0</v>
      </c>
      <c r="AV497" s="42">
        <f>IF(M497="ПП",РПП*AA497*(U497/1.5),IF(M497="ВП",ВПр*AA497*(U497/1.5),IF(M497="РПА",РПА*AA497*(U497/1.5),IF(M497="КПА",КПА*AA497*(U497/1.5),0))))</f>
        <v>0</v>
      </c>
      <c r="AW497" s="42">
        <f t="shared" si="1181"/>
        <v>0</v>
      </c>
      <c r="AX497" s="42">
        <f t="shared" si="1163"/>
        <v>0</v>
      </c>
      <c r="AY497" s="42">
        <f t="shared" si="1164"/>
        <v>0</v>
      </c>
      <c r="AZ497" s="42">
        <f t="shared" si="1182"/>
        <v>0</v>
      </c>
      <c r="BA497" s="42">
        <f t="shared" si="1165"/>
        <v>0</v>
      </c>
      <c r="BB497" s="42">
        <f t="shared" si="1166"/>
        <v>0</v>
      </c>
      <c r="BC497" s="42">
        <f t="shared" si="1167"/>
        <v>0</v>
      </c>
      <c r="BD497" s="42">
        <f t="shared" si="1183"/>
        <v>0</v>
      </c>
      <c r="BE497" s="43">
        <f t="shared" si="1184"/>
        <v>34.01</v>
      </c>
      <c r="BF497" s="44"/>
      <c r="BG497" s="45">
        <f t="shared" si="1185"/>
        <v>0</v>
      </c>
      <c r="BH497" s="45">
        <f t="shared" si="1186"/>
        <v>0</v>
      </c>
      <c r="BI497" s="45">
        <f t="shared" si="1187"/>
        <v>0</v>
      </c>
      <c r="BJ497" s="46">
        <f t="shared" si="1113"/>
        <v>18</v>
      </c>
      <c r="BK497" s="46">
        <f t="shared" si="1114"/>
        <v>0.5</v>
      </c>
      <c r="BL497" s="46">
        <f t="shared" si="1115"/>
        <v>16.009999999999998</v>
      </c>
    </row>
    <row r="498" spans="1:64" ht="30" customHeight="1" x14ac:dyDescent="0.25">
      <c r="A498" s="84" t="str">
        <f t="shared" si="1158"/>
        <v>Д</v>
      </c>
      <c r="B498" s="84" t="str">
        <f t="shared" si="1168"/>
        <v>М</v>
      </c>
      <c r="C498" s="101" t="s">
        <v>1480</v>
      </c>
      <c r="D498" s="16" t="str">
        <f t="shared" si="1169"/>
        <v>'01.04.02</v>
      </c>
      <c r="E498" s="17" t="str">
        <f t="shared" si="1170"/>
        <v>Теория вероятностей и математическая статистика</v>
      </c>
      <c r="F498" s="9" t="s">
        <v>413</v>
      </c>
      <c r="G498" s="9" t="s">
        <v>22</v>
      </c>
      <c r="H498" s="10"/>
      <c r="I498" s="10"/>
      <c r="J498" s="24" t="s">
        <v>3330</v>
      </c>
      <c r="K498" s="12">
        <v>2</v>
      </c>
      <c r="L498" s="11">
        <v>18</v>
      </c>
      <c r="M498" s="8" t="s">
        <v>24</v>
      </c>
      <c r="N498" s="12"/>
      <c r="O498" s="12"/>
      <c r="P498" s="12">
        <v>1</v>
      </c>
      <c r="Q498" s="8"/>
      <c r="R498" s="11"/>
      <c r="S498" s="11"/>
      <c r="T498" s="23"/>
      <c r="U498" s="11"/>
      <c r="V498" s="11"/>
      <c r="W498" s="83" t="str">
        <f t="shared" si="1159"/>
        <v>НПМмд</v>
      </c>
      <c r="X498" s="110" t="s">
        <v>3247</v>
      </c>
      <c r="Y498" s="11">
        <v>1</v>
      </c>
      <c r="Z498" s="11">
        <v>1</v>
      </c>
      <c r="AA498" s="83">
        <f t="shared" si="1171"/>
        <v>17</v>
      </c>
      <c r="AB498" s="11">
        <v>15</v>
      </c>
      <c r="AC498" s="11">
        <v>2</v>
      </c>
      <c r="AD498" s="81">
        <f t="shared" si="1160"/>
        <v>12</v>
      </c>
      <c r="AE498" s="82">
        <f t="shared" si="1172"/>
        <v>1</v>
      </c>
      <c r="AF498" s="82">
        <f t="shared" si="1173"/>
        <v>1.4166666666666667</v>
      </c>
      <c r="AG498" s="102" t="s">
        <v>3250</v>
      </c>
      <c r="AH498" s="8" t="s">
        <v>204</v>
      </c>
      <c r="AI498" s="8" t="s">
        <v>212</v>
      </c>
      <c r="AJ498" s="35" t="s">
        <v>3254</v>
      </c>
      <c r="AK498" s="8"/>
      <c r="AL498" s="42">
        <f t="shared" si="1161"/>
        <v>0</v>
      </c>
      <c r="AM498" s="42">
        <f t="shared" si="1174"/>
        <v>18</v>
      </c>
      <c r="AN498" s="42">
        <f t="shared" si="1175"/>
        <v>0</v>
      </c>
      <c r="AO498" s="42">
        <f t="shared" si="1188"/>
        <v>0</v>
      </c>
      <c r="AP498" s="42">
        <f t="shared" si="1176"/>
        <v>0</v>
      </c>
      <c r="AQ498" s="42">
        <f t="shared" si="1177"/>
        <v>0</v>
      </c>
      <c r="AR498" s="42">
        <f t="shared" si="1162"/>
        <v>0</v>
      </c>
      <c r="AS498" s="42">
        <f t="shared" si="1178"/>
        <v>0</v>
      </c>
      <c r="AT498" s="42">
        <f t="shared" si="1179"/>
        <v>0</v>
      </c>
      <c r="AU498" s="42">
        <f t="shared" si="1180"/>
        <v>0</v>
      </c>
      <c r="AV498" s="42">
        <f>IF(M498="ПП",РПП*AA498*(U498/1.5),IF(M498="ВП",ВПр*AA498*(U498/1.5),IF(M498="РПА",РПА*AA498*(U498/1.5),IF(M498="КПА",КПА*AA498*(U498/1.5),0))))</f>
        <v>0</v>
      </c>
      <c r="AW498" s="42">
        <f t="shared" si="1181"/>
        <v>0</v>
      </c>
      <c r="AX498" s="42">
        <f t="shared" si="1163"/>
        <v>0</v>
      </c>
      <c r="AY498" s="42">
        <f t="shared" si="1164"/>
        <v>0</v>
      </c>
      <c r="AZ498" s="42">
        <f t="shared" si="1182"/>
        <v>0</v>
      </c>
      <c r="BA498" s="42">
        <f t="shared" si="1165"/>
        <v>0</v>
      </c>
      <c r="BB498" s="42">
        <f t="shared" si="1166"/>
        <v>0</v>
      </c>
      <c r="BC498" s="42">
        <f t="shared" si="1167"/>
        <v>0</v>
      </c>
      <c r="BD498" s="42">
        <f t="shared" si="1183"/>
        <v>0</v>
      </c>
      <c r="BE498" s="43">
        <f t="shared" si="1184"/>
        <v>18</v>
      </c>
      <c r="BF498" s="44"/>
      <c r="BG498" s="45">
        <f t="shared" si="1185"/>
        <v>0</v>
      </c>
      <c r="BH498" s="45">
        <f t="shared" si="1186"/>
        <v>0</v>
      </c>
      <c r="BI498" s="45">
        <f t="shared" si="1187"/>
        <v>0</v>
      </c>
      <c r="BJ498" s="46">
        <f t="shared" si="1113"/>
        <v>18</v>
      </c>
      <c r="BK498" s="46">
        <f t="shared" si="1114"/>
        <v>0.5</v>
      </c>
      <c r="BL498" s="46">
        <f t="shared" si="1115"/>
        <v>0</v>
      </c>
    </row>
    <row r="499" spans="1:64" ht="30" customHeight="1" x14ac:dyDescent="0.25">
      <c r="A499" s="84" t="str">
        <f t="shared" si="1158"/>
        <v>Д</v>
      </c>
      <c r="B499" s="84" t="str">
        <f t="shared" si="1168"/>
        <v>М</v>
      </c>
      <c r="C499" s="101" t="s">
        <v>1480</v>
      </c>
      <c r="D499" s="16" t="str">
        <f t="shared" si="1169"/>
        <v>'01.04.02</v>
      </c>
      <c r="E499" s="17" t="str">
        <f t="shared" si="1170"/>
        <v>Теория вероятностей и математическая статистика</v>
      </c>
      <c r="F499" s="9" t="s">
        <v>413</v>
      </c>
      <c r="G499" s="9" t="s">
        <v>22</v>
      </c>
      <c r="H499" s="10"/>
      <c r="I499" s="10"/>
      <c r="J499" s="24" t="s">
        <v>3331</v>
      </c>
      <c r="K499" s="11">
        <v>3</v>
      </c>
      <c r="L499" s="11">
        <v>18</v>
      </c>
      <c r="M499" s="8" t="s">
        <v>23</v>
      </c>
      <c r="N499" s="11">
        <v>1</v>
      </c>
      <c r="O499" s="11"/>
      <c r="P499" s="11"/>
      <c r="Q499" s="8"/>
      <c r="R499" s="11"/>
      <c r="S499" s="11"/>
      <c r="T499" s="11"/>
      <c r="U499" s="11"/>
      <c r="V499" s="11"/>
      <c r="W499" s="83" t="str">
        <f t="shared" si="1159"/>
        <v>НПМмд</v>
      </c>
      <c r="X499" s="110" t="s">
        <v>3235</v>
      </c>
      <c r="Y499" s="11">
        <v>1</v>
      </c>
      <c r="Z499" s="11">
        <v>1</v>
      </c>
      <c r="AA499" s="83">
        <f t="shared" si="1171"/>
        <v>11</v>
      </c>
      <c r="AB499" s="11">
        <v>10</v>
      </c>
      <c r="AC499" s="11">
        <v>1</v>
      </c>
      <c r="AD499" s="81">
        <f t="shared" si="1160"/>
        <v>11</v>
      </c>
      <c r="AE499" s="82">
        <f t="shared" si="1172"/>
        <v>1</v>
      </c>
      <c r="AF499" s="82">
        <f t="shared" si="1173"/>
        <v>1</v>
      </c>
      <c r="AG499" s="102" t="s">
        <v>3250</v>
      </c>
      <c r="AH499" s="8" t="s">
        <v>204</v>
      </c>
      <c r="AI499" s="8" t="s">
        <v>213</v>
      </c>
      <c r="AJ499" s="36" t="s">
        <v>3335</v>
      </c>
      <c r="AK499" s="8"/>
      <c r="AL499" s="42">
        <f t="shared" si="1161"/>
        <v>18</v>
      </c>
      <c r="AM499" s="42">
        <f t="shared" si="1174"/>
        <v>0</v>
      </c>
      <c r="AN499" s="42">
        <f t="shared" si="1175"/>
        <v>0</v>
      </c>
      <c r="AO499" s="42">
        <f t="shared" si="1188"/>
        <v>0</v>
      </c>
      <c r="AP499" s="42">
        <f t="shared" si="1176"/>
        <v>0</v>
      </c>
      <c r="AQ499" s="42">
        <f t="shared" si="1177"/>
        <v>0</v>
      </c>
      <c r="AR499" s="42">
        <f t="shared" si="1162"/>
        <v>0.9</v>
      </c>
      <c r="AS499" s="42">
        <f t="shared" si="1178"/>
        <v>0</v>
      </c>
      <c r="AT499" s="42">
        <f t="shared" si="1179"/>
        <v>0</v>
      </c>
      <c r="AU499" s="42">
        <f t="shared" si="1180"/>
        <v>0</v>
      </c>
      <c r="AV499" s="42">
        <f>IF(M499="ПП",РПП*AA499*(U499/1.5),IF(M499="ВП",ВПр*AA499*(U499/1.5),IF(M499="РПА",РПА*AA499*(U499/1.5),IF(M499="КПА",КПА*AA499*(U499/1.5),0))))</f>
        <v>0</v>
      </c>
      <c r="AW499" s="42">
        <f t="shared" si="1181"/>
        <v>0</v>
      </c>
      <c r="AX499" s="42">
        <f t="shared" si="1163"/>
        <v>0</v>
      </c>
      <c r="AY499" s="42">
        <f t="shared" si="1164"/>
        <v>0</v>
      </c>
      <c r="AZ499" s="42">
        <f t="shared" si="1182"/>
        <v>0</v>
      </c>
      <c r="BA499" s="42">
        <f t="shared" si="1165"/>
        <v>0</v>
      </c>
      <c r="BB499" s="42">
        <f t="shared" si="1166"/>
        <v>0</v>
      </c>
      <c r="BC499" s="42">
        <f t="shared" si="1167"/>
        <v>0</v>
      </c>
      <c r="BD499" s="42">
        <f t="shared" si="1183"/>
        <v>0</v>
      </c>
      <c r="BE499" s="43">
        <f t="shared" si="1184"/>
        <v>18.899999999999999</v>
      </c>
      <c r="BF499" s="44"/>
      <c r="BG499" s="45">
        <f t="shared" si="1185"/>
        <v>18</v>
      </c>
      <c r="BH499" s="45">
        <f t="shared" si="1186"/>
        <v>0.5</v>
      </c>
      <c r="BI499" s="45">
        <f t="shared" si="1187"/>
        <v>0.9</v>
      </c>
      <c r="BJ499" s="46">
        <f t="shared" si="1113"/>
        <v>0</v>
      </c>
      <c r="BK499" s="46">
        <f t="shared" si="1114"/>
        <v>0</v>
      </c>
      <c r="BL499" s="46">
        <f t="shared" si="1115"/>
        <v>0</v>
      </c>
    </row>
    <row r="500" spans="1:64" ht="30" customHeight="1" x14ac:dyDescent="0.25">
      <c r="A500" s="84" t="str">
        <f t="shared" si="1158"/>
        <v>Д</v>
      </c>
      <c r="B500" s="84" t="str">
        <f t="shared" si="1168"/>
        <v>М</v>
      </c>
      <c r="C500" s="101" t="s">
        <v>1480</v>
      </c>
      <c r="D500" s="16" t="str">
        <f t="shared" si="1169"/>
        <v>'01.04.02</v>
      </c>
      <c r="E500" s="17" t="str">
        <f t="shared" si="1170"/>
        <v>Теория вероятностей и математическая статистика</v>
      </c>
      <c r="F500" s="9" t="s">
        <v>413</v>
      </c>
      <c r="G500" s="9" t="s">
        <v>22</v>
      </c>
      <c r="H500" s="10"/>
      <c r="I500" s="10"/>
      <c r="J500" s="24" t="s">
        <v>3331</v>
      </c>
      <c r="K500" s="11">
        <v>3</v>
      </c>
      <c r="L500" s="11">
        <v>18</v>
      </c>
      <c r="M500" s="8" t="s">
        <v>94</v>
      </c>
      <c r="N500" s="11"/>
      <c r="O500" s="11">
        <v>1</v>
      </c>
      <c r="P500" s="11"/>
      <c r="Q500" s="8" t="s">
        <v>102</v>
      </c>
      <c r="R500" s="11"/>
      <c r="S500" s="11"/>
      <c r="T500" s="11"/>
      <c r="U500" s="11"/>
      <c r="V500" s="11"/>
      <c r="W500" s="83" t="str">
        <f t="shared" si="1159"/>
        <v>НПМмд</v>
      </c>
      <c r="X500" s="110" t="s">
        <v>3235</v>
      </c>
      <c r="Y500" s="11">
        <v>1</v>
      </c>
      <c r="Z500" s="11">
        <v>1</v>
      </c>
      <c r="AA500" s="83">
        <f t="shared" si="1171"/>
        <v>11</v>
      </c>
      <c r="AB500" s="11">
        <v>10</v>
      </c>
      <c r="AC500" s="11">
        <v>1</v>
      </c>
      <c r="AD500" s="81">
        <f t="shared" si="1160"/>
        <v>12</v>
      </c>
      <c r="AE500" s="82">
        <f t="shared" si="1172"/>
        <v>0.91666666666666663</v>
      </c>
      <c r="AF500" s="82">
        <f t="shared" si="1173"/>
        <v>0.91666666666666663</v>
      </c>
      <c r="AG500" s="102" t="s">
        <v>3250</v>
      </c>
      <c r="AH500" s="8" t="s">
        <v>204</v>
      </c>
      <c r="AI500" s="8" t="s">
        <v>213</v>
      </c>
      <c r="AJ500" s="35" t="s">
        <v>3335</v>
      </c>
      <c r="AK500" s="8"/>
      <c r="AL500" s="42">
        <f t="shared" si="1161"/>
        <v>0</v>
      </c>
      <c r="AM500" s="42">
        <f t="shared" si="1174"/>
        <v>0</v>
      </c>
      <c r="AN500" s="42">
        <f t="shared" si="1175"/>
        <v>16.5</v>
      </c>
      <c r="AO500" s="42">
        <f t="shared" si="1188"/>
        <v>3.6300000000000003</v>
      </c>
      <c r="AP500" s="42">
        <f t="shared" si="1176"/>
        <v>5.5</v>
      </c>
      <c r="AQ500" s="42">
        <f t="shared" si="1177"/>
        <v>1</v>
      </c>
      <c r="AR500" s="42">
        <f t="shared" si="1162"/>
        <v>0</v>
      </c>
      <c r="AS500" s="42">
        <f t="shared" si="1178"/>
        <v>0</v>
      </c>
      <c r="AT500" s="42">
        <f t="shared" si="1179"/>
        <v>0</v>
      </c>
      <c r="AU500" s="42">
        <f t="shared" si="1180"/>
        <v>0</v>
      </c>
      <c r="AV500" s="42">
        <f>IF(M500="ПП",РПП*AA500*(U500/1.5),IF(M500="ВП",ВПр*AA500*(U500/1.5),IF(M500="РПА",РПА*AA500*(U500/1.5),IF(M500="КПА",КПА*AA500*(U500/1.5),0))))</f>
        <v>0</v>
      </c>
      <c r="AW500" s="42">
        <f t="shared" si="1181"/>
        <v>0</v>
      </c>
      <c r="AX500" s="42">
        <f t="shared" si="1163"/>
        <v>0</v>
      </c>
      <c r="AY500" s="42">
        <f t="shared" si="1164"/>
        <v>0</v>
      </c>
      <c r="AZ500" s="42">
        <f t="shared" si="1182"/>
        <v>0</v>
      </c>
      <c r="BA500" s="42">
        <f t="shared" si="1165"/>
        <v>0</v>
      </c>
      <c r="BB500" s="42">
        <f t="shared" si="1166"/>
        <v>0</v>
      </c>
      <c r="BC500" s="42">
        <f t="shared" si="1167"/>
        <v>0</v>
      </c>
      <c r="BD500" s="42">
        <f t="shared" si="1183"/>
        <v>0</v>
      </c>
      <c r="BE500" s="43">
        <f t="shared" si="1184"/>
        <v>26.63</v>
      </c>
      <c r="BF500" s="44"/>
      <c r="BG500" s="45">
        <f t="shared" si="1185"/>
        <v>16.5</v>
      </c>
      <c r="BH500" s="45">
        <f t="shared" si="1186"/>
        <v>0.5</v>
      </c>
      <c r="BI500" s="45">
        <f t="shared" si="1187"/>
        <v>10.130000000000001</v>
      </c>
      <c r="BJ500" s="46">
        <f t="shared" si="1113"/>
        <v>0</v>
      </c>
      <c r="BK500" s="46">
        <f t="shared" si="1114"/>
        <v>0</v>
      </c>
      <c r="BL500" s="46">
        <f t="shared" si="1115"/>
        <v>0</v>
      </c>
    </row>
    <row r="501" spans="1:64" ht="30" customHeight="1" x14ac:dyDescent="0.25">
      <c r="A501" s="84" t="str">
        <f t="shared" si="1158"/>
        <v>Д</v>
      </c>
      <c r="B501" s="84" t="str">
        <f t="shared" si="1168"/>
        <v>М</v>
      </c>
      <c r="C501" s="101" t="s">
        <v>1480</v>
      </c>
      <c r="D501" s="16" t="str">
        <f t="shared" si="1169"/>
        <v>'01.04.02</v>
      </c>
      <c r="E501" s="17" t="str">
        <f t="shared" si="1170"/>
        <v>Теория вероятностей и математическая статистика</v>
      </c>
      <c r="F501" s="9" t="s">
        <v>413</v>
      </c>
      <c r="G501" s="9" t="s">
        <v>22</v>
      </c>
      <c r="H501" s="10"/>
      <c r="I501" s="10"/>
      <c r="J501" s="24" t="s">
        <v>3332</v>
      </c>
      <c r="K501" s="11">
        <v>3</v>
      </c>
      <c r="L501" s="11">
        <v>18</v>
      </c>
      <c r="M501" s="8" t="s">
        <v>23</v>
      </c>
      <c r="N501" s="11">
        <v>1</v>
      </c>
      <c r="O501" s="11"/>
      <c r="P501" s="11"/>
      <c r="Q501" s="8" t="s">
        <v>103</v>
      </c>
      <c r="R501" s="11"/>
      <c r="S501" s="11"/>
      <c r="T501" s="11"/>
      <c r="U501" s="11"/>
      <c r="V501" s="11"/>
      <c r="W501" s="83" t="str">
        <f t="shared" si="1159"/>
        <v>НПМмд</v>
      </c>
      <c r="X501" s="110" t="s">
        <v>3235</v>
      </c>
      <c r="Y501" s="11">
        <v>1</v>
      </c>
      <c r="Z501" s="11">
        <v>1</v>
      </c>
      <c r="AA501" s="83">
        <f t="shared" si="1171"/>
        <v>11</v>
      </c>
      <c r="AB501" s="11">
        <v>10</v>
      </c>
      <c r="AC501" s="11">
        <v>1</v>
      </c>
      <c r="AD501" s="81">
        <f t="shared" si="1160"/>
        <v>11</v>
      </c>
      <c r="AE501" s="82">
        <f t="shared" si="1172"/>
        <v>1</v>
      </c>
      <c r="AF501" s="82">
        <f t="shared" si="1173"/>
        <v>1</v>
      </c>
      <c r="AG501" s="102" t="s">
        <v>3250</v>
      </c>
      <c r="AH501" s="8" t="s">
        <v>204</v>
      </c>
      <c r="AI501" s="8" t="s">
        <v>212</v>
      </c>
      <c r="AJ501" s="37" t="s">
        <v>3252</v>
      </c>
      <c r="AK501" s="8"/>
      <c r="AL501" s="42">
        <f t="shared" si="1161"/>
        <v>18</v>
      </c>
      <c r="AM501" s="42">
        <f t="shared" si="1174"/>
        <v>0</v>
      </c>
      <c r="AN501" s="42">
        <f t="shared" si="1175"/>
        <v>0</v>
      </c>
      <c r="AO501" s="42">
        <f t="shared" si="1188"/>
        <v>3.6300000000000003</v>
      </c>
      <c r="AP501" s="42">
        <f t="shared" si="1176"/>
        <v>5.5</v>
      </c>
      <c r="AQ501" s="42">
        <f t="shared" si="1177"/>
        <v>1</v>
      </c>
      <c r="AR501" s="42">
        <f t="shared" si="1162"/>
        <v>0.9</v>
      </c>
      <c r="AS501" s="42">
        <f t="shared" si="1178"/>
        <v>0</v>
      </c>
      <c r="AT501" s="42">
        <f t="shared" si="1179"/>
        <v>0</v>
      </c>
      <c r="AU501" s="42">
        <f t="shared" si="1180"/>
        <v>0</v>
      </c>
      <c r="AV501" s="42">
        <f>IF(M501="ПП",РПП*AA501*(U501/1.5),IF(M501="ВП",ВПр*AA501*(U501/1.5),IF(M501="РПА",РПА*AA501*(U501/1.5),IF(M501="КПА",КПА*AA501*(U501/1.5),0))))</f>
        <v>0</v>
      </c>
      <c r="AW501" s="42">
        <f t="shared" si="1181"/>
        <v>0</v>
      </c>
      <c r="AX501" s="42">
        <f t="shared" si="1163"/>
        <v>0</v>
      </c>
      <c r="AY501" s="42">
        <f t="shared" si="1164"/>
        <v>0</v>
      </c>
      <c r="AZ501" s="42">
        <f t="shared" si="1182"/>
        <v>0</v>
      </c>
      <c r="BA501" s="42">
        <f t="shared" si="1165"/>
        <v>0</v>
      </c>
      <c r="BB501" s="42">
        <f t="shared" si="1166"/>
        <v>0</v>
      </c>
      <c r="BC501" s="42">
        <f t="shared" si="1167"/>
        <v>0</v>
      </c>
      <c r="BD501" s="42">
        <f t="shared" si="1183"/>
        <v>0</v>
      </c>
      <c r="BE501" s="43">
        <f t="shared" si="1184"/>
        <v>29.029999999999998</v>
      </c>
      <c r="BF501" s="44"/>
      <c r="BG501" s="45">
        <f t="shared" si="1185"/>
        <v>18</v>
      </c>
      <c r="BH501" s="45">
        <f t="shared" si="1186"/>
        <v>0.5</v>
      </c>
      <c r="BI501" s="45">
        <f t="shared" si="1187"/>
        <v>11.030000000000001</v>
      </c>
      <c r="BJ501" s="46">
        <f t="shared" si="1113"/>
        <v>0</v>
      </c>
      <c r="BK501" s="46">
        <f t="shared" si="1114"/>
        <v>0</v>
      </c>
      <c r="BL501" s="46">
        <f t="shared" si="1115"/>
        <v>0</v>
      </c>
    </row>
    <row r="502" spans="1:64" ht="30" customHeight="1" x14ac:dyDescent="0.25">
      <c r="A502" s="84" t="str">
        <f t="shared" si="1158"/>
        <v>Д</v>
      </c>
      <c r="B502" s="84" t="str">
        <f t="shared" si="1168"/>
        <v>М</v>
      </c>
      <c r="C502" s="101" t="s">
        <v>1480</v>
      </c>
      <c r="D502" s="16" t="str">
        <f t="shared" si="1169"/>
        <v>'01.04.02</v>
      </c>
      <c r="E502" s="17" t="str">
        <f t="shared" si="1170"/>
        <v>Теория вероятностей и математическая статистика</v>
      </c>
      <c r="F502" s="9" t="s">
        <v>413</v>
      </c>
      <c r="G502" s="9" t="s">
        <v>22</v>
      </c>
      <c r="H502" s="10"/>
      <c r="I502" s="10"/>
      <c r="J502" s="24" t="s">
        <v>3332</v>
      </c>
      <c r="K502" s="11">
        <v>3</v>
      </c>
      <c r="L502" s="11">
        <v>18</v>
      </c>
      <c r="M502" s="8" t="s">
        <v>94</v>
      </c>
      <c r="N502" s="11"/>
      <c r="O502" s="11">
        <v>1</v>
      </c>
      <c r="P502" s="11"/>
      <c r="Q502" s="8"/>
      <c r="R502" s="12"/>
      <c r="S502" s="12"/>
      <c r="T502" s="12"/>
      <c r="U502" s="12"/>
      <c r="V502" s="12"/>
      <c r="W502" s="83" t="str">
        <f t="shared" si="1159"/>
        <v>НПМмд</v>
      </c>
      <c r="X502" s="110" t="s">
        <v>3235</v>
      </c>
      <c r="Y502" s="11">
        <v>1</v>
      </c>
      <c r="Z502" s="11">
        <v>1</v>
      </c>
      <c r="AA502" s="83">
        <f t="shared" si="1171"/>
        <v>11</v>
      </c>
      <c r="AB502" s="11">
        <v>10</v>
      </c>
      <c r="AC502" s="11">
        <v>1</v>
      </c>
      <c r="AD502" s="81">
        <f t="shared" si="1160"/>
        <v>12</v>
      </c>
      <c r="AE502" s="82">
        <f t="shared" si="1172"/>
        <v>0.91666666666666663</v>
      </c>
      <c r="AF502" s="82">
        <f t="shared" si="1173"/>
        <v>0.91666666666666663</v>
      </c>
      <c r="AG502" s="102" t="s">
        <v>3250</v>
      </c>
      <c r="AH502" s="8" t="s">
        <v>204</v>
      </c>
      <c r="AI502" s="8" t="s">
        <v>212</v>
      </c>
      <c r="AJ502" s="35" t="s">
        <v>3252</v>
      </c>
      <c r="AK502" s="8"/>
      <c r="AL502" s="42">
        <f t="shared" si="1161"/>
        <v>0</v>
      </c>
      <c r="AM502" s="42">
        <f t="shared" si="1174"/>
        <v>0</v>
      </c>
      <c r="AN502" s="42">
        <f t="shared" si="1175"/>
        <v>16.5</v>
      </c>
      <c r="AO502" s="42">
        <f t="shared" si="1188"/>
        <v>0</v>
      </c>
      <c r="AP502" s="42">
        <f t="shared" si="1176"/>
        <v>0</v>
      </c>
      <c r="AQ502" s="42">
        <f t="shared" si="1177"/>
        <v>0</v>
      </c>
      <c r="AR502" s="42">
        <f t="shared" si="1162"/>
        <v>0</v>
      </c>
      <c r="AS502" s="42">
        <f t="shared" si="1178"/>
        <v>0</v>
      </c>
      <c r="AT502" s="42">
        <f t="shared" si="1179"/>
        <v>0</v>
      </c>
      <c r="AU502" s="42">
        <f t="shared" si="1180"/>
        <v>0</v>
      </c>
      <c r="AV502" s="42">
        <f>IF(M502="ПП",РПП*AA502*(U502/1.5),IF(M502="ВП",ВПр*AA502*(U502/1.5),IF(M502="РПА",РПА*AA502*(U502/1.5),IF(M502="КПА",КПА*AA502*(U502/1.5),0))))</f>
        <v>0</v>
      </c>
      <c r="AW502" s="42">
        <f t="shared" si="1181"/>
        <v>0</v>
      </c>
      <c r="AX502" s="42">
        <f t="shared" si="1163"/>
        <v>0</v>
      </c>
      <c r="AY502" s="42">
        <f t="shared" si="1164"/>
        <v>0</v>
      </c>
      <c r="AZ502" s="42">
        <f t="shared" si="1182"/>
        <v>0</v>
      </c>
      <c r="BA502" s="42">
        <f t="shared" si="1165"/>
        <v>0</v>
      </c>
      <c r="BB502" s="42">
        <f t="shared" si="1166"/>
        <v>0</v>
      </c>
      <c r="BC502" s="42">
        <f t="shared" si="1167"/>
        <v>0</v>
      </c>
      <c r="BD502" s="42">
        <f t="shared" si="1183"/>
        <v>0</v>
      </c>
      <c r="BE502" s="43">
        <f t="shared" si="1184"/>
        <v>16.5</v>
      </c>
      <c r="BF502" s="44"/>
      <c r="BG502" s="45">
        <f t="shared" si="1185"/>
        <v>16.5</v>
      </c>
      <c r="BH502" s="45">
        <f t="shared" si="1186"/>
        <v>0.5</v>
      </c>
      <c r="BI502" s="45">
        <f t="shared" si="1187"/>
        <v>0</v>
      </c>
      <c r="BJ502" s="46">
        <f t="shared" si="1113"/>
        <v>0</v>
      </c>
      <c r="BK502" s="46">
        <f t="shared" si="1114"/>
        <v>0</v>
      </c>
      <c r="BL502" s="46">
        <f t="shared" si="1115"/>
        <v>0</v>
      </c>
    </row>
    <row r="503" spans="1:64" ht="30" customHeight="1" x14ac:dyDescent="0.25">
      <c r="A503" s="84" t="str">
        <f t="shared" si="1158"/>
        <v>Д</v>
      </c>
      <c r="B503" s="84" t="str">
        <f t="shared" si="1168"/>
        <v>М</v>
      </c>
      <c r="C503" s="101" t="s">
        <v>1480</v>
      </c>
      <c r="D503" s="16" t="str">
        <f t="shared" si="1169"/>
        <v>'01.04.02</v>
      </c>
      <c r="E503" s="17" t="str">
        <f t="shared" si="1170"/>
        <v>Теория вероятностей и математическая статистика</v>
      </c>
      <c r="F503" s="9" t="s">
        <v>413</v>
      </c>
      <c r="G503" s="9" t="s">
        <v>22</v>
      </c>
      <c r="H503" s="10"/>
      <c r="I503" s="10"/>
      <c r="J503" s="24" t="s">
        <v>3333</v>
      </c>
      <c r="K503" s="11">
        <v>3</v>
      </c>
      <c r="L503" s="11">
        <v>18</v>
      </c>
      <c r="M503" s="8" t="s">
        <v>23</v>
      </c>
      <c r="N503" s="11">
        <v>1</v>
      </c>
      <c r="O503" s="11"/>
      <c r="P503" s="11"/>
      <c r="Q503" s="8" t="s">
        <v>103</v>
      </c>
      <c r="R503" s="11"/>
      <c r="S503" s="11"/>
      <c r="T503" s="23"/>
      <c r="U503" s="11"/>
      <c r="V503" s="11"/>
      <c r="W503" s="83" t="str">
        <f t="shared" si="1159"/>
        <v>НПМмд</v>
      </c>
      <c r="X503" s="110" t="s">
        <v>3235</v>
      </c>
      <c r="Y503" s="11">
        <v>1</v>
      </c>
      <c r="Z503" s="11">
        <v>1</v>
      </c>
      <c r="AA503" s="83">
        <f t="shared" si="1171"/>
        <v>11</v>
      </c>
      <c r="AB503" s="11">
        <v>10</v>
      </c>
      <c r="AC503" s="11">
        <v>1</v>
      </c>
      <c r="AD503" s="81">
        <f t="shared" si="1160"/>
        <v>11</v>
      </c>
      <c r="AE503" s="82">
        <f t="shared" si="1172"/>
        <v>1</v>
      </c>
      <c r="AF503" s="82">
        <f t="shared" si="1173"/>
        <v>1</v>
      </c>
      <c r="AG503" s="102" t="s">
        <v>3250</v>
      </c>
      <c r="AH503" s="8" t="s">
        <v>201</v>
      </c>
      <c r="AI503" s="8" t="s">
        <v>212</v>
      </c>
      <c r="AJ503" s="35" t="s">
        <v>3253</v>
      </c>
      <c r="AK503" s="8"/>
      <c r="AL503" s="42">
        <f t="shared" si="1161"/>
        <v>18</v>
      </c>
      <c r="AM503" s="42">
        <f t="shared" si="1174"/>
        <v>0</v>
      </c>
      <c r="AN503" s="42">
        <f t="shared" si="1175"/>
        <v>0</v>
      </c>
      <c r="AO503" s="42">
        <f t="shared" si="1188"/>
        <v>3.6300000000000003</v>
      </c>
      <c r="AP503" s="42">
        <f t="shared" si="1176"/>
        <v>5.5</v>
      </c>
      <c r="AQ503" s="42">
        <f t="shared" si="1177"/>
        <v>1</v>
      </c>
      <c r="AR503" s="42">
        <f t="shared" si="1162"/>
        <v>0.9</v>
      </c>
      <c r="AS503" s="42">
        <f t="shared" si="1178"/>
        <v>0</v>
      </c>
      <c r="AT503" s="42">
        <f t="shared" si="1179"/>
        <v>0</v>
      </c>
      <c r="AU503" s="42">
        <f t="shared" si="1180"/>
        <v>0</v>
      </c>
      <c r="AV503" s="42">
        <f>IF(M503="ПП",РПП*AA503*(U503/1.5),IF(M503="ВП",ВПр*AA503*(U503/1.5),IF(M503="РПА",РПА*AA503*(U503/1.5),IF(M503="КПА",КПА*AA503*(U503/1.5),0))))</f>
        <v>0</v>
      </c>
      <c r="AW503" s="42">
        <f t="shared" si="1181"/>
        <v>0</v>
      </c>
      <c r="AX503" s="42">
        <f t="shared" si="1163"/>
        <v>0</v>
      </c>
      <c r="AY503" s="42">
        <f t="shared" si="1164"/>
        <v>0</v>
      </c>
      <c r="AZ503" s="42">
        <f t="shared" si="1182"/>
        <v>0</v>
      </c>
      <c r="BA503" s="42">
        <f t="shared" si="1165"/>
        <v>0</v>
      </c>
      <c r="BB503" s="42">
        <f t="shared" si="1166"/>
        <v>0</v>
      </c>
      <c r="BC503" s="42">
        <f t="shared" si="1167"/>
        <v>0</v>
      </c>
      <c r="BD503" s="42">
        <f t="shared" si="1183"/>
        <v>0</v>
      </c>
      <c r="BE503" s="43">
        <f t="shared" si="1184"/>
        <v>29.029999999999998</v>
      </c>
      <c r="BF503" s="44"/>
      <c r="BG503" s="45">
        <f t="shared" si="1185"/>
        <v>18</v>
      </c>
      <c r="BH503" s="45">
        <f t="shared" si="1186"/>
        <v>0.5</v>
      </c>
      <c r="BI503" s="45">
        <f t="shared" si="1187"/>
        <v>11.030000000000001</v>
      </c>
      <c r="BJ503" s="46">
        <f t="shared" si="1113"/>
        <v>0</v>
      </c>
      <c r="BK503" s="46">
        <f t="shared" si="1114"/>
        <v>0</v>
      </c>
      <c r="BL503" s="46">
        <f t="shared" si="1115"/>
        <v>0</v>
      </c>
    </row>
    <row r="504" spans="1:64" ht="30" customHeight="1" x14ac:dyDescent="0.25">
      <c r="A504" s="84" t="str">
        <f t="shared" si="1158"/>
        <v>Д</v>
      </c>
      <c r="B504" s="84" t="str">
        <f t="shared" si="1168"/>
        <v>М</v>
      </c>
      <c r="C504" s="101" t="s">
        <v>1480</v>
      </c>
      <c r="D504" s="16" t="str">
        <f t="shared" si="1169"/>
        <v>'01.04.02</v>
      </c>
      <c r="E504" s="17" t="str">
        <f t="shared" si="1170"/>
        <v>Теория вероятностей и математическая статистика</v>
      </c>
      <c r="F504" s="9" t="s">
        <v>413</v>
      </c>
      <c r="G504" s="9" t="s">
        <v>22</v>
      </c>
      <c r="H504" s="10"/>
      <c r="I504" s="10"/>
      <c r="J504" s="24" t="s">
        <v>3333</v>
      </c>
      <c r="K504" s="12">
        <v>3</v>
      </c>
      <c r="L504" s="11">
        <v>18</v>
      </c>
      <c r="M504" s="8" t="s">
        <v>94</v>
      </c>
      <c r="N504" s="12"/>
      <c r="O504" s="12">
        <v>1</v>
      </c>
      <c r="P504" s="12"/>
      <c r="Q504" s="8"/>
      <c r="R504" s="11"/>
      <c r="S504" s="11"/>
      <c r="T504" s="23"/>
      <c r="U504" s="11"/>
      <c r="V504" s="11"/>
      <c r="W504" s="83" t="str">
        <f t="shared" si="1159"/>
        <v>НПМмд</v>
      </c>
      <c r="X504" s="110" t="s">
        <v>3235</v>
      </c>
      <c r="Y504" s="11">
        <v>1</v>
      </c>
      <c r="Z504" s="11">
        <v>1</v>
      </c>
      <c r="AA504" s="83">
        <f t="shared" si="1171"/>
        <v>11</v>
      </c>
      <c r="AB504" s="11">
        <v>10</v>
      </c>
      <c r="AC504" s="11">
        <v>1</v>
      </c>
      <c r="AD504" s="81">
        <f t="shared" si="1160"/>
        <v>12</v>
      </c>
      <c r="AE504" s="82">
        <f t="shared" si="1172"/>
        <v>0.91666666666666663</v>
      </c>
      <c r="AF504" s="82">
        <f t="shared" si="1173"/>
        <v>0.91666666666666663</v>
      </c>
      <c r="AG504" s="102" t="s">
        <v>3250</v>
      </c>
      <c r="AH504" s="8" t="s">
        <v>201</v>
      </c>
      <c r="AI504" s="8" t="s">
        <v>212</v>
      </c>
      <c r="AJ504" s="35" t="s">
        <v>3253</v>
      </c>
      <c r="AK504" s="8"/>
      <c r="AL504" s="42">
        <f t="shared" si="1161"/>
        <v>0</v>
      </c>
      <c r="AM504" s="42">
        <f t="shared" si="1174"/>
        <v>0</v>
      </c>
      <c r="AN504" s="42">
        <f t="shared" si="1175"/>
        <v>16.5</v>
      </c>
      <c r="AO504" s="42">
        <f t="shared" si="1188"/>
        <v>0</v>
      </c>
      <c r="AP504" s="42">
        <f t="shared" si="1176"/>
        <v>0</v>
      </c>
      <c r="AQ504" s="42">
        <f t="shared" si="1177"/>
        <v>0</v>
      </c>
      <c r="AR504" s="42">
        <f t="shared" si="1162"/>
        <v>0</v>
      </c>
      <c r="AS504" s="42">
        <f t="shared" si="1178"/>
        <v>0</v>
      </c>
      <c r="AT504" s="42">
        <f t="shared" si="1179"/>
        <v>0</v>
      </c>
      <c r="AU504" s="42">
        <f t="shared" si="1180"/>
        <v>0</v>
      </c>
      <c r="AV504" s="42">
        <f>IF(M504="ПП",РПП*AA504*(U504/1.5),IF(M504="ВП",ВПр*AA504*(U504/1.5),IF(M504="РПА",РПА*AA504*(U504/1.5),IF(M504="КПА",КПА*AA504*(U504/1.5),0))))</f>
        <v>0</v>
      </c>
      <c r="AW504" s="42">
        <f t="shared" si="1181"/>
        <v>0</v>
      </c>
      <c r="AX504" s="42">
        <f t="shared" si="1163"/>
        <v>0</v>
      </c>
      <c r="AY504" s="42">
        <f t="shared" si="1164"/>
        <v>0</v>
      </c>
      <c r="AZ504" s="42">
        <f t="shared" si="1182"/>
        <v>0</v>
      </c>
      <c r="BA504" s="42">
        <f t="shared" si="1165"/>
        <v>0</v>
      </c>
      <c r="BB504" s="42">
        <f t="shared" si="1166"/>
        <v>0</v>
      </c>
      <c r="BC504" s="42">
        <f t="shared" si="1167"/>
        <v>0</v>
      </c>
      <c r="BD504" s="42">
        <f t="shared" si="1183"/>
        <v>0</v>
      </c>
      <c r="BE504" s="43">
        <f t="shared" si="1184"/>
        <v>16.5</v>
      </c>
      <c r="BF504" s="44"/>
      <c r="BG504" s="45">
        <f t="shared" si="1185"/>
        <v>16.5</v>
      </c>
      <c r="BH504" s="45">
        <f t="shared" si="1186"/>
        <v>0.5</v>
      </c>
      <c r="BI504" s="45">
        <f t="shared" si="1187"/>
        <v>0</v>
      </c>
      <c r="BJ504" s="46">
        <f t="shared" si="1113"/>
        <v>0</v>
      </c>
      <c r="BK504" s="46">
        <f t="shared" si="1114"/>
        <v>0</v>
      </c>
      <c r="BL504" s="46">
        <f t="shared" si="1115"/>
        <v>0</v>
      </c>
    </row>
    <row r="505" spans="1:64" ht="30" customHeight="1" x14ac:dyDescent="0.25">
      <c r="A505" s="84" t="str">
        <f t="shared" si="1158"/>
        <v>Д</v>
      </c>
      <c r="B505" s="84" t="str">
        <f t="shared" si="1168"/>
        <v>М</v>
      </c>
      <c r="C505" s="101" t="s">
        <v>1480</v>
      </c>
      <c r="D505" s="16" t="str">
        <f t="shared" si="1169"/>
        <v>'01.04.02</v>
      </c>
      <c r="E505" s="17" t="str">
        <f t="shared" si="1170"/>
        <v>Теория вероятностей и математическая статистика</v>
      </c>
      <c r="F505" s="9" t="s">
        <v>413</v>
      </c>
      <c r="G505" s="9" t="s">
        <v>503</v>
      </c>
      <c r="H505" s="10"/>
      <c r="I505" s="10" t="s">
        <v>3231</v>
      </c>
      <c r="J505" s="24" t="s">
        <v>3334</v>
      </c>
      <c r="K505" s="11">
        <v>3</v>
      </c>
      <c r="L505" s="11">
        <v>18</v>
      </c>
      <c r="M505" s="8" t="s">
        <v>23</v>
      </c>
      <c r="N505" s="11">
        <v>1</v>
      </c>
      <c r="O505" s="11"/>
      <c r="P505" s="11"/>
      <c r="Q505" s="8"/>
      <c r="R505" s="11"/>
      <c r="S505" s="11"/>
      <c r="T505" s="11"/>
      <c r="U505" s="11"/>
      <c r="V505" s="11"/>
      <c r="W505" s="83" t="str">
        <f t="shared" si="1159"/>
        <v>НПМмд</v>
      </c>
      <c r="X505" s="110" t="s">
        <v>3235</v>
      </c>
      <c r="Y505" s="11">
        <v>1</v>
      </c>
      <c r="Z505" s="11">
        <v>1</v>
      </c>
      <c r="AA505" s="83">
        <f t="shared" si="1171"/>
        <v>11</v>
      </c>
      <c r="AB505" s="11">
        <v>10</v>
      </c>
      <c r="AC505" s="11">
        <v>1</v>
      </c>
      <c r="AD505" s="81">
        <f t="shared" si="1160"/>
        <v>11</v>
      </c>
      <c r="AE505" s="82">
        <f t="shared" si="1172"/>
        <v>1</v>
      </c>
      <c r="AF505" s="82">
        <f t="shared" si="1173"/>
        <v>1</v>
      </c>
      <c r="AG505" s="102" t="s">
        <v>3250</v>
      </c>
      <c r="AH505" s="8" t="s">
        <v>204</v>
      </c>
      <c r="AI505" s="8" t="s">
        <v>212</v>
      </c>
      <c r="AJ505" s="35" t="s">
        <v>3346</v>
      </c>
      <c r="AK505" s="8" t="s">
        <v>949</v>
      </c>
      <c r="AL505" s="42">
        <f t="shared" si="1161"/>
        <v>18</v>
      </c>
      <c r="AM505" s="42">
        <f t="shared" si="1174"/>
        <v>0</v>
      </c>
      <c r="AN505" s="42">
        <f t="shared" si="1175"/>
        <v>0</v>
      </c>
      <c r="AO505" s="42">
        <f t="shared" si="1188"/>
        <v>0</v>
      </c>
      <c r="AP505" s="42">
        <f t="shared" si="1176"/>
        <v>0</v>
      </c>
      <c r="AQ505" s="42">
        <f t="shared" si="1177"/>
        <v>0</v>
      </c>
      <c r="AR505" s="42">
        <f t="shared" si="1162"/>
        <v>0.9</v>
      </c>
      <c r="AS505" s="42">
        <f t="shared" si="1178"/>
        <v>0</v>
      </c>
      <c r="AT505" s="42">
        <f t="shared" si="1179"/>
        <v>0</v>
      </c>
      <c r="AU505" s="42">
        <f t="shared" si="1180"/>
        <v>0</v>
      </c>
      <c r="AV505" s="42">
        <f>IF(M505="ПП",РПП*AA505*(U505/1.5),IF(M505="ВП",ВПр*AA505*(U505/1.5),IF(M505="РПА",РПА*AA505*(U505/1.5),IF(M505="КПА",КПА*AA505*(U505/1.5),0))))</f>
        <v>0</v>
      </c>
      <c r="AW505" s="42">
        <f t="shared" si="1181"/>
        <v>0</v>
      </c>
      <c r="AX505" s="42">
        <f t="shared" si="1163"/>
        <v>0</v>
      </c>
      <c r="AY505" s="42">
        <f t="shared" si="1164"/>
        <v>0</v>
      </c>
      <c r="AZ505" s="42">
        <f t="shared" si="1182"/>
        <v>0</v>
      </c>
      <c r="BA505" s="42">
        <f t="shared" si="1165"/>
        <v>0</v>
      </c>
      <c r="BB505" s="42">
        <f t="shared" si="1166"/>
        <v>0</v>
      </c>
      <c r="BC505" s="42">
        <f t="shared" si="1167"/>
        <v>0</v>
      </c>
      <c r="BD505" s="42">
        <f t="shared" si="1183"/>
        <v>0</v>
      </c>
      <c r="BE505" s="43">
        <f t="shared" si="1184"/>
        <v>18.899999999999999</v>
      </c>
      <c r="BF505" s="44"/>
      <c r="BG505" s="45">
        <f t="shared" si="1185"/>
        <v>18</v>
      </c>
      <c r="BH505" s="45">
        <f t="shared" si="1186"/>
        <v>0.5</v>
      </c>
      <c r="BI505" s="45">
        <f t="shared" si="1187"/>
        <v>0.9</v>
      </c>
      <c r="BJ505" s="46">
        <f t="shared" si="1113"/>
        <v>0</v>
      </c>
      <c r="BK505" s="46">
        <f t="shared" si="1114"/>
        <v>0</v>
      </c>
      <c r="BL505" s="46">
        <f t="shared" si="1115"/>
        <v>0</v>
      </c>
    </row>
    <row r="506" spans="1:64" ht="30" customHeight="1" x14ac:dyDescent="0.25">
      <c r="A506" s="84" t="str">
        <f t="shared" si="1158"/>
        <v>Д</v>
      </c>
      <c r="B506" s="84" t="str">
        <f t="shared" si="1168"/>
        <v>М</v>
      </c>
      <c r="C506" s="101" t="s">
        <v>1480</v>
      </c>
      <c r="D506" s="16" t="str">
        <f t="shared" si="1169"/>
        <v>'01.04.02</v>
      </c>
      <c r="E506" s="17" t="str">
        <f t="shared" si="1170"/>
        <v>Теория вероятностей и математическая статистика</v>
      </c>
      <c r="F506" s="9" t="s">
        <v>413</v>
      </c>
      <c r="G506" s="9" t="s">
        <v>503</v>
      </c>
      <c r="H506" s="10"/>
      <c r="I506" s="10" t="s">
        <v>3231</v>
      </c>
      <c r="J506" s="24" t="s">
        <v>3334</v>
      </c>
      <c r="K506" s="11">
        <v>3</v>
      </c>
      <c r="L506" s="11">
        <v>18</v>
      </c>
      <c r="M506" s="8" t="s">
        <v>24</v>
      </c>
      <c r="N506" s="11"/>
      <c r="O506" s="11"/>
      <c r="P506" s="11">
        <v>1</v>
      </c>
      <c r="Q506" s="8" t="s">
        <v>102</v>
      </c>
      <c r="R506" s="11"/>
      <c r="S506" s="11"/>
      <c r="T506" s="11"/>
      <c r="U506" s="11"/>
      <c r="V506" s="11"/>
      <c r="W506" s="83" t="str">
        <f t="shared" si="1159"/>
        <v>НПМмд</v>
      </c>
      <c r="X506" s="110" t="s">
        <v>3235</v>
      </c>
      <c r="Y506" s="11">
        <v>1</v>
      </c>
      <c r="Z506" s="11">
        <v>1</v>
      </c>
      <c r="AA506" s="83">
        <f t="shared" si="1171"/>
        <v>11</v>
      </c>
      <c r="AB506" s="11">
        <v>10</v>
      </c>
      <c r="AC506" s="11">
        <v>1</v>
      </c>
      <c r="AD506" s="81">
        <f t="shared" si="1160"/>
        <v>12</v>
      </c>
      <c r="AE506" s="82">
        <f t="shared" si="1172"/>
        <v>0.91666666666666663</v>
      </c>
      <c r="AF506" s="82">
        <f t="shared" si="1173"/>
        <v>0.91666666666666663</v>
      </c>
      <c r="AG506" s="102" t="s">
        <v>3250</v>
      </c>
      <c r="AH506" s="8" t="s">
        <v>204</v>
      </c>
      <c r="AI506" s="8" t="s">
        <v>212</v>
      </c>
      <c r="AJ506" s="35" t="s">
        <v>3346</v>
      </c>
      <c r="AK506" s="8" t="s">
        <v>949</v>
      </c>
      <c r="AL506" s="42">
        <f t="shared" si="1161"/>
        <v>0</v>
      </c>
      <c r="AM506" s="42">
        <f t="shared" si="1174"/>
        <v>16.5</v>
      </c>
      <c r="AN506" s="42">
        <f t="shared" si="1175"/>
        <v>0</v>
      </c>
      <c r="AO506" s="42">
        <f t="shared" si="1188"/>
        <v>3.6300000000000003</v>
      </c>
      <c r="AP506" s="42">
        <f t="shared" si="1176"/>
        <v>5.5</v>
      </c>
      <c r="AQ506" s="42">
        <f t="shared" si="1177"/>
        <v>0.91666666666666663</v>
      </c>
      <c r="AR506" s="42">
        <f t="shared" si="1162"/>
        <v>0</v>
      </c>
      <c r="AS506" s="42">
        <f t="shared" si="1178"/>
        <v>0</v>
      </c>
      <c r="AT506" s="42">
        <f t="shared" si="1179"/>
        <v>0</v>
      </c>
      <c r="AU506" s="42">
        <f t="shared" si="1180"/>
        <v>0</v>
      </c>
      <c r="AV506" s="42">
        <f>IF(M506="ПП",РПП*AA506*(U506/1.5),IF(M506="ВП",ВПр*AA506*(U506/1.5),IF(M506="РПА",РПА*AA506*(U506/1.5),IF(M506="КПА",КПА*AA506*(U506/1.5),0))))</f>
        <v>0</v>
      </c>
      <c r="AW506" s="42">
        <f t="shared" si="1181"/>
        <v>0</v>
      </c>
      <c r="AX506" s="42">
        <f t="shared" si="1163"/>
        <v>0</v>
      </c>
      <c r="AY506" s="42">
        <f t="shared" si="1164"/>
        <v>0</v>
      </c>
      <c r="AZ506" s="42">
        <f t="shared" si="1182"/>
        <v>0</v>
      </c>
      <c r="BA506" s="42">
        <f t="shared" si="1165"/>
        <v>0</v>
      </c>
      <c r="BB506" s="42">
        <f t="shared" si="1166"/>
        <v>0</v>
      </c>
      <c r="BC506" s="42">
        <f t="shared" si="1167"/>
        <v>0</v>
      </c>
      <c r="BD506" s="42">
        <f t="shared" si="1183"/>
        <v>0</v>
      </c>
      <c r="BE506" s="43">
        <f t="shared" si="1184"/>
        <v>26.546666666666667</v>
      </c>
      <c r="BF506" s="44"/>
      <c r="BG506" s="45">
        <f t="shared" si="1185"/>
        <v>16.5</v>
      </c>
      <c r="BH506" s="45">
        <f t="shared" si="1186"/>
        <v>0.5</v>
      </c>
      <c r="BI506" s="45">
        <f t="shared" si="1187"/>
        <v>10.046666666666667</v>
      </c>
      <c r="BJ506" s="46">
        <f t="shared" si="1113"/>
        <v>0</v>
      </c>
      <c r="BK506" s="46">
        <f t="shared" si="1114"/>
        <v>0</v>
      </c>
      <c r="BL506" s="46">
        <f t="shared" si="1115"/>
        <v>0</v>
      </c>
    </row>
    <row r="507" spans="1:64" ht="30" customHeight="1" x14ac:dyDescent="0.25">
      <c r="A507" s="84" t="str">
        <f t="shared" si="1158"/>
        <v>Д</v>
      </c>
      <c r="B507" s="84" t="str">
        <f t="shared" ref="B507" si="1189">IF(C507&gt;0, VLOOKUP(C507,Код_ООП,11,FALSE),0)</f>
        <v>М</v>
      </c>
      <c r="C507" s="101" t="s">
        <v>1480</v>
      </c>
      <c r="D507" s="16" t="str">
        <f t="shared" ref="D507" si="1190">IF(C507&gt;0, VLOOKUP(C507,Код_ООП,2,FALSE),0)</f>
        <v>'01.04.02</v>
      </c>
      <c r="E507" s="17" t="str">
        <f t="shared" ref="E507" si="1191">IF(C507&gt;0, VLOOKUP(C507,Код_ООП,13,FALSE),0)</f>
        <v>Теория вероятностей и математическая статистика</v>
      </c>
      <c r="F507" s="9" t="s">
        <v>414</v>
      </c>
      <c r="G507" s="9" t="s">
        <v>42</v>
      </c>
      <c r="H507" s="10"/>
      <c r="I507" s="10"/>
      <c r="J507" s="24" t="s">
        <v>3223</v>
      </c>
      <c r="K507" s="11">
        <v>2</v>
      </c>
      <c r="L507" s="11">
        <v>18</v>
      </c>
      <c r="M507" s="128" t="s">
        <v>95</v>
      </c>
      <c r="N507" s="11"/>
      <c r="O507" s="11"/>
      <c r="P507" s="11"/>
      <c r="Q507" s="8"/>
      <c r="R507" s="11"/>
      <c r="S507" s="11"/>
      <c r="T507" s="11">
        <v>3</v>
      </c>
      <c r="U507" s="11"/>
      <c r="V507" s="11"/>
      <c r="W507" s="83" t="str">
        <f t="shared" si="1159"/>
        <v>НПМмд</v>
      </c>
      <c r="X507" s="110" t="s">
        <v>3247</v>
      </c>
      <c r="Y507" s="11">
        <v>1</v>
      </c>
      <c r="Z507" s="11">
        <v>1</v>
      </c>
      <c r="AA507" s="83">
        <f t="shared" ref="AA507" si="1192">AB507+AC507</f>
        <v>2</v>
      </c>
      <c r="AB507" s="11">
        <v>2</v>
      </c>
      <c r="AC507" s="11"/>
      <c r="AD507" s="81">
        <f t="shared" si="1160"/>
        <v>1</v>
      </c>
      <c r="AE507" s="82">
        <f t="shared" ref="AE507" si="1193">IF(AF507&gt;1,1,AF507)</f>
        <v>1</v>
      </c>
      <c r="AF507" s="82">
        <f t="shared" ref="AF507" si="1194">AA507/AD507</f>
        <v>2</v>
      </c>
      <c r="AG507" s="102" t="s">
        <v>3250</v>
      </c>
      <c r="AH507" s="8" t="s">
        <v>201</v>
      </c>
      <c r="AI507" s="8" t="s">
        <v>212</v>
      </c>
      <c r="AJ507" s="36" t="s">
        <v>3253</v>
      </c>
      <c r="AK507" s="8"/>
      <c r="AL507" s="42">
        <f t="shared" si="1161"/>
        <v>0</v>
      </c>
      <c r="AM507" s="42">
        <f t="shared" ref="AM507" si="1195">IF(OR(M507="пр",M507="ия",M507="сп"),P507*AE507*L507,0)</f>
        <v>0</v>
      </c>
      <c r="AN507" s="42">
        <f t="shared" ref="AN507" si="1196">IF(OR(M507="лаб",M507="клн"),O507*AE507*L507,0)</f>
        <v>0</v>
      </c>
      <c r="AO507" s="42">
        <f t="shared" ref="AO507" si="1197">(IF((AND(OR(K507=1,K507=2,K507=3,K507=4,K507=5,K507=6,K507=7,K507=8,K507=9,K507=10,K507=11,K507=12),OR(Q507="Зач",Q507="Экз"))),ТКиРА*AA507,0)+IF(SUM(N507:P507)&lt;&gt;0,IF(Q507="ТК",ТКиРА*AA507,0),0))*(IF(F507="ФТД",0,1))</f>
        <v>0</v>
      </c>
      <c r="AP507" s="42">
        <f t="shared" ref="AP507" si="1198">IF(SUM(O507:P507)&lt;&gt;0,IF(Q507="Зач",ПАБРС*AA507,0),0)+IF(N507&lt;&gt;0,IF(Q507="Экз",ПАБРС*AA507,0),0)</f>
        <v>0</v>
      </c>
      <c r="AQ507" s="42">
        <f t="shared" ref="AQ507" si="1199">(IF(AP507&lt;&gt;0,ОфВед*(IF(OR(M507="лек",M507="лаб"),Z507,AE507)),0))*(IF(F507="ФТД",0,1))</f>
        <v>0</v>
      </c>
      <c r="AR507" s="42">
        <f t="shared" si="1162"/>
        <v>0</v>
      </c>
      <c r="AS507" s="42">
        <f t="shared" ref="AS507" si="1200">IF(OR(M507="лаб",M507="пр"),IF(R507="К",AA507*ВПКР,IF(R507="М",AA507*ВПИБ,0)),0)</f>
        <v>0</v>
      </c>
      <c r="AT507" s="42">
        <f t="shared" ref="AT507" si="1201">IF(OR(M507="лаб",M507="пр"),IF(S507="К",AA507*ВПКП,0),0)</f>
        <v>0</v>
      </c>
      <c r="AU507" s="42">
        <f t="shared" ref="AU507" si="1202">IF(M507="УП",T507/1.5*AA507*РУП,IF(M507="УПМ",T507/1.5*AA507*РУПЛеч,0))</f>
        <v>6</v>
      </c>
      <c r="AV507" s="42">
        <f>IF(M507="ПП",РПП*AA507*(U507/1.5),IF(M507="ВП",ВПр*AA507*(U507/1.5),IF(M507="РПА",РПА*AA507*(U507/1.5),IF(M507="КПА",КПА*AA507*(U507/1.5),0))))</f>
        <v>0</v>
      </c>
      <c r="AW507" s="42">
        <f t="shared" ref="AW507" si="1203">IF(M507="НР",(AB507*НИРМ+AC507*НИРМИн)*(V507/1.5),IF(M507="НИ",(AB507*НИРА+AC507*НИРАИ)*(V507/1.5),0))</f>
        <v>0</v>
      </c>
      <c r="AX507" s="42">
        <f t="shared" si="1163"/>
        <v>0</v>
      </c>
      <c r="AY507" s="42">
        <f t="shared" si="1164"/>
        <v>0</v>
      </c>
      <c r="AZ507" s="42">
        <f t="shared" ref="AZ507" si="1204">IF(AND(Q507="КЭ",M507="ЧК"),AA507*КдЭк,0)</f>
        <v>0</v>
      </c>
      <c r="BA507" s="42">
        <f t="shared" si="1165"/>
        <v>0</v>
      </c>
      <c r="BB507" s="42">
        <f t="shared" si="1166"/>
        <v>0</v>
      </c>
      <c r="BC507" s="42">
        <f t="shared" si="1167"/>
        <v>0</v>
      </c>
      <c r="BD507" s="42">
        <f t="shared" ref="BD507" si="1205">IF(M507="ЧГ",AA507*ЧГ,IF(M507="ПГ",AA507*ПГ,IF(M507="ТЕСТ",ТГИЭ*AE507,IF(M507="СГ",AA507*СГ,0))))</f>
        <v>0</v>
      </c>
      <c r="BE507" s="43">
        <f t="shared" ref="BE507" si="1206">SUM(AL507:BD507)</f>
        <v>6</v>
      </c>
      <c r="BF507" s="44"/>
      <c r="BG507" s="45">
        <f t="shared" ref="BG507" si="1207">IF(OR(K507="1;1",K507="1;2",K507=1,K507="3;1",K507="3;2",K507=3,K507="5;1",K507="5;2",K507=5,K507="7;1",K507="7;2",K507=7,K507="9;1",K507="9;2",K507=9,K507=11),SUM(AL507:AN507),0)</f>
        <v>0</v>
      </c>
      <c r="BH507" s="45">
        <f t="shared" ref="BH507" si="1208">IF(BG507&lt;&gt;0,SUM(N507:P507)/2,0)</f>
        <v>0</v>
      </c>
      <c r="BI507" s="45">
        <f t="shared" ref="BI507" si="1209">IF(OR(K507="1;1",K507="1;2",K507=1,K507="3;1",K507="3;2",K507=3,K507="5;1",K507="5;2",K507=5,K507="7;1",K507="7;2",K507=7,K507="9;1",K507="9;2",K507=9,K507=11),SUM(AO507:BD507),0)</f>
        <v>0</v>
      </c>
      <c r="BJ507" s="46">
        <f t="shared" si="1113"/>
        <v>0</v>
      </c>
      <c r="BK507" s="46">
        <f t="shared" si="1114"/>
        <v>0</v>
      </c>
      <c r="BL507" s="46">
        <f t="shared" si="1115"/>
        <v>6</v>
      </c>
    </row>
    <row r="508" spans="1:64" ht="30" customHeight="1" x14ac:dyDescent="0.25">
      <c r="A508" s="84" t="str">
        <f t="shared" si="1158"/>
        <v>Д</v>
      </c>
      <c r="B508" s="84" t="str">
        <f t="shared" si="1168"/>
        <v>М</v>
      </c>
      <c r="C508" s="101" t="s">
        <v>1480</v>
      </c>
      <c r="D508" s="16" t="str">
        <f t="shared" si="1169"/>
        <v>'01.04.02</v>
      </c>
      <c r="E508" s="17" t="str">
        <f t="shared" si="1170"/>
        <v>Теория вероятностей и математическая статистика</v>
      </c>
      <c r="F508" s="9" t="s">
        <v>414</v>
      </c>
      <c r="G508" s="9" t="s">
        <v>42</v>
      </c>
      <c r="H508" s="10"/>
      <c r="I508" s="10"/>
      <c r="J508" s="24" t="s">
        <v>3201</v>
      </c>
      <c r="K508" s="11">
        <v>3</v>
      </c>
      <c r="L508" s="11">
        <v>18</v>
      </c>
      <c r="M508" s="8" t="s">
        <v>91</v>
      </c>
      <c r="N508" s="11"/>
      <c r="O508" s="11"/>
      <c r="P508" s="11"/>
      <c r="Q508" s="8"/>
      <c r="R508" s="11"/>
      <c r="S508" s="11"/>
      <c r="T508" s="11"/>
      <c r="U508" s="11">
        <v>6</v>
      </c>
      <c r="V508" s="11"/>
      <c r="W508" s="83" t="str">
        <f t="shared" si="1159"/>
        <v>НПМмд</v>
      </c>
      <c r="X508" s="110" t="s">
        <v>3235</v>
      </c>
      <c r="Y508" s="11">
        <v>1</v>
      </c>
      <c r="Z508" s="11">
        <v>1</v>
      </c>
      <c r="AA508" s="83">
        <f t="shared" si="1171"/>
        <v>2</v>
      </c>
      <c r="AB508" s="11">
        <v>1</v>
      </c>
      <c r="AC508" s="11">
        <v>1</v>
      </c>
      <c r="AD508" s="81">
        <f t="shared" si="1160"/>
        <v>1</v>
      </c>
      <c r="AE508" s="82">
        <f t="shared" si="1172"/>
        <v>1</v>
      </c>
      <c r="AF508" s="82">
        <f t="shared" si="1173"/>
        <v>2</v>
      </c>
      <c r="AG508" s="102" t="s">
        <v>3250</v>
      </c>
      <c r="AH508" s="8" t="s">
        <v>201</v>
      </c>
      <c r="AI508" s="8" t="s">
        <v>212</v>
      </c>
      <c r="AJ508" s="36" t="s">
        <v>3253</v>
      </c>
      <c r="AK508" s="8"/>
      <c r="AL508" s="42">
        <f t="shared" si="1161"/>
        <v>0</v>
      </c>
      <c r="AM508" s="42">
        <f t="shared" si="1174"/>
        <v>0</v>
      </c>
      <c r="AN508" s="42">
        <f t="shared" si="1175"/>
        <v>0</v>
      </c>
      <c r="AO508" s="42">
        <f t="shared" si="1188"/>
        <v>0</v>
      </c>
      <c r="AP508" s="42">
        <f t="shared" si="1176"/>
        <v>0</v>
      </c>
      <c r="AQ508" s="42">
        <f t="shared" si="1177"/>
        <v>0</v>
      </c>
      <c r="AR508" s="42">
        <f t="shared" si="1162"/>
        <v>0</v>
      </c>
      <c r="AS508" s="42">
        <f t="shared" si="1178"/>
        <v>0</v>
      </c>
      <c r="AT508" s="42">
        <f t="shared" si="1179"/>
        <v>0</v>
      </c>
      <c r="AU508" s="42">
        <f t="shared" si="1180"/>
        <v>0</v>
      </c>
      <c r="AV508" s="42">
        <f>IF(M508="ПП",РПП*AA508*(U508/1.5),IF(M508="ВП",ВПр*AA508*(U508/1.5),IF(M508="РПА",РПА*AA508*(U508/1.5),IF(M508="КПА",КПА*AA508*(U508/1.5),0))))</f>
        <v>6</v>
      </c>
      <c r="AW508" s="42">
        <f t="shared" si="1181"/>
        <v>0</v>
      </c>
      <c r="AX508" s="42">
        <f t="shared" si="1163"/>
        <v>0</v>
      </c>
      <c r="AY508" s="42">
        <f t="shared" si="1164"/>
        <v>0</v>
      </c>
      <c r="AZ508" s="42">
        <f t="shared" si="1182"/>
        <v>0</v>
      </c>
      <c r="BA508" s="42">
        <f t="shared" si="1165"/>
        <v>0</v>
      </c>
      <c r="BB508" s="42">
        <f t="shared" si="1166"/>
        <v>0</v>
      </c>
      <c r="BC508" s="42">
        <f t="shared" si="1167"/>
        <v>0</v>
      </c>
      <c r="BD508" s="42">
        <f t="shared" si="1183"/>
        <v>0</v>
      </c>
      <c r="BE508" s="43">
        <f t="shared" si="1184"/>
        <v>6</v>
      </c>
      <c r="BF508" s="44"/>
      <c r="BG508" s="45">
        <f t="shared" si="1185"/>
        <v>0</v>
      </c>
      <c r="BH508" s="45">
        <f t="shared" si="1186"/>
        <v>0</v>
      </c>
      <c r="BI508" s="45">
        <f t="shared" si="1187"/>
        <v>6</v>
      </c>
      <c r="BJ508" s="46">
        <f t="shared" si="1113"/>
        <v>0</v>
      </c>
      <c r="BK508" s="46">
        <f t="shared" si="1114"/>
        <v>0</v>
      </c>
      <c r="BL508" s="46">
        <f t="shared" si="1115"/>
        <v>0</v>
      </c>
    </row>
    <row r="509" spans="1:64" ht="30" customHeight="1" x14ac:dyDescent="0.25">
      <c r="A509" s="84" t="str">
        <f t="shared" si="1158"/>
        <v>Д</v>
      </c>
      <c r="B509" s="84" t="str">
        <f t="shared" si="1168"/>
        <v>М</v>
      </c>
      <c r="C509" s="101" t="s">
        <v>1480</v>
      </c>
      <c r="D509" s="16" t="str">
        <f t="shared" si="1169"/>
        <v>'01.04.02</v>
      </c>
      <c r="E509" s="17" t="str">
        <f t="shared" si="1170"/>
        <v>Теория вероятностей и математическая статистика</v>
      </c>
      <c r="F509" s="9" t="s">
        <v>414</v>
      </c>
      <c r="G509" s="9" t="s">
        <v>42</v>
      </c>
      <c r="H509" s="10"/>
      <c r="I509" s="10"/>
      <c r="J509" s="24" t="s">
        <v>3202</v>
      </c>
      <c r="K509" s="11">
        <v>4</v>
      </c>
      <c r="L509" s="11">
        <v>18</v>
      </c>
      <c r="M509" s="8" t="s">
        <v>187</v>
      </c>
      <c r="N509" s="11"/>
      <c r="O509" s="11"/>
      <c r="P509" s="11"/>
      <c r="Q509" s="8"/>
      <c r="R509" s="11"/>
      <c r="S509" s="11"/>
      <c r="T509" s="11"/>
      <c r="U509" s="11">
        <v>21</v>
      </c>
      <c r="V509" s="11"/>
      <c r="W509" s="83" t="str">
        <f t="shared" si="1159"/>
        <v>НПМмд</v>
      </c>
      <c r="X509" s="110" t="s">
        <v>3235</v>
      </c>
      <c r="Y509" s="11">
        <v>1</v>
      </c>
      <c r="Z509" s="11">
        <v>1</v>
      </c>
      <c r="AA509" s="83">
        <f t="shared" si="1171"/>
        <v>2</v>
      </c>
      <c r="AB509" s="11">
        <v>1</v>
      </c>
      <c r="AC509" s="11">
        <v>1</v>
      </c>
      <c r="AD509" s="81">
        <f t="shared" si="1160"/>
        <v>1</v>
      </c>
      <c r="AE509" s="82">
        <f t="shared" si="1172"/>
        <v>1</v>
      </c>
      <c r="AF509" s="82">
        <f t="shared" si="1173"/>
        <v>2</v>
      </c>
      <c r="AG509" s="102" t="s">
        <v>3250</v>
      </c>
      <c r="AH509" s="8" t="s">
        <v>201</v>
      </c>
      <c r="AI509" s="8" t="s">
        <v>212</v>
      </c>
      <c r="AJ509" s="35" t="s">
        <v>3253</v>
      </c>
      <c r="AK509" s="8"/>
      <c r="AL509" s="42">
        <f t="shared" si="1161"/>
        <v>0</v>
      </c>
      <c r="AM509" s="42">
        <f t="shared" si="1174"/>
        <v>0</v>
      </c>
      <c r="AN509" s="42">
        <f t="shared" si="1175"/>
        <v>0</v>
      </c>
      <c r="AO509" s="42">
        <f t="shared" si="1188"/>
        <v>0</v>
      </c>
      <c r="AP509" s="42">
        <f t="shared" si="1176"/>
        <v>0</v>
      </c>
      <c r="AQ509" s="42">
        <f t="shared" si="1177"/>
        <v>0</v>
      </c>
      <c r="AR509" s="42">
        <f t="shared" si="1162"/>
        <v>0</v>
      </c>
      <c r="AS509" s="42">
        <f t="shared" si="1178"/>
        <v>0</v>
      </c>
      <c r="AT509" s="42">
        <f t="shared" si="1179"/>
        <v>0</v>
      </c>
      <c r="AU509" s="42">
        <f t="shared" si="1180"/>
        <v>0</v>
      </c>
      <c r="AV509" s="42">
        <f>IF(M509="ПП",РПП*AA509*(U509/1.5),IF(M509="ВП",ВПр*AA509*(U509/1.5),IF(M509="РПА",РПА*AA509*(U509/1.5),IF(M509="КПА",КПА*AA509*(U509/1.5),0))))</f>
        <v>42</v>
      </c>
      <c r="AW509" s="42">
        <f t="shared" si="1181"/>
        <v>0</v>
      </c>
      <c r="AX509" s="42">
        <f t="shared" si="1163"/>
        <v>0</v>
      </c>
      <c r="AY509" s="42">
        <f t="shared" si="1164"/>
        <v>0</v>
      </c>
      <c r="AZ509" s="42">
        <f t="shared" si="1182"/>
        <v>0</v>
      </c>
      <c r="BA509" s="42">
        <f t="shared" si="1165"/>
        <v>0</v>
      </c>
      <c r="BB509" s="42">
        <f t="shared" si="1166"/>
        <v>0</v>
      </c>
      <c r="BC509" s="42">
        <f t="shared" si="1167"/>
        <v>0</v>
      </c>
      <c r="BD509" s="42">
        <f t="shared" si="1183"/>
        <v>0</v>
      </c>
      <c r="BE509" s="43">
        <f t="shared" si="1184"/>
        <v>42</v>
      </c>
      <c r="BF509" s="44"/>
      <c r="BG509" s="45">
        <f t="shared" si="1185"/>
        <v>0</v>
      </c>
      <c r="BH509" s="45">
        <f t="shared" si="1186"/>
        <v>0</v>
      </c>
      <c r="BI509" s="45">
        <f t="shared" si="1187"/>
        <v>0</v>
      </c>
      <c r="BJ509" s="46">
        <f t="shared" si="1113"/>
        <v>0</v>
      </c>
      <c r="BK509" s="46">
        <f t="shared" si="1114"/>
        <v>0</v>
      </c>
      <c r="BL509" s="46">
        <f t="shared" si="1115"/>
        <v>42</v>
      </c>
    </row>
    <row r="510" spans="1:64" ht="30" customHeight="1" x14ac:dyDescent="0.25">
      <c r="A510" s="84" t="str">
        <f t="shared" si="1158"/>
        <v>Д</v>
      </c>
      <c r="B510" s="84" t="str">
        <f t="shared" si="1168"/>
        <v>М</v>
      </c>
      <c r="C510" s="101" t="s">
        <v>1480</v>
      </c>
      <c r="D510" s="16" t="str">
        <f t="shared" si="1169"/>
        <v>'01.04.02</v>
      </c>
      <c r="E510" s="17" t="str">
        <f t="shared" si="1170"/>
        <v>Теория вероятностей и математическая статистика</v>
      </c>
      <c r="F510" s="9" t="s">
        <v>498</v>
      </c>
      <c r="G510" s="9" t="s">
        <v>42</v>
      </c>
      <c r="H510" s="10"/>
      <c r="I510" s="10"/>
      <c r="J510" s="24" t="s">
        <v>3203</v>
      </c>
      <c r="K510" s="11">
        <v>4</v>
      </c>
      <c r="L510" s="11">
        <v>18</v>
      </c>
      <c r="M510" s="8" t="s">
        <v>96</v>
      </c>
      <c r="N510" s="11"/>
      <c r="O510" s="11"/>
      <c r="P510" s="11"/>
      <c r="Q510" s="8"/>
      <c r="R510" s="11"/>
      <c r="S510" s="11"/>
      <c r="T510" s="11"/>
      <c r="U510" s="11"/>
      <c r="V510" s="11"/>
      <c r="W510" s="83" t="str">
        <f t="shared" si="1159"/>
        <v>НПМмд</v>
      </c>
      <c r="X510" s="110" t="s">
        <v>3235</v>
      </c>
      <c r="Y510" s="11">
        <v>1</v>
      </c>
      <c r="Z510" s="11">
        <v>1</v>
      </c>
      <c r="AA510" s="83">
        <f t="shared" si="1171"/>
        <v>2</v>
      </c>
      <c r="AB510" s="11">
        <v>1</v>
      </c>
      <c r="AC510" s="11">
        <v>1</v>
      </c>
      <c r="AD510" s="81">
        <f t="shared" si="1160"/>
        <v>1</v>
      </c>
      <c r="AE510" s="82">
        <f t="shared" si="1172"/>
        <v>1</v>
      </c>
      <c r="AF510" s="82">
        <f t="shared" si="1173"/>
        <v>2</v>
      </c>
      <c r="AG510" s="102" t="s">
        <v>3250</v>
      </c>
      <c r="AH510" s="8" t="s">
        <v>201</v>
      </c>
      <c r="AI510" s="8" t="s">
        <v>212</v>
      </c>
      <c r="AJ510" s="37" t="s">
        <v>3253</v>
      </c>
      <c r="AK510" s="8"/>
      <c r="AL510" s="42">
        <f t="shared" si="1161"/>
        <v>0</v>
      </c>
      <c r="AM510" s="42">
        <f t="shared" si="1174"/>
        <v>0</v>
      </c>
      <c r="AN510" s="42">
        <f t="shared" si="1175"/>
        <v>0</v>
      </c>
      <c r="AO510" s="42">
        <f t="shared" si="1188"/>
        <v>0</v>
      </c>
      <c r="AP510" s="42">
        <f t="shared" si="1176"/>
        <v>0</v>
      </c>
      <c r="AQ510" s="42">
        <f t="shared" si="1177"/>
        <v>0</v>
      </c>
      <c r="AR510" s="42">
        <f t="shared" si="1162"/>
        <v>0</v>
      </c>
      <c r="AS510" s="42">
        <f t="shared" si="1178"/>
        <v>0</v>
      </c>
      <c r="AT510" s="42">
        <f t="shared" si="1179"/>
        <v>0</v>
      </c>
      <c r="AU510" s="42">
        <f t="shared" si="1180"/>
        <v>0</v>
      </c>
      <c r="AV510" s="42">
        <f>IF(M510="ПП",РПП*AA510*(U510/1.5),IF(M510="ВП",ВПр*AA510*(U510/1.5),IF(M510="РПА",РПА*AA510*(U510/1.5),IF(M510="КПА",КПА*AA510*(U510/1.5),0))))</f>
        <v>0</v>
      </c>
      <c r="AW510" s="42">
        <f t="shared" si="1181"/>
        <v>0</v>
      </c>
      <c r="AX510" s="42">
        <f t="shared" si="1163"/>
        <v>0</v>
      </c>
      <c r="AY510" s="42">
        <f t="shared" si="1164"/>
        <v>0</v>
      </c>
      <c r="AZ510" s="42">
        <f t="shared" si="1182"/>
        <v>0</v>
      </c>
      <c r="BA510" s="42">
        <f t="shared" si="1165"/>
        <v>0</v>
      </c>
      <c r="BB510" s="42">
        <f t="shared" si="1166"/>
        <v>62</v>
      </c>
      <c r="BC510" s="42">
        <f t="shared" si="1167"/>
        <v>0</v>
      </c>
      <c r="BD510" s="42">
        <f t="shared" si="1183"/>
        <v>0</v>
      </c>
      <c r="BE510" s="43">
        <f t="shared" si="1184"/>
        <v>62</v>
      </c>
      <c r="BF510" s="44"/>
      <c r="BG510" s="45">
        <f t="shared" si="1185"/>
        <v>0</v>
      </c>
      <c r="BH510" s="45">
        <f t="shared" si="1186"/>
        <v>0</v>
      </c>
      <c r="BI510" s="45">
        <f t="shared" si="1187"/>
        <v>0</v>
      </c>
      <c r="BJ510" s="46">
        <f t="shared" si="1113"/>
        <v>0</v>
      </c>
      <c r="BK510" s="46">
        <f t="shared" si="1114"/>
        <v>0</v>
      </c>
      <c r="BL510" s="46">
        <f t="shared" si="1115"/>
        <v>62</v>
      </c>
    </row>
    <row r="511" spans="1:64" ht="30" customHeight="1" x14ac:dyDescent="0.25">
      <c r="A511" s="84" t="str">
        <f t="shared" si="1158"/>
        <v>Д</v>
      </c>
      <c r="B511" s="84" t="str">
        <f t="shared" si="1168"/>
        <v>М</v>
      </c>
      <c r="C511" s="101" t="s">
        <v>1480</v>
      </c>
      <c r="D511" s="16" t="str">
        <f t="shared" si="1169"/>
        <v>'01.04.02</v>
      </c>
      <c r="E511" s="17" t="str">
        <f t="shared" si="1170"/>
        <v>Теория вероятностей и математическая статистика</v>
      </c>
      <c r="F511" s="9" t="s">
        <v>498</v>
      </c>
      <c r="G511" s="9" t="s">
        <v>42</v>
      </c>
      <c r="H511" s="10"/>
      <c r="I511" s="10"/>
      <c r="J511" s="24" t="s">
        <v>73</v>
      </c>
      <c r="K511" s="11">
        <v>4</v>
      </c>
      <c r="L511" s="11">
        <v>18</v>
      </c>
      <c r="M511" s="8" t="s">
        <v>27</v>
      </c>
      <c r="N511" s="11"/>
      <c r="O511" s="11"/>
      <c r="P511" s="11"/>
      <c r="Q511" s="8"/>
      <c r="R511" s="12"/>
      <c r="S511" s="12"/>
      <c r="T511" s="12"/>
      <c r="U511" s="12"/>
      <c r="V511" s="12"/>
      <c r="W511" s="83" t="str">
        <f t="shared" si="1159"/>
        <v>НПМмд</v>
      </c>
      <c r="X511" s="110" t="s">
        <v>3235</v>
      </c>
      <c r="Y511" s="11">
        <v>1</v>
      </c>
      <c r="Z511" s="11">
        <v>1</v>
      </c>
      <c r="AA511" s="83">
        <f t="shared" si="1171"/>
        <v>2</v>
      </c>
      <c r="AB511" s="11">
        <v>1</v>
      </c>
      <c r="AC511" s="11">
        <v>1</v>
      </c>
      <c r="AD511" s="81">
        <f t="shared" si="1160"/>
        <v>1</v>
      </c>
      <c r="AE511" s="82">
        <f t="shared" si="1172"/>
        <v>1</v>
      </c>
      <c r="AF511" s="82">
        <f t="shared" si="1173"/>
        <v>2</v>
      </c>
      <c r="AG511" s="102" t="s">
        <v>3250</v>
      </c>
      <c r="AH511" s="8" t="s">
        <v>201</v>
      </c>
      <c r="AI511" s="8" t="s">
        <v>212</v>
      </c>
      <c r="AJ511" s="35" t="s">
        <v>3253</v>
      </c>
      <c r="AK511" s="8"/>
      <c r="AL511" s="42">
        <f t="shared" si="1161"/>
        <v>0</v>
      </c>
      <c r="AM511" s="42">
        <f t="shared" si="1174"/>
        <v>0</v>
      </c>
      <c r="AN511" s="42">
        <f t="shared" si="1175"/>
        <v>0</v>
      </c>
      <c r="AO511" s="42">
        <f t="shared" si="1188"/>
        <v>0</v>
      </c>
      <c r="AP511" s="42">
        <f t="shared" si="1176"/>
        <v>0</v>
      </c>
      <c r="AQ511" s="42">
        <f t="shared" si="1177"/>
        <v>0</v>
      </c>
      <c r="AR511" s="42">
        <f t="shared" si="1162"/>
        <v>0</v>
      </c>
      <c r="AS511" s="42">
        <f t="shared" si="1178"/>
        <v>0</v>
      </c>
      <c r="AT511" s="42">
        <f t="shared" si="1179"/>
        <v>0</v>
      </c>
      <c r="AU511" s="42">
        <f t="shared" si="1180"/>
        <v>0</v>
      </c>
      <c r="AV511" s="42">
        <f>IF(M511="ПП",РПП*AA511*(U511/1.5),IF(M511="ВП",ВПр*AA511*(U511/1.5),IF(M511="РПА",РПА*AA511*(U511/1.5),IF(M511="КПА",КПА*AA511*(U511/1.5),0))))</f>
        <v>0</v>
      </c>
      <c r="AW511" s="42">
        <f t="shared" si="1181"/>
        <v>0</v>
      </c>
      <c r="AX511" s="42">
        <f t="shared" si="1163"/>
        <v>0</v>
      </c>
      <c r="AY511" s="42">
        <f t="shared" si="1164"/>
        <v>0</v>
      </c>
      <c r="AZ511" s="42">
        <f t="shared" si="1182"/>
        <v>0</v>
      </c>
      <c r="BA511" s="42">
        <f t="shared" si="1165"/>
        <v>0</v>
      </c>
      <c r="BB511" s="42">
        <f t="shared" si="1166"/>
        <v>0</v>
      </c>
      <c r="BC511" s="42">
        <f t="shared" si="1167"/>
        <v>8</v>
      </c>
      <c r="BD511" s="42">
        <f t="shared" si="1183"/>
        <v>0</v>
      </c>
      <c r="BE511" s="43">
        <f t="shared" si="1184"/>
        <v>8</v>
      </c>
      <c r="BF511" s="44"/>
      <c r="BG511" s="45">
        <f t="shared" si="1185"/>
        <v>0</v>
      </c>
      <c r="BH511" s="45">
        <f t="shared" si="1186"/>
        <v>0</v>
      </c>
      <c r="BI511" s="45">
        <f t="shared" si="1187"/>
        <v>0</v>
      </c>
      <c r="BJ511" s="46">
        <f t="shared" si="1113"/>
        <v>0</v>
      </c>
      <c r="BK511" s="46">
        <f t="shared" si="1114"/>
        <v>0</v>
      </c>
      <c r="BL511" s="46">
        <f t="shared" si="1115"/>
        <v>8</v>
      </c>
    </row>
    <row r="512" spans="1:64" ht="30" customHeight="1" x14ac:dyDescent="0.25">
      <c r="A512" s="84" t="str">
        <f t="shared" si="1158"/>
        <v>Д</v>
      </c>
      <c r="B512" s="84" t="str">
        <f t="shared" si="1168"/>
        <v>М</v>
      </c>
      <c r="C512" s="101" t="s">
        <v>1480</v>
      </c>
      <c r="D512" s="16" t="str">
        <f t="shared" si="1169"/>
        <v>'01.04.02</v>
      </c>
      <c r="E512" s="17" t="str">
        <f t="shared" si="1170"/>
        <v>Теория вероятностей и математическая статистика</v>
      </c>
      <c r="F512" s="9" t="s">
        <v>498</v>
      </c>
      <c r="G512" s="9" t="s">
        <v>42</v>
      </c>
      <c r="H512" s="10"/>
      <c r="I512" s="10"/>
      <c r="J512" s="24" t="s">
        <v>20</v>
      </c>
      <c r="K512" s="11">
        <v>4</v>
      </c>
      <c r="L512" s="11">
        <v>18</v>
      </c>
      <c r="M512" s="128" t="s">
        <v>1738</v>
      </c>
      <c r="N512" s="11"/>
      <c r="O512" s="11"/>
      <c r="P512" s="11"/>
      <c r="Q512" s="8"/>
      <c r="R512" s="11"/>
      <c r="S512" s="11"/>
      <c r="T512" s="23"/>
      <c r="U512" s="11"/>
      <c r="V512" s="11"/>
      <c r="W512" s="83" t="str">
        <f t="shared" si="1159"/>
        <v>НПМмд</v>
      </c>
      <c r="X512" s="110" t="s">
        <v>3235</v>
      </c>
      <c r="Y512" s="11">
        <v>1</v>
      </c>
      <c r="Z512" s="11">
        <v>1</v>
      </c>
      <c r="AA512" s="83">
        <f t="shared" si="1171"/>
        <v>2</v>
      </c>
      <c r="AB512" s="11">
        <v>1</v>
      </c>
      <c r="AC512" s="11">
        <v>1</v>
      </c>
      <c r="AD512" s="81">
        <f t="shared" si="1160"/>
        <v>1</v>
      </c>
      <c r="AE512" s="82">
        <f t="shared" si="1172"/>
        <v>1</v>
      </c>
      <c r="AF512" s="82">
        <f t="shared" si="1173"/>
        <v>2</v>
      </c>
      <c r="AG512" s="102" t="s">
        <v>3250</v>
      </c>
      <c r="AH512" s="8" t="s">
        <v>447</v>
      </c>
      <c r="AI512" s="8"/>
      <c r="AJ512" s="35" t="s">
        <v>412</v>
      </c>
      <c r="AK512" s="8"/>
      <c r="AL512" s="42">
        <f t="shared" si="1161"/>
        <v>0</v>
      </c>
      <c r="AM512" s="42">
        <f t="shared" si="1174"/>
        <v>0</v>
      </c>
      <c r="AN512" s="42">
        <f t="shared" si="1175"/>
        <v>0</v>
      </c>
      <c r="AO512" s="42">
        <f t="shared" si="1188"/>
        <v>0</v>
      </c>
      <c r="AP512" s="42">
        <f t="shared" si="1176"/>
        <v>0</v>
      </c>
      <c r="AQ512" s="42">
        <f t="shared" si="1177"/>
        <v>0</v>
      </c>
      <c r="AR512" s="42">
        <f t="shared" si="1162"/>
        <v>0</v>
      </c>
      <c r="AS512" s="42">
        <f t="shared" si="1178"/>
        <v>0</v>
      </c>
      <c r="AT512" s="42">
        <f t="shared" si="1179"/>
        <v>0</v>
      </c>
      <c r="AU512" s="42">
        <f t="shared" si="1180"/>
        <v>0</v>
      </c>
      <c r="AV512" s="42">
        <f>IF(M512="ПП",РПП*AA512*(U512/1.5),IF(M512="ВП",ВПр*AA512*(U512/1.5),IF(M512="РПА",РПА*AA512*(U512/1.5),IF(M512="КПА",КПА*AA512*(U512/1.5),0))))</f>
        <v>0</v>
      </c>
      <c r="AW512" s="42">
        <f t="shared" si="1181"/>
        <v>0</v>
      </c>
      <c r="AX512" s="42">
        <f t="shared" si="1163"/>
        <v>0</v>
      </c>
      <c r="AY512" s="42">
        <f t="shared" si="1164"/>
        <v>0</v>
      </c>
      <c r="AZ512" s="42">
        <f t="shared" si="1182"/>
        <v>0</v>
      </c>
      <c r="BA512" s="42">
        <f t="shared" si="1165"/>
        <v>0</v>
      </c>
      <c r="BB512" s="42">
        <f t="shared" si="1166"/>
        <v>0</v>
      </c>
      <c r="BC512" s="42">
        <f t="shared" si="1167"/>
        <v>0</v>
      </c>
      <c r="BD512" s="42">
        <f t="shared" si="1183"/>
        <v>1</v>
      </c>
      <c r="BE512" s="43">
        <f t="shared" si="1184"/>
        <v>1</v>
      </c>
      <c r="BF512" s="44"/>
      <c r="BG512" s="45">
        <f t="shared" si="1185"/>
        <v>0</v>
      </c>
      <c r="BH512" s="45">
        <f t="shared" si="1186"/>
        <v>0</v>
      </c>
      <c r="BI512" s="45">
        <f t="shared" si="1187"/>
        <v>0</v>
      </c>
      <c r="BJ512" s="46">
        <f t="shared" ref="BJ512:BJ552" si="1210">IF(OR(K512="2;3",K512="2;4",K512=2,K512="4;3",K512="4;4",K512=4,K512="6;3",K512="6;4",K512=6,K512="8;3",K512="8;4",K512=8,K512="10;3",K512="10;4",K512=10,K512=12),SUM(AL512:AN512),0)</f>
        <v>0</v>
      </c>
      <c r="BK512" s="46">
        <f t="shared" ref="BK512:BK552" si="1211">IF(BJ512&lt;&gt;0,SUM(N512:P512)/2,0)</f>
        <v>0</v>
      </c>
      <c r="BL512" s="46">
        <f t="shared" ref="BL512:BL552" si="1212">IF(OR(K512="2;3",K512="2;4",K512=2,K512="4;3",K512="4;4",K512=4,K512="6;3",K512="6;4",K512=6,K512="8;3",K512="8;4",K512=8,K512="10;3",K512="10;4",K512=10,K512=12),SUM(AO512:BD512),0)</f>
        <v>1</v>
      </c>
    </row>
    <row r="513" spans="1:64" ht="30" customHeight="1" x14ac:dyDescent="0.25">
      <c r="A513" s="84" t="str">
        <f t="shared" si="1158"/>
        <v>Д</v>
      </c>
      <c r="B513" s="84" t="str">
        <f t="shared" si="1168"/>
        <v>М</v>
      </c>
      <c r="C513" s="101" t="s">
        <v>1480</v>
      </c>
      <c r="D513" s="16" t="str">
        <f t="shared" si="1169"/>
        <v>'01.04.02</v>
      </c>
      <c r="E513" s="17" t="str">
        <f t="shared" si="1170"/>
        <v>Теория вероятностей и математическая статистика</v>
      </c>
      <c r="F513" s="9" t="s">
        <v>498</v>
      </c>
      <c r="G513" s="9" t="s">
        <v>42</v>
      </c>
      <c r="H513" s="10"/>
      <c r="I513" s="10"/>
      <c r="J513" s="24" t="s">
        <v>20</v>
      </c>
      <c r="K513" s="12">
        <v>4</v>
      </c>
      <c r="L513" s="11">
        <v>18</v>
      </c>
      <c r="M513" s="128" t="s">
        <v>98</v>
      </c>
      <c r="N513" s="12"/>
      <c r="O513" s="12"/>
      <c r="P513" s="12"/>
      <c r="Q513" s="8"/>
      <c r="R513" s="11"/>
      <c r="S513" s="11"/>
      <c r="T513" s="23"/>
      <c r="U513" s="11"/>
      <c r="V513" s="11"/>
      <c r="W513" s="83" t="str">
        <f t="shared" si="1159"/>
        <v>НПМмд</v>
      </c>
      <c r="X513" s="110" t="s">
        <v>3235</v>
      </c>
      <c r="Y513" s="11">
        <v>1</v>
      </c>
      <c r="Z513" s="11">
        <v>1</v>
      </c>
      <c r="AA513" s="83">
        <f t="shared" si="1171"/>
        <v>2</v>
      </c>
      <c r="AB513" s="11">
        <v>1</v>
      </c>
      <c r="AC513" s="11">
        <v>1</v>
      </c>
      <c r="AD513" s="81">
        <f t="shared" si="1160"/>
        <v>12</v>
      </c>
      <c r="AE513" s="82">
        <f t="shared" si="1172"/>
        <v>0.16666666666666666</v>
      </c>
      <c r="AF513" s="82">
        <f t="shared" si="1173"/>
        <v>0.16666666666666666</v>
      </c>
      <c r="AG513" s="102" t="s">
        <v>3250</v>
      </c>
      <c r="AH513" s="8" t="s">
        <v>447</v>
      </c>
      <c r="AI513" s="8"/>
      <c r="AJ513" s="35" t="s">
        <v>412</v>
      </c>
      <c r="AK513" s="8"/>
      <c r="AL513" s="42">
        <f t="shared" si="1161"/>
        <v>0</v>
      </c>
      <c r="AM513" s="42">
        <f t="shared" si="1174"/>
        <v>0</v>
      </c>
      <c r="AN513" s="42">
        <f t="shared" si="1175"/>
        <v>0</v>
      </c>
      <c r="AO513" s="42">
        <f t="shared" si="1188"/>
        <v>0</v>
      </c>
      <c r="AP513" s="42">
        <f t="shared" si="1176"/>
        <v>0</v>
      </c>
      <c r="AQ513" s="42">
        <f t="shared" si="1177"/>
        <v>0</v>
      </c>
      <c r="AR513" s="42">
        <f t="shared" si="1162"/>
        <v>0</v>
      </c>
      <c r="AS513" s="42">
        <f t="shared" si="1178"/>
        <v>0</v>
      </c>
      <c r="AT513" s="42">
        <f t="shared" si="1179"/>
        <v>0</v>
      </c>
      <c r="AU513" s="42">
        <f t="shared" si="1180"/>
        <v>0</v>
      </c>
      <c r="AV513" s="42">
        <f>IF(M513="ПП",РПП*AA513*(U513/1.5),IF(M513="ВП",ВПр*AA513*(U513/1.5),IF(M513="РПА",РПА*AA513*(U513/1.5),IF(M513="КПА",КПА*AA513*(U513/1.5),0))))</f>
        <v>0</v>
      </c>
      <c r="AW513" s="42">
        <f t="shared" si="1181"/>
        <v>0</v>
      </c>
      <c r="AX513" s="42">
        <f t="shared" si="1163"/>
        <v>0</v>
      </c>
      <c r="AY513" s="42">
        <f t="shared" si="1164"/>
        <v>0</v>
      </c>
      <c r="AZ513" s="42">
        <f t="shared" si="1182"/>
        <v>0</v>
      </c>
      <c r="BA513" s="42">
        <f t="shared" si="1165"/>
        <v>0</v>
      </c>
      <c r="BB513" s="42">
        <f t="shared" si="1166"/>
        <v>0</v>
      </c>
      <c r="BC513" s="42">
        <f t="shared" si="1167"/>
        <v>0</v>
      </c>
      <c r="BD513" s="42">
        <f t="shared" si="1183"/>
        <v>0.33333333333333331</v>
      </c>
      <c r="BE513" s="43">
        <f t="shared" si="1184"/>
        <v>0.33333333333333331</v>
      </c>
      <c r="BF513" s="44"/>
      <c r="BG513" s="45">
        <f t="shared" si="1185"/>
        <v>0</v>
      </c>
      <c r="BH513" s="45">
        <f t="shared" si="1186"/>
        <v>0</v>
      </c>
      <c r="BI513" s="45">
        <f t="shared" si="1187"/>
        <v>0</v>
      </c>
      <c r="BJ513" s="46">
        <f t="shared" si="1210"/>
        <v>0</v>
      </c>
      <c r="BK513" s="46">
        <f t="shared" si="1211"/>
        <v>0</v>
      </c>
      <c r="BL513" s="46">
        <f t="shared" si="1212"/>
        <v>0.33333333333333331</v>
      </c>
    </row>
    <row r="514" spans="1:64" ht="30" customHeight="1" x14ac:dyDescent="0.25">
      <c r="A514" s="84" t="str">
        <f t="shared" si="1158"/>
        <v>Д</v>
      </c>
      <c r="B514" s="84" t="str">
        <f t="shared" si="1168"/>
        <v>М</v>
      </c>
      <c r="C514" s="101" t="s">
        <v>1483</v>
      </c>
      <c r="D514" s="16" t="str">
        <f t="shared" si="1169"/>
        <v>'02.04.02</v>
      </c>
      <c r="E514" s="17" t="str">
        <f t="shared" si="1170"/>
        <v>Управление инфокоммуникациями и интеллектуальные системы</v>
      </c>
      <c r="F514" s="9" t="s">
        <v>413</v>
      </c>
      <c r="G514" s="9" t="s">
        <v>42</v>
      </c>
      <c r="H514" s="10"/>
      <c r="I514" s="10"/>
      <c r="J514" s="115" t="s">
        <v>3336</v>
      </c>
      <c r="K514" s="11">
        <v>2</v>
      </c>
      <c r="L514" s="11">
        <v>18</v>
      </c>
      <c r="M514" s="8" t="s">
        <v>23</v>
      </c>
      <c r="N514" s="11">
        <v>2</v>
      </c>
      <c r="O514" s="11"/>
      <c r="P514" s="11"/>
      <c r="Q514" s="8"/>
      <c r="R514" s="11"/>
      <c r="S514" s="11"/>
      <c r="T514" s="11"/>
      <c r="U514" s="11"/>
      <c r="V514" s="11"/>
      <c r="W514" s="83" t="str">
        <f t="shared" si="1159"/>
        <v>НФИмд</v>
      </c>
      <c r="X514" s="110" t="s">
        <v>3246</v>
      </c>
      <c r="Y514" s="11">
        <v>2</v>
      </c>
      <c r="Z514" s="11">
        <v>1</v>
      </c>
      <c r="AA514" s="83">
        <f t="shared" si="1171"/>
        <v>26</v>
      </c>
      <c r="AB514" s="11">
        <v>19</v>
      </c>
      <c r="AC514" s="11">
        <v>7</v>
      </c>
      <c r="AD514" s="81">
        <f t="shared" si="1160"/>
        <v>26</v>
      </c>
      <c r="AE514" s="82">
        <f t="shared" si="1172"/>
        <v>1</v>
      </c>
      <c r="AF514" s="82">
        <f t="shared" si="1173"/>
        <v>1</v>
      </c>
      <c r="AG514" s="102" t="s">
        <v>3250</v>
      </c>
      <c r="AH514" s="8" t="s">
        <v>204</v>
      </c>
      <c r="AI514" s="8" t="s">
        <v>212</v>
      </c>
      <c r="AJ514" s="37" t="s">
        <v>3346</v>
      </c>
      <c r="AK514" s="8" t="s">
        <v>949</v>
      </c>
      <c r="AL514" s="42">
        <f t="shared" si="1161"/>
        <v>36</v>
      </c>
      <c r="AM514" s="42">
        <f t="shared" si="1174"/>
        <v>0</v>
      </c>
      <c r="AN514" s="42">
        <f t="shared" si="1175"/>
        <v>0</v>
      </c>
      <c r="AO514" s="42">
        <f t="shared" si="1188"/>
        <v>0</v>
      </c>
      <c r="AP514" s="42">
        <f t="shared" si="1176"/>
        <v>0</v>
      </c>
      <c r="AQ514" s="42">
        <f t="shared" si="1177"/>
        <v>0</v>
      </c>
      <c r="AR514" s="42">
        <f t="shared" si="1162"/>
        <v>1.8</v>
      </c>
      <c r="AS514" s="42">
        <f t="shared" si="1178"/>
        <v>0</v>
      </c>
      <c r="AT514" s="42">
        <f t="shared" si="1179"/>
        <v>0</v>
      </c>
      <c r="AU514" s="42">
        <f t="shared" si="1180"/>
        <v>0</v>
      </c>
      <c r="AV514" s="42">
        <f>IF(M514="ПП",РПП*AA514*(U514/1.5),IF(M514="ВП",ВПр*AA514*(U514/1.5),IF(M514="РПА",РПА*AA514*(U514/1.5),IF(M514="КПА",КПА*AA514*(U514/1.5),0))))</f>
        <v>0</v>
      </c>
      <c r="AW514" s="42">
        <f t="shared" si="1181"/>
        <v>0</v>
      </c>
      <c r="AX514" s="42">
        <f t="shared" si="1163"/>
        <v>0</v>
      </c>
      <c r="AY514" s="42">
        <f t="shared" si="1164"/>
        <v>0</v>
      </c>
      <c r="AZ514" s="42">
        <f t="shared" si="1182"/>
        <v>0</v>
      </c>
      <c r="BA514" s="42">
        <f t="shared" si="1165"/>
        <v>0</v>
      </c>
      <c r="BB514" s="42">
        <f t="shared" si="1166"/>
        <v>0</v>
      </c>
      <c r="BC514" s="42">
        <f t="shared" si="1167"/>
        <v>0</v>
      </c>
      <c r="BD514" s="42">
        <f t="shared" si="1183"/>
        <v>0</v>
      </c>
      <c r="BE514" s="43">
        <f t="shared" si="1184"/>
        <v>37.799999999999997</v>
      </c>
      <c r="BF514" s="44"/>
      <c r="BG514" s="45">
        <f t="shared" si="1185"/>
        <v>0</v>
      </c>
      <c r="BH514" s="45">
        <f t="shared" si="1186"/>
        <v>0</v>
      </c>
      <c r="BI514" s="45">
        <f t="shared" si="1187"/>
        <v>0</v>
      </c>
      <c r="BJ514" s="46">
        <f t="shared" si="1210"/>
        <v>36</v>
      </c>
      <c r="BK514" s="46">
        <f t="shared" si="1211"/>
        <v>1</v>
      </c>
      <c r="BL514" s="46">
        <f t="shared" si="1212"/>
        <v>1.8</v>
      </c>
    </row>
    <row r="515" spans="1:64" ht="30" customHeight="1" x14ac:dyDescent="0.25">
      <c r="A515" s="84" t="str">
        <f t="shared" si="1158"/>
        <v>Д</v>
      </c>
      <c r="B515" s="84" t="str">
        <f t="shared" si="1168"/>
        <v>М</v>
      </c>
      <c r="C515" s="101" t="s">
        <v>1483</v>
      </c>
      <c r="D515" s="16" t="str">
        <f t="shared" si="1169"/>
        <v>'02.04.02</v>
      </c>
      <c r="E515" s="17" t="str">
        <f t="shared" si="1170"/>
        <v>Управление инфокоммуникациями и интеллектуальные системы</v>
      </c>
      <c r="F515" s="9" t="s">
        <v>413</v>
      </c>
      <c r="G515" s="9" t="s">
        <v>42</v>
      </c>
      <c r="H515" s="10"/>
      <c r="I515" s="10"/>
      <c r="J515" s="115" t="s">
        <v>3336</v>
      </c>
      <c r="K515" s="11">
        <v>2</v>
      </c>
      <c r="L515" s="11">
        <v>18</v>
      </c>
      <c r="M515" s="8" t="s">
        <v>24</v>
      </c>
      <c r="N515" s="11"/>
      <c r="O515" s="11"/>
      <c r="P515" s="11">
        <v>1</v>
      </c>
      <c r="Q515" s="8" t="s">
        <v>102</v>
      </c>
      <c r="R515" s="12"/>
      <c r="S515" s="12"/>
      <c r="T515" s="12"/>
      <c r="U515" s="12"/>
      <c r="V515" s="12"/>
      <c r="W515" s="83" t="str">
        <f t="shared" si="1159"/>
        <v>НФИмд</v>
      </c>
      <c r="X515" s="110" t="s">
        <v>3246</v>
      </c>
      <c r="Y515" s="11">
        <v>1</v>
      </c>
      <c r="Z515" s="11">
        <v>1</v>
      </c>
      <c r="AA515" s="83">
        <f t="shared" si="1171"/>
        <v>13</v>
      </c>
      <c r="AB515" s="11">
        <v>10</v>
      </c>
      <c r="AC515" s="12">
        <v>3</v>
      </c>
      <c r="AD515" s="81">
        <f t="shared" si="1160"/>
        <v>12</v>
      </c>
      <c r="AE515" s="82">
        <f t="shared" si="1172"/>
        <v>1</v>
      </c>
      <c r="AF515" s="82">
        <f t="shared" si="1173"/>
        <v>1.0833333333333333</v>
      </c>
      <c r="AG515" s="102" t="s">
        <v>3250</v>
      </c>
      <c r="AH515" s="8" t="s">
        <v>204</v>
      </c>
      <c r="AI515" s="8" t="s">
        <v>212</v>
      </c>
      <c r="AJ515" s="35" t="s">
        <v>3346</v>
      </c>
      <c r="AK515" s="8" t="s">
        <v>949</v>
      </c>
      <c r="AL515" s="42">
        <f t="shared" si="1161"/>
        <v>0</v>
      </c>
      <c r="AM515" s="42">
        <f t="shared" si="1174"/>
        <v>18</v>
      </c>
      <c r="AN515" s="42">
        <f t="shared" si="1175"/>
        <v>0</v>
      </c>
      <c r="AO515" s="42">
        <f t="shared" si="1188"/>
        <v>4.29</v>
      </c>
      <c r="AP515" s="42">
        <f t="shared" si="1176"/>
        <v>6.5</v>
      </c>
      <c r="AQ515" s="42">
        <f t="shared" si="1177"/>
        <v>1</v>
      </c>
      <c r="AR515" s="42">
        <f t="shared" si="1162"/>
        <v>0</v>
      </c>
      <c r="AS515" s="42">
        <f t="shared" si="1178"/>
        <v>0</v>
      </c>
      <c r="AT515" s="42">
        <f t="shared" si="1179"/>
        <v>0</v>
      </c>
      <c r="AU515" s="42">
        <f t="shared" si="1180"/>
        <v>0</v>
      </c>
      <c r="AV515" s="42">
        <f>IF(M515="ПП",РПП*AA515*(U515/1.5),IF(M515="ВП",ВПр*AA515*(U515/1.5),IF(M515="РПА",РПА*AA515*(U515/1.5),IF(M515="КПА",КПА*AA515*(U515/1.5),0))))</f>
        <v>0</v>
      </c>
      <c r="AW515" s="42">
        <f t="shared" si="1181"/>
        <v>0</v>
      </c>
      <c r="AX515" s="42">
        <f t="shared" si="1163"/>
        <v>0</v>
      </c>
      <c r="AY515" s="42">
        <f t="shared" si="1164"/>
        <v>0</v>
      </c>
      <c r="AZ515" s="42">
        <f t="shared" si="1182"/>
        <v>0</v>
      </c>
      <c r="BA515" s="42">
        <f t="shared" si="1165"/>
        <v>0</v>
      </c>
      <c r="BB515" s="42">
        <f t="shared" si="1166"/>
        <v>0</v>
      </c>
      <c r="BC515" s="42">
        <f t="shared" si="1167"/>
        <v>0</v>
      </c>
      <c r="BD515" s="42">
        <f t="shared" si="1183"/>
        <v>0</v>
      </c>
      <c r="BE515" s="43">
        <f t="shared" si="1184"/>
        <v>29.79</v>
      </c>
      <c r="BF515" s="44"/>
      <c r="BG515" s="45">
        <f t="shared" si="1185"/>
        <v>0</v>
      </c>
      <c r="BH515" s="45">
        <f t="shared" si="1186"/>
        <v>0</v>
      </c>
      <c r="BI515" s="45">
        <f t="shared" si="1187"/>
        <v>0</v>
      </c>
      <c r="BJ515" s="46">
        <f t="shared" si="1210"/>
        <v>18</v>
      </c>
      <c r="BK515" s="46">
        <f t="shared" si="1211"/>
        <v>0.5</v>
      </c>
      <c r="BL515" s="46">
        <f t="shared" si="1212"/>
        <v>11.79</v>
      </c>
    </row>
    <row r="516" spans="1:64" ht="30" customHeight="1" x14ac:dyDescent="0.25">
      <c r="A516" s="84" t="str">
        <f t="shared" si="1158"/>
        <v>Д</v>
      </c>
      <c r="B516" s="84" t="str">
        <f t="shared" si="1168"/>
        <v>М</v>
      </c>
      <c r="C516" s="101" t="s">
        <v>1483</v>
      </c>
      <c r="D516" s="16" t="str">
        <f t="shared" si="1169"/>
        <v>'02.04.02</v>
      </c>
      <c r="E516" s="17" t="str">
        <f t="shared" si="1170"/>
        <v>Управление инфокоммуникациями и интеллектуальные системы</v>
      </c>
      <c r="F516" s="9" t="s">
        <v>413</v>
      </c>
      <c r="G516" s="9" t="s">
        <v>42</v>
      </c>
      <c r="H516" s="10"/>
      <c r="I516" s="10"/>
      <c r="J516" s="115" t="s">
        <v>3336</v>
      </c>
      <c r="K516" s="11">
        <v>2</v>
      </c>
      <c r="L516" s="11">
        <v>18</v>
      </c>
      <c r="M516" s="8" t="s">
        <v>24</v>
      </c>
      <c r="N516" s="11"/>
      <c r="O516" s="11"/>
      <c r="P516" s="11">
        <v>1</v>
      </c>
      <c r="Q516" s="8" t="s">
        <v>102</v>
      </c>
      <c r="R516" s="11"/>
      <c r="S516" s="11"/>
      <c r="T516" s="23"/>
      <c r="U516" s="11"/>
      <c r="V516" s="11"/>
      <c r="W516" s="83" t="str">
        <f t="shared" si="1159"/>
        <v>НФИмд</v>
      </c>
      <c r="X516" s="110" t="s">
        <v>3246</v>
      </c>
      <c r="Y516" s="11">
        <v>1</v>
      </c>
      <c r="Z516" s="11"/>
      <c r="AA516" s="83">
        <f t="shared" si="1171"/>
        <v>13</v>
      </c>
      <c r="AB516" s="11">
        <v>9</v>
      </c>
      <c r="AC516" s="11">
        <v>4</v>
      </c>
      <c r="AD516" s="81">
        <f t="shared" si="1160"/>
        <v>12</v>
      </c>
      <c r="AE516" s="82">
        <f t="shared" si="1172"/>
        <v>1</v>
      </c>
      <c r="AF516" s="82">
        <f t="shared" si="1173"/>
        <v>1.0833333333333333</v>
      </c>
      <c r="AG516" s="102" t="s">
        <v>3250</v>
      </c>
      <c r="AH516" s="8" t="s">
        <v>204</v>
      </c>
      <c r="AI516" s="8" t="s">
        <v>212</v>
      </c>
      <c r="AJ516" s="35" t="s">
        <v>3346</v>
      </c>
      <c r="AK516" s="8" t="s">
        <v>949</v>
      </c>
      <c r="AL516" s="42">
        <f t="shared" si="1161"/>
        <v>0</v>
      </c>
      <c r="AM516" s="42">
        <f t="shared" si="1174"/>
        <v>18</v>
      </c>
      <c r="AN516" s="42">
        <f t="shared" si="1175"/>
        <v>0</v>
      </c>
      <c r="AO516" s="42">
        <f t="shared" si="1188"/>
        <v>4.29</v>
      </c>
      <c r="AP516" s="42">
        <f t="shared" si="1176"/>
        <v>6.5</v>
      </c>
      <c r="AQ516" s="42">
        <f t="shared" si="1177"/>
        <v>1</v>
      </c>
      <c r="AR516" s="42">
        <f t="shared" si="1162"/>
        <v>0</v>
      </c>
      <c r="AS516" s="42">
        <f t="shared" si="1178"/>
        <v>0</v>
      </c>
      <c r="AT516" s="42">
        <f t="shared" si="1179"/>
        <v>0</v>
      </c>
      <c r="AU516" s="42">
        <f t="shared" si="1180"/>
        <v>0</v>
      </c>
      <c r="AV516" s="42">
        <f>IF(M516="ПП",РПП*AA516*(U516/1.5),IF(M516="ВП",ВПр*AA516*(U516/1.5),IF(M516="РПА",РПА*AA516*(U516/1.5),IF(M516="КПА",КПА*AA516*(U516/1.5),0))))</f>
        <v>0</v>
      </c>
      <c r="AW516" s="42">
        <f t="shared" si="1181"/>
        <v>0</v>
      </c>
      <c r="AX516" s="42">
        <f t="shared" si="1163"/>
        <v>0</v>
      </c>
      <c r="AY516" s="42">
        <f t="shared" si="1164"/>
        <v>0</v>
      </c>
      <c r="AZ516" s="42">
        <f t="shared" si="1182"/>
        <v>0</v>
      </c>
      <c r="BA516" s="42">
        <f t="shared" si="1165"/>
        <v>0</v>
      </c>
      <c r="BB516" s="42">
        <f t="shared" si="1166"/>
        <v>0</v>
      </c>
      <c r="BC516" s="42">
        <f t="shared" si="1167"/>
        <v>0</v>
      </c>
      <c r="BD516" s="42">
        <f t="shared" si="1183"/>
        <v>0</v>
      </c>
      <c r="BE516" s="43">
        <f t="shared" si="1184"/>
        <v>29.79</v>
      </c>
      <c r="BF516" s="44"/>
      <c r="BG516" s="45">
        <f t="shared" si="1185"/>
        <v>0</v>
      </c>
      <c r="BH516" s="45">
        <f t="shared" si="1186"/>
        <v>0</v>
      </c>
      <c r="BI516" s="45">
        <f t="shared" si="1187"/>
        <v>0</v>
      </c>
      <c r="BJ516" s="46">
        <f t="shared" si="1210"/>
        <v>18</v>
      </c>
      <c r="BK516" s="46">
        <f t="shared" si="1211"/>
        <v>0.5</v>
      </c>
      <c r="BL516" s="46">
        <f t="shared" si="1212"/>
        <v>11.79</v>
      </c>
    </row>
    <row r="517" spans="1:64" ht="30" customHeight="1" x14ac:dyDescent="0.25">
      <c r="A517" s="84" t="str">
        <f t="shared" si="1158"/>
        <v>Д</v>
      </c>
      <c r="B517" s="84" t="str">
        <f t="shared" si="1168"/>
        <v>М</v>
      </c>
      <c r="C517" s="101" t="s">
        <v>1483</v>
      </c>
      <c r="D517" s="16" t="str">
        <f t="shared" si="1169"/>
        <v>'02.04.02</v>
      </c>
      <c r="E517" s="17" t="str">
        <f t="shared" si="1170"/>
        <v>Управление инфокоммуникациями и интеллектуальные системы</v>
      </c>
      <c r="F517" s="9" t="s">
        <v>413</v>
      </c>
      <c r="G517" s="9" t="s">
        <v>42</v>
      </c>
      <c r="H517" s="10" t="s">
        <v>3233</v>
      </c>
      <c r="I517" s="10"/>
      <c r="J517" s="115" t="s">
        <v>3337</v>
      </c>
      <c r="K517" s="11">
        <v>1</v>
      </c>
      <c r="L517" s="11">
        <v>18</v>
      </c>
      <c r="M517" s="8" t="s">
        <v>23</v>
      </c>
      <c r="N517" s="11">
        <v>1</v>
      </c>
      <c r="O517" s="11"/>
      <c r="P517" s="11"/>
      <c r="Q517" s="8"/>
      <c r="R517" s="12"/>
      <c r="S517" s="12"/>
      <c r="T517" s="12"/>
      <c r="U517" s="12"/>
      <c r="V517" s="12"/>
      <c r="W517" s="83" t="str">
        <f t="shared" si="1159"/>
        <v>НФИмд</v>
      </c>
      <c r="X517" s="110" t="s">
        <v>3274</v>
      </c>
      <c r="Y517" s="11">
        <v>2</v>
      </c>
      <c r="Z517" s="11">
        <v>1</v>
      </c>
      <c r="AA517" s="83">
        <f t="shared" ref="AA517:AA519" si="1213">AB517+AC517</f>
        <v>26</v>
      </c>
      <c r="AB517" s="11">
        <v>19</v>
      </c>
      <c r="AC517" s="11">
        <v>7</v>
      </c>
      <c r="AD517" s="81">
        <f t="shared" si="1160"/>
        <v>26</v>
      </c>
      <c r="AE517" s="82">
        <f t="shared" si="1172"/>
        <v>1</v>
      </c>
      <c r="AF517" s="82">
        <f t="shared" si="1173"/>
        <v>1</v>
      </c>
      <c r="AG517" s="102" t="s">
        <v>3250</v>
      </c>
      <c r="AH517" s="8" t="s">
        <v>204</v>
      </c>
      <c r="AI517" s="8" t="s">
        <v>212</v>
      </c>
      <c r="AJ517" s="35" t="s">
        <v>3261</v>
      </c>
      <c r="AK517" s="8"/>
      <c r="AL517" s="42">
        <f t="shared" si="1161"/>
        <v>18</v>
      </c>
      <c r="AM517" s="42">
        <f t="shared" ref="AM517:AM556" si="1214">IF(OR(M517="пр",M517="ия",M517="сп"),P517*AE517*L517,0)</f>
        <v>0</v>
      </c>
      <c r="AN517" s="42">
        <f t="shared" ref="AN517:AN556" si="1215">IF(OR(M517="лаб",M517="клн"),O517*AE517*L517,0)</f>
        <v>0</v>
      </c>
      <c r="AO517" s="42">
        <f t="shared" si="1188"/>
        <v>0</v>
      </c>
      <c r="AP517" s="42">
        <f t="shared" ref="AP517:AP556" si="1216">IF(SUM(O517:P517)&lt;&gt;0,IF(Q517="Зач",ПАБРС*AA517,0),0)+IF(N517&lt;&gt;0,IF(Q517="Экз",ПАБРС*AA517,0),0)</f>
        <v>0</v>
      </c>
      <c r="AQ517" s="42">
        <f t="shared" ref="AQ517:AQ556" si="1217">(IF(AP517&lt;&gt;0,ОфВед*(IF(OR(M517="лек",M517="лаб"),Z517,AE517)),0))*(IF(F517="ФТД",0,1))</f>
        <v>0</v>
      </c>
      <c r="AR517" s="42">
        <f t="shared" si="1162"/>
        <v>0.9</v>
      </c>
      <c r="AS517" s="42">
        <f t="shared" ref="AS517:AS556" si="1218">IF(OR(M517="лаб",M517="пр"),IF(R517="К",AA517*ВПКР,IF(R517="М",AA517*ВПИБ,0)),0)</f>
        <v>0</v>
      </c>
      <c r="AT517" s="42">
        <f t="shared" ref="AT517:AT556" si="1219">IF(OR(M517="лаб",M517="пр"),IF(S517="К",AA517*ВПКП,0),0)</f>
        <v>0</v>
      </c>
      <c r="AU517" s="42">
        <f t="shared" ref="AU517:AU556" si="1220">IF(M517="УП",T517/1.5*AA517*РУП,IF(M517="УПМ",T517/1.5*AA517*РУПЛеч,0))</f>
        <v>0</v>
      </c>
      <c r="AV517" s="42">
        <f>IF(M517="ПП",РПП*AA517*(U517/1.5),IF(M517="ВП",ВПр*AA517*(U517/1.5),IF(M517="РПА",РПА*AA517*(U517/1.5),IF(M517="КПА",КПА*AA517*(U517/1.5),0))))</f>
        <v>0</v>
      </c>
      <c r="AW517" s="42">
        <f t="shared" ref="AW517:AW556" si="1221">IF(M517="НР",(AB517*НИРМ+AC517*НИРМИн)*(V517/1.5),IF(M517="НИ",(AB517*НИРА+AC517*НИРАИ)*(V517/1.5),0))</f>
        <v>0</v>
      </c>
      <c r="AX517" s="42">
        <f t="shared" si="1163"/>
        <v>0</v>
      </c>
      <c r="AY517" s="42">
        <f t="shared" si="1164"/>
        <v>0</v>
      </c>
      <c r="AZ517" s="42">
        <f t="shared" ref="AZ517:AZ556" si="1222">IF(AND(Q517="КЭ",M517="ЧК"),AA517*КдЭк,0)</f>
        <v>0</v>
      </c>
      <c r="BA517" s="42">
        <f t="shared" si="1165"/>
        <v>0</v>
      </c>
      <c r="BB517" s="42">
        <f t="shared" si="1166"/>
        <v>0</v>
      </c>
      <c r="BC517" s="42">
        <f t="shared" si="1167"/>
        <v>0</v>
      </c>
      <c r="BD517" s="42">
        <f t="shared" ref="BD517:BD556" si="1223">IF(M517="ЧГ",AA517*ЧГ,IF(M517="ПГ",AA517*ПГ,IF(M517="ТЕСТ",ТГИЭ*AE517,IF(M517="СГ",AA517*СГ,0))))</f>
        <v>0</v>
      </c>
      <c r="BE517" s="43">
        <f t="shared" ref="BE517:BE556" si="1224">SUM(AL517:BD517)</f>
        <v>18.899999999999999</v>
      </c>
      <c r="BF517" s="44"/>
      <c r="BG517" s="45">
        <f t="shared" ref="BG517:BG556" si="1225">IF(OR(K517="1;1",K517="1;2",K517=1,K517="3;1",K517="3;2",K517=3,K517="5;1",K517="5;2",K517=5,K517="7;1",K517="7;2",K517=7,K517="9;1",K517="9;2",K517=9,K517=11),SUM(AL517:AN517),0)</f>
        <v>18</v>
      </c>
      <c r="BH517" s="45">
        <f t="shared" ref="BH517:BH556" si="1226">IF(BG517&lt;&gt;0,SUM(N517:P517)/2,0)</f>
        <v>0.5</v>
      </c>
      <c r="BI517" s="45">
        <f t="shared" ref="BI517:BI556" si="1227">IF(OR(K517="1;1",K517="1;2",K517=1,K517="3;1",K517="3;2",K517=3,K517="5;1",K517="5;2",K517=5,K517="7;1",K517="7;2",K517=7,K517="9;1",K517="9;2",K517=9,K517=11),SUM(AO517:BD517),0)</f>
        <v>0.9</v>
      </c>
      <c r="BJ517" s="46">
        <f t="shared" si="1210"/>
        <v>0</v>
      </c>
      <c r="BK517" s="46">
        <f t="shared" si="1211"/>
        <v>0</v>
      </c>
      <c r="BL517" s="46">
        <f t="shared" si="1212"/>
        <v>0</v>
      </c>
    </row>
    <row r="518" spans="1:64" ht="30" customHeight="1" x14ac:dyDescent="0.25">
      <c r="A518" s="84" t="str">
        <f t="shared" ref="A518:A581" si="1228">IF(C518&gt;0, VLOOKUP(C518,Код_ООП,12,FALSE),0)</f>
        <v>Д</v>
      </c>
      <c r="B518" s="84" t="str">
        <f t="shared" si="1168"/>
        <v>М</v>
      </c>
      <c r="C518" s="101" t="s">
        <v>1483</v>
      </c>
      <c r="D518" s="16" t="str">
        <f t="shared" si="1169"/>
        <v>'02.04.02</v>
      </c>
      <c r="E518" s="17" t="str">
        <f t="shared" si="1170"/>
        <v>Управление инфокоммуникациями и интеллектуальные системы</v>
      </c>
      <c r="F518" s="9" t="s">
        <v>413</v>
      </c>
      <c r="G518" s="9" t="s">
        <v>42</v>
      </c>
      <c r="H518" s="10" t="s">
        <v>3233</v>
      </c>
      <c r="I518" s="10"/>
      <c r="J518" s="115" t="s">
        <v>3337</v>
      </c>
      <c r="K518" s="11">
        <v>1</v>
      </c>
      <c r="L518" s="11">
        <v>18</v>
      </c>
      <c r="M518" s="8" t="s">
        <v>24</v>
      </c>
      <c r="N518" s="11"/>
      <c r="O518" s="11"/>
      <c r="P518" s="11">
        <v>2</v>
      </c>
      <c r="Q518" s="8" t="s">
        <v>102</v>
      </c>
      <c r="R518" s="13"/>
      <c r="S518" s="13"/>
      <c r="T518" s="13"/>
      <c r="U518" s="13"/>
      <c r="V518" s="13"/>
      <c r="W518" s="83" t="str">
        <f t="shared" ref="W518:W581" si="1229">MID(C518,1,5)</f>
        <v>НФИмд</v>
      </c>
      <c r="X518" s="110" t="s">
        <v>3246</v>
      </c>
      <c r="Y518" s="11">
        <v>1</v>
      </c>
      <c r="Z518" s="11">
        <v>1</v>
      </c>
      <c r="AA518" s="83">
        <f t="shared" si="1213"/>
        <v>13</v>
      </c>
      <c r="AB518" s="11">
        <v>10</v>
      </c>
      <c r="AC518" s="12">
        <v>3</v>
      </c>
      <c r="AD518" s="81">
        <f t="shared" ref="AD518:AD581" si="1230">IF(M518="сп",6,IF(M518="клн",8,IF(OR(M518="лаб",M518="ия"),12,IF(OR(M518="пр",M518="ТЕСТ"),IF(OR(B518="Б",B518="С"),24,12),IF(M518="лек",AA518,1)))))</f>
        <v>12</v>
      </c>
      <c r="AE518" s="82">
        <f t="shared" si="1172"/>
        <v>1</v>
      </c>
      <c r="AF518" s="82">
        <f t="shared" si="1173"/>
        <v>1.0833333333333333</v>
      </c>
      <c r="AG518" s="102" t="s">
        <v>3250</v>
      </c>
      <c r="AH518" s="8" t="s">
        <v>204</v>
      </c>
      <c r="AI518" s="8" t="s">
        <v>212</v>
      </c>
      <c r="AJ518" s="35" t="s">
        <v>3261</v>
      </c>
      <c r="AK518" s="8"/>
      <c r="AL518" s="42">
        <f t="shared" ref="AL518:AL581" si="1231">IF(OR(M518="лек",M518="ТУИС"),(IF(NOT(B518="ЦМ"),N518*L518,0)),0)</f>
        <v>0</v>
      </c>
      <c r="AM518" s="42">
        <f t="shared" si="1214"/>
        <v>36</v>
      </c>
      <c r="AN518" s="42">
        <f t="shared" si="1215"/>
        <v>0</v>
      </c>
      <c r="AO518" s="42">
        <f t="shared" si="1188"/>
        <v>4.29</v>
      </c>
      <c r="AP518" s="42">
        <f t="shared" si="1216"/>
        <v>6.5</v>
      </c>
      <c r="AQ518" s="42">
        <f t="shared" si="1217"/>
        <v>1</v>
      </c>
      <c r="AR518" s="42">
        <f t="shared" ref="AR518:AR581" si="1232">(IF(A518="Д",ТКЛД,IF(A518="В",ТКЛВ,IF(A518="З",ТКЛЗ,0))))*(IF(F518="ФТД",0,AL518))*Z518</f>
        <v>0</v>
      </c>
      <c r="AS518" s="42">
        <f t="shared" si="1218"/>
        <v>0</v>
      </c>
      <c r="AT518" s="42">
        <f t="shared" si="1219"/>
        <v>0</v>
      </c>
      <c r="AU518" s="42">
        <f t="shared" si="1220"/>
        <v>0</v>
      </c>
      <c r="AV518" s="42">
        <f>IF(M518="ПП",РПП*AA518*(U518/1.5),IF(M518="ВП",ВПр*AA518*(U518/1.5),IF(M518="РПА",РПА*AA518*(U518/1.5),IF(M518="КПА",КПА*AA518*(U518/1.5),0))))</f>
        <v>0</v>
      </c>
      <c r="AW518" s="42">
        <f t="shared" si="1221"/>
        <v>0</v>
      </c>
      <c r="AX518" s="42">
        <f t="shared" ref="AX518:AX581" si="1233">IF(AND(M518="ЦП",B518="ЦМ"),AA518*ЦП,0)</f>
        <v>0</v>
      </c>
      <c r="AY518" s="42">
        <f t="shared" ref="AY518:AY581" si="1234">IF(B518="А",IF(M518="РР",AA518*РефАсп,IF(M518="РРФ",AA518*РефФил,0)),0)</f>
        <v>0</v>
      </c>
      <c r="AZ518" s="42">
        <f t="shared" si="1222"/>
        <v>0</v>
      </c>
      <c r="BA518" s="42">
        <f t="shared" ref="BA518:BA581" si="1235">IF(AND(M518="НКД",B518="Д"),AA518*НКД,0)+IF(AND(M518="РПЛ",B518="А"),AA518*РукПЛ,0)+IF(AND(M518="РСтж",B518="А"),AB518*РукСт+AC518*РукИСт,0)+IF(M518="ФГТ",AB518*РукРФа+AC518*РукИна,0)</f>
        <v>0</v>
      </c>
      <c r="BB518" s="42">
        <f t="shared" ref="BB518:BB581" si="1236">IF(M518="РК",IF(OR(B518="С",B518="М",B518="ЦМ"),(AB518*РСМ+AC518*РСМИ),0),0)+IF(M518="РК",IF(B518="Б",(AB518*РБ+AC518*РБИ),0),0)+IF(M518="РК",IF(B518="А",(AB518*РНКР+AC518*РНКРИн),0),0)+IF(AND(Q518="ПАкр"),AA518*0.3)</f>
        <v>0</v>
      </c>
      <c r="BC518" s="42">
        <f t="shared" ref="BC518:BC581" si="1237">IF(M518="РДП",IF(B518="А",AA518*РРА,IF(OR(B518="С",B518="М",B518="ЦМ"),AA518*РРСМ,IF(B518="Б",AA518*РРБ,0))),IF(M518="РДИ",AA518*РДП,0))</f>
        <v>0</v>
      </c>
      <c r="BD518" s="42">
        <f t="shared" si="1223"/>
        <v>0</v>
      </c>
      <c r="BE518" s="43">
        <f t="shared" si="1224"/>
        <v>47.79</v>
      </c>
      <c r="BF518" s="44"/>
      <c r="BG518" s="45">
        <f t="shared" si="1225"/>
        <v>36</v>
      </c>
      <c r="BH518" s="45">
        <f t="shared" si="1226"/>
        <v>1</v>
      </c>
      <c r="BI518" s="45">
        <f t="shared" si="1227"/>
        <v>11.79</v>
      </c>
      <c r="BJ518" s="46">
        <f t="shared" si="1210"/>
        <v>0</v>
      </c>
      <c r="BK518" s="46">
        <f t="shared" si="1211"/>
        <v>0</v>
      </c>
      <c r="BL518" s="46">
        <f t="shared" si="1212"/>
        <v>0</v>
      </c>
    </row>
    <row r="519" spans="1:64" ht="30" customHeight="1" x14ac:dyDescent="0.25">
      <c r="A519" s="84" t="str">
        <f t="shared" si="1228"/>
        <v>Д</v>
      </c>
      <c r="B519" s="84" t="str">
        <f t="shared" si="1168"/>
        <v>М</v>
      </c>
      <c r="C519" s="101" t="s">
        <v>1483</v>
      </c>
      <c r="D519" s="16" t="str">
        <f t="shared" si="1169"/>
        <v>'02.04.02</v>
      </c>
      <c r="E519" s="17" t="str">
        <f t="shared" si="1170"/>
        <v>Управление инфокоммуникациями и интеллектуальные системы</v>
      </c>
      <c r="F519" s="9" t="s">
        <v>413</v>
      </c>
      <c r="G519" s="9" t="s">
        <v>42</v>
      </c>
      <c r="H519" s="10" t="s">
        <v>3233</v>
      </c>
      <c r="I519" s="10"/>
      <c r="J519" s="115" t="s">
        <v>3337</v>
      </c>
      <c r="K519" s="12">
        <v>1</v>
      </c>
      <c r="L519" s="11">
        <v>18</v>
      </c>
      <c r="M519" s="8" t="s">
        <v>24</v>
      </c>
      <c r="N519" s="12"/>
      <c r="O519" s="12"/>
      <c r="P519" s="12">
        <v>2</v>
      </c>
      <c r="Q519" s="8" t="s">
        <v>102</v>
      </c>
      <c r="R519" s="13"/>
      <c r="S519" s="13"/>
      <c r="T519" s="13"/>
      <c r="U519" s="13"/>
      <c r="V519" s="13"/>
      <c r="W519" s="83" t="str">
        <f t="shared" si="1229"/>
        <v>НФИмд</v>
      </c>
      <c r="X519" s="110" t="s">
        <v>3246</v>
      </c>
      <c r="Y519" s="11">
        <v>1</v>
      </c>
      <c r="Z519" s="11"/>
      <c r="AA519" s="83">
        <f t="shared" si="1213"/>
        <v>13</v>
      </c>
      <c r="AB519" s="11">
        <v>9</v>
      </c>
      <c r="AC519" s="11">
        <v>4</v>
      </c>
      <c r="AD519" s="81">
        <f t="shared" si="1230"/>
        <v>12</v>
      </c>
      <c r="AE519" s="82">
        <f t="shared" si="1172"/>
        <v>1</v>
      </c>
      <c r="AF519" s="82">
        <f t="shared" si="1173"/>
        <v>1.0833333333333333</v>
      </c>
      <c r="AG519" s="102" t="s">
        <v>3250</v>
      </c>
      <c r="AH519" s="8" t="s">
        <v>204</v>
      </c>
      <c r="AI519" s="8" t="s">
        <v>212</v>
      </c>
      <c r="AJ519" s="35" t="s">
        <v>3261</v>
      </c>
      <c r="AK519" s="8"/>
      <c r="AL519" s="42">
        <f t="shared" si="1231"/>
        <v>0</v>
      </c>
      <c r="AM519" s="42">
        <f t="shared" si="1214"/>
        <v>36</v>
      </c>
      <c r="AN519" s="42">
        <f t="shared" si="1215"/>
        <v>0</v>
      </c>
      <c r="AO519" s="42">
        <f t="shared" si="1188"/>
        <v>4.29</v>
      </c>
      <c r="AP519" s="42">
        <f t="shared" si="1216"/>
        <v>6.5</v>
      </c>
      <c r="AQ519" s="42">
        <f t="shared" si="1217"/>
        <v>1</v>
      </c>
      <c r="AR519" s="42">
        <f t="shared" si="1232"/>
        <v>0</v>
      </c>
      <c r="AS519" s="42">
        <f t="shared" si="1218"/>
        <v>0</v>
      </c>
      <c r="AT519" s="42">
        <f t="shared" si="1219"/>
        <v>0</v>
      </c>
      <c r="AU519" s="42">
        <f t="shared" si="1220"/>
        <v>0</v>
      </c>
      <c r="AV519" s="42">
        <f>IF(M519="ПП",РПП*AA519*(U519/1.5),IF(M519="ВП",ВПр*AA519*(U519/1.5),IF(M519="РПА",РПА*AA519*(U519/1.5),IF(M519="КПА",КПА*AA519*(U519/1.5),0))))</f>
        <v>0</v>
      </c>
      <c r="AW519" s="42">
        <f t="shared" si="1221"/>
        <v>0</v>
      </c>
      <c r="AX519" s="42">
        <f t="shared" si="1233"/>
        <v>0</v>
      </c>
      <c r="AY519" s="42">
        <f t="shared" si="1234"/>
        <v>0</v>
      </c>
      <c r="AZ519" s="42">
        <f t="shared" si="1222"/>
        <v>0</v>
      </c>
      <c r="BA519" s="42">
        <f t="shared" si="1235"/>
        <v>0</v>
      </c>
      <c r="BB519" s="42">
        <f t="shared" si="1236"/>
        <v>0</v>
      </c>
      <c r="BC519" s="42">
        <f t="shared" si="1237"/>
        <v>0</v>
      </c>
      <c r="BD519" s="42">
        <f t="shared" si="1223"/>
        <v>0</v>
      </c>
      <c r="BE519" s="43">
        <f t="shared" si="1224"/>
        <v>47.79</v>
      </c>
      <c r="BF519" s="44"/>
      <c r="BG519" s="45">
        <f t="shared" si="1225"/>
        <v>36</v>
      </c>
      <c r="BH519" s="45">
        <f t="shared" si="1226"/>
        <v>1</v>
      </c>
      <c r="BI519" s="45">
        <f t="shared" si="1227"/>
        <v>11.79</v>
      </c>
      <c r="BJ519" s="46">
        <f t="shared" si="1210"/>
        <v>0</v>
      </c>
      <c r="BK519" s="46">
        <f t="shared" si="1211"/>
        <v>0</v>
      </c>
      <c r="BL519" s="46">
        <f t="shared" si="1212"/>
        <v>0</v>
      </c>
    </row>
    <row r="520" spans="1:64" ht="30" customHeight="1" x14ac:dyDescent="0.25">
      <c r="A520" s="84" t="str">
        <f t="shared" si="1228"/>
        <v>Д</v>
      </c>
      <c r="B520" s="84" t="str">
        <f t="shared" si="32"/>
        <v>М</v>
      </c>
      <c r="C520" s="101" t="s">
        <v>1483</v>
      </c>
      <c r="D520" s="16" t="str">
        <f t="shared" si="33"/>
        <v>'02.04.02</v>
      </c>
      <c r="E520" s="17" t="str">
        <f t="shared" si="34"/>
        <v>Управление инфокоммуникациями и интеллектуальные системы</v>
      </c>
      <c r="F520" s="9" t="s">
        <v>413</v>
      </c>
      <c r="G520" s="9" t="s">
        <v>503</v>
      </c>
      <c r="H520" s="10" t="s">
        <v>3233</v>
      </c>
      <c r="I520" s="10" t="s">
        <v>3231</v>
      </c>
      <c r="J520" s="115" t="s">
        <v>3338</v>
      </c>
      <c r="K520" s="13">
        <v>1</v>
      </c>
      <c r="L520" s="11">
        <v>18</v>
      </c>
      <c r="M520" s="8" t="s">
        <v>23</v>
      </c>
      <c r="N520" s="13">
        <v>1</v>
      </c>
      <c r="O520" s="13"/>
      <c r="P520" s="13"/>
      <c r="Q520" s="8"/>
      <c r="R520" s="11"/>
      <c r="S520" s="11"/>
      <c r="T520" s="23"/>
      <c r="U520" s="11"/>
      <c r="V520" s="11"/>
      <c r="W520" s="83" t="str">
        <f t="shared" si="1229"/>
        <v>НФИмд</v>
      </c>
      <c r="X520" s="110" t="s">
        <v>3274</v>
      </c>
      <c r="Y520" s="11">
        <v>2</v>
      </c>
      <c r="Z520" s="11">
        <v>1</v>
      </c>
      <c r="AA520" s="83">
        <f t="shared" si="35"/>
        <v>13</v>
      </c>
      <c r="AB520" s="11">
        <v>11</v>
      </c>
      <c r="AC520" s="11">
        <v>2</v>
      </c>
      <c r="AD520" s="81">
        <f t="shared" si="1230"/>
        <v>13</v>
      </c>
      <c r="AE520" s="82">
        <f t="shared" si="36"/>
        <v>1</v>
      </c>
      <c r="AF520" s="82">
        <f t="shared" si="37"/>
        <v>1</v>
      </c>
      <c r="AG520" s="102" t="s">
        <v>3250</v>
      </c>
      <c r="AH520" s="8" t="s">
        <v>204</v>
      </c>
      <c r="AI520" s="8" t="s">
        <v>213</v>
      </c>
      <c r="AJ520" s="35" t="s">
        <v>3259</v>
      </c>
      <c r="AK520" s="8"/>
      <c r="AL520" s="42">
        <f t="shared" si="1231"/>
        <v>18</v>
      </c>
      <c r="AM520" s="42">
        <f t="shared" si="1214"/>
        <v>0</v>
      </c>
      <c r="AN520" s="42">
        <f t="shared" si="1215"/>
        <v>0</v>
      </c>
      <c r="AO520" s="42">
        <f t="shared" si="1188"/>
        <v>0</v>
      </c>
      <c r="AP520" s="42">
        <f t="shared" si="1216"/>
        <v>0</v>
      </c>
      <c r="AQ520" s="42">
        <f t="shared" si="1217"/>
        <v>0</v>
      </c>
      <c r="AR520" s="42">
        <f t="shared" si="1232"/>
        <v>0.9</v>
      </c>
      <c r="AS520" s="42">
        <f t="shared" si="1218"/>
        <v>0</v>
      </c>
      <c r="AT520" s="42">
        <f t="shared" si="1219"/>
        <v>0</v>
      </c>
      <c r="AU520" s="42">
        <f t="shared" si="1220"/>
        <v>0</v>
      </c>
      <c r="AV520" s="42">
        <f>IF(M520="ПП",РПП*AA520*(U520/1.5),IF(M520="ВП",ВПр*AA520*(U520/1.5),IF(M520="РПА",РПА*AA520*(U520/1.5),IF(M520="КПА",КПА*AA520*(U520/1.5),0))))</f>
        <v>0</v>
      </c>
      <c r="AW520" s="42">
        <f t="shared" si="1221"/>
        <v>0</v>
      </c>
      <c r="AX520" s="42">
        <f t="shared" si="1233"/>
        <v>0</v>
      </c>
      <c r="AY520" s="42">
        <f t="shared" si="1234"/>
        <v>0</v>
      </c>
      <c r="AZ520" s="42">
        <f t="shared" si="1222"/>
        <v>0</v>
      </c>
      <c r="BA520" s="42">
        <f t="shared" si="1235"/>
        <v>0</v>
      </c>
      <c r="BB520" s="42">
        <f t="shared" si="1236"/>
        <v>0</v>
      </c>
      <c r="BC520" s="42">
        <f t="shared" si="1237"/>
        <v>0</v>
      </c>
      <c r="BD520" s="42">
        <f t="shared" si="1223"/>
        <v>0</v>
      </c>
      <c r="BE520" s="43">
        <f t="shared" si="1224"/>
        <v>18.899999999999999</v>
      </c>
      <c r="BF520" s="44"/>
      <c r="BG520" s="45">
        <f t="shared" si="1225"/>
        <v>18</v>
      </c>
      <c r="BH520" s="45">
        <f t="shared" si="1226"/>
        <v>0.5</v>
      </c>
      <c r="BI520" s="45">
        <f t="shared" si="1227"/>
        <v>0.9</v>
      </c>
      <c r="BJ520" s="46">
        <f t="shared" si="1210"/>
        <v>0</v>
      </c>
      <c r="BK520" s="46">
        <f t="shared" si="1211"/>
        <v>0</v>
      </c>
      <c r="BL520" s="46">
        <f t="shared" si="1212"/>
        <v>0</v>
      </c>
    </row>
    <row r="521" spans="1:64" ht="30" customHeight="1" x14ac:dyDescent="0.25">
      <c r="A521" s="84" t="str">
        <f t="shared" si="1228"/>
        <v>Д</v>
      </c>
      <c r="B521" s="84" t="str">
        <f t="shared" si="32"/>
        <v>М</v>
      </c>
      <c r="C521" s="101" t="s">
        <v>1483</v>
      </c>
      <c r="D521" s="16" t="str">
        <f t="shared" si="33"/>
        <v>'02.04.02</v>
      </c>
      <c r="E521" s="17" t="str">
        <f t="shared" si="34"/>
        <v>Управление инфокоммуникациями и интеллектуальные системы</v>
      </c>
      <c r="F521" s="9" t="s">
        <v>413</v>
      </c>
      <c r="G521" s="9" t="s">
        <v>503</v>
      </c>
      <c r="H521" s="10" t="s">
        <v>3233</v>
      </c>
      <c r="I521" s="10" t="s">
        <v>3231</v>
      </c>
      <c r="J521" s="115" t="s">
        <v>3338</v>
      </c>
      <c r="K521" s="13">
        <v>1</v>
      </c>
      <c r="L521" s="11">
        <v>18</v>
      </c>
      <c r="M521" s="8" t="s">
        <v>24</v>
      </c>
      <c r="N521" s="13"/>
      <c r="O521" s="13"/>
      <c r="P521" s="13">
        <v>1</v>
      </c>
      <c r="Q521" s="8" t="s">
        <v>102</v>
      </c>
      <c r="R521" s="11"/>
      <c r="S521" s="11"/>
      <c r="T521" s="23"/>
      <c r="U521" s="11"/>
      <c r="V521" s="11"/>
      <c r="W521" s="83" t="str">
        <f t="shared" si="1229"/>
        <v>НФИмд</v>
      </c>
      <c r="X521" s="110" t="s">
        <v>3246</v>
      </c>
      <c r="Y521" s="11">
        <v>1</v>
      </c>
      <c r="Z521" s="11">
        <v>1</v>
      </c>
      <c r="AA521" s="83">
        <f t="shared" si="35"/>
        <v>13</v>
      </c>
      <c r="AB521" s="11">
        <v>11</v>
      </c>
      <c r="AC521" s="11">
        <v>2</v>
      </c>
      <c r="AD521" s="81">
        <f t="shared" si="1230"/>
        <v>12</v>
      </c>
      <c r="AE521" s="82">
        <f t="shared" si="36"/>
        <v>1</v>
      </c>
      <c r="AF521" s="82">
        <f t="shared" si="37"/>
        <v>1.0833333333333333</v>
      </c>
      <c r="AG521" s="102" t="s">
        <v>3250</v>
      </c>
      <c r="AH521" s="8" t="s">
        <v>204</v>
      </c>
      <c r="AI521" s="8" t="s">
        <v>213</v>
      </c>
      <c r="AJ521" s="35" t="s">
        <v>3259</v>
      </c>
      <c r="AK521" s="8"/>
      <c r="AL521" s="42">
        <f t="shared" si="1231"/>
        <v>0</v>
      </c>
      <c r="AM521" s="42">
        <f t="shared" si="1214"/>
        <v>18</v>
      </c>
      <c r="AN521" s="42">
        <f t="shared" si="1215"/>
        <v>0</v>
      </c>
      <c r="AO521" s="42">
        <f t="shared" si="1188"/>
        <v>4.29</v>
      </c>
      <c r="AP521" s="42">
        <f t="shared" si="1216"/>
        <v>6.5</v>
      </c>
      <c r="AQ521" s="42">
        <f t="shared" si="1217"/>
        <v>1</v>
      </c>
      <c r="AR521" s="42">
        <f t="shared" si="1232"/>
        <v>0</v>
      </c>
      <c r="AS521" s="42">
        <f t="shared" si="1218"/>
        <v>0</v>
      </c>
      <c r="AT521" s="42">
        <f t="shared" si="1219"/>
        <v>0</v>
      </c>
      <c r="AU521" s="42">
        <f t="shared" si="1220"/>
        <v>0</v>
      </c>
      <c r="AV521" s="42">
        <f>IF(M521="ПП",РПП*AA521*(U521/1.5),IF(M521="ВП",ВПр*AA521*(U521/1.5),IF(M521="РПА",РПА*AA521*(U521/1.5),IF(M521="КПА",КПА*AA521*(U521/1.5),0))))</f>
        <v>0</v>
      </c>
      <c r="AW521" s="42">
        <f t="shared" si="1221"/>
        <v>0</v>
      </c>
      <c r="AX521" s="42">
        <f t="shared" si="1233"/>
        <v>0</v>
      </c>
      <c r="AY521" s="42">
        <f t="shared" si="1234"/>
        <v>0</v>
      </c>
      <c r="AZ521" s="42">
        <f t="shared" si="1222"/>
        <v>0</v>
      </c>
      <c r="BA521" s="42">
        <f t="shared" si="1235"/>
        <v>0</v>
      </c>
      <c r="BB521" s="42">
        <f t="shared" si="1236"/>
        <v>0</v>
      </c>
      <c r="BC521" s="42">
        <f t="shared" si="1237"/>
        <v>0</v>
      </c>
      <c r="BD521" s="42">
        <f t="shared" si="1223"/>
        <v>0</v>
      </c>
      <c r="BE521" s="43">
        <f t="shared" si="1224"/>
        <v>29.79</v>
      </c>
      <c r="BF521" s="44"/>
      <c r="BG521" s="45">
        <f t="shared" si="1225"/>
        <v>18</v>
      </c>
      <c r="BH521" s="45">
        <f t="shared" si="1226"/>
        <v>0.5</v>
      </c>
      <c r="BI521" s="45">
        <f t="shared" si="1227"/>
        <v>11.79</v>
      </c>
      <c r="BJ521" s="46">
        <f t="shared" si="1210"/>
        <v>0</v>
      </c>
      <c r="BK521" s="46">
        <f t="shared" si="1211"/>
        <v>0</v>
      </c>
      <c r="BL521" s="46">
        <f t="shared" si="1212"/>
        <v>0</v>
      </c>
    </row>
    <row r="522" spans="1:64" ht="30" customHeight="1" x14ac:dyDescent="0.25">
      <c r="A522" s="84" t="str">
        <f t="shared" si="1228"/>
        <v>Д</v>
      </c>
      <c r="B522" s="84" t="str">
        <f t="shared" si="32"/>
        <v>М</v>
      </c>
      <c r="C522" s="101" t="s">
        <v>1483</v>
      </c>
      <c r="D522" s="16" t="str">
        <f t="shared" si="33"/>
        <v>'02.04.02</v>
      </c>
      <c r="E522" s="17" t="str">
        <f t="shared" si="34"/>
        <v>Управление инфокоммуникациями и интеллектуальные системы</v>
      </c>
      <c r="F522" s="9" t="s">
        <v>413</v>
      </c>
      <c r="G522" s="9" t="s">
        <v>503</v>
      </c>
      <c r="H522" s="10" t="s">
        <v>3233</v>
      </c>
      <c r="I522" s="10" t="s">
        <v>3231</v>
      </c>
      <c r="J522" s="115" t="s">
        <v>3338</v>
      </c>
      <c r="K522" s="11">
        <v>1</v>
      </c>
      <c r="L522" s="11">
        <v>18</v>
      </c>
      <c r="M522" s="8" t="s">
        <v>24</v>
      </c>
      <c r="N522" s="11"/>
      <c r="O522" s="11"/>
      <c r="P522" s="11">
        <v>1</v>
      </c>
      <c r="Q522" s="8" t="s">
        <v>102</v>
      </c>
      <c r="R522" s="11"/>
      <c r="S522" s="11"/>
      <c r="T522" s="23"/>
      <c r="U522" s="11"/>
      <c r="V522" s="11"/>
      <c r="W522" s="83" t="str">
        <f t="shared" si="1229"/>
        <v>НФИмд</v>
      </c>
      <c r="X522" s="110" t="s">
        <v>3246</v>
      </c>
      <c r="Y522" s="11">
        <v>1</v>
      </c>
      <c r="Z522" s="11"/>
      <c r="AA522" s="83">
        <f t="shared" si="35"/>
        <v>13</v>
      </c>
      <c r="AB522" s="11">
        <v>11</v>
      </c>
      <c r="AC522" s="11">
        <v>2</v>
      </c>
      <c r="AD522" s="81">
        <f t="shared" si="1230"/>
        <v>12</v>
      </c>
      <c r="AE522" s="82">
        <f t="shared" si="36"/>
        <v>1</v>
      </c>
      <c r="AF522" s="82">
        <f t="shared" si="37"/>
        <v>1.0833333333333333</v>
      </c>
      <c r="AG522" s="102" t="s">
        <v>3250</v>
      </c>
      <c r="AH522" s="8" t="s">
        <v>204</v>
      </c>
      <c r="AI522" s="8" t="s">
        <v>213</v>
      </c>
      <c r="AJ522" s="35" t="s">
        <v>3259</v>
      </c>
      <c r="AK522" s="8"/>
      <c r="AL522" s="42">
        <f t="shared" si="1231"/>
        <v>0</v>
      </c>
      <c r="AM522" s="42">
        <f t="shared" si="1214"/>
        <v>18</v>
      </c>
      <c r="AN522" s="42">
        <f t="shared" si="1215"/>
        <v>0</v>
      </c>
      <c r="AO522" s="42">
        <f t="shared" si="1188"/>
        <v>4.29</v>
      </c>
      <c r="AP522" s="42">
        <f t="shared" si="1216"/>
        <v>6.5</v>
      </c>
      <c r="AQ522" s="42">
        <f t="shared" si="1217"/>
        <v>1</v>
      </c>
      <c r="AR522" s="42">
        <f t="shared" si="1232"/>
        <v>0</v>
      </c>
      <c r="AS522" s="42">
        <f t="shared" si="1218"/>
        <v>0</v>
      </c>
      <c r="AT522" s="42">
        <f t="shared" si="1219"/>
        <v>0</v>
      </c>
      <c r="AU522" s="42">
        <f t="shared" si="1220"/>
        <v>0</v>
      </c>
      <c r="AV522" s="42">
        <f>IF(M522="ПП",РПП*AA522*(U522/1.5),IF(M522="ВП",ВПр*AA522*(U522/1.5),IF(M522="РПА",РПА*AA522*(U522/1.5),IF(M522="КПА",КПА*AA522*(U522/1.5),0))))</f>
        <v>0</v>
      </c>
      <c r="AW522" s="42">
        <f t="shared" si="1221"/>
        <v>0</v>
      </c>
      <c r="AX522" s="42">
        <f t="shared" si="1233"/>
        <v>0</v>
      </c>
      <c r="AY522" s="42">
        <f t="shared" si="1234"/>
        <v>0</v>
      </c>
      <c r="AZ522" s="42">
        <f t="shared" si="1222"/>
        <v>0</v>
      </c>
      <c r="BA522" s="42">
        <f t="shared" si="1235"/>
        <v>0</v>
      </c>
      <c r="BB522" s="42">
        <f t="shared" si="1236"/>
        <v>0</v>
      </c>
      <c r="BC522" s="42">
        <f t="shared" si="1237"/>
        <v>0</v>
      </c>
      <c r="BD522" s="42">
        <f t="shared" si="1223"/>
        <v>0</v>
      </c>
      <c r="BE522" s="43">
        <f t="shared" si="1224"/>
        <v>29.79</v>
      </c>
      <c r="BF522" s="44"/>
      <c r="BG522" s="45">
        <f t="shared" si="1225"/>
        <v>18</v>
      </c>
      <c r="BH522" s="45">
        <f t="shared" si="1226"/>
        <v>0.5</v>
      </c>
      <c r="BI522" s="45">
        <f t="shared" si="1227"/>
        <v>11.79</v>
      </c>
      <c r="BJ522" s="46">
        <f t="shared" si="1210"/>
        <v>0</v>
      </c>
      <c r="BK522" s="46">
        <f t="shared" si="1211"/>
        <v>0</v>
      </c>
      <c r="BL522" s="46">
        <f t="shared" si="1212"/>
        <v>0</v>
      </c>
    </row>
    <row r="523" spans="1:64" ht="30" customHeight="1" x14ac:dyDescent="0.25">
      <c r="A523" s="84" t="str">
        <f t="shared" si="1228"/>
        <v>Д</v>
      </c>
      <c r="B523" s="84" t="str">
        <f t="shared" si="32"/>
        <v>М</v>
      </c>
      <c r="C523" s="101" t="s">
        <v>1483</v>
      </c>
      <c r="D523" s="16" t="str">
        <f t="shared" si="33"/>
        <v>'02.04.02</v>
      </c>
      <c r="E523" s="17" t="str">
        <f t="shared" si="34"/>
        <v>Управление инфокоммуникациями и интеллектуальные системы</v>
      </c>
      <c r="F523" s="9" t="s">
        <v>413</v>
      </c>
      <c r="G523" s="9" t="s">
        <v>503</v>
      </c>
      <c r="H523" s="10" t="s">
        <v>3233</v>
      </c>
      <c r="I523" s="10" t="s">
        <v>3231</v>
      </c>
      <c r="J523" s="115" t="s">
        <v>3339</v>
      </c>
      <c r="K523" s="11">
        <v>1</v>
      </c>
      <c r="L523" s="11">
        <v>18</v>
      </c>
      <c r="M523" s="8" t="s">
        <v>23</v>
      </c>
      <c r="N523" s="11">
        <v>1</v>
      </c>
      <c r="O523" s="11"/>
      <c r="P523" s="11"/>
      <c r="Q523" s="8" t="s">
        <v>103</v>
      </c>
      <c r="R523" s="11"/>
      <c r="S523" s="11"/>
      <c r="T523" s="23"/>
      <c r="U523" s="11"/>
      <c r="V523" s="11"/>
      <c r="W523" s="83" t="str">
        <f t="shared" si="1229"/>
        <v>НФИмд</v>
      </c>
      <c r="X523" s="110" t="s">
        <v>3274</v>
      </c>
      <c r="Y523" s="11">
        <v>2</v>
      </c>
      <c r="Z523" s="11">
        <v>1</v>
      </c>
      <c r="AA523" s="83">
        <f t="shared" si="35"/>
        <v>13</v>
      </c>
      <c r="AB523" s="11">
        <v>11</v>
      </c>
      <c r="AC523" s="11">
        <v>2</v>
      </c>
      <c r="AD523" s="81">
        <f t="shared" si="1230"/>
        <v>13</v>
      </c>
      <c r="AE523" s="82">
        <f t="shared" si="36"/>
        <v>1</v>
      </c>
      <c r="AF523" s="82">
        <f t="shared" si="37"/>
        <v>1</v>
      </c>
      <c r="AG523" s="102" t="s">
        <v>3250</v>
      </c>
      <c r="AH523" s="8" t="s">
        <v>205</v>
      </c>
      <c r="AI523" s="8" t="s">
        <v>213</v>
      </c>
      <c r="AJ523" s="35" t="s">
        <v>3258</v>
      </c>
      <c r="AK523" s="8"/>
      <c r="AL523" s="42">
        <f t="shared" si="1231"/>
        <v>18</v>
      </c>
      <c r="AM523" s="42">
        <f t="shared" si="1214"/>
        <v>0</v>
      </c>
      <c r="AN523" s="42">
        <f t="shared" si="1215"/>
        <v>0</v>
      </c>
      <c r="AO523" s="42">
        <f t="shared" si="1188"/>
        <v>4.29</v>
      </c>
      <c r="AP523" s="42">
        <f t="shared" si="1216"/>
        <v>6.5</v>
      </c>
      <c r="AQ523" s="42">
        <f t="shared" si="1217"/>
        <v>1</v>
      </c>
      <c r="AR523" s="42">
        <f t="shared" si="1232"/>
        <v>0.9</v>
      </c>
      <c r="AS523" s="42">
        <f t="shared" si="1218"/>
        <v>0</v>
      </c>
      <c r="AT523" s="42">
        <f t="shared" si="1219"/>
        <v>0</v>
      </c>
      <c r="AU523" s="42">
        <f t="shared" si="1220"/>
        <v>0</v>
      </c>
      <c r="AV523" s="42">
        <f>IF(M523="ПП",РПП*AA523*(U523/1.5),IF(M523="ВП",ВПр*AA523*(U523/1.5),IF(M523="РПА",РПА*AA523*(U523/1.5),IF(M523="КПА",КПА*AA523*(U523/1.5),0))))</f>
        <v>0</v>
      </c>
      <c r="AW523" s="42">
        <f t="shared" si="1221"/>
        <v>0</v>
      </c>
      <c r="AX523" s="42">
        <f t="shared" si="1233"/>
        <v>0</v>
      </c>
      <c r="AY523" s="42">
        <f t="shared" si="1234"/>
        <v>0</v>
      </c>
      <c r="AZ523" s="42">
        <f t="shared" si="1222"/>
        <v>0</v>
      </c>
      <c r="BA523" s="42">
        <f t="shared" si="1235"/>
        <v>0</v>
      </c>
      <c r="BB523" s="42">
        <f t="shared" si="1236"/>
        <v>0</v>
      </c>
      <c r="BC523" s="42">
        <f t="shared" si="1237"/>
        <v>0</v>
      </c>
      <c r="BD523" s="42">
        <f t="shared" si="1223"/>
        <v>0</v>
      </c>
      <c r="BE523" s="43">
        <f t="shared" si="1224"/>
        <v>30.689999999999998</v>
      </c>
      <c r="BF523" s="44"/>
      <c r="BG523" s="45">
        <f t="shared" si="1225"/>
        <v>18</v>
      </c>
      <c r="BH523" s="45">
        <f t="shared" si="1226"/>
        <v>0.5</v>
      </c>
      <c r="BI523" s="45">
        <f t="shared" si="1227"/>
        <v>12.69</v>
      </c>
      <c r="BJ523" s="46">
        <f t="shared" si="1210"/>
        <v>0</v>
      </c>
      <c r="BK523" s="46">
        <f t="shared" si="1211"/>
        <v>0</v>
      </c>
      <c r="BL523" s="46">
        <f t="shared" si="1212"/>
        <v>0</v>
      </c>
    </row>
    <row r="524" spans="1:64" ht="30" customHeight="1" x14ac:dyDescent="0.25">
      <c r="A524" s="84" t="str">
        <f t="shared" si="1228"/>
        <v>Д</v>
      </c>
      <c r="B524" s="84" t="str">
        <f t="shared" si="32"/>
        <v>М</v>
      </c>
      <c r="C524" s="101" t="s">
        <v>1483</v>
      </c>
      <c r="D524" s="16" t="str">
        <f t="shared" si="33"/>
        <v>'02.04.02</v>
      </c>
      <c r="E524" s="17" t="str">
        <f t="shared" si="34"/>
        <v>Управление инфокоммуникациями и интеллектуальные системы</v>
      </c>
      <c r="F524" s="9" t="s">
        <v>413</v>
      </c>
      <c r="G524" s="9" t="s">
        <v>503</v>
      </c>
      <c r="H524" s="10" t="s">
        <v>3233</v>
      </c>
      <c r="I524" s="10" t="s">
        <v>3231</v>
      </c>
      <c r="J524" s="115" t="s">
        <v>3339</v>
      </c>
      <c r="K524" s="11">
        <v>1</v>
      </c>
      <c r="L524" s="11">
        <v>18</v>
      </c>
      <c r="M524" s="8" t="s">
        <v>24</v>
      </c>
      <c r="N524" s="11"/>
      <c r="O524" s="11"/>
      <c r="P524" s="11">
        <v>1</v>
      </c>
      <c r="Q524" s="8" t="s">
        <v>102</v>
      </c>
      <c r="R524" s="11"/>
      <c r="S524" s="11"/>
      <c r="T524" s="23"/>
      <c r="U524" s="11"/>
      <c r="V524" s="11"/>
      <c r="W524" s="83" t="str">
        <f t="shared" si="1229"/>
        <v>НФИмд</v>
      </c>
      <c r="X524" s="110" t="s">
        <v>3246</v>
      </c>
      <c r="Y524" s="11">
        <v>1</v>
      </c>
      <c r="Z524" s="11">
        <v>1</v>
      </c>
      <c r="AA524" s="83">
        <f t="shared" si="35"/>
        <v>13</v>
      </c>
      <c r="AB524" s="11">
        <v>11</v>
      </c>
      <c r="AC524" s="11">
        <v>2</v>
      </c>
      <c r="AD524" s="81">
        <f t="shared" si="1230"/>
        <v>12</v>
      </c>
      <c r="AE524" s="82">
        <f t="shared" si="36"/>
        <v>1</v>
      </c>
      <c r="AF524" s="82">
        <f t="shared" si="37"/>
        <v>1.0833333333333333</v>
      </c>
      <c r="AG524" s="102" t="s">
        <v>3250</v>
      </c>
      <c r="AH524" s="8" t="s">
        <v>205</v>
      </c>
      <c r="AI524" s="8" t="s">
        <v>213</v>
      </c>
      <c r="AJ524" s="35" t="s">
        <v>3258</v>
      </c>
      <c r="AK524" s="8"/>
      <c r="AL524" s="42">
        <f t="shared" si="1231"/>
        <v>0</v>
      </c>
      <c r="AM524" s="42">
        <f t="shared" si="1214"/>
        <v>18</v>
      </c>
      <c r="AN524" s="42">
        <f t="shared" si="1215"/>
        <v>0</v>
      </c>
      <c r="AO524" s="42">
        <f t="shared" si="1188"/>
        <v>4.29</v>
      </c>
      <c r="AP524" s="42">
        <f t="shared" si="1216"/>
        <v>6.5</v>
      </c>
      <c r="AQ524" s="42">
        <f t="shared" si="1217"/>
        <v>1</v>
      </c>
      <c r="AR524" s="42">
        <f t="shared" si="1232"/>
        <v>0</v>
      </c>
      <c r="AS524" s="42">
        <f t="shared" si="1218"/>
        <v>0</v>
      </c>
      <c r="AT524" s="42">
        <f t="shared" si="1219"/>
        <v>0</v>
      </c>
      <c r="AU524" s="42">
        <f t="shared" si="1220"/>
        <v>0</v>
      </c>
      <c r="AV524" s="42">
        <f>IF(M524="ПП",РПП*AA524*(U524/1.5),IF(M524="ВП",ВПр*AA524*(U524/1.5),IF(M524="РПА",РПА*AA524*(U524/1.5),IF(M524="КПА",КПА*AA524*(U524/1.5),0))))</f>
        <v>0</v>
      </c>
      <c r="AW524" s="42">
        <f t="shared" si="1221"/>
        <v>0</v>
      </c>
      <c r="AX524" s="42">
        <f t="shared" si="1233"/>
        <v>0</v>
      </c>
      <c r="AY524" s="42">
        <f t="shared" si="1234"/>
        <v>0</v>
      </c>
      <c r="AZ524" s="42">
        <f t="shared" si="1222"/>
        <v>0</v>
      </c>
      <c r="BA524" s="42">
        <f t="shared" si="1235"/>
        <v>0</v>
      </c>
      <c r="BB524" s="42">
        <f t="shared" si="1236"/>
        <v>0</v>
      </c>
      <c r="BC524" s="42">
        <f t="shared" si="1237"/>
        <v>0</v>
      </c>
      <c r="BD524" s="42">
        <f t="shared" si="1223"/>
        <v>0</v>
      </c>
      <c r="BE524" s="43">
        <f t="shared" si="1224"/>
        <v>29.79</v>
      </c>
      <c r="BF524" s="44"/>
      <c r="BG524" s="45">
        <f t="shared" si="1225"/>
        <v>18</v>
      </c>
      <c r="BH524" s="45">
        <f t="shared" si="1226"/>
        <v>0.5</v>
      </c>
      <c r="BI524" s="45">
        <f t="shared" si="1227"/>
        <v>11.79</v>
      </c>
      <c r="BJ524" s="46">
        <f t="shared" si="1210"/>
        <v>0</v>
      </c>
      <c r="BK524" s="46">
        <f t="shared" si="1211"/>
        <v>0</v>
      </c>
      <c r="BL524" s="46">
        <f t="shared" si="1212"/>
        <v>0</v>
      </c>
    </row>
    <row r="525" spans="1:64" ht="30" customHeight="1" x14ac:dyDescent="0.25">
      <c r="A525" s="84" t="str">
        <f t="shared" si="1228"/>
        <v>Д</v>
      </c>
      <c r="B525" s="84" t="str">
        <f t="shared" si="32"/>
        <v>М</v>
      </c>
      <c r="C525" s="101" t="s">
        <v>1483</v>
      </c>
      <c r="D525" s="16" t="str">
        <f t="shared" si="33"/>
        <v>'02.04.02</v>
      </c>
      <c r="E525" s="17" t="str">
        <f t="shared" si="34"/>
        <v>Управление инфокоммуникациями и интеллектуальные системы</v>
      </c>
      <c r="F525" s="9" t="s">
        <v>413</v>
      </c>
      <c r="G525" s="9" t="s">
        <v>503</v>
      </c>
      <c r="H525" s="10" t="s">
        <v>3233</v>
      </c>
      <c r="I525" s="10" t="s">
        <v>3231</v>
      </c>
      <c r="J525" s="115" t="s">
        <v>3339</v>
      </c>
      <c r="K525" s="11">
        <v>1</v>
      </c>
      <c r="L525" s="11">
        <v>18</v>
      </c>
      <c r="M525" s="8" t="s">
        <v>24</v>
      </c>
      <c r="N525" s="11"/>
      <c r="O525" s="11"/>
      <c r="P525" s="11">
        <v>1</v>
      </c>
      <c r="Q525" s="8" t="s">
        <v>102</v>
      </c>
      <c r="R525" s="11"/>
      <c r="S525" s="11"/>
      <c r="T525" s="23"/>
      <c r="U525" s="11"/>
      <c r="V525" s="11"/>
      <c r="W525" s="83" t="str">
        <f t="shared" si="1229"/>
        <v>НФИмд</v>
      </c>
      <c r="X525" s="110" t="s">
        <v>3247</v>
      </c>
      <c r="Y525" s="11">
        <v>1</v>
      </c>
      <c r="Z525" s="11"/>
      <c r="AA525" s="83">
        <f t="shared" si="35"/>
        <v>13</v>
      </c>
      <c r="AB525" s="11">
        <v>11</v>
      </c>
      <c r="AC525" s="11">
        <v>2</v>
      </c>
      <c r="AD525" s="81">
        <f t="shared" si="1230"/>
        <v>12</v>
      </c>
      <c r="AE525" s="82">
        <f t="shared" si="36"/>
        <v>1</v>
      </c>
      <c r="AF525" s="82">
        <f t="shared" si="37"/>
        <v>1.0833333333333333</v>
      </c>
      <c r="AG525" s="102" t="s">
        <v>3250</v>
      </c>
      <c r="AH525" s="8" t="s">
        <v>205</v>
      </c>
      <c r="AI525" s="8" t="s">
        <v>213</v>
      </c>
      <c r="AJ525" s="35" t="s">
        <v>3258</v>
      </c>
      <c r="AK525" s="8"/>
      <c r="AL525" s="42">
        <f t="shared" si="1231"/>
        <v>0</v>
      </c>
      <c r="AM525" s="42">
        <f t="shared" si="1214"/>
        <v>18</v>
      </c>
      <c r="AN525" s="42">
        <f t="shared" si="1215"/>
        <v>0</v>
      </c>
      <c r="AO525" s="42">
        <f t="shared" si="1188"/>
        <v>4.29</v>
      </c>
      <c r="AP525" s="42">
        <f t="shared" si="1216"/>
        <v>6.5</v>
      </c>
      <c r="AQ525" s="42">
        <f t="shared" si="1217"/>
        <v>1</v>
      </c>
      <c r="AR525" s="42">
        <f t="shared" si="1232"/>
        <v>0</v>
      </c>
      <c r="AS525" s="42">
        <f t="shared" si="1218"/>
        <v>0</v>
      </c>
      <c r="AT525" s="42">
        <f t="shared" si="1219"/>
        <v>0</v>
      </c>
      <c r="AU525" s="42">
        <f t="shared" si="1220"/>
        <v>0</v>
      </c>
      <c r="AV525" s="42">
        <f>IF(M525="ПП",РПП*AA525*(U525/1.5),IF(M525="ВП",ВПр*AA525*(U525/1.5),IF(M525="РПА",РПА*AA525*(U525/1.5),IF(M525="КПА",КПА*AA525*(U525/1.5),0))))</f>
        <v>0</v>
      </c>
      <c r="AW525" s="42">
        <f t="shared" si="1221"/>
        <v>0</v>
      </c>
      <c r="AX525" s="42">
        <f t="shared" si="1233"/>
        <v>0</v>
      </c>
      <c r="AY525" s="42">
        <f t="shared" si="1234"/>
        <v>0</v>
      </c>
      <c r="AZ525" s="42">
        <f t="shared" si="1222"/>
        <v>0</v>
      </c>
      <c r="BA525" s="42">
        <f t="shared" si="1235"/>
        <v>0</v>
      </c>
      <c r="BB525" s="42">
        <f t="shared" si="1236"/>
        <v>0</v>
      </c>
      <c r="BC525" s="42">
        <f t="shared" si="1237"/>
        <v>0</v>
      </c>
      <c r="BD525" s="42">
        <f t="shared" si="1223"/>
        <v>0</v>
      </c>
      <c r="BE525" s="43">
        <f t="shared" si="1224"/>
        <v>29.79</v>
      </c>
      <c r="BF525" s="44"/>
      <c r="BG525" s="45">
        <f t="shared" si="1225"/>
        <v>18</v>
      </c>
      <c r="BH525" s="45">
        <f t="shared" si="1226"/>
        <v>0.5</v>
      </c>
      <c r="BI525" s="45">
        <f t="shared" si="1227"/>
        <v>11.79</v>
      </c>
      <c r="BJ525" s="46">
        <f t="shared" si="1210"/>
        <v>0</v>
      </c>
      <c r="BK525" s="46">
        <f t="shared" si="1211"/>
        <v>0</v>
      </c>
      <c r="BL525" s="46">
        <f t="shared" si="1212"/>
        <v>0</v>
      </c>
    </row>
    <row r="526" spans="1:64" ht="30" customHeight="1" x14ac:dyDescent="0.25">
      <c r="A526" s="84" t="str">
        <f t="shared" si="1228"/>
        <v>Д</v>
      </c>
      <c r="B526" s="84" t="str">
        <f t="shared" si="32"/>
        <v>М</v>
      </c>
      <c r="C526" s="101" t="s">
        <v>1483</v>
      </c>
      <c r="D526" s="16" t="str">
        <f t="shared" si="33"/>
        <v>'02.04.02</v>
      </c>
      <c r="E526" s="17" t="str">
        <f t="shared" si="34"/>
        <v>Управление инфокоммуникациями и интеллектуальные системы</v>
      </c>
      <c r="F526" s="9" t="s">
        <v>413</v>
      </c>
      <c r="G526" s="9" t="s">
        <v>42</v>
      </c>
      <c r="H526" s="10" t="s">
        <v>3233</v>
      </c>
      <c r="I526" s="10"/>
      <c r="J526" s="115" t="s">
        <v>3340</v>
      </c>
      <c r="K526" s="11">
        <v>3</v>
      </c>
      <c r="L526" s="11">
        <v>18</v>
      </c>
      <c r="M526" s="8" t="s">
        <v>23</v>
      </c>
      <c r="N526" s="11">
        <v>1</v>
      </c>
      <c r="O526" s="11"/>
      <c r="P526" s="11"/>
      <c r="Q526" s="8" t="s">
        <v>103</v>
      </c>
      <c r="R526" s="11"/>
      <c r="S526" s="11"/>
      <c r="T526" s="23"/>
      <c r="U526" s="11"/>
      <c r="V526" s="11"/>
      <c r="W526" s="83" t="str">
        <f t="shared" si="1229"/>
        <v>НФИмд</v>
      </c>
      <c r="X526" s="110" t="s">
        <v>3239</v>
      </c>
      <c r="Y526" s="11">
        <v>3</v>
      </c>
      <c r="Z526" s="11">
        <v>2</v>
      </c>
      <c r="AA526" s="83">
        <f t="shared" si="35"/>
        <v>41</v>
      </c>
      <c r="AB526" s="11">
        <v>27</v>
      </c>
      <c r="AC526" s="11">
        <v>14</v>
      </c>
      <c r="AD526" s="81">
        <f t="shared" si="1230"/>
        <v>41</v>
      </c>
      <c r="AE526" s="82">
        <f t="shared" si="36"/>
        <v>1</v>
      </c>
      <c r="AF526" s="82">
        <f t="shared" si="37"/>
        <v>1</v>
      </c>
      <c r="AG526" s="102" t="s">
        <v>3250</v>
      </c>
      <c r="AH526" s="8" t="s">
        <v>205</v>
      </c>
      <c r="AI526" s="8" t="s">
        <v>213</v>
      </c>
      <c r="AJ526" s="35" t="s">
        <v>3296</v>
      </c>
      <c r="AK526" s="8"/>
      <c r="AL526" s="42">
        <f t="shared" si="1231"/>
        <v>18</v>
      </c>
      <c r="AM526" s="42">
        <f t="shared" si="1214"/>
        <v>0</v>
      </c>
      <c r="AN526" s="42">
        <f t="shared" si="1215"/>
        <v>0</v>
      </c>
      <c r="AO526" s="42">
        <f t="shared" si="1188"/>
        <v>13.530000000000001</v>
      </c>
      <c r="AP526" s="42">
        <f t="shared" si="1216"/>
        <v>20.5</v>
      </c>
      <c r="AQ526" s="42">
        <f t="shared" si="1217"/>
        <v>2</v>
      </c>
      <c r="AR526" s="42">
        <f t="shared" si="1232"/>
        <v>1.8</v>
      </c>
      <c r="AS526" s="42">
        <f t="shared" si="1218"/>
        <v>0</v>
      </c>
      <c r="AT526" s="42">
        <f t="shared" si="1219"/>
        <v>0</v>
      </c>
      <c r="AU526" s="42">
        <f t="shared" si="1220"/>
        <v>0</v>
      </c>
      <c r="AV526" s="42">
        <f>IF(M526="ПП",РПП*AA526*(U526/1.5),IF(M526="ВП",ВПр*AA526*(U526/1.5),IF(M526="РПА",РПА*AA526*(U526/1.5),IF(M526="КПА",КПА*AA526*(U526/1.5),0))))</f>
        <v>0</v>
      </c>
      <c r="AW526" s="42">
        <f t="shared" si="1221"/>
        <v>0</v>
      </c>
      <c r="AX526" s="42">
        <f t="shared" si="1233"/>
        <v>0</v>
      </c>
      <c r="AY526" s="42">
        <f t="shared" si="1234"/>
        <v>0</v>
      </c>
      <c r="AZ526" s="42">
        <f t="shared" si="1222"/>
        <v>0</v>
      </c>
      <c r="BA526" s="42">
        <f t="shared" si="1235"/>
        <v>0</v>
      </c>
      <c r="BB526" s="42">
        <f t="shared" si="1236"/>
        <v>0</v>
      </c>
      <c r="BC526" s="42">
        <f t="shared" si="1237"/>
        <v>0</v>
      </c>
      <c r="BD526" s="42">
        <f t="shared" si="1223"/>
        <v>0</v>
      </c>
      <c r="BE526" s="43">
        <f t="shared" si="1224"/>
        <v>55.83</v>
      </c>
      <c r="BF526" s="44"/>
      <c r="BG526" s="45">
        <f t="shared" si="1225"/>
        <v>18</v>
      </c>
      <c r="BH526" s="45">
        <f t="shared" si="1226"/>
        <v>0.5</v>
      </c>
      <c r="BI526" s="45">
        <f t="shared" si="1227"/>
        <v>37.83</v>
      </c>
      <c r="BJ526" s="46">
        <f t="shared" si="1210"/>
        <v>0</v>
      </c>
      <c r="BK526" s="46">
        <f t="shared" si="1211"/>
        <v>0</v>
      </c>
      <c r="BL526" s="46">
        <f t="shared" si="1212"/>
        <v>0</v>
      </c>
    </row>
    <row r="527" spans="1:64" ht="30" customHeight="1" x14ac:dyDescent="0.25">
      <c r="A527" s="84" t="str">
        <f t="shared" si="1228"/>
        <v>Д</v>
      </c>
      <c r="B527" s="84" t="str">
        <f t="shared" si="32"/>
        <v>М</v>
      </c>
      <c r="C527" s="101" t="s">
        <v>1483</v>
      </c>
      <c r="D527" s="16" t="str">
        <f t="shared" si="33"/>
        <v>'02.04.02</v>
      </c>
      <c r="E527" s="17" t="str">
        <f t="shared" si="34"/>
        <v>Управление инфокоммуникациями и интеллектуальные системы</v>
      </c>
      <c r="F527" s="9" t="s">
        <v>413</v>
      </c>
      <c r="G527" s="9" t="s">
        <v>42</v>
      </c>
      <c r="H527" s="10" t="s">
        <v>3233</v>
      </c>
      <c r="I527" s="10"/>
      <c r="J527" s="115" t="s">
        <v>3340</v>
      </c>
      <c r="K527" s="11">
        <v>3</v>
      </c>
      <c r="L527" s="11">
        <v>18</v>
      </c>
      <c r="M527" s="8" t="s">
        <v>24</v>
      </c>
      <c r="N527" s="11"/>
      <c r="O527" s="11"/>
      <c r="P527" s="11">
        <v>2</v>
      </c>
      <c r="Q527" s="8"/>
      <c r="R527" s="11"/>
      <c r="S527" s="11"/>
      <c r="T527" s="23"/>
      <c r="U527" s="11"/>
      <c r="V527" s="11"/>
      <c r="W527" s="83" t="str">
        <f t="shared" si="1229"/>
        <v>НФИмд</v>
      </c>
      <c r="X527" s="110" t="s">
        <v>3234</v>
      </c>
      <c r="Y527" s="11">
        <v>2</v>
      </c>
      <c r="Z527" s="11">
        <v>1</v>
      </c>
      <c r="AA527" s="83">
        <f t="shared" si="35"/>
        <v>21</v>
      </c>
      <c r="AB527" s="11">
        <v>14</v>
      </c>
      <c r="AC527" s="11">
        <v>7</v>
      </c>
      <c r="AD527" s="81">
        <f t="shared" si="1230"/>
        <v>12</v>
      </c>
      <c r="AE527" s="82">
        <f t="shared" si="36"/>
        <v>1</v>
      </c>
      <c r="AF527" s="82">
        <f t="shared" si="37"/>
        <v>1.75</v>
      </c>
      <c r="AG527" s="102" t="s">
        <v>3250</v>
      </c>
      <c r="AH527" s="8" t="s">
        <v>205</v>
      </c>
      <c r="AI527" s="8" t="s">
        <v>213</v>
      </c>
      <c r="AJ527" s="35" t="s">
        <v>3296</v>
      </c>
      <c r="AK527" s="8"/>
      <c r="AL527" s="42">
        <f t="shared" si="1231"/>
        <v>0</v>
      </c>
      <c r="AM527" s="42">
        <f t="shared" si="1214"/>
        <v>36</v>
      </c>
      <c r="AN527" s="42">
        <f t="shared" si="1215"/>
        <v>0</v>
      </c>
      <c r="AO527" s="42">
        <f t="shared" si="1188"/>
        <v>0</v>
      </c>
      <c r="AP527" s="42">
        <f t="shared" si="1216"/>
        <v>0</v>
      </c>
      <c r="AQ527" s="42">
        <f t="shared" si="1217"/>
        <v>0</v>
      </c>
      <c r="AR527" s="42">
        <f t="shared" si="1232"/>
        <v>0</v>
      </c>
      <c r="AS527" s="42">
        <f t="shared" si="1218"/>
        <v>0</v>
      </c>
      <c r="AT527" s="42">
        <f t="shared" si="1219"/>
        <v>0</v>
      </c>
      <c r="AU527" s="42">
        <f t="shared" si="1220"/>
        <v>0</v>
      </c>
      <c r="AV527" s="42">
        <f>IF(M527="ПП",РПП*AA527*(U527/1.5),IF(M527="ВП",ВПр*AA527*(U527/1.5),IF(M527="РПА",РПА*AA527*(U527/1.5),IF(M527="КПА",КПА*AA527*(U527/1.5),0))))</f>
        <v>0</v>
      </c>
      <c r="AW527" s="42">
        <f t="shared" si="1221"/>
        <v>0</v>
      </c>
      <c r="AX527" s="42">
        <f t="shared" si="1233"/>
        <v>0</v>
      </c>
      <c r="AY527" s="42">
        <f t="shared" si="1234"/>
        <v>0</v>
      </c>
      <c r="AZ527" s="42">
        <f t="shared" si="1222"/>
        <v>0</v>
      </c>
      <c r="BA527" s="42">
        <f t="shared" si="1235"/>
        <v>0</v>
      </c>
      <c r="BB527" s="42">
        <f t="shared" si="1236"/>
        <v>0</v>
      </c>
      <c r="BC527" s="42">
        <f t="shared" si="1237"/>
        <v>0</v>
      </c>
      <c r="BD527" s="42">
        <f t="shared" si="1223"/>
        <v>0</v>
      </c>
      <c r="BE527" s="43">
        <f t="shared" si="1224"/>
        <v>36</v>
      </c>
      <c r="BF527" s="44"/>
      <c r="BG527" s="45">
        <f t="shared" si="1225"/>
        <v>36</v>
      </c>
      <c r="BH527" s="45">
        <f t="shared" si="1226"/>
        <v>1</v>
      </c>
      <c r="BI527" s="45">
        <f t="shared" si="1227"/>
        <v>0</v>
      </c>
      <c r="BJ527" s="46">
        <f t="shared" si="1210"/>
        <v>0</v>
      </c>
      <c r="BK527" s="46">
        <f t="shared" si="1211"/>
        <v>0</v>
      </c>
      <c r="BL527" s="46">
        <f t="shared" si="1212"/>
        <v>0</v>
      </c>
    </row>
    <row r="528" spans="1:64" ht="30" customHeight="1" x14ac:dyDescent="0.25">
      <c r="A528" s="84" t="str">
        <f t="shared" si="1228"/>
        <v>Д</v>
      </c>
      <c r="B528" s="84" t="str">
        <f t="shared" si="32"/>
        <v>М</v>
      </c>
      <c r="C528" s="101" t="s">
        <v>1483</v>
      </c>
      <c r="D528" s="16" t="str">
        <f t="shared" si="33"/>
        <v>'02.04.02</v>
      </c>
      <c r="E528" s="17" t="str">
        <f t="shared" si="34"/>
        <v>Управление инфокоммуникациями и интеллектуальные системы</v>
      </c>
      <c r="F528" s="9" t="s">
        <v>413</v>
      </c>
      <c r="G528" s="9" t="s">
        <v>42</v>
      </c>
      <c r="H528" s="10" t="s">
        <v>3233</v>
      </c>
      <c r="I528" s="10"/>
      <c r="J528" s="115" t="s">
        <v>3340</v>
      </c>
      <c r="K528" s="11">
        <v>3</v>
      </c>
      <c r="L528" s="11">
        <v>18</v>
      </c>
      <c r="M528" s="8" t="s">
        <v>24</v>
      </c>
      <c r="N528" s="11"/>
      <c r="O528" s="11"/>
      <c r="P528" s="11">
        <v>2</v>
      </c>
      <c r="Q528" s="8"/>
      <c r="R528" s="11"/>
      <c r="S528" s="11"/>
      <c r="T528" s="11"/>
      <c r="U528" s="11"/>
      <c r="V528" s="11"/>
      <c r="W528" s="83" t="str">
        <f t="shared" si="1229"/>
        <v>НФИмд</v>
      </c>
      <c r="X528" s="110" t="s">
        <v>3235</v>
      </c>
      <c r="Y528" s="11">
        <v>1</v>
      </c>
      <c r="Z528" s="11">
        <v>1</v>
      </c>
      <c r="AA528" s="83">
        <f t="shared" si="35"/>
        <v>20</v>
      </c>
      <c r="AB528" s="11">
        <v>13</v>
      </c>
      <c r="AC528" s="11">
        <v>7</v>
      </c>
      <c r="AD528" s="81">
        <f t="shared" si="1230"/>
        <v>12</v>
      </c>
      <c r="AE528" s="82">
        <f t="shared" si="36"/>
        <v>1</v>
      </c>
      <c r="AF528" s="82">
        <f t="shared" si="37"/>
        <v>1.6666666666666667</v>
      </c>
      <c r="AG528" s="102" t="s">
        <v>3250</v>
      </c>
      <c r="AH528" s="8" t="s">
        <v>205</v>
      </c>
      <c r="AI528" s="8" t="s">
        <v>213</v>
      </c>
      <c r="AJ528" s="35" t="s">
        <v>3296</v>
      </c>
      <c r="AK528" s="8"/>
      <c r="AL528" s="42">
        <f t="shared" si="1231"/>
        <v>0</v>
      </c>
      <c r="AM528" s="42">
        <f t="shared" si="1214"/>
        <v>36</v>
      </c>
      <c r="AN528" s="42">
        <f t="shared" si="1215"/>
        <v>0</v>
      </c>
      <c r="AO528" s="42">
        <f t="shared" si="1188"/>
        <v>0</v>
      </c>
      <c r="AP528" s="42">
        <f t="shared" si="1216"/>
        <v>0</v>
      </c>
      <c r="AQ528" s="42">
        <f t="shared" si="1217"/>
        <v>0</v>
      </c>
      <c r="AR528" s="42">
        <f t="shared" si="1232"/>
        <v>0</v>
      </c>
      <c r="AS528" s="42">
        <f t="shared" si="1218"/>
        <v>0</v>
      </c>
      <c r="AT528" s="42">
        <f t="shared" si="1219"/>
        <v>0</v>
      </c>
      <c r="AU528" s="42">
        <f t="shared" si="1220"/>
        <v>0</v>
      </c>
      <c r="AV528" s="42">
        <f>IF(M528="ПП",РПП*AA528*(U528/1.5),IF(M528="ВП",ВПр*AA528*(U528/1.5),IF(M528="РПА",РПА*AA528*(U528/1.5),IF(M528="КПА",КПА*AA528*(U528/1.5),0))))</f>
        <v>0</v>
      </c>
      <c r="AW528" s="42">
        <f t="shared" si="1221"/>
        <v>0</v>
      </c>
      <c r="AX528" s="42">
        <f t="shared" si="1233"/>
        <v>0</v>
      </c>
      <c r="AY528" s="42">
        <f t="shared" si="1234"/>
        <v>0</v>
      </c>
      <c r="AZ528" s="42">
        <f t="shared" si="1222"/>
        <v>0</v>
      </c>
      <c r="BA528" s="42">
        <f t="shared" si="1235"/>
        <v>0</v>
      </c>
      <c r="BB528" s="42">
        <f t="shared" si="1236"/>
        <v>0</v>
      </c>
      <c r="BC528" s="42">
        <f t="shared" si="1237"/>
        <v>0</v>
      </c>
      <c r="BD528" s="42">
        <f t="shared" si="1223"/>
        <v>0</v>
      </c>
      <c r="BE528" s="43">
        <f t="shared" si="1224"/>
        <v>36</v>
      </c>
      <c r="BF528" s="44"/>
      <c r="BG528" s="45">
        <f t="shared" si="1225"/>
        <v>36</v>
      </c>
      <c r="BH528" s="45">
        <f t="shared" si="1226"/>
        <v>1</v>
      </c>
      <c r="BI528" s="45">
        <f t="shared" si="1227"/>
        <v>0</v>
      </c>
      <c r="BJ528" s="46">
        <f t="shared" si="1210"/>
        <v>0</v>
      </c>
      <c r="BK528" s="46">
        <f t="shared" si="1211"/>
        <v>0</v>
      </c>
      <c r="BL528" s="46">
        <f t="shared" si="1212"/>
        <v>0</v>
      </c>
    </row>
    <row r="529" spans="1:64" ht="30" customHeight="1" x14ac:dyDescent="0.25">
      <c r="A529" s="84" t="str">
        <f t="shared" si="1228"/>
        <v>Д</v>
      </c>
      <c r="B529" s="84" t="str">
        <f t="shared" si="32"/>
        <v>М</v>
      </c>
      <c r="C529" s="101" t="s">
        <v>1483</v>
      </c>
      <c r="D529" s="16" t="str">
        <f t="shared" si="33"/>
        <v>'02.04.02</v>
      </c>
      <c r="E529" s="17" t="str">
        <f t="shared" si="34"/>
        <v>Управление инфокоммуникациями и интеллектуальные системы</v>
      </c>
      <c r="F529" s="9" t="s">
        <v>413</v>
      </c>
      <c r="G529" s="9" t="s">
        <v>42</v>
      </c>
      <c r="H529" s="10" t="s">
        <v>3233</v>
      </c>
      <c r="I529" s="10"/>
      <c r="J529" s="115" t="s">
        <v>3324</v>
      </c>
      <c r="K529" s="11">
        <v>3</v>
      </c>
      <c r="L529" s="11">
        <v>18</v>
      </c>
      <c r="M529" s="8" t="s">
        <v>23</v>
      </c>
      <c r="N529" s="11">
        <v>1</v>
      </c>
      <c r="O529" s="11"/>
      <c r="P529" s="11"/>
      <c r="Q529" s="8"/>
      <c r="R529" s="11"/>
      <c r="S529" s="11"/>
      <c r="T529" s="11"/>
      <c r="U529" s="11"/>
      <c r="V529" s="11"/>
      <c r="W529" s="83" t="str">
        <f t="shared" si="1229"/>
        <v>НФИмд</v>
      </c>
      <c r="X529" s="110" t="s">
        <v>3239</v>
      </c>
      <c r="Y529" s="11">
        <v>3</v>
      </c>
      <c r="Z529" s="11">
        <v>2</v>
      </c>
      <c r="AA529" s="83">
        <f t="shared" si="35"/>
        <v>41</v>
      </c>
      <c r="AB529" s="11">
        <v>27</v>
      </c>
      <c r="AC529" s="11">
        <v>14</v>
      </c>
      <c r="AD529" s="81">
        <f t="shared" si="1230"/>
        <v>41</v>
      </c>
      <c r="AE529" s="82">
        <f t="shared" si="36"/>
        <v>1</v>
      </c>
      <c r="AF529" s="82">
        <f t="shared" si="37"/>
        <v>1</v>
      </c>
      <c r="AG529" s="102" t="s">
        <v>3250</v>
      </c>
      <c r="AH529" s="8" t="s">
        <v>201</v>
      </c>
      <c r="AI529" s="8" t="s">
        <v>212</v>
      </c>
      <c r="AJ529" s="35" t="s">
        <v>3349</v>
      </c>
      <c r="AK529" s="8"/>
      <c r="AL529" s="42">
        <f t="shared" si="1231"/>
        <v>18</v>
      </c>
      <c r="AM529" s="42">
        <f t="shared" si="1214"/>
        <v>0</v>
      </c>
      <c r="AN529" s="42">
        <f t="shared" si="1215"/>
        <v>0</v>
      </c>
      <c r="AO529" s="42">
        <f t="shared" si="1188"/>
        <v>0</v>
      </c>
      <c r="AP529" s="42">
        <f t="shared" si="1216"/>
        <v>0</v>
      </c>
      <c r="AQ529" s="42">
        <f t="shared" si="1217"/>
        <v>0</v>
      </c>
      <c r="AR529" s="42">
        <f t="shared" si="1232"/>
        <v>1.8</v>
      </c>
      <c r="AS529" s="42">
        <f t="shared" si="1218"/>
        <v>0</v>
      </c>
      <c r="AT529" s="42">
        <f t="shared" si="1219"/>
        <v>0</v>
      </c>
      <c r="AU529" s="42">
        <f t="shared" si="1220"/>
        <v>0</v>
      </c>
      <c r="AV529" s="42">
        <f>IF(M529="ПП",РПП*AA529*(U529/1.5),IF(M529="ВП",ВПр*AA529*(U529/1.5),IF(M529="РПА",РПА*AA529*(U529/1.5),IF(M529="КПА",КПА*AA529*(U529/1.5),0))))</f>
        <v>0</v>
      </c>
      <c r="AW529" s="42">
        <f t="shared" si="1221"/>
        <v>0</v>
      </c>
      <c r="AX529" s="42">
        <f t="shared" si="1233"/>
        <v>0</v>
      </c>
      <c r="AY529" s="42">
        <f t="shared" si="1234"/>
        <v>0</v>
      </c>
      <c r="AZ529" s="42">
        <f t="shared" si="1222"/>
        <v>0</v>
      </c>
      <c r="BA529" s="42">
        <f t="shared" si="1235"/>
        <v>0</v>
      </c>
      <c r="BB529" s="42">
        <f t="shared" si="1236"/>
        <v>0</v>
      </c>
      <c r="BC529" s="42">
        <f t="shared" si="1237"/>
        <v>0</v>
      </c>
      <c r="BD529" s="42">
        <f t="shared" si="1223"/>
        <v>0</v>
      </c>
      <c r="BE529" s="43">
        <f t="shared" si="1224"/>
        <v>19.8</v>
      </c>
      <c r="BF529" s="44"/>
      <c r="BG529" s="45">
        <f t="shared" si="1225"/>
        <v>18</v>
      </c>
      <c r="BH529" s="45">
        <f t="shared" si="1226"/>
        <v>0.5</v>
      </c>
      <c r="BI529" s="45">
        <f t="shared" si="1227"/>
        <v>1.8</v>
      </c>
      <c r="BJ529" s="46">
        <f t="shared" si="1210"/>
        <v>0</v>
      </c>
      <c r="BK529" s="46">
        <f t="shared" si="1211"/>
        <v>0</v>
      </c>
      <c r="BL529" s="46">
        <f t="shared" si="1212"/>
        <v>0</v>
      </c>
    </row>
    <row r="530" spans="1:64" ht="30" customHeight="1" x14ac:dyDescent="0.25">
      <c r="A530" s="84" t="str">
        <f t="shared" si="1228"/>
        <v>Д</v>
      </c>
      <c r="B530" s="84" t="str">
        <f t="shared" si="32"/>
        <v>М</v>
      </c>
      <c r="C530" s="101" t="s">
        <v>1483</v>
      </c>
      <c r="D530" s="16" t="str">
        <f t="shared" si="33"/>
        <v>'02.04.02</v>
      </c>
      <c r="E530" s="17" t="str">
        <f t="shared" si="34"/>
        <v>Управление инфокоммуникациями и интеллектуальные системы</v>
      </c>
      <c r="F530" s="9" t="s">
        <v>413</v>
      </c>
      <c r="G530" s="9" t="s">
        <v>42</v>
      </c>
      <c r="H530" s="10" t="s">
        <v>3233</v>
      </c>
      <c r="I530" s="10"/>
      <c r="J530" s="115" t="s">
        <v>3324</v>
      </c>
      <c r="K530" s="11">
        <v>3</v>
      </c>
      <c r="L530" s="11">
        <v>18</v>
      </c>
      <c r="M530" s="8" t="s">
        <v>24</v>
      </c>
      <c r="N530" s="11"/>
      <c r="O530" s="11"/>
      <c r="P530" s="11">
        <v>2</v>
      </c>
      <c r="Q530" s="8" t="s">
        <v>102</v>
      </c>
      <c r="R530" s="11"/>
      <c r="S530" s="11"/>
      <c r="T530" s="11"/>
      <c r="U530" s="11"/>
      <c r="V530" s="11"/>
      <c r="W530" s="83" t="str">
        <f t="shared" si="1229"/>
        <v>НФИмд</v>
      </c>
      <c r="X530" s="110" t="s">
        <v>3234</v>
      </c>
      <c r="Y530" s="11">
        <v>2</v>
      </c>
      <c r="Z530" s="11">
        <v>1</v>
      </c>
      <c r="AA530" s="83">
        <f t="shared" si="35"/>
        <v>21</v>
      </c>
      <c r="AB530" s="11">
        <v>14</v>
      </c>
      <c r="AC530" s="11">
        <v>7</v>
      </c>
      <c r="AD530" s="81">
        <f t="shared" si="1230"/>
        <v>12</v>
      </c>
      <c r="AE530" s="82">
        <f t="shared" si="36"/>
        <v>1</v>
      </c>
      <c r="AF530" s="82">
        <f t="shared" si="37"/>
        <v>1.75</v>
      </c>
      <c r="AG530" s="102" t="s">
        <v>3250</v>
      </c>
      <c r="AH530" s="8" t="s">
        <v>201</v>
      </c>
      <c r="AI530" s="8" t="s">
        <v>212</v>
      </c>
      <c r="AJ530" s="36" t="s">
        <v>3349</v>
      </c>
      <c r="AK530" s="8"/>
      <c r="AL530" s="42">
        <f t="shared" si="1231"/>
        <v>0</v>
      </c>
      <c r="AM530" s="42">
        <f t="shared" si="1214"/>
        <v>36</v>
      </c>
      <c r="AN530" s="42">
        <f t="shared" si="1215"/>
        <v>0</v>
      </c>
      <c r="AO530" s="42">
        <f t="shared" si="1188"/>
        <v>6.9300000000000006</v>
      </c>
      <c r="AP530" s="42">
        <f t="shared" si="1216"/>
        <v>10.5</v>
      </c>
      <c r="AQ530" s="42">
        <f t="shared" si="1217"/>
        <v>1</v>
      </c>
      <c r="AR530" s="42">
        <f t="shared" si="1232"/>
        <v>0</v>
      </c>
      <c r="AS530" s="42">
        <f t="shared" si="1218"/>
        <v>0</v>
      </c>
      <c r="AT530" s="42">
        <f t="shared" si="1219"/>
        <v>0</v>
      </c>
      <c r="AU530" s="42">
        <f t="shared" si="1220"/>
        <v>0</v>
      </c>
      <c r="AV530" s="42">
        <f>IF(M530="ПП",РПП*AA530*(U530/1.5),IF(M530="ВП",ВПр*AA530*(U530/1.5),IF(M530="РПА",РПА*AA530*(U530/1.5),IF(M530="КПА",КПА*AA530*(U530/1.5),0))))</f>
        <v>0</v>
      </c>
      <c r="AW530" s="42">
        <f t="shared" si="1221"/>
        <v>0</v>
      </c>
      <c r="AX530" s="42">
        <f t="shared" si="1233"/>
        <v>0</v>
      </c>
      <c r="AY530" s="42">
        <f t="shared" si="1234"/>
        <v>0</v>
      </c>
      <c r="AZ530" s="42">
        <f t="shared" si="1222"/>
        <v>0</v>
      </c>
      <c r="BA530" s="42">
        <f t="shared" si="1235"/>
        <v>0</v>
      </c>
      <c r="BB530" s="42">
        <f t="shared" si="1236"/>
        <v>0</v>
      </c>
      <c r="BC530" s="42">
        <f t="shared" si="1237"/>
        <v>0</v>
      </c>
      <c r="BD530" s="42">
        <f t="shared" si="1223"/>
        <v>0</v>
      </c>
      <c r="BE530" s="43">
        <f t="shared" si="1224"/>
        <v>54.43</v>
      </c>
      <c r="BF530" s="44"/>
      <c r="BG530" s="45">
        <f t="shared" si="1225"/>
        <v>36</v>
      </c>
      <c r="BH530" s="45">
        <f t="shared" si="1226"/>
        <v>1</v>
      </c>
      <c r="BI530" s="45">
        <f t="shared" si="1227"/>
        <v>18.43</v>
      </c>
      <c r="BJ530" s="46">
        <f t="shared" si="1210"/>
        <v>0</v>
      </c>
      <c r="BK530" s="46">
        <f t="shared" si="1211"/>
        <v>0</v>
      </c>
      <c r="BL530" s="46">
        <f t="shared" si="1212"/>
        <v>0</v>
      </c>
    </row>
    <row r="531" spans="1:64" ht="30" customHeight="1" x14ac:dyDescent="0.25">
      <c r="A531" s="84" t="str">
        <f t="shared" si="1228"/>
        <v>Д</v>
      </c>
      <c r="B531" s="84" t="str">
        <f t="shared" si="32"/>
        <v>М</v>
      </c>
      <c r="C531" s="101" t="s">
        <v>1483</v>
      </c>
      <c r="D531" s="16" t="str">
        <f t="shared" si="33"/>
        <v>'02.04.02</v>
      </c>
      <c r="E531" s="17" t="str">
        <f t="shared" si="34"/>
        <v>Управление инфокоммуникациями и интеллектуальные системы</v>
      </c>
      <c r="F531" s="9" t="s">
        <v>413</v>
      </c>
      <c r="G531" s="9" t="s">
        <v>42</v>
      </c>
      <c r="H531" s="10" t="s">
        <v>3233</v>
      </c>
      <c r="I531" s="10"/>
      <c r="J531" s="115" t="s">
        <v>3324</v>
      </c>
      <c r="K531" s="11">
        <v>3</v>
      </c>
      <c r="L531" s="11">
        <v>18</v>
      </c>
      <c r="M531" s="8" t="s">
        <v>24</v>
      </c>
      <c r="N531" s="11"/>
      <c r="O531" s="11"/>
      <c r="P531" s="11">
        <v>2</v>
      </c>
      <c r="Q531" s="8" t="s">
        <v>102</v>
      </c>
      <c r="R531" s="11"/>
      <c r="S531" s="11"/>
      <c r="T531" s="11"/>
      <c r="U531" s="11"/>
      <c r="V531" s="11"/>
      <c r="W531" s="83" t="str">
        <f t="shared" si="1229"/>
        <v>НФИмд</v>
      </c>
      <c r="X531" s="110" t="s">
        <v>3235</v>
      </c>
      <c r="Y531" s="11">
        <v>1</v>
      </c>
      <c r="Z531" s="11">
        <v>1</v>
      </c>
      <c r="AA531" s="83">
        <f t="shared" si="35"/>
        <v>20</v>
      </c>
      <c r="AB531" s="11">
        <v>13</v>
      </c>
      <c r="AC531" s="11">
        <v>7</v>
      </c>
      <c r="AD531" s="81">
        <f t="shared" si="1230"/>
        <v>12</v>
      </c>
      <c r="AE531" s="82">
        <f t="shared" si="36"/>
        <v>1</v>
      </c>
      <c r="AF531" s="82">
        <f t="shared" si="37"/>
        <v>1.6666666666666667</v>
      </c>
      <c r="AG531" s="102" t="s">
        <v>3250</v>
      </c>
      <c r="AH531" s="8" t="s">
        <v>201</v>
      </c>
      <c r="AI531" s="8" t="s">
        <v>212</v>
      </c>
      <c r="AJ531" s="35" t="s">
        <v>3349</v>
      </c>
      <c r="AK531" s="8"/>
      <c r="AL531" s="42">
        <f t="shared" si="1231"/>
        <v>0</v>
      </c>
      <c r="AM531" s="42">
        <f t="shared" si="1214"/>
        <v>36</v>
      </c>
      <c r="AN531" s="42">
        <f t="shared" si="1215"/>
        <v>0</v>
      </c>
      <c r="AO531" s="42">
        <f t="shared" si="1188"/>
        <v>6.6000000000000005</v>
      </c>
      <c r="AP531" s="42">
        <f t="shared" si="1216"/>
        <v>10</v>
      </c>
      <c r="AQ531" s="42">
        <f t="shared" si="1217"/>
        <v>1</v>
      </c>
      <c r="AR531" s="42">
        <f t="shared" si="1232"/>
        <v>0</v>
      </c>
      <c r="AS531" s="42">
        <f t="shared" si="1218"/>
        <v>0</v>
      </c>
      <c r="AT531" s="42">
        <f t="shared" si="1219"/>
        <v>0</v>
      </c>
      <c r="AU531" s="42">
        <f t="shared" si="1220"/>
        <v>0</v>
      </c>
      <c r="AV531" s="42">
        <f>IF(M531="ПП",РПП*AA531*(U531/1.5),IF(M531="ВП",ВПр*AA531*(U531/1.5),IF(M531="РПА",РПА*AA531*(U531/1.5),IF(M531="КПА",КПА*AA531*(U531/1.5),0))))</f>
        <v>0</v>
      </c>
      <c r="AW531" s="42">
        <f t="shared" si="1221"/>
        <v>0</v>
      </c>
      <c r="AX531" s="42">
        <f t="shared" si="1233"/>
        <v>0</v>
      </c>
      <c r="AY531" s="42">
        <f t="shared" si="1234"/>
        <v>0</v>
      </c>
      <c r="AZ531" s="42">
        <f t="shared" si="1222"/>
        <v>0</v>
      </c>
      <c r="BA531" s="42">
        <f t="shared" si="1235"/>
        <v>0</v>
      </c>
      <c r="BB531" s="42">
        <f t="shared" si="1236"/>
        <v>0</v>
      </c>
      <c r="BC531" s="42">
        <f t="shared" si="1237"/>
        <v>0</v>
      </c>
      <c r="BD531" s="42">
        <f t="shared" si="1223"/>
        <v>0</v>
      </c>
      <c r="BE531" s="43">
        <f t="shared" si="1224"/>
        <v>53.6</v>
      </c>
      <c r="BF531" s="44"/>
      <c r="BG531" s="45">
        <f t="shared" si="1225"/>
        <v>36</v>
      </c>
      <c r="BH531" s="45">
        <f t="shared" si="1226"/>
        <v>1</v>
      </c>
      <c r="BI531" s="45">
        <f t="shared" si="1227"/>
        <v>17.600000000000001</v>
      </c>
      <c r="BJ531" s="46">
        <f t="shared" si="1210"/>
        <v>0</v>
      </c>
      <c r="BK531" s="46">
        <f t="shared" si="1211"/>
        <v>0</v>
      </c>
      <c r="BL531" s="46">
        <f t="shared" si="1212"/>
        <v>0</v>
      </c>
    </row>
    <row r="532" spans="1:64" ht="30" customHeight="1" x14ac:dyDescent="0.25">
      <c r="A532" s="84" t="str">
        <f t="shared" si="1228"/>
        <v>Д</v>
      </c>
      <c r="B532" s="84" t="str">
        <f t="shared" si="32"/>
        <v>М</v>
      </c>
      <c r="C532" s="101" t="s">
        <v>1483</v>
      </c>
      <c r="D532" s="16" t="str">
        <f t="shared" si="33"/>
        <v>'02.04.02</v>
      </c>
      <c r="E532" s="17" t="str">
        <f t="shared" si="34"/>
        <v>Управление инфокоммуникациями и интеллектуальные системы</v>
      </c>
      <c r="F532" s="9" t="s">
        <v>413</v>
      </c>
      <c r="G532" s="9" t="s">
        <v>503</v>
      </c>
      <c r="H532" s="10" t="s">
        <v>3233</v>
      </c>
      <c r="I532" s="10" t="s">
        <v>3231</v>
      </c>
      <c r="J532" s="115" t="s">
        <v>3341</v>
      </c>
      <c r="K532" s="11">
        <v>3</v>
      </c>
      <c r="L532" s="11">
        <v>18</v>
      </c>
      <c r="M532" s="8" t="s">
        <v>23</v>
      </c>
      <c r="N532" s="11">
        <v>1</v>
      </c>
      <c r="O532" s="11"/>
      <c r="P532" s="11"/>
      <c r="Q532" s="8" t="s">
        <v>103</v>
      </c>
      <c r="R532" s="11"/>
      <c r="S532" s="11"/>
      <c r="T532" s="11"/>
      <c r="U532" s="11"/>
      <c r="V532" s="11"/>
      <c r="W532" s="83" t="str">
        <f t="shared" si="1229"/>
        <v>НФИмд</v>
      </c>
      <c r="X532" s="110" t="s">
        <v>3239</v>
      </c>
      <c r="Y532" s="11">
        <v>3</v>
      </c>
      <c r="Z532" s="11">
        <v>2</v>
      </c>
      <c r="AA532" s="83">
        <f t="shared" si="35"/>
        <v>23</v>
      </c>
      <c r="AB532" s="11">
        <v>20</v>
      </c>
      <c r="AC532" s="11">
        <v>3</v>
      </c>
      <c r="AD532" s="81">
        <f t="shared" si="1230"/>
        <v>23</v>
      </c>
      <c r="AE532" s="82">
        <f t="shared" si="36"/>
        <v>1</v>
      </c>
      <c r="AF532" s="82">
        <f t="shared" si="37"/>
        <v>1</v>
      </c>
      <c r="AG532" s="102" t="s">
        <v>3250</v>
      </c>
      <c r="AH532" s="8" t="s">
        <v>204</v>
      </c>
      <c r="AI532" s="8" t="s">
        <v>213</v>
      </c>
      <c r="AJ532" s="37" t="s">
        <v>3266</v>
      </c>
      <c r="AK532" s="8"/>
      <c r="AL532" s="42">
        <f t="shared" si="1231"/>
        <v>18</v>
      </c>
      <c r="AM532" s="42">
        <f t="shared" si="1214"/>
        <v>0</v>
      </c>
      <c r="AN532" s="42">
        <f t="shared" si="1215"/>
        <v>0</v>
      </c>
      <c r="AO532" s="42">
        <f t="shared" si="1188"/>
        <v>7.5900000000000007</v>
      </c>
      <c r="AP532" s="42">
        <f t="shared" si="1216"/>
        <v>11.5</v>
      </c>
      <c r="AQ532" s="42">
        <f t="shared" si="1217"/>
        <v>2</v>
      </c>
      <c r="AR532" s="42">
        <f t="shared" si="1232"/>
        <v>1.8</v>
      </c>
      <c r="AS532" s="42">
        <f t="shared" si="1218"/>
        <v>0</v>
      </c>
      <c r="AT532" s="42">
        <f t="shared" si="1219"/>
        <v>0</v>
      </c>
      <c r="AU532" s="42">
        <f t="shared" si="1220"/>
        <v>0</v>
      </c>
      <c r="AV532" s="42">
        <f>IF(M532="ПП",РПП*AA532*(U532/1.5),IF(M532="ВП",ВПр*AA532*(U532/1.5),IF(M532="РПА",РПА*AA532*(U532/1.5),IF(M532="КПА",КПА*AA532*(U532/1.5),0))))</f>
        <v>0</v>
      </c>
      <c r="AW532" s="42">
        <f t="shared" si="1221"/>
        <v>0</v>
      </c>
      <c r="AX532" s="42">
        <f t="shared" si="1233"/>
        <v>0</v>
      </c>
      <c r="AY532" s="42">
        <f t="shared" si="1234"/>
        <v>0</v>
      </c>
      <c r="AZ532" s="42">
        <f t="shared" si="1222"/>
        <v>0</v>
      </c>
      <c r="BA532" s="42">
        <f t="shared" si="1235"/>
        <v>0</v>
      </c>
      <c r="BB532" s="42">
        <f t="shared" si="1236"/>
        <v>0</v>
      </c>
      <c r="BC532" s="42">
        <f t="shared" si="1237"/>
        <v>0</v>
      </c>
      <c r="BD532" s="42">
        <f t="shared" si="1223"/>
        <v>0</v>
      </c>
      <c r="BE532" s="43">
        <f t="shared" si="1224"/>
        <v>40.89</v>
      </c>
      <c r="BF532" s="44"/>
      <c r="BG532" s="45">
        <f t="shared" si="1225"/>
        <v>18</v>
      </c>
      <c r="BH532" s="45">
        <f t="shared" si="1226"/>
        <v>0.5</v>
      </c>
      <c r="BI532" s="45">
        <f t="shared" si="1227"/>
        <v>22.89</v>
      </c>
      <c r="BJ532" s="46">
        <f t="shared" si="1210"/>
        <v>0</v>
      </c>
      <c r="BK532" s="46">
        <f t="shared" si="1211"/>
        <v>0</v>
      </c>
      <c r="BL532" s="46">
        <f t="shared" si="1212"/>
        <v>0</v>
      </c>
    </row>
    <row r="533" spans="1:64" ht="30" customHeight="1" x14ac:dyDescent="0.25">
      <c r="A533" s="84" t="str">
        <f t="shared" si="1228"/>
        <v>Д</v>
      </c>
      <c r="B533" s="84" t="str">
        <f t="shared" si="32"/>
        <v>М</v>
      </c>
      <c r="C533" s="101" t="s">
        <v>1483</v>
      </c>
      <c r="D533" s="16" t="str">
        <f t="shared" si="33"/>
        <v>'02.04.02</v>
      </c>
      <c r="E533" s="17" t="str">
        <f t="shared" si="34"/>
        <v>Управление инфокоммуникациями и интеллектуальные системы</v>
      </c>
      <c r="F533" s="9" t="s">
        <v>413</v>
      </c>
      <c r="G533" s="9" t="s">
        <v>503</v>
      </c>
      <c r="H533" s="10" t="s">
        <v>3233</v>
      </c>
      <c r="I533" s="10" t="s">
        <v>3231</v>
      </c>
      <c r="J533" s="115" t="s">
        <v>3341</v>
      </c>
      <c r="K533" s="11">
        <v>3</v>
      </c>
      <c r="L533" s="11">
        <v>18</v>
      </c>
      <c r="M533" s="8" t="s">
        <v>24</v>
      </c>
      <c r="N533" s="11"/>
      <c r="O533" s="11"/>
      <c r="P533" s="11">
        <v>2</v>
      </c>
      <c r="Q533" s="8"/>
      <c r="R533" s="12"/>
      <c r="S533" s="12"/>
      <c r="T533" s="12"/>
      <c r="U533" s="12"/>
      <c r="V533" s="12"/>
      <c r="W533" s="83" t="str">
        <f t="shared" si="1229"/>
        <v>НФИмд</v>
      </c>
      <c r="X533" s="110" t="s">
        <v>3234</v>
      </c>
      <c r="Y533" s="11">
        <v>2</v>
      </c>
      <c r="Z533" s="11">
        <v>1</v>
      </c>
      <c r="AA533" s="83">
        <f t="shared" si="35"/>
        <v>12</v>
      </c>
      <c r="AB533" s="11">
        <v>10</v>
      </c>
      <c r="AC533" s="11">
        <v>2</v>
      </c>
      <c r="AD533" s="81">
        <f t="shared" si="1230"/>
        <v>12</v>
      </c>
      <c r="AE533" s="82">
        <f t="shared" si="36"/>
        <v>1</v>
      </c>
      <c r="AF533" s="82">
        <f t="shared" si="37"/>
        <v>1</v>
      </c>
      <c r="AG533" s="102" t="s">
        <v>3250</v>
      </c>
      <c r="AH533" s="8" t="s">
        <v>204</v>
      </c>
      <c r="AI533" s="8" t="s">
        <v>213</v>
      </c>
      <c r="AJ533" s="35" t="s">
        <v>3266</v>
      </c>
      <c r="AK533" s="8"/>
      <c r="AL533" s="42">
        <f t="shared" si="1231"/>
        <v>0</v>
      </c>
      <c r="AM533" s="42">
        <f t="shared" si="1214"/>
        <v>36</v>
      </c>
      <c r="AN533" s="42">
        <f t="shared" si="1215"/>
        <v>0</v>
      </c>
      <c r="AO533" s="42">
        <f t="shared" si="1188"/>
        <v>0</v>
      </c>
      <c r="AP533" s="42">
        <f t="shared" si="1216"/>
        <v>0</v>
      </c>
      <c r="AQ533" s="42">
        <f t="shared" si="1217"/>
        <v>0</v>
      </c>
      <c r="AR533" s="42">
        <f t="shared" si="1232"/>
        <v>0</v>
      </c>
      <c r="AS533" s="42">
        <f t="shared" si="1218"/>
        <v>0</v>
      </c>
      <c r="AT533" s="42">
        <f t="shared" si="1219"/>
        <v>0</v>
      </c>
      <c r="AU533" s="42">
        <f t="shared" si="1220"/>
        <v>0</v>
      </c>
      <c r="AV533" s="42">
        <f>IF(M533="ПП",РПП*AA533*(U533/1.5),IF(M533="ВП",ВПр*AA533*(U533/1.5),IF(M533="РПА",РПА*AA533*(U533/1.5),IF(M533="КПА",КПА*AA533*(U533/1.5),0))))</f>
        <v>0</v>
      </c>
      <c r="AW533" s="42">
        <f t="shared" si="1221"/>
        <v>0</v>
      </c>
      <c r="AX533" s="42">
        <f t="shared" si="1233"/>
        <v>0</v>
      </c>
      <c r="AY533" s="42">
        <f t="shared" si="1234"/>
        <v>0</v>
      </c>
      <c r="AZ533" s="42">
        <f t="shared" si="1222"/>
        <v>0</v>
      </c>
      <c r="BA533" s="42">
        <f t="shared" si="1235"/>
        <v>0</v>
      </c>
      <c r="BB533" s="42">
        <f t="shared" si="1236"/>
        <v>0</v>
      </c>
      <c r="BC533" s="42">
        <f t="shared" si="1237"/>
        <v>0</v>
      </c>
      <c r="BD533" s="42">
        <f t="shared" si="1223"/>
        <v>0</v>
      </c>
      <c r="BE533" s="43">
        <f t="shared" si="1224"/>
        <v>36</v>
      </c>
      <c r="BF533" s="44"/>
      <c r="BG533" s="45">
        <f t="shared" si="1225"/>
        <v>36</v>
      </c>
      <c r="BH533" s="45">
        <f t="shared" si="1226"/>
        <v>1</v>
      </c>
      <c r="BI533" s="45">
        <f t="shared" si="1227"/>
        <v>0</v>
      </c>
      <c r="BJ533" s="46">
        <f t="shared" si="1210"/>
        <v>0</v>
      </c>
      <c r="BK533" s="46">
        <f t="shared" si="1211"/>
        <v>0</v>
      </c>
      <c r="BL533" s="46">
        <f t="shared" si="1212"/>
        <v>0</v>
      </c>
    </row>
    <row r="534" spans="1:64" ht="30" customHeight="1" x14ac:dyDescent="0.25">
      <c r="A534" s="84" t="str">
        <f t="shared" si="1228"/>
        <v>Д</v>
      </c>
      <c r="B534" s="84" t="str">
        <f t="shared" si="32"/>
        <v>М</v>
      </c>
      <c r="C534" s="101" t="s">
        <v>1483</v>
      </c>
      <c r="D534" s="16" t="str">
        <f t="shared" si="33"/>
        <v>'02.04.02</v>
      </c>
      <c r="E534" s="17" t="str">
        <f t="shared" si="34"/>
        <v>Управление инфокоммуникациями и интеллектуальные системы</v>
      </c>
      <c r="F534" s="9" t="s">
        <v>413</v>
      </c>
      <c r="G534" s="9" t="s">
        <v>503</v>
      </c>
      <c r="H534" s="10" t="s">
        <v>3233</v>
      </c>
      <c r="I534" s="10" t="s">
        <v>3231</v>
      </c>
      <c r="J534" s="115" t="s">
        <v>3341</v>
      </c>
      <c r="K534" s="11">
        <v>3</v>
      </c>
      <c r="L534" s="11">
        <v>18</v>
      </c>
      <c r="M534" s="8" t="s">
        <v>24</v>
      </c>
      <c r="N534" s="11"/>
      <c r="O534" s="11"/>
      <c r="P534" s="11">
        <v>2</v>
      </c>
      <c r="Q534" s="8"/>
      <c r="R534" s="11"/>
      <c r="S534" s="11"/>
      <c r="T534" s="23"/>
      <c r="U534" s="11"/>
      <c r="V534" s="11"/>
      <c r="W534" s="83" t="str">
        <f t="shared" si="1229"/>
        <v>НФИмд</v>
      </c>
      <c r="X534" s="110" t="s">
        <v>3235</v>
      </c>
      <c r="Y534" s="11">
        <v>1</v>
      </c>
      <c r="Z534" s="11">
        <v>1</v>
      </c>
      <c r="AA534" s="83">
        <f t="shared" si="35"/>
        <v>11</v>
      </c>
      <c r="AB534" s="11">
        <v>10</v>
      </c>
      <c r="AC534" s="11">
        <v>1</v>
      </c>
      <c r="AD534" s="81">
        <f t="shared" si="1230"/>
        <v>12</v>
      </c>
      <c r="AE534" s="82">
        <f t="shared" si="36"/>
        <v>0.91666666666666663</v>
      </c>
      <c r="AF534" s="82">
        <f t="shared" si="37"/>
        <v>0.91666666666666663</v>
      </c>
      <c r="AG534" s="102" t="s">
        <v>3250</v>
      </c>
      <c r="AH534" s="8" t="s">
        <v>204</v>
      </c>
      <c r="AI534" s="8" t="s">
        <v>213</v>
      </c>
      <c r="AJ534" s="35" t="s">
        <v>3266</v>
      </c>
      <c r="AK534" s="8"/>
      <c r="AL534" s="42">
        <f t="shared" si="1231"/>
        <v>0</v>
      </c>
      <c r="AM534" s="42">
        <f t="shared" si="1214"/>
        <v>33</v>
      </c>
      <c r="AN534" s="42">
        <f t="shared" si="1215"/>
        <v>0</v>
      </c>
      <c r="AO534" s="42">
        <f t="shared" si="1188"/>
        <v>0</v>
      </c>
      <c r="AP534" s="42">
        <f t="shared" si="1216"/>
        <v>0</v>
      </c>
      <c r="AQ534" s="42">
        <f t="shared" si="1217"/>
        <v>0</v>
      </c>
      <c r="AR534" s="42">
        <f t="shared" si="1232"/>
        <v>0</v>
      </c>
      <c r="AS534" s="42">
        <f t="shared" si="1218"/>
        <v>0</v>
      </c>
      <c r="AT534" s="42">
        <f t="shared" si="1219"/>
        <v>0</v>
      </c>
      <c r="AU534" s="42">
        <f t="shared" si="1220"/>
        <v>0</v>
      </c>
      <c r="AV534" s="42">
        <f>IF(M534="ПП",РПП*AA534*(U534/1.5),IF(M534="ВП",ВПр*AA534*(U534/1.5),IF(M534="РПА",РПА*AA534*(U534/1.5),IF(M534="КПА",КПА*AA534*(U534/1.5),0))))</f>
        <v>0</v>
      </c>
      <c r="AW534" s="42">
        <f t="shared" si="1221"/>
        <v>0</v>
      </c>
      <c r="AX534" s="42">
        <f t="shared" si="1233"/>
        <v>0</v>
      </c>
      <c r="AY534" s="42">
        <f t="shared" si="1234"/>
        <v>0</v>
      </c>
      <c r="AZ534" s="42">
        <f t="shared" si="1222"/>
        <v>0</v>
      </c>
      <c r="BA534" s="42">
        <f t="shared" si="1235"/>
        <v>0</v>
      </c>
      <c r="BB534" s="42">
        <f t="shared" si="1236"/>
        <v>0</v>
      </c>
      <c r="BC534" s="42">
        <f t="shared" si="1237"/>
        <v>0</v>
      </c>
      <c r="BD534" s="42">
        <f t="shared" si="1223"/>
        <v>0</v>
      </c>
      <c r="BE534" s="43">
        <f t="shared" si="1224"/>
        <v>33</v>
      </c>
      <c r="BF534" s="44"/>
      <c r="BG534" s="45">
        <f t="shared" si="1225"/>
        <v>33</v>
      </c>
      <c r="BH534" s="45">
        <f t="shared" si="1226"/>
        <v>1</v>
      </c>
      <c r="BI534" s="45">
        <f t="shared" si="1227"/>
        <v>0</v>
      </c>
      <c r="BJ534" s="46">
        <f t="shared" si="1210"/>
        <v>0</v>
      </c>
      <c r="BK534" s="46">
        <f t="shared" si="1211"/>
        <v>0</v>
      </c>
      <c r="BL534" s="46">
        <f t="shared" si="1212"/>
        <v>0</v>
      </c>
    </row>
    <row r="535" spans="1:64" ht="30" customHeight="1" x14ac:dyDescent="0.25">
      <c r="A535" s="84" t="str">
        <f t="shared" si="1228"/>
        <v>Д</v>
      </c>
      <c r="B535" s="84" t="str">
        <f t="shared" si="32"/>
        <v>М</v>
      </c>
      <c r="C535" s="101" t="s">
        <v>1483</v>
      </c>
      <c r="D535" s="16" t="str">
        <f t="shared" si="33"/>
        <v>'02.04.02</v>
      </c>
      <c r="E535" s="17" t="str">
        <f t="shared" si="34"/>
        <v>Управление инфокоммуникациями и интеллектуальные системы</v>
      </c>
      <c r="F535" s="9" t="s">
        <v>413</v>
      </c>
      <c r="G535" s="9" t="s">
        <v>42</v>
      </c>
      <c r="H535" s="10" t="s">
        <v>3233</v>
      </c>
      <c r="I535" s="10"/>
      <c r="J535" s="115" t="s">
        <v>3313</v>
      </c>
      <c r="K535" s="12">
        <v>2</v>
      </c>
      <c r="L535" s="11">
        <v>18</v>
      </c>
      <c r="M535" s="8" t="s">
        <v>23</v>
      </c>
      <c r="N535" s="12">
        <v>1</v>
      </c>
      <c r="O535" s="12"/>
      <c r="P535" s="12"/>
      <c r="Q535" s="8" t="s">
        <v>103</v>
      </c>
      <c r="R535" s="11"/>
      <c r="S535" s="11"/>
      <c r="T535" s="23"/>
      <c r="U535" s="11"/>
      <c r="V535" s="11"/>
      <c r="W535" s="83" t="str">
        <f t="shared" si="1229"/>
        <v>НФИмд</v>
      </c>
      <c r="X535" s="110" t="s">
        <v>3357</v>
      </c>
      <c r="Y535" s="11">
        <v>2</v>
      </c>
      <c r="Z535" s="11">
        <v>1</v>
      </c>
      <c r="AA535" s="83">
        <f t="shared" si="35"/>
        <v>26</v>
      </c>
      <c r="AB535" s="11">
        <v>19</v>
      </c>
      <c r="AC535" s="11">
        <v>7</v>
      </c>
      <c r="AD535" s="81">
        <f t="shared" si="1230"/>
        <v>26</v>
      </c>
      <c r="AE535" s="82">
        <f t="shared" si="36"/>
        <v>1</v>
      </c>
      <c r="AF535" s="82">
        <f t="shared" si="37"/>
        <v>1</v>
      </c>
      <c r="AG535" s="102" t="s">
        <v>3250</v>
      </c>
      <c r="AH535" s="8" t="s">
        <v>204</v>
      </c>
      <c r="AI535" s="8" t="s">
        <v>212</v>
      </c>
      <c r="AJ535" s="35" t="s">
        <v>3256</v>
      </c>
      <c r="AK535" s="8"/>
      <c r="AL535" s="42">
        <f t="shared" si="1231"/>
        <v>18</v>
      </c>
      <c r="AM535" s="42">
        <f t="shared" si="1214"/>
        <v>0</v>
      </c>
      <c r="AN535" s="42">
        <f t="shared" si="1215"/>
        <v>0</v>
      </c>
      <c r="AO535" s="42">
        <f t="shared" si="1188"/>
        <v>8.58</v>
      </c>
      <c r="AP535" s="42">
        <f t="shared" si="1216"/>
        <v>13</v>
      </c>
      <c r="AQ535" s="42">
        <f t="shared" si="1217"/>
        <v>1</v>
      </c>
      <c r="AR535" s="42">
        <f t="shared" si="1232"/>
        <v>0.9</v>
      </c>
      <c r="AS535" s="42">
        <f t="shared" si="1218"/>
        <v>0</v>
      </c>
      <c r="AT535" s="42">
        <f t="shared" si="1219"/>
        <v>0</v>
      </c>
      <c r="AU535" s="42">
        <f t="shared" si="1220"/>
        <v>0</v>
      </c>
      <c r="AV535" s="42">
        <f>IF(M535="ПП",РПП*AA535*(U535/1.5),IF(M535="ВП",ВПр*AA535*(U535/1.5),IF(M535="РПА",РПА*AA535*(U535/1.5),IF(M535="КПА",КПА*AA535*(U535/1.5),0))))</f>
        <v>0</v>
      </c>
      <c r="AW535" s="42">
        <f t="shared" si="1221"/>
        <v>0</v>
      </c>
      <c r="AX535" s="42">
        <f t="shared" si="1233"/>
        <v>0</v>
      </c>
      <c r="AY535" s="42">
        <f t="shared" si="1234"/>
        <v>0</v>
      </c>
      <c r="AZ535" s="42">
        <f t="shared" si="1222"/>
        <v>0</v>
      </c>
      <c r="BA535" s="42">
        <f t="shared" si="1235"/>
        <v>0</v>
      </c>
      <c r="BB535" s="42">
        <f t="shared" si="1236"/>
        <v>0</v>
      </c>
      <c r="BC535" s="42">
        <f t="shared" si="1237"/>
        <v>0</v>
      </c>
      <c r="BD535" s="42">
        <f t="shared" si="1223"/>
        <v>0</v>
      </c>
      <c r="BE535" s="43">
        <f t="shared" si="1224"/>
        <v>41.48</v>
      </c>
      <c r="BF535" s="44"/>
      <c r="BG535" s="45">
        <f t="shared" si="1225"/>
        <v>0</v>
      </c>
      <c r="BH535" s="45">
        <f t="shared" si="1226"/>
        <v>0</v>
      </c>
      <c r="BI535" s="45">
        <f t="shared" si="1227"/>
        <v>0</v>
      </c>
      <c r="BJ535" s="46">
        <f t="shared" si="1210"/>
        <v>18</v>
      </c>
      <c r="BK535" s="46">
        <f t="shared" si="1211"/>
        <v>0.5</v>
      </c>
      <c r="BL535" s="46">
        <f t="shared" si="1212"/>
        <v>23.479999999999997</v>
      </c>
    </row>
    <row r="536" spans="1:64" ht="30" customHeight="1" x14ac:dyDescent="0.25">
      <c r="A536" s="84" t="str">
        <f t="shared" si="1228"/>
        <v>Д</v>
      </c>
      <c r="B536" s="84" t="str">
        <f t="shared" si="32"/>
        <v>М</v>
      </c>
      <c r="C536" s="101" t="s">
        <v>1483</v>
      </c>
      <c r="D536" s="16" t="str">
        <f t="shared" si="33"/>
        <v>'02.04.02</v>
      </c>
      <c r="E536" s="17" t="str">
        <f t="shared" si="34"/>
        <v>Управление инфокоммуникациями и интеллектуальные системы</v>
      </c>
      <c r="F536" s="9" t="s">
        <v>413</v>
      </c>
      <c r="G536" s="9" t="s">
        <v>42</v>
      </c>
      <c r="H536" s="10" t="s">
        <v>3233</v>
      </c>
      <c r="I536" s="10"/>
      <c r="J536" s="115" t="s">
        <v>3313</v>
      </c>
      <c r="K536" s="11">
        <v>2</v>
      </c>
      <c r="L536" s="11">
        <v>18</v>
      </c>
      <c r="M536" s="8" t="s">
        <v>24</v>
      </c>
      <c r="N536" s="11"/>
      <c r="O536" s="11"/>
      <c r="P536" s="11">
        <v>2</v>
      </c>
      <c r="Q536" s="8"/>
      <c r="R536" s="11"/>
      <c r="S536" s="11"/>
      <c r="T536" s="11"/>
      <c r="U536" s="11"/>
      <c r="V536" s="11"/>
      <c r="W536" s="83" t="str">
        <f t="shared" si="1229"/>
        <v>НФИмд</v>
      </c>
      <c r="X536" s="110" t="s">
        <v>3246</v>
      </c>
      <c r="Y536" s="11">
        <v>1</v>
      </c>
      <c r="Z536" s="11">
        <v>1</v>
      </c>
      <c r="AA536" s="83">
        <f t="shared" si="35"/>
        <v>13</v>
      </c>
      <c r="AB536" s="11">
        <v>10</v>
      </c>
      <c r="AC536" s="11">
        <v>3</v>
      </c>
      <c r="AD536" s="81">
        <f t="shared" si="1230"/>
        <v>12</v>
      </c>
      <c r="AE536" s="82">
        <f t="shared" si="36"/>
        <v>1</v>
      </c>
      <c r="AF536" s="82">
        <f t="shared" si="37"/>
        <v>1.0833333333333333</v>
      </c>
      <c r="AG536" s="102" t="s">
        <v>3250</v>
      </c>
      <c r="AH536" s="8" t="s">
        <v>204</v>
      </c>
      <c r="AI536" s="8" t="s">
        <v>212</v>
      </c>
      <c r="AJ536" s="35" t="s">
        <v>3256</v>
      </c>
      <c r="AK536" s="8"/>
      <c r="AL536" s="42">
        <f t="shared" si="1231"/>
        <v>0</v>
      </c>
      <c r="AM536" s="42">
        <f t="shared" si="1214"/>
        <v>36</v>
      </c>
      <c r="AN536" s="42">
        <f t="shared" si="1215"/>
        <v>0</v>
      </c>
      <c r="AO536" s="42">
        <f t="shared" si="1188"/>
        <v>0</v>
      </c>
      <c r="AP536" s="42">
        <f t="shared" si="1216"/>
        <v>0</v>
      </c>
      <c r="AQ536" s="42">
        <f t="shared" si="1217"/>
        <v>0</v>
      </c>
      <c r="AR536" s="42">
        <f t="shared" si="1232"/>
        <v>0</v>
      </c>
      <c r="AS536" s="42">
        <f t="shared" si="1218"/>
        <v>0</v>
      </c>
      <c r="AT536" s="42">
        <f t="shared" si="1219"/>
        <v>0</v>
      </c>
      <c r="AU536" s="42">
        <f t="shared" si="1220"/>
        <v>0</v>
      </c>
      <c r="AV536" s="42">
        <f>IF(M536="ПП",РПП*AA536*(U536/1.5),IF(M536="ВП",ВПр*AA536*(U536/1.5),IF(M536="РПА",РПА*AA536*(U536/1.5),IF(M536="КПА",КПА*AA536*(U536/1.5),0))))</f>
        <v>0</v>
      </c>
      <c r="AW536" s="42">
        <f t="shared" si="1221"/>
        <v>0</v>
      </c>
      <c r="AX536" s="42">
        <f t="shared" si="1233"/>
        <v>0</v>
      </c>
      <c r="AY536" s="42">
        <f t="shared" si="1234"/>
        <v>0</v>
      </c>
      <c r="AZ536" s="42">
        <f t="shared" si="1222"/>
        <v>0</v>
      </c>
      <c r="BA536" s="42">
        <f t="shared" si="1235"/>
        <v>0</v>
      </c>
      <c r="BB536" s="42">
        <f t="shared" si="1236"/>
        <v>0</v>
      </c>
      <c r="BC536" s="42">
        <f t="shared" si="1237"/>
        <v>0</v>
      </c>
      <c r="BD536" s="42">
        <f t="shared" si="1223"/>
        <v>0</v>
      </c>
      <c r="BE536" s="43">
        <f t="shared" si="1224"/>
        <v>36</v>
      </c>
      <c r="BF536" s="44"/>
      <c r="BG536" s="45">
        <f t="shared" si="1225"/>
        <v>0</v>
      </c>
      <c r="BH536" s="45">
        <f t="shared" si="1226"/>
        <v>0</v>
      </c>
      <c r="BI536" s="45">
        <f t="shared" si="1227"/>
        <v>0</v>
      </c>
      <c r="BJ536" s="46">
        <f t="shared" si="1210"/>
        <v>36</v>
      </c>
      <c r="BK536" s="46">
        <f t="shared" si="1211"/>
        <v>1</v>
      </c>
      <c r="BL536" s="46">
        <f t="shared" si="1212"/>
        <v>0</v>
      </c>
    </row>
    <row r="537" spans="1:64" ht="30" customHeight="1" x14ac:dyDescent="0.25">
      <c r="A537" s="84" t="str">
        <f t="shared" si="1228"/>
        <v>Д</v>
      </c>
      <c r="B537" s="84" t="str">
        <f t="shared" si="32"/>
        <v>М</v>
      </c>
      <c r="C537" s="101" t="s">
        <v>1483</v>
      </c>
      <c r="D537" s="16" t="str">
        <f t="shared" si="33"/>
        <v>'02.04.02</v>
      </c>
      <c r="E537" s="17" t="str">
        <f t="shared" si="34"/>
        <v>Управление инфокоммуникациями и интеллектуальные системы</v>
      </c>
      <c r="F537" s="9" t="s">
        <v>413</v>
      </c>
      <c r="G537" s="9" t="s">
        <v>42</v>
      </c>
      <c r="H537" s="10" t="s">
        <v>3233</v>
      </c>
      <c r="I537" s="10"/>
      <c r="J537" s="115" t="s">
        <v>3313</v>
      </c>
      <c r="K537" s="11">
        <v>2</v>
      </c>
      <c r="L537" s="11">
        <v>18</v>
      </c>
      <c r="M537" s="8" t="s">
        <v>24</v>
      </c>
      <c r="N537" s="11"/>
      <c r="O537" s="11"/>
      <c r="P537" s="11">
        <v>2</v>
      </c>
      <c r="Q537" s="8"/>
      <c r="R537" s="11"/>
      <c r="S537" s="11"/>
      <c r="T537" s="11"/>
      <c r="U537" s="11"/>
      <c r="V537" s="11"/>
      <c r="W537" s="83" t="str">
        <f t="shared" si="1229"/>
        <v>НФИмд</v>
      </c>
      <c r="X537" s="110" t="s">
        <v>3246</v>
      </c>
      <c r="Y537" s="11">
        <v>1</v>
      </c>
      <c r="Z537" s="11"/>
      <c r="AA537" s="83">
        <f t="shared" si="35"/>
        <v>13</v>
      </c>
      <c r="AB537" s="11">
        <v>9</v>
      </c>
      <c r="AC537" s="11">
        <v>4</v>
      </c>
      <c r="AD537" s="81">
        <f t="shared" si="1230"/>
        <v>12</v>
      </c>
      <c r="AE537" s="82">
        <f t="shared" si="36"/>
        <v>1</v>
      </c>
      <c r="AF537" s="82">
        <f t="shared" si="37"/>
        <v>1.0833333333333333</v>
      </c>
      <c r="AG537" s="102" t="s">
        <v>3250</v>
      </c>
      <c r="AH537" s="8" t="s">
        <v>204</v>
      </c>
      <c r="AI537" s="8" t="s">
        <v>212</v>
      </c>
      <c r="AJ537" s="35" t="s">
        <v>3256</v>
      </c>
      <c r="AK537" s="8"/>
      <c r="AL537" s="42">
        <f t="shared" si="1231"/>
        <v>0</v>
      </c>
      <c r="AM537" s="42">
        <f t="shared" si="1214"/>
        <v>36</v>
      </c>
      <c r="AN537" s="42">
        <f t="shared" si="1215"/>
        <v>0</v>
      </c>
      <c r="AO537" s="42">
        <f t="shared" si="1188"/>
        <v>0</v>
      </c>
      <c r="AP537" s="42">
        <f t="shared" si="1216"/>
        <v>0</v>
      </c>
      <c r="AQ537" s="42">
        <f t="shared" si="1217"/>
        <v>0</v>
      </c>
      <c r="AR537" s="42">
        <f t="shared" si="1232"/>
        <v>0</v>
      </c>
      <c r="AS537" s="42">
        <f t="shared" si="1218"/>
        <v>0</v>
      </c>
      <c r="AT537" s="42">
        <f t="shared" si="1219"/>
        <v>0</v>
      </c>
      <c r="AU537" s="42">
        <f t="shared" si="1220"/>
        <v>0</v>
      </c>
      <c r="AV537" s="42">
        <f>IF(M537="ПП",РПП*AA537*(U537/1.5),IF(M537="ВП",ВПр*AA537*(U537/1.5),IF(M537="РПА",РПА*AA537*(U537/1.5),IF(M537="КПА",КПА*AA537*(U537/1.5),0))))</f>
        <v>0</v>
      </c>
      <c r="AW537" s="42">
        <f t="shared" si="1221"/>
        <v>0</v>
      </c>
      <c r="AX537" s="42">
        <f t="shared" si="1233"/>
        <v>0</v>
      </c>
      <c r="AY537" s="42">
        <f t="shared" si="1234"/>
        <v>0</v>
      </c>
      <c r="AZ537" s="42">
        <f t="shared" si="1222"/>
        <v>0</v>
      </c>
      <c r="BA537" s="42">
        <f t="shared" si="1235"/>
        <v>0</v>
      </c>
      <c r="BB537" s="42">
        <f t="shared" si="1236"/>
        <v>0</v>
      </c>
      <c r="BC537" s="42">
        <f t="shared" si="1237"/>
        <v>0</v>
      </c>
      <c r="BD537" s="42">
        <f t="shared" si="1223"/>
        <v>0</v>
      </c>
      <c r="BE537" s="43">
        <f t="shared" si="1224"/>
        <v>36</v>
      </c>
      <c r="BF537" s="44"/>
      <c r="BG537" s="45">
        <f t="shared" si="1225"/>
        <v>0</v>
      </c>
      <c r="BH537" s="45">
        <f t="shared" si="1226"/>
        <v>0</v>
      </c>
      <c r="BI537" s="45">
        <f t="shared" si="1227"/>
        <v>0</v>
      </c>
      <c r="BJ537" s="46">
        <f t="shared" si="1210"/>
        <v>36</v>
      </c>
      <c r="BK537" s="46">
        <f t="shared" si="1211"/>
        <v>1</v>
      </c>
      <c r="BL537" s="46">
        <f t="shared" si="1212"/>
        <v>0</v>
      </c>
    </row>
    <row r="538" spans="1:64" ht="30" customHeight="1" x14ac:dyDescent="0.25">
      <c r="A538" s="84" t="str">
        <f t="shared" si="1228"/>
        <v>Д</v>
      </c>
      <c r="B538" s="84" t="str">
        <f t="shared" si="32"/>
        <v>М</v>
      </c>
      <c r="C538" s="101" t="s">
        <v>1483</v>
      </c>
      <c r="D538" s="16" t="str">
        <f t="shared" si="33"/>
        <v>'02.04.02</v>
      </c>
      <c r="E538" s="17" t="str">
        <f t="shared" si="34"/>
        <v>Управление инфокоммуникациями и интеллектуальные системы</v>
      </c>
      <c r="F538" s="9" t="s">
        <v>413</v>
      </c>
      <c r="G538" s="9" t="s">
        <v>42</v>
      </c>
      <c r="H538" s="10" t="s">
        <v>3233</v>
      </c>
      <c r="I538" s="10"/>
      <c r="J538" s="115" t="s">
        <v>3342</v>
      </c>
      <c r="K538" s="11">
        <v>2</v>
      </c>
      <c r="L538" s="11">
        <v>18</v>
      </c>
      <c r="M538" s="8" t="s">
        <v>23</v>
      </c>
      <c r="N538" s="11">
        <v>1</v>
      </c>
      <c r="O538" s="11"/>
      <c r="P538" s="11"/>
      <c r="Q538" s="8"/>
      <c r="R538" s="11"/>
      <c r="S538" s="11"/>
      <c r="T538" s="11"/>
      <c r="U538" s="11"/>
      <c r="V538" s="11"/>
      <c r="W538" s="83" t="str">
        <f t="shared" si="1229"/>
        <v>НФИмд</v>
      </c>
      <c r="X538" s="110" t="s">
        <v>3357</v>
      </c>
      <c r="Y538" s="11">
        <v>2</v>
      </c>
      <c r="Z538" s="11">
        <v>1</v>
      </c>
      <c r="AA538" s="83">
        <f t="shared" si="35"/>
        <v>26</v>
      </c>
      <c r="AB538" s="11">
        <v>19</v>
      </c>
      <c r="AC538" s="11">
        <v>7</v>
      </c>
      <c r="AD538" s="81">
        <f t="shared" si="1230"/>
        <v>26</v>
      </c>
      <c r="AE538" s="82">
        <f t="shared" si="36"/>
        <v>1</v>
      </c>
      <c r="AF538" s="82">
        <f t="shared" si="37"/>
        <v>1</v>
      </c>
      <c r="AG538" s="102" t="s">
        <v>3250</v>
      </c>
      <c r="AH538" s="8" t="s">
        <v>203</v>
      </c>
      <c r="AI538" s="8" t="s">
        <v>213</v>
      </c>
      <c r="AJ538" s="36" t="s">
        <v>3344</v>
      </c>
      <c r="AK538" s="8"/>
      <c r="AL538" s="42">
        <f t="shared" si="1231"/>
        <v>18</v>
      </c>
      <c r="AM538" s="42">
        <f t="shared" si="1214"/>
        <v>0</v>
      </c>
      <c r="AN538" s="42">
        <f t="shared" si="1215"/>
        <v>0</v>
      </c>
      <c r="AO538" s="42">
        <f t="shared" si="1188"/>
        <v>0</v>
      </c>
      <c r="AP538" s="42">
        <f t="shared" si="1216"/>
        <v>0</v>
      </c>
      <c r="AQ538" s="42">
        <f t="shared" si="1217"/>
        <v>0</v>
      </c>
      <c r="AR538" s="42">
        <f t="shared" si="1232"/>
        <v>0.9</v>
      </c>
      <c r="AS538" s="42">
        <f t="shared" si="1218"/>
        <v>0</v>
      </c>
      <c r="AT538" s="42">
        <f t="shared" si="1219"/>
        <v>0</v>
      </c>
      <c r="AU538" s="42">
        <f t="shared" si="1220"/>
        <v>0</v>
      </c>
      <c r="AV538" s="42">
        <f>IF(M538="ПП",РПП*AA538*(U538/1.5),IF(M538="ВП",ВПр*AA538*(U538/1.5),IF(M538="РПА",РПА*AA538*(U538/1.5),IF(M538="КПА",КПА*AA538*(U538/1.5),0))))</f>
        <v>0</v>
      </c>
      <c r="AW538" s="42">
        <f t="shared" si="1221"/>
        <v>0</v>
      </c>
      <c r="AX538" s="42">
        <f t="shared" si="1233"/>
        <v>0</v>
      </c>
      <c r="AY538" s="42">
        <f t="shared" si="1234"/>
        <v>0</v>
      </c>
      <c r="AZ538" s="42">
        <f t="shared" si="1222"/>
        <v>0</v>
      </c>
      <c r="BA538" s="42">
        <f t="shared" si="1235"/>
        <v>0</v>
      </c>
      <c r="BB538" s="42">
        <f t="shared" si="1236"/>
        <v>0</v>
      </c>
      <c r="BC538" s="42">
        <f t="shared" si="1237"/>
        <v>0</v>
      </c>
      <c r="BD538" s="42">
        <f t="shared" si="1223"/>
        <v>0</v>
      </c>
      <c r="BE538" s="43">
        <f t="shared" si="1224"/>
        <v>18.899999999999999</v>
      </c>
      <c r="BF538" s="44"/>
      <c r="BG538" s="45">
        <f t="shared" si="1225"/>
        <v>0</v>
      </c>
      <c r="BH538" s="45">
        <f t="shared" si="1226"/>
        <v>0</v>
      </c>
      <c r="BI538" s="45">
        <f t="shared" si="1227"/>
        <v>0</v>
      </c>
      <c r="BJ538" s="46">
        <f t="shared" si="1210"/>
        <v>18</v>
      </c>
      <c r="BK538" s="46">
        <f t="shared" si="1211"/>
        <v>0.5</v>
      </c>
      <c r="BL538" s="46">
        <f t="shared" si="1212"/>
        <v>0.9</v>
      </c>
    </row>
    <row r="539" spans="1:64" ht="30" customHeight="1" x14ac:dyDescent="0.25">
      <c r="A539" s="84" t="str">
        <f t="shared" si="1228"/>
        <v>Д</v>
      </c>
      <c r="B539" s="84" t="str">
        <f t="shared" si="32"/>
        <v>М</v>
      </c>
      <c r="C539" s="101" t="s">
        <v>1483</v>
      </c>
      <c r="D539" s="16" t="str">
        <f t="shared" si="33"/>
        <v>'02.04.02</v>
      </c>
      <c r="E539" s="17" t="str">
        <f t="shared" si="34"/>
        <v>Управление инфокоммуникациями и интеллектуальные системы</v>
      </c>
      <c r="F539" s="9" t="s">
        <v>413</v>
      </c>
      <c r="G539" s="9" t="s">
        <v>42</v>
      </c>
      <c r="H539" s="10" t="s">
        <v>3233</v>
      </c>
      <c r="I539" s="10"/>
      <c r="J539" s="115" t="s">
        <v>3342</v>
      </c>
      <c r="K539" s="11">
        <v>2</v>
      </c>
      <c r="L539" s="11">
        <v>18</v>
      </c>
      <c r="M539" s="8" t="s">
        <v>24</v>
      </c>
      <c r="N539" s="11"/>
      <c r="O539" s="11"/>
      <c r="P539" s="11">
        <v>1</v>
      </c>
      <c r="Q539" s="8" t="s">
        <v>102</v>
      </c>
      <c r="R539" s="11"/>
      <c r="S539" s="11"/>
      <c r="T539" s="11"/>
      <c r="U539" s="11"/>
      <c r="V539" s="11"/>
      <c r="W539" s="83" t="str">
        <f t="shared" si="1229"/>
        <v>НФИмд</v>
      </c>
      <c r="X539" s="110" t="s">
        <v>3246</v>
      </c>
      <c r="Y539" s="11">
        <v>1</v>
      </c>
      <c r="Z539" s="11">
        <v>1</v>
      </c>
      <c r="AA539" s="83">
        <f t="shared" si="35"/>
        <v>13</v>
      </c>
      <c r="AB539" s="11">
        <v>10</v>
      </c>
      <c r="AC539" s="11">
        <v>3</v>
      </c>
      <c r="AD539" s="81">
        <f t="shared" si="1230"/>
        <v>12</v>
      </c>
      <c r="AE539" s="82">
        <f t="shared" si="36"/>
        <v>1</v>
      </c>
      <c r="AF539" s="82">
        <f t="shared" si="37"/>
        <v>1.0833333333333333</v>
      </c>
      <c r="AG539" s="102" t="s">
        <v>3250</v>
      </c>
      <c r="AH539" s="8" t="s">
        <v>203</v>
      </c>
      <c r="AI539" s="8" t="s">
        <v>213</v>
      </c>
      <c r="AJ539" s="35" t="s">
        <v>3344</v>
      </c>
      <c r="AK539" s="8"/>
      <c r="AL539" s="42">
        <f t="shared" si="1231"/>
        <v>0</v>
      </c>
      <c r="AM539" s="42">
        <f t="shared" si="1214"/>
        <v>18</v>
      </c>
      <c r="AN539" s="42">
        <f t="shared" si="1215"/>
        <v>0</v>
      </c>
      <c r="AO539" s="42">
        <f t="shared" si="1188"/>
        <v>4.29</v>
      </c>
      <c r="AP539" s="42">
        <f t="shared" si="1216"/>
        <v>6.5</v>
      </c>
      <c r="AQ539" s="42">
        <f t="shared" si="1217"/>
        <v>1</v>
      </c>
      <c r="AR539" s="42">
        <f t="shared" si="1232"/>
        <v>0</v>
      </c>
      <c r="AS539" s="42">
        <f t="shared" si="1218"/>
        <v>0</v>
      </c>
      <c r="AT539" s="42">
        <f t="shared" si="1219"/>
        <v>0</v>
      </c>
      <c r="AU539" s="42">
        <f t="shared" si="1220"/>
        <v>0</v>
      </c>
      <c r="AV539" s="42">
        <f>IF(M539="ПП",РПП*AA539*(U539/1.5),IF(M539="ВП",ВПр*AA539*(U539/1.5),IF(M539="РПА",РПА*AA539*(U539/1.5),IF(M539="КПА",КПА*AA539*(U539/1.5),0))))</f>
        <v>0</v>
      </c>
      <c r="AW539" s="42">
        <f t="shared" si="1221"/>
        <v>0</v>
      </c>
      <c r="AX539" s="42">
        <f t="shared" si="1233"/>
        <v>0</v>
      </c>
      <c r="AY539" s="42">
        <f t="shared" si="1234"/>
        <v>0</v>
      </c>
      <c r="AZ539" s="42">
        <f t="shared" si="1222"/>
        <v>0</v>
      </c>
      <c r="BA539" s="42">
        <f t="shared" si="1235"/>
        <v>0</v>
      </c>
      <c r="BB539" s="42">
        <f t="shared" si="1236"/>
        <v>0</v>
      </c>
      <c r="BC539" s="42">
        <f t="shared" si="1237"/>
        <v>0</v>
      </c>
      <c r="BD539" s="42">
        <f t="shared" si="1223"/>
        <v>0</v>
      </c>
      <c r="BE539" s="43">
        <f t="shared" si="1224"/>
        <v>29.79</v>
      </c>
      <c r="BF539" s="44"/>
      <c r="BG539" s="45">
        <f t="shared" si="1225"/>
        <v>0</v>
      </c>
      <c r="BH539" s="45">
        <f t="shared" si="1226"/>
        <v>0</v>
      </c>
      <c r="BI539" s="45">
        <f t="shared" si="1227"/>
        <v>0</v>
      </c>
      <c r="BJ539" s="46">
        <f t="shared" si="1210"/>
        <v>18</v>
      </c>
      <c r="BK539" s="46">
        <f t="shared" si="1211"/>
        <v>0.5</v>
      </c>
      <c r="BL539" s="46">
        <f t="shared" si="1212"/>
        <v>11.79</v>
      </c>
    </row>
    <row r="540" spans="1:64" ht="30" customHeight="1" x14ac:dyDescent="0.25">
      <c r="A540" s="84" t="str">
        <f t="shared" si="1228"/>
        <v>Д</v>
      </c>
      <c r="B540" s="84" t="str">
        <f t="shared" si="32"/>
        <v>М</v>
      </c>
      <c r="C540" s="101" t="s">
        <v>1483</v>
      </c>
      <c r="D540" s="16" t="str">
        <f t="shared" si="33"/>
        <v>'02.04.02</v>
      </c>
      <c r="E540" s="17" t="str">
        <f t="shared" si="34"/>
        <v>Управление инфокоммуникациями и интеллектуальные системы</v>
      </c>
      <c r="F540" s="9" t="s">
        <v>413</v>
      </c>
      <c r="G540" s="9" t="s">
        <v>42</v>
      </c>
      <c r="H540" s="10" t="s">
        <v>3233</v>
      </c>
      <c r="I540" s="10"/>
      <c r="J540" s="115" t="s">
        <v>3342</v>
      </c>
      <c r="K540" s="11">
        <v>2</v>
      </c>
      <c r="L540" s="11">
        <v>18</v>
      </c>
      <c r="M540" s="8" t="s">
        <v>24</v>
      </c>
      <c r="N540" s="11"/>
      <c r="O540" s="11"/>
      <c r="P540" s="11">
        <v>1</v>
      </c>
      <c r="Q540" s="8" t="s">
        <v>102</v>
      </c>
      <c r="R540" s="11"/>
      <c r="S540" s="11"/>
      <c r="T540" s="11"/>
      <c r="U540" s="11"/>
      <c r="V540" s="11"/>
      <c r="W540" s="83" t="str">
        <f t="shared" si="1229"/>
        <v>НФИмд</v>
      </c>
      <c r="X540" s="110" t="s">
        <v>3246</v>
      </c>
      <c r="Y540" s="11">
        <v>1</v>
      </c>
      <c r="Z540" s="11"/>
      <c r="AA540" s="83">
        <f t="shared" si="35"/>
        <v>13</v>
      </c>
      <c r="AB540" s="11">
        <v>9</v>
      </c>
      <c r="AC540" s="11">
        <v>4</v>
      </c>
      <c r="AD540" s="81">
        <f t="shared" si="1230"/>
        <v>12</v>
      </c>
      <c r="AE540" s="82">
        <f t="shared" si="36"/>
        <v>1</v>
      </c>
      <c r="AF540" s="82">
        <f t="shared" si="37"/>
        <v>1.0833333333333333</v>
      </c>
      <c r="AG540" s="102" t="s">
        <v>3250</v>
      </c>
      <c r="AH540" s="8" t="s">
        <v>203</v>
      </c>
      <c r="AI540" s="8" t="s">
        <v>213</v>
      </c>
      <c r="AJ540" s="37" t="s">
        <v>3344</v>
      </c>
      <c r="AK540" s="8"/>
      <c r="AL540" s="42">
        <f t="shared" si="1231"/>
        <v>0</v>
      </c>
      <c r="AM540" s="42">
        <f t="shared" si="1214"/>
        <v>18</v>
      </c>
      <c r="AN540" s="42">
        <f t="shared" si="1215"/>
        <v>0</v>
      </c>
      <c r="AO540" s="42">
        <f t="shared" si="1188"/>
        <v>4.29</v>
      </c>
      <c r="AP540" s="42">
        <f t="shared" si="1216"/>
        <v>6.5</v>
      </c>
      <c r="AQ540" s="42">
        <f t="shared" si="1217"/>
        <v>1</v>
      </c>
      <c r="AR540" s="42">
        <f t="shared" si="1232"/>
        <v>0</v>
      </c>
      <c r="AS540" s="42">
        <f t="shared" si="1218"/>
        <v>0</v>
      </c>
      <c r="AT540" s="42">
        <f t="shared" si="1219"/>
        <v>0</v>
      </c>
      <c r="AU540" s="42">
        <f t="shared" si="1220"/>
        <v>0</v>
      </c>
      <c r="AV540" s="42">
        <f>IF(M540="ПП",РПП*AA540*(U540/1.5),IF(M540="ВП",ВПр*AA540*(U540/1.5),IF(M540="РПА",РПА*AA540*(U540/1.5),IF(M540="КПА",КПА*AA540*(U540/1.5),0))))</f>
        <v>0</v>
      </c>
      <c r="AW540" s="42">
        <f t="shared" si="1221"/>
        <v>0</v>
      </c>
      <c r="AX540" s="42">
        <f t="shared" si="1233"/>
        <v>0</v>
      </c>
      <c r="AY540" s="42">
        <f t="shared" si="1234"/>
        <v>0</v>
      </c>
      <c r="AZ540" s="42">
        <f t="shared" si="1222"/>
        <v>0</v>
      </c>
      <c r="BA540" s="42">
        <f t="shared" si="1235"/>
        <v>0</v>
      </c>
      <c r="BB540" s="42">
        <f t="shared" si="1236"/>
        <v>0</v>
      </c>
      <c r="BC540" s="42">
        <f t="shared" si="1237"/>
        <v>0</v>
      </c>
      <c r="BD540" s="42">
        <f t="shared" si="1223"/>
        <v>0</v>
      </c>
      <c r="BE540" s="43">
        <f t="shared" si="1224"/>
        <v>29.79</v>
      </c>
      <c r="BF540" s="44"/>
      <c r="BG540" s="45">
        <f t="shared" si="1225"/>
        <v>0</v>
      </c>
      <c r="BH540" s="45">
        <f t="shared" si="1226"/>
        <v>0</v>
      </c>
      <c r="BI540" s="45">
        <f t="shared" si="1227"/>
        <v>0</v>
      </c>
      <c r="BJ540" s="46">
        <f t="shared" si="1210"/>
        <v>18</v>
      </c>
      <c r="BK540" s="46">
        <f t="shared" si="1211"/>
        <v>0.5</v>
      </c>
      <c r="BL540" s="46">
        <f t="shared" si="1212"/>
        <v>11.79</v>
      </c>
    </row>
    <row r="541" spans="1:64" ht="30" customHeight="1" x14ac:dyDescent="0.25">
      <c r="A541" s="84" t="str">
        <f t="shared" si="1228"/>
        <v>Д</v>
      </c>
      <c r="B541" s="84" t="str">
        <f t="shared" si="32"/>
        <v>М</v>
      </c>
      <c r="C541" s="101" t="s">
        <v>1483</v>
      </c>
      <c r="D541" s="16" t="str">
        <f t="shared" si="33"/>
        <v>'02.04.02</v>
      </c>
      <c r="E541" s="17" t="str">
        <f t="shared" si="34"/>
        <v>Управление инфокоммуникациями и интеллектуальные системы</v>
      </c>
      <c r="F541" s="9" t="s">
        <v>413</v>
      </c>
      <c r="G541" s="9" t="s">
        <v>42</v>
      </c>
      <c r="H541" s="10" t="s">
        <v>3233</v>
      </c>
      <c r="I541" s="10" t="s">
        <v>3231</v>
      </c>
      <c r="J541" s="115" t="s">
        <v>3321</v>
      </c>
      <c r="K541" s="11">
        <v>2</v>
      </c>
      <c r="L541" s="11">
        <v>18</v>
      </c>
      <c r="M541" s="8" t="s">
        <v>23</v>
      </c>
      <c r="N541" s="11">
        <v>1</v>
      </c>
      <c r="O541" s="11"/>
      <c r="P541" s="11"/>
      <c r="Q541" s="8" t="s">
        <v>103</v>
      </c>
      <c r="R541" s="12"/>
      <c r="S541" s="12"/>
      <c r="T541" s="12"/>
      <c r="U541" s="12"/>
      <c r="V541" s="12"/>
      <c r="W541" s="83" t="str">
        <f t="shared" si="1229"/>
        <v>НФИмд</v>
      </c>
      <c r="X541" s="110" t="s">
        <v>3274</v>
      </c>
      <c r="Y541" s="11">
        <v>2</v>
      </c>
      <c r="Z541" s="11">
        <v>1</v>
      </c>
      <c r="AA541" s="83">
        <f t="shared" si="35"/>
        <v>13</v>
      </c>
      <c r="AB541" s="11">
        <v>10</v>
      </c>
      <c r="AC541" s="11">
        <v>3</v>
      </c>
      <c r="AD541" s="81">
        <f t="shared" si="1230"/>
        <v>13</v>
      </c>
      <c r="AE541" s="82">
        <f t="shared" si="36"/>
        <v>1</v>
      </c>
      <c r="AF541" s="82">
        <f t="shared" si="37"/>
        <v>1</v>
      </c>
      <c r="AG541" s="102" t="s">
        <v>3250</v>
      </c>
      <c r="AH541" s="8" t="s">
        <v>205</v>
      </c>
      <c r="AI541" s="8" t="s">
        <v>213</v>
      </c>
      <c r="AJ541" s="35" t="s">
        <v>3296</v>
      </c>
      <c r="AK541" s="8"/>
      <c r="AL541" s="42">
        <f t="shared" si="1231"/>
        <v>18</v>
      </c>
      <c r="AM541" s="42">
        <f t="shared" si="1214"/>
        <v>0</v>
      </c>
      <c r="AN541" s="42">
        <f t="shared" si="1215"/>
        <v>0</v>
      </c>
      <c r="AO541" s="42">
        <f t="shared" si="1188"/>
        <v>4.29</v>
      </c>
      <c r="AP541" s="42">
        <f t="shared" si="1216"/>
        <v>6.5</v>
      </c>
      <c r="AQ541" s="42">
        <f t="shared" si="1217"/>
        <v>1</v>
      </c>
      <c r="AR541" s="42">
        <f t="shared" si="1232"/>
        <v>0.9</v>
      </c>
      <c r="AS541" s="42">
        <f t="shared" si="1218"/>
        <v>0</v>
      </c>
      <c r="AT541" s="42">
        <f t="shared" si="1219"/>
        <v>0</v>
      </c>
      <c r="AU541" s="42">
        <f t="shared" si="1220"/>
        <v>0</v>
      </c>
      <c r="AV541" s="42">
        <f>IF(M541="ПП",РПП*AA541*(U541/1.5),IF(M541="ВП",ВПр*AA541*(U541/1.5),IF(M541="РПА",РПА*AA541*(U541/1.5),IF(M541="КПА",КПА*AA541*(U541/1.5),0))))</f>
        <v>0</v>
      </c>
      <c r="AW541" s="42">
        <f t="shared" si="1221"/>
        <v>0</v>
      </c>
      <c r="AX541" s="42">
        <f t="shared" si="1233"/>
        <v>0</v>
      </c>
      <c r="AY541" s="42">
        <f t="shared" si="1234"/>
        <v>0</v>
      </c>
      <c r="AZ541" s="42">
        <f t="shared" si="1222"/>
        <v>0</v>
      </c>
      <c r="BA541" s="42">
        <f t="shared" si="1235"/>
        <v>0</v>
      </c>
      <c r="BB541" s="42">
        <f t="shared" si="1236"/>
        <v>0</v>
      </c>
      <c r="BC541" s="42">
        <f t="shared" si="1237"/>
        <v>0</v>
      </c>
      <c r="BD541" s="42">
        <f t="shared" si="1223"/>
        <v>0</v>
      </c>
      <c r="BE541" s="43">
        <f t="shared" si="1224"/>
        <v>30.689999999999998</v>
      </c>
      <c r="BF541" s="44"/>
      <c r="BG541" s="45">
        <f t="shared" si="1225"/>
        <v>0</v>
      </c>
      <c r="BH541" s="45">
        <f t="shared" si="1226"/>
        <v>0</v>
      </c>
      <c r="BI541" s="45">
        <f t="shared" si="1227"/>
        <v>0</v>
      </c>
      <c r="BJ541" s="46">
        <f t="shared" si="1210"/>
        <v>18</v>
      </c>
      <c r="BK541" s="46">
        <f t="shared" si="1211"/>
        <v>0.5</v>
      </c>
      <c r="BL541" s="46">
        <f t="shared" si="1212"/>
        <v>12.69</v>
      </c>
    </row>
    <row r="542" spans="1:64" ht="30" customHeight="1" x14ac:dyDescent="0.25">
      <c r="A542" s="84" t="str">
        <f t="shared" si="1228"/>
        <v>Д</v>
      </c>
      <c r="B542" s="84" t="str">
        <f t="shared" si="32"/>
        <v>М</v>
      </c>
      <c r="C542" s="101" t="s">
        <v>1483</v>
      </c>
      <c r="D542" s="16" t="str">
        <f t="shared" si="33"/>
        <v>'02.04.02</v>
      </c>
      <c r="E542" s="17" t="str">
        <f t="shared" si="34"/>
        <v>Управление инфокоммуникациями и интеллектуальные системы</v>
      </c>
      <c r="F542" s="9" t="s">
        <v>413</v>
      </c>
      <c r="G542" s="9" t="s">
        <v>42</v>
      </c>
      <c r="H542" s="10" t="s">
        <v>3233</v>
      </c>
      <c r="I542" s="10" t="s">
        <v>3231</v>
      </c>
      <c r="J542" s="115" t="s">
        <v>3321</v>
      </c>
      <c r="K542" s="11">
        <v>2</v>
      </c>
      <c r="L542" s="11">
        <v>18</v>
      </c>
      <c r="M542" s="8" t="s">
        <v>24</v>
      </c>
      <c r="N542" s="11"/>
      <c r="O542" s="11"/>
      <c r="P542" s="11">
        <v>1</v>
      </c>
      <c r="Q542" s="8"/>
      <c r="R542" s="11"/>
      <c r="S542" s="11"/>
      <c r="T542" s="23"/>
      <c r="U542" s="11"/>
      <c r="V542" s="11"/>
      <c r="W542" s="83" t="str">
        <f t="shared" si="1229"/>
        <v>НФИмд</v>
      </c>
      <c r="X542" s="110" t="s">
        <v>3246</v>
      </c>
      <c r="Y542" s="11">
        <v>1</v>
      </c>
      <c r="Z542" s="11">
        <v>1</v>
      </c>
      <c r="AA542" s="83">
        <f t="shared" si="35"/>
        <v>7</v>
      </c>
      <c r="AB542" s="11">
        <v>5</v>
      </c>
      <c r="AC542" s="11">
        <v>2</v>
      </c>
      <c r="AD542" s="81">
        <f t="shared" si="1230"/>
        <v>12</v>
      </c>
      <c r="AE542" s="82">
        <f t="shared" si="36"/>
        <v>0.58333333333333337</v>
      </c>
      <c r="AF542" s="82">
        <f t="shared" si="37"/>
        <v>0.58333333333333337</v>
      </c>
      <c r="AG542" s="102" t="s">
        <v>3250</v>
      </c>
      <c r="AH542" s="8" t="s">
        <v>205</v>
      </c>
      <c r="AI542" s="8" t="s">
        <v>213</v>
      </c>
      <c r="AJ542" s="35" t="s">
        <v>3296</v>
      </c>
      <c r="AK542" s="8"/>
      <c r="AL542" s="42">
        <f t="shared" si="1231"/>
        <v>0</v>
      </c>
      <c r="AM542" s="42">
        <f t="shared" si="1214"/>
        <v>10.5</v>
      </c>
      <c r="AN542" s="42">
        <f t="shared" si="1215"/>
        <v>0</v>
      </c>
      <c r="AO542" s="42">
        <f t="shared" si="1188"/>
        <v>0</v>
      </c>
      <c r="AP542" s="42">
        <f t="shared" si="1216"/>
        <v>0</v>
      </c>
      <c r="AQ542" s="42">
        <f t="shared" si="1217"/>
        <v>0</v>
      </c>
      <c r="AR542" s="42">
        <f t="shared" si="1232"/>
        <v>0</v>
      </c>
      <c r="AS542" s="42">
        <f t="shared" si="1218"/>
        <v>0</v>
      </c>
      <c r="AT542" s="42">
        <f t="shared" si="1219"/>
        <v>0</v>
      </c>
      <c r="AU542" s="42">
        <f t="shared" si="1220"/>
        <v>0</v>
      </c>
      <c r="AV542" s="42">
        <f>IF(M542="ПП",РПП*AA542*(U542/1.5),IF(M542="ВП",ВПр*AA542*(U542/1.5),IF(M542="РПА",РПА*AA542*(U542/1.5),IF(M542="КПА",КПА*AA542*(U542/1.5),0))))</f>
        <v>0</v>
      </c>
      <c r="AW542" s="42">
        <f t="shared" si="1221"/>
        <v>0</v>
      </c>
      <c r="AX542" s="42">
        <f t="shared" si="1233"/>
        <v>0</v>
      </c>
      <c r="AY542" s="42">
        <f t="shared" si="1234"/>
        <v>0</v>
      </c>
      <c r="AZ542" s="42">
        <f t="shared" si="1222"/>
        <v>0</v>
      </c>
      <c r="BA542" s="42">
        <f t="shared" si="1235"/>
        <v>0</v>
      </c>
      <c r="BB542" s="42">
        <f t="shared" si="1236"/>
        <v>0</v>
      </c>
      <c r="BC542" s="42">
        <f t="shared" si="1237"/>
        <v>0</v>
      </c>
      <c r="BD542" s="42">
        <f t="shared" si="1223"/>
        <v>0</v>
      </c>
      <c r="BE542" s="43">
        <f t="shared" si="1224"/>
        <v>10.5</v>
      </c>
      <c r="BF542" s="44"/>
      <c r="BG542" s="45">
        <f t="shared" si="1225"/>
        <v>0</v>
      </c>
      <c r="BH542" s="45">
        <f t="shared" si="1226"/>
        <v>0</v>
      </c>
      <c r="BI542" s="45">
        <f t="shared" si="1227"/>
        <v>0</v>
      </c>
      <c r="BJ542" s="46">
        <f t="shared" si="1210"/>
        <v>10.5</v>
      </c>
      <c r="BK542" s="46">
        <f t="shared" si="1211"/>
        <v>0.5</v>
      </c>
      <c r="BL542" s="46">
        <f t="shared" si="1212"/>
        <v>0</v>
      </c>
    </row>
    <row r="543" spans="1:64" ht="30" customHeight="1" x14ac:dyDescent="0.25">
      <c r="A543" s="84" t="str">
        <f t="shared" si="1228"/>
        <v>Д</v>
      </c>
      <c r="B543" s="84" t="str">
        <f t="shared" si="32"/>
        <v>М</v>
      </c>
      <c r="C543" s="101" t="s">
        <v>1483</v>
      </c>
      <c r="D543" s="16" t="str">
        <f t="shared" si="33"/>
        <v>'02.04.02</v>
      </c>
      <c r="E543" s="17" t="str">
        <f t="shared" si="34"/>
        <v>Управление инфокоммуникациями и интеллектуальные системы</v>
      </c>
      <c r="F543" s="9" t="s">
        <v>413</v>
      </c>
      <c r="G543" s="9" t="s">
        <v>42</v>
      </c>
      <c r="H543" s="10" t="s">
        <v>3233</v>
      </c>
      <c r="I543" s="10" t="s">
        <v>3231</v>
      </c>
      <c r="J543" s="115" t="s">
        <v>3321</v>
      </c>
      <c r="K543" s="12">
        <v>2</v>
      </c>
      <c r="L543" s="11">
        <v>18</v>
      </c>
      <c r="M543" s="8" t="s">
        <v>24</v>
      </c>
      <c r="N543" s="12"/>
      <c r="O543" s="12"/>
      <c r="P543" s="12">
        <v>1</v>
      </c>
      <c r="Q543" s="8"/>
      <c r="R543" s="11"/>
      <c r="S543" s="11"/>
      <c r="T543" s="23"/>
      <c r="U543" s="11"/>
      <c r="V543" s="11"/>
      <c r="W543" s="83" t="str">
        <f t="shared" si="1229"/>
        <v>НФИмд</v>
      </c>
      <c r="X543" s="110" t="s">
        <v>3247</v>
      </c>
      <c r="Y543" s="11">
        <v>1</v>
      </c>
      <c r="Z543" s="11"/>
      <c r="AA543" s="83">
        <f t="shared" si="35"/>
        <v>6</v>
      </c>
      <c r="AB543" s="11">
        <v>5</v>
      </c>
      <c r="AC543" s="11">
        <v>1</v>
      </c>
      <c r="AD543" s="81">
        <f t="shared" si="1230"/>
        <v>12</v>
      </c>
      <c r="AE543" s="82">
        <f t="shared" si="36"/>
        <v>0.5</v>
      </c>
      <c r="AF543" s="82">
        <f t="shared" si="37"/>
        <v>0.5</v>
      </c>
      <c r="AG543" s="102" t="s">
        <v>3250</v>
      </c>
      <c r="AH543" s="8" t="s">
        <v>205</v>
      </c>
      <c r="AI543" s="8" t="s">
        <v>213</v>
      </c>
      <c r="AJ543" s="35" t="s">
        <v>3296</v>
      </c>
      <c r="AK543" s="8"/>
      <c r="AL543" s="42">
        <f t="shared" si="1231"/>
        <v>0</v>
      </c>
      <c r="AM543" s="42">
        <f t="shared" si="1214"/>
        <v>9</v>
      </c>
      <c r="AN543" s="42">
        <f t="shared" si="1215"/>
        <v>0</v>
      </c>
      <c r="AO543" s="42">
        <f t="shared" si="1188"/>
        <v>0</v>
      </c>
      <c r="AP543" s="42">
        <f t="shared" si="1216"/>
        <v>0</v>
      </c>
      <c r="AQ543" s="42">
        <f t="shared" si="1217"/>
        <v>0</v>
      </c>
      <c r="AR543" s="42">
        <f t="shared" si="1232"/>
        <v>0</v>
      </c>
      <c r="AS543" s="42">
        <f t="shared" si="1218"/>
        <v>0</v>
      </c>
      <c r="AT543" s="42">
        <f t="shared" si="1219"/>
        <v>0</v>
      </c>
      <c r="AU543" s="42">
        <f t="shared" si="1220"/>
        <v>0</v>
      </c>
      <c r="AV543" s="42">
        <f>IF(M543="ПП",РПП*AA543*(U543/1.5),IF(M543="ВП",ВПр*AA543*(U543/1.5),IF(M543="РПА",РПА*AA543*(U543/1.5),IF(M543="КПА",КПА*AA543*(U543/1.5),0))))</f>
        <v>0</v>
      </c>
      <c r="AW543" s="42">
        <f t="shared" si="1221"/>
        <v>0</v>
      </c>
      <c r="AX543" s="42">
        <f t="shared" si="1233"/>
        <v>0</v>
      </c>
      <c r="AY543" s="42">
        <f t="shared" si="1234"/>
        <v>0</v>
      </c>
      <c r="AZ543" s="42">
        <f t="shared" si="1222"/>
        <v>0</v>
      </c>
      <c r="BA543" s="42">
        <f t="shared" si="1235"/>
        <v>0</v>
      </c>
      <c r="BB543" s="42">
        <f t="shared" si="1236"/>
        <v>0</v>
      </c>
      <c r="BC543" s="42">
        <f t="shared" si="1237"/>
        <v>0</v>
      </c>
      <c r="BD543" s="42">
        <f t="shared" si="1223"/>
        <v>0</v>
      </c>
      <c r="BE543" s="43">
        <f t="shared" si="1224"/>
        <v>9</v>
      </c>
      <c r="BF543" s="44"/>
      <c r="BG543" s="45">
        <f t="shared" si="1225"/>
        <v>0</v>
      </c>
      <c r="BH543" s="45">
        <f t="shared" si="1226"/>
        <v>0</v>
      </c>
      <c r="BI543" s="45">
        <f t="shared" si="1227"/>
        <v>0</v>
      </c>
      <c r="BJ543" s="46">
        <f t="shared" si="1210"/>
        <v>9</v>
      </c>
      <c r="BK543" s="46">
        <f t="shared" si="1211"/>
        <v>0.5</v>
      </c>
      <c r="BL543" s="46">
        <f t="shared" si="1212"/>
        <v>0</v>
      </c>
    </row>
    <row r="544" spans="1:64" ht="30" customHeight="1" x14ac:dyDescent="0.25">
      <c r="A544" s="84" t="str">
        <f t="shared" si="1228"/>
        <v>Д</v>
      </c>
      <c r="B544" s="84" t="str">
        <f t="shared" si="32"/>
        <v>М</v>
      </c>
      <c r="C544" s="101" t="s">
        <v>1483</v>
      </c>
      <c r="D544" s="16" t="str">
        <f t="shared" si="33"/>
        <v>'02.04.02</v>
      </c>
      <c r="E544" s="17" t="str">
        <f t="shared" si="34"/>
        <v>Управление инфокоммуникациями и интеллектуальные системы</v>
      </c>
      <c r="F544" s="9" t="s">
        <v>413</v>
      </c>
      <c r="G544" s="9" t="s">
        <v>42</v>
      </c>
      <c r="H544" s="10" t="s">
        <v>3233</v>
      </c>
      <c r="I544" s="10" t="s">
        <v>3231</v>
      </c>
      <c r="J544" s="115" t="s">
        <v>3343</v>
      </c>
      <c r="K544" s="11">
        <v>2</v>
      </c>
      <c r="L544" s="11">
        <v>18</v>
      </c>
      <c r="M544" s="8" t="s">
        <v>23</v>
      </c>
      <c r="N544" s="11">
        <v>1</v>
      </c>
      <c r="O544" s="11"/>
      <c r="P544" s="11"/>
      <c r="Q544" s="8" t="s">
        <v>103</v>
      </c>
      <c r="R544" s="11"/>
      <c r="S544" s="11"/>
      <c r="T544" s="11"/>
      <c r="U544" s="11"/>
      <c r="V544" s="11"/>
      <c r="W544" s="83" t="str">
        <f t="shared" si="1229"/>
        <v>НФИмд</v>
      </c>
      <c r="X544" s="110" t="s">
        <v>3274</v>
      </c>
      <c r="Y544" s="11">
        <v>2</v>
      </c>
      <c r="Z544" s="11">
        <v>1</v>
      </c>
      <c r="AA544" s="83">
        <f t="shared" si="35"/>
        <v>13</v>
      </c>
      <c r="AB544" s="11">
        <v>10</v>
      </c>
      <c r="AC544" s="11">
        <v>3</v>
      </c>
      <c r="AD544" s="81">
        <f t="shared" si="1230"/>
        <v>13</v>
      </c>
      <c r="AE544" s="82">
        <f t="shared" si="36"/>
        <v>1</v>
      </c>
      <c r="AF544" s="82">
        <f t="shared" si="37"/>
        <v>1</v>
      </c>
      <c r="AG544" s="102" t="s">
        <v>3250</v>
      </c>
      <c r="AH544" s="8" t="s">
        <v>205</v>
      </c>
      <c r="AI544" s="8" t="s">
        <v>213</v>
      </c>
      <c r="AJ544" s="35" t="s">
        <v>3258</v>
      </c>
      <c r="AK544" s="8"/>
      <c r="AL544" s="42">
        <f t="shared" si="1231"/>
        <v>18</v>
      </c>
      <c r="AM544" s="42">
        <f t="shared" si="1214"/>
        <v>0</v>
      </c>
      <c r="AN544" s="42">
        <f t="shared" si="1215"/>
        <v>0</v>
      </c>
      <c r="AO544" s="42">
        <f t="shared" si="1188"/>
        <v>4.29</v>
      </c>
      <c r="AP544" s="42">
        <f t="shared" si="1216"/>
        <v>6.5</v>
      </c>
      <c r="AQ544" s="42">
        <f t="shared" si="1217"/>
        <v>1</v>
      </c>
      <c r="AR544" s="42">
        <f t="shared" si="1232"/>
        <v>0.9</v>
      </c>
      <c r="AS544" s="42">
        <f t="shared" si="1218"/>
        <v>0</v>
      </c>
      <c r="AT544" s="42">
        <f t="shared" si="1219"/>
        <v>0</v>
      </c>
      <c r="AU544" s="42">
        <f t="shared" si="1220"/>
        <v>0</v>
      </c>
      <c r="AV544" s="42">
        <f>IF(M544="ПП",РПП*AA544*(U544/1.5),IF(M544="ВП",ВПр*AA544*(U544/1.5),IF(M544="РПА",РПА*AA544*(U544/1.5),IF(M544="КПА",КПА*AA544*(U544/1.5),0))))</f>
        <v>0</v>
      </c>
      <c r="AW544" s="42">
        <f t="shared" si="1221"/>
        <v>0</v>
      </c>
      <c r="AX544" s="42">
        <f t="shared" si="1233"/>
        <v>0</v>
      </c>
      <c r="AY544" s="42">
        <f t="shared" si="1234"/>
        <v>0</v>
      </c>
      <c r="AZ544" s="42">
        <f t="shared" si="1222"/>
        <v>0</v>
      </c>
      <c r="BA544" s="42">
        <f t="shared" si="1235"/>
        <v>0</v>
      </c>
      <c r="BB544" s="42">
        <f t="shared" si="1236"/>
        <v>0</v>
      </c>
      <c r="BC544" s="42">
        <f t="shared" si="1237"/>
        <v>0</v>
      </c>
      <c r="BD544" s="42">
        <f t="shared" si="1223"/>
        <v>0</v>
      </c>
      <c r="BE544" s="43">
        <f t="shared" si="1224"/>
        <v>30.689999999999998</v>
      </c>
      <c r="BF544" s="44"/>
      <c r="BG544" s="45">
        <f t="shared" si="1225"/>
        <v>0</v>
      </c>
      <c r="BH544" s="45">
        <f t="shared" si="1226"/>
        <v>0</v>
      </c>
      <c r="BI544" s="45">
        <f t="shared" si="1227"/>
        <v>0</v>
      </c>
      <c r="BJ544" s="46">
        <f t="shared" si="1210"/>
        <v>18</v>
      </c>
      <c r="BK544" s="46">
        <f t="shared" si="1211"/>
        <v>0.5</v>
      </c>
      <c r="BL544" s="46">
        <f t="shared" si="1212"/>
        <v>12.69</v>
      </c>
    </row>
    <row r="545" spans="1:64" ht="30" customHeight="1" x14ac:dyDescent="0.25">
      <c r="A545" s="84" t="str">
        <f t="shared" si="1228"/>
        <v>Д</v>
      </c>
      <c r="B545" s="84" t="str">
        <f t="shared" si="32"/>
        <v>М</v>
      </c>
      <c r="C545" s="101" t="s">
        <v>1483</v>
      </c>
      <c r="D545" s="16" t="str">
        <f t="shared" si="33"/>
        <v>'02.04.02</v>
      </c>
      <c r="E545" s="17" t="str">
        <f t="shared" si="34"/>
        <v>Управление инфокоммуникациями и интеллектуальные системы</v>
      </c>
      <c r="F545" s="9" t="s">
        <v>413</v>
      </c>
      <c r="G545" s="9" t="s">
        <v>42</v>
      </c>
      <c r="H545" s="10" t="s">
        <v>3233</v>
      </c>
      <c r="I545" s="10" t="s">
        <v>3231</v>
      </c>
      <c r="J545" s="115" t="s">
        <v>3343</v>
      </c>
      <c r="K545" s="11">
        <v>2</v>
      </c>
      <c r="L545" s="11">
        <v>18</v>
      </c>
      <c r="M545" s="8" t="s">
        <v>24</v>
      </c>
      <c r="N545" s="11"/>
      <c r="O545" s="11"/>
      <c r="P545" s="11">
        <v>1</v>
      </c>
      <c r="Q545" s="8"/>
      <c r="R545" s="11"/>
      <c r="S545" s="11"/>
      <c r="T545" s="11"/>
      <c r="U545" s="11"/>
      <c r="V545" s="11"/>
      <c r="W545" s="83" t="str">
        <f t="shared" si="1229"/>
        <v>НФИмд</v>
      </c>
      <c r="X545" s="110" t="s">
        <v>3246</v>
      </c>
      <c r="Y545" s="11">
        <v>1</v>
      </c>
      <c r="Z545" s="11">
        <v>1</v>
      </c>
      <c r="AA545" s="83">
        <f t="shared" si="35"/>
        <v>7</v>
      </c>
      <c r="AB545" s="11">
        <v>5</v>
      </c>
      <c r="AC545" s="11">
        <v>2</v>
      </c>
      <c r="AD545" s="81">
        <f t="shared" si="1230"/>
        <v>12</v>
      </c>
      <c r="AE545" s="82">
        <f t="shared" si="36"/>
        <v>0.58333333333333337</v>
      </c>
      <c r="AF545" s="82">
        <f t="shared" si="37"/>
        <v>0.58333333333333337</v>
      </c>
      <c r="AG545" s="102" t="s">
        <v>3250</v>
      </c>
      <c r="AH545" s="8" t="s">
        <v>205</v>
      </c>
      <c r="AI545" s="8" t="s">
        <v>213</v>
      </c>
      <c r="AJ545" s="35" t="s">
        <v>3258</v>
      </c>
      <c r="AK545" s="8"/>
      <c r="AL545" s="42">
        <f t="shared" si="1231"/>
        <v>0</v>
      </c>
      <c r="AM545" s="42">
        <f t="shared" si="1214"/>
        <v>10.5</v>
      </c>
      <c r="AN545" s="42">
        <f t="shared" si="1215"/>
        <v>0</v>
      </c>
      <c r="AO545" s="42">
        <f t="shared" si="1188"/>
        <v>0</v>
      </c>
      <c r="AP545" s="42">
        <f t="shared" si="1216"/>
        <v>0</v>
      </c>
      <c r="AQ545" s="42">
        <f t="shared" si="1217"/>
        <v>0</v>
      </c>
      <c r="AR545" s="42">
        <f t="shared" si="1232"/>
        <v>0</v>
      </c>
      <c r="AS545" s="42">
        <f t="shared" si="1218"/>
        <v>0</v>
      </c>
      <c r="AT545" s="42">
        <f t="shared" si="1219"/>
        <v>0</v>
      </c>
      <c r="AU545" s="42">
        <f t="shared" si="1220"/>
        <v>0</v>
      </c>
      <c r="AV545" s="42">
        <f>IF(M545="ПП",РПП*AA545*(U545/1.5),IF(M545="ВП",ВПр*AA545*(U545/1.5),IF(M545="РПА",РПА*AA545*(U545/1.5),IF(M545="КПА",КПА*AA545*(U545/1.5),0))))</f>
        <v>0</v>
      </c>
      <c r="AW545" s="42">
        <f t="shared" si="1221"/>
        <v>0</v>
      </c>
      <c r="AX545" s="42">
        <f t="shared" si="1233"/>
        <v>0</v>
      </c>
      <c r="AY545" s="42">
        <f t="shared" si="1234"/>
        <v>0</v>
      </c>
      <c r="AZ545" s="42">
        <f t="shared" si="1222"/>
        <v>0</v>
      </c>
      <c r="BA545" s="42">
        <f t="shared" si="1235"/>
        <v>0</v>
      </c>
      <c r="BB545" s="42">
        <f t="shared" si="1236"/>
        <v>0</v>
      </c>
      <c r="BC545" s="42">
        <f t="shared" si="1237"/>
        <v>0</v>
      </c>
      <c r="BD545" s="42">
        <f t="shared" si="1223"/>
        <v>0</v>
      </c>
      <c r="BE545" s="43">
        <f t="shared" si="1224"/>
        <v>10.5</v>
      </c>
      <c r="BF545" s="44"/>
      <c r="BG545" s="45">
        <f t="shared" si="1225"/>
        <v>0</v>
      </c>
      <c r="BH545" s="45">
        <f t="shared" si="1226"/>
        <v>0</v>
      </c>
      <c r="BI545" s="45">
        <f t="shared" si="1227"/>
        <v>0</v>
      </c>
      <c r="BJ545" s="46">
        <f t="shared" si="1210"/>
        <v>10.5</v>
      </c>
      <c r="BK545" s="46">
        <f t="shared" si="1211"/>
        <v>0.5</v>
      </c>
      <c r="BL545" s="46">
        <f t="shared" si="1212"/>
        <v>0</v>
      </c>
    </row>
    <row r="546" spans="1:64" ht="30" customHeight="1" x14ac:dyDescent="0.25">
      <c r="A546" s="84" t="str">
        <f t="shared" si="1228"/>
        <v>Д</v>
      </c>
      <c r="B546" s="84" t="str">
        <f t="shared" si="32"/>
        <v>М</v>
      </c>
      <c r="C546" s="101" t="s">
        <v>1483</v>
      </c>
      <c r="D546" s="16" t="str">
        <f t="shared" si="33"/>
        <v>'02.04.02</v>
      </c>
      <c r="E546" s="17" t="str">
        <f t="shared" si="34"/>
        <v>Управление инфокоммуникациями и интеллектуальные системы</v>
      </c>
      <c r="F546" s="9" t="s">
        <v>413</v>
      </c>
      <c r="G546" s="9" t="s">
        <v>42</v>
      </c>
      <c r="H546" s="10" t="s">
        <v>3233</v>
      </c>
      <c r="I546" s="10" t="s">
        <v>3231</v>
      </c>
      <c r="J546" s="115" t="s">
        <v>3343</v>
      </c>
      <c r="K546" s="11">
        <v>2</v>
      </c>
      <c r="L546" s="11">
        <v>18</v>
      </c>
      <c r="M546" s="8" t="s">
        <v>24</v>
      </c>
      <c r="N546" s="11"/>
      <c r="O546" s="11"/>
      <c r="P546" s="11">
        <v>1</v>
      </c>
      <c r="Q546" s="8"/>
      <c r="R546" s="11"/>
      <c r="S546" s="11"/>
      <c r="T546" s="11"/>
      <c r="U546" s="11"/>
      <c r="V546" s="11"/>
      <c r="W546" s="83" t="str">
        <f t="shared" si="1229"/>
        <v>НФИмд</v>
      </c>
      <c r="X546" s="110" t="s">
        <v>3247</v>
      </c>
      <c r="Y546" s="11">
        <v>1</v>
      </c>
      <c r="Z546" s="11"/>
      <c r="AA546" s="83">
        <f t="shared" si="35"/>
        <v>6</v>
      </c>
      <c r="AB546" s="11">
        <v>5</v>
      </c>
      <c r="AC546" s="11">
        <v>1</v>
      </c>
      <c r="AD546" s="81">
        <f t="shared" si="1230"/>
        <v>12</v>
      </c>
      <c r="AE546" s="82">
        <f t="shared" si="36"/>
        <v>0.5</v>
      </c>
      <c r="AF546" s="82">
        <f t="shared" si="37"/>
        <v>0.5</v>
      </c>
      <c r="AG546" s="102" t="s">
        <v>3250</v>
      </c>
      <c r="AH546" s="8" t="s">
        <v>205</v>
      </c>
      <c r="AI546" s="8" t="s">
        <v>213</v>
      </c>
      <c r="AJ546" s="36" t="s">
        <v>3258</v>
      </c>
      <c r="AK546" s="8"/>
      <c r="AL546" s="42">
        <f t="shared" si="1231"/>
        <v>0</v>
      </c>
      <c r="AM546" s="42">
        <f t="shared" si="1214"/>
        <v>9</v>
      </c>
      <c r="AN546" s="42">
        <f t="shared" si="1215"/>
        <v>0</v>
      </c>
      <c r="AO546" s="42">
        <f t="shared" si="1188"/>
        <v>0</v>
      </c>
      <c r="AP546" s="42">
        <f t="shared" si="1216"/>
        <v>0</v>
      </c>
      <c r="AQ546" s="42">
        <f t="shared" si="1217"/>
        <v>0</v>
      </c>
      <c r="AR546" s="42">
        <f t="shared" si="1232"/>
        <v>0</v>
      </c>
      <c r="AS546" s="42">
        <f t="shared" si="1218"/>
        <v>0</v>
      </c>
      <c r="AT546" s="42">
        <f t="shared" si="1219"/>
        <v>0</v>
      </c>
      <c r="AU546" s="42">
        <f t="shared" si="1220"/>
        <v>0</v>
      </c>
      <c r="AV546" s="42">
        <f>IF(M546="ПП",РПП*AA546*(U546/1.5),IF(M546="ВП",ВПр*AA546*(U546/1.5),IF(M546="РПА",РПА*AA546*(U546/1.5),IF(M546="КПА",КПА*AA546*(U546/1.5),0))))</f>
        <v>0</v>
      </c>
      <c r="AW546" s="42">
        <f t="shared" si="1221"/>
        <v>0</v>
      </c>
      <c r="AX546" s="42">
        <f t="shared" si="1233"/>
        <v>0</v>
      </c>
      <c r="AY546" s="42">
        <f t="shared" si="1234"/>
        <v>0</v>
      </c>
      <c r="AZ546" s="42">
        <f t="shared" si="1222"/>
        <v>0</v>
      </c>
      <c r="BA546" s="42">
        <f t="shared" si="1235"/>
        <v>0</v>
      </c>
      <c r="BB546" s="42">
        <f t="shared" si="1236"/>
        <v>0</v>
      </c>
      <c r="BC546" s="42">
        <f t="shared" si="1237"/>
        <v>0</v>
      </c>
      <c r="BD546" s="42">
        <f t="shared" si="1223"/>
        <v>0</v>
      </c>
      <c r="BE546" s="43">
        <f t="shared" si="1224"/>
        <v>9</v>
      </c>
      <c r="BF546" s="44"/>
      <c r="BG546" s="45">
        <f t="shared" si="1225"/>
        <v>0</v>
      </c>
      <c r="BH546" s="45">
        <f t="shared" si="1226"/>
        <v>0</v>
      </c>
      <c r="BI546" s="45">
        <f t="shared" si="1227"/>
        <v>0</v>
      </c>
      <c r="BJ546" s="46">
        <f t="shared" si="1210"/>
        <v>9</v>
      </c>
      <c r="BK546" s="46">
        <f t="shared" si="1211"/>
        <v>0.5</v>
      </c>
      <c r="BL546" s="46">
        <f t="shared" si="1212"/>
        <v>0</v>
      </c>
    </row>
    <row r="547" spans="1:64" ht="30" customHeight="1" x14ac:dyDescent="0.25">
      <c r="A547" s="84" t="str">
        <f t="shared" si="1228"/>
        <v>Д</v>
      </c>
      <c r="B547" s="84" t="str">
        <f t="shared" si="32"/>
        <v>М</v>
      </c>
      <c r="C547" s="101" t="s">
        <v>1483</v>
      </c>
      <c r="D547" s="16" t="str">
        <f t="shared" si="33"/>
        <v>'02.04.02</v>
      </c>
      <c r="E547" s="17" t="str">
        <f t="shared" si="34"/>
        <v>Управление инфокоммуникациями и интеллектуальные системы</v>
      </c>
      <c r="F547" s="9" t="s">
        <v>414</v>
      </c>
      <c r="G547" s="9"/>
      <c r="H547" s="10" t="s">
        <v>3233</v>
      </c>
      <c r="I547" s="10" t="s">
        <v>3231</v>
      </c>
      <c r="J547" s="115" t="s">
        <v>3223</v>
      </c>
      <c r="K547" s="11">
        <v>2</v>
      </c>
      <c r="L547" s="11"/>
      <c r="M547" s="8" t="s">
        <v>95</v>
      </c>
      <c r="N547" s="11"/>
      <c r="O547" s="11"/>
      <c r="P547" s="11"/>
      <c r="Q547" s="8"/>
      <c r="R547" s="11"/>
      <c r="S547" s="11"/>
      <c r="T547" s="11">
        <v>3</v>
      </c>
      <c r="U547" s="11"/>
      <c r="V547" s="11"/>
      <c r="W547" s="83" t="str">
        <f t="shared" si="1229"/>
        <v>НФИмд</v>
      </c>
      <c r="X547" s="110" t="s">
        <v>3246</v>
      </c>
      <c r="Y547" s="11">
        <v>2</v>
      </c>
      <c r="Z547" s="11">
        <v>1</v>
      </c>
      <c r="AA547" s="83">
        <f t="shared" si="35"/>
        <v>23</v>
      </c>
      <c r="AB547" s="11">
        <v>14</v>
      </c>
      <c r="AC547" s="11">
        <v>9</v>
      </c>
      <c r="AD547" s="81">
        <f t="shared" si="1230"/>
        <v>1</v>
      </c>
      <c r="AE547" s="82">
        <f t="shared" si="36"/>
        <v>1</v>
      </c>
      <c r="AF547" s="82">
        <f t="shared" si="37"/>
        <v>23</v>
      </c>
      <c r="AG547" s="102" t="s">
        <v>3250</v>
      </c>
      <c r="AH547" s="8" t="s">
        <v>203</v>
      </c>
      <c r="AI547" s="8" t="s">
        <v>214</v>
      </c>
      <c r="AJ547" s="35" t="s">
        <v>3285</v>
      </c>
      <c r="AK547" s="8"/>
      <c r="AL547" s="42">
        <f t="shared" si="1231"/>
        <v>0</v>
      </c>
      <c r="AM547" s="42">
        <f t="shared" si="1214"/>
        <v>0</v>
      </c>
      <c r="AN547" s="42">
        <f t="shared" si="1215"/>
        <v>0</v>
      </c>
      <c r="AO547" s="42">
        <f t="shared" si="1188"/>
        <v>0</v>
      </c>
      <c r="AP547" s="42">
        <f t="shared" si="1216"/>
        <v>0</v>
      </c>
      <c r="AQ547" s="42">
        <f t="shared" si="1217"/>
        <v>0</v>
      </c>
      <c r="AR547" s="42">
        <f t="shared" si="1232"/>
        <v>0</v>
      </c>
      <c r="AS547" s="42">
        <f t="shared" si="1218"/>
        <v>0</v>
      </c>
      <c r="AT547" s="42">
        <f t="shared" si="1219"/>
        <v>0</v>
      </c>
      <c r="AU547" s="42">
        <f t="shared" si="1220"/>
        <v>69</v>
      </c>
      <c r="AV547" s="42">
        <f>IF(M547="ПП",РПП*AA547*(U547/1.5),IF(M547="ВП",ВПр*AA547*(U547/1.5),IF(M547="РПА",РПА*AA547*(U547/1.5),IF(M547="КПА",КПА*AA547*(U547/1.5),0))))</f>
        <v>0</v>
      </c>
      <c r="AW547" s="42">
        <f t="shared" si="1221"/>
        <v>0</v>
      </c>
      <c r="AX547" s="42">
        <f t="shared" si="1233"/>
        <v>0</v>
      </c>
      <c r="AY547" s="42">
        <f t="shared" si="1234"/>
        <v>0</v>
      </c>
      <c r="AZ547" s="42">
        <f t="shared" si="1222"/>
        <v>0</v>
      </c>
      <c r="BA547" s="42">
        <f t="shared" si="1235"/>
        <v>0</v>
      </c>
      <c r="BB547" s="42">
        <f t="shared" si="1236"/>
        <v>0</v>
      </c>
      <c r="BC547" s="42">
        <f t="shared" si="1237"/>
        <v>0</v>
      </c>
      <c r="BD547" s="42">
        <f t="shared" si="1223"/>
        <v>0</v>
      </c>
      <c r="BE547" s="43">
        <f t="shared" si="1224"/>
        <v>69</v>
      </c>
      <c r="BF547" s="44"/>
      <c r="BG547" s="45">
        <f t="shared" si="1225"/>
        <v>0</v>
      </c>
      <c r="BH547" s="45">
        <f t="shared" si="1226"/>
        <v>0</v>
      </c>
      <c r="BI547" s="45">
        <f t="shared" si="1227"/>
        <v>0</v>
      </c>
      <c r="BJ547" s="46">
        <f t="shared" si="1210"/>
        <v>0</v>
      </c>
      <c r="BK547" s="46">
        <f t="shared" si="1211"/>
        <v>0</v>
      </c>
      <c r="BL547" s="46">
        <f t="shared" si="1212"/>
        <v>69</v>
      </c>
    </row>
    <row r="548" spans="1:64" ht="30" customHeight="1" x14ac:dyDescent="0.25">
      <c r="A548" s="84" t="str">
        <f t="shared" si="1228"/>
        <v>Д</v>
      </c>
      <c r="B548" s="84" t="str">
        <f t="shared" si="32"/>
        <v>М</v>
      </c>
      <c r="C548" s="101" t="s">
        <v>1483</v>
      </c>
      <c r="D548" s="16" t="str">
        <f t="shared" si="33"/>
        <v>'02.04.02</v>
      </c>
      <c r="E548" s="17" t="str">
        <f t="shared" si="34"/>
        <v>Управление инфокоммуникациями и интеллектуальные системы</v>
      </c>
      <c r="F548" s="9" t="s">
        <v>414</v>
      </c>
      <c r="G548" s="9"/>
      <c r="H548" s="10" t="s">
        <v>3233</v>
      </c>
      <c r="I548" s="10"/>
      <c r="J548" s="115" t="s">
        <v>3201</v>
      </c>
      <c r="K548" s="11">
        <v>3</v>
      </c>
      <c r="L548" s="11"/>
      <c r="M548" s="8" t="s">
        <v>91</v>
      </c>
      <c r="N548" s="11"/>
      <c r="O548" s="11"/>
      <c r="P548" s="11"/>
      <c r="Q548" s="8"/>
      <c r="R548" s="11"/>
      <c r="S548" s="11"/>
      <c r="T548" s="11"/>
      <c r="U548" s="11">
        <v>6</v>
      </c>
      <c r="V548" s="11"/>
      <c r="W548" s="83" t="str">
        <f t="shared" si="1229"/>
        <v>НФИмд</v>
      </c>
      <c r="X548" s="110" t="s">
        <v>3234</v>
      </c>
      <c r="Y548" s="11">
        <v>3</v>
      </c>
      <c r="Z548" s="11">
        <v>2</v>
      </c>
      <c r="AA548" s="83">
        <f t="shared" si="35"/>
        <v>23</v>
      </c>
      <c r="AB548" s="130">
        <v>14</v>
      </c>
      <c r="AC548" s="130">
        <v>9</v>
      </c>
      <c r="AD548" s="81">
        <f t="shared" si="1230"/>
        <v>1</v>
      </c>
      <c r="AE548" s="82">
        <f t="shared" si="36"/>
        <v>1</v>
      </c>
      <c r="AF548" s="82">
        <f t="shared" si="37"/>
        <v>23</v>
      </c>
      <c r="AG548" s="102" t="s">
        <v>3250</v>
      </c>
      <c r="AH548" s="8" t="s">
        <v>204</v>
      </c>
      <c r="AI548" s="8" t="s">
        <v>212</v>
      </c>
      <c r="AJ548" s="37" t="s">
        <v>3254</v>
      </c>
      <c r="AK548" s="8"/>
      <c r="AL548" s="42">
        <f t="shared" si="1231"/>
        <v>0</v>
      </c>
      <c r="AM548" s="42">
        <f t="shared" si="1214"/>
        <v>0</v>
      </c>
      <c r="AN548" s="42">
        <f t="shared" si="1215"/>
        <v>0</v>
      </c>
      <c r="AO548" s="42">
        <f t="shared" ref="AO548:AO663" si="1238">(IF((AND(OR(K548=1,K548=2,K548=3,K548=4,K548=5,K548=6,K548=7,K548=8,K548=9,K548=10,K548=11,K548=12),OR(Q548="Зач",Q548="Экз"))),ТКиРА*AA548,0)+IF(SUM(N548:P548)&lt;&gt;0,IF(Q548="ТК",ТКиРА*AA548,0),0))*(IF(F548="ФТД",0,1))</f>
        <v>0</v>
      </c>
      <c r="AP548" s="42">
        <f t="shared" si="1216"/>
        <v>0</v>
      </c>
      <c r="AQ548" s="42">
        <f t="shared" si="1217"/>
        <v>0</v>
      </c>
      <c r="AR548" s="42">
        <f t="shared" si="1232"/>
        <v>0</v>
      </c>
      <c r="AS548" s="42">
        <f t="shared" si="1218"/>
        <v>0</v>
      </c>
      <c r="AT548" s="42">
        <f t="shared" si="1219"/>
        <v>0</v>
      </c>
      <c r="AU548" s="42">
        <f t="shared" si="1220"/>
        <v>0</v>
      </c>
      <c r="AV548" s="42">
        <f>IF(M548="ПП",РПП*AA548*(U548/1.5),IF(M548="ВП",ВПр*AA548*(U548/1.5),IF(M548="РПА",РПА*AA548*(U548/1.5),IF(M548="КПА",КПА*AA548*(U548/1.5),0))))</f>
        <v>69</v>
      </c>
      <c r="AW548" s="42">
        <f t="shared" si="1221"/>
        <v>0</v>
      </c>
      <c r="AX548" s="42">
        <f t="shared" si="1233"/>
        <v>0</v>
      </c>
      <c r="AY548" s="42">
        <f t="shared" si="1234"/>
        <v>0</v>
      </c>
      <c r="AZ548" s="42">
        <f t="shared" si="1222"/>
        <v>0</v>
      </c>
      <c r="BA548" s="42">
        <f t="shared" si="1235"/>
        <v>0</v>
      </c>
      <c r="BB548" s="42">
        <f t="shared" si="1236"/>
        <v>0</v>
      </c>
      <c r="BC548" s="42">
        <f t="shared" si="1237"/>
        <v>0</v>
      </c>
      <c r="BD548" s="42">
        <f t="shared" si="1223"/>
        <v>0</v>
      </c>
      <c r="BE548" s="43">
        <f t="shared" si="1224"/>
        <v>69</v>
      </c>
      <c r="BF548" s="44"/>
      <c r="BG548" s="45">
        <f t="shared" si="1225"/>
        <v>0</v>
      </c>
      <c r="BH548" s="45">
        <f t="shared" si="1226"/>
        <v>0</v>
      </c>
      <c r="BI548" s="45">
        <f t="shared" si="1227"/>
        <v>69</v>
      </c>
      <c r="BJ548" s="46">
        <f t="shared" si="1210"/>
        <v>0</v>
      </c>
      <c r="BK548" s="46">
        <f t="shared" si="1211"/>
        <v>0</v>
      </c>
      <c r="BL548" s="46">
        <f t="shared" si="1212"/>
        <v>0</v>
      </c>
    </row>
    <row r="549" spans="1:64" ht="30" customHeight="1" x14ac:dyDescent="0.25">
      <c r="A549" s="84" t="str">
        <f t="shared" si="1228"/>
        <v>Д</v>
      </c>
      <c r="B549" s="84" t="str">
        <f t="shared" si="32"/>
        <v>М</v>
      </c>
      <c r="C549" s="101" t="s">
        <v>1483</v>
      </c>
      <c r="D549" s="16" t="str">
        <f t="shared" si="33"/>
        <v>'02.04.02</v>
      </c>
      <c r="E549" s="17" t="str">
        <f t="shared" si="34"/>
        <v>Управление инфокоммуникациями и интеллектуальные системы</v>
      </c>
      <c r="F549" s="9" t="s">
        <v>414</v>
      </c>
      <c r="G549" s="9"/>
      <c r="H549" s="10" t="s">
        <v>3233</v>
      </c>
      <c r="I549" s="10"/>
      <c r="J549" s="115" t="s">
        <v>3326</v>
      </c>
      <c r="K549" s="11">
        <v>4</v>
      </c>
      <c r="L549" s="11"/>
      <c r="M549" s="8" t="s">
        <v>91</v>
      </c>
      <c r="N549" s="11"/>
      <c r="O549" s="11"/>
      <c r="P549" s="11"/>
      <c r="Q549" s="8"/>
      <c r="R549" s="11"/>
      <c r="S549" s="11"/>
      <c r="T549" s="11"/>
      <c r="U549" s="11">
        <v>6</v>
      </c>
      <c r="V549" s="11"/>
      <c r="W549" s="83" t="str">
        <f t="shared" si="1229"/>
        <v>НФИмд</v>
      </c>
      <c r="X549" s="110" t="s">
        <v>3234</v>
      </c>
      <c r="Y549" s="11">
        <v>3</v>
      </c>
      <c r="Z549" s="11">
        <v>2</v>
      </c>
      <c r="AA549" s="83">
        <f t="shared" si="35"/>
        <v>23</v>
      </c>
      <c r="AB549" s="11">
        <v>14</v>
      </c>
      <c r="AC549" s="11">
        <v>9</v>
      </c>
      <c r="AD549" s="81">
        <f t="shared" si="1230"/>
        <v>1</v>
      </c>
      <c r="AE549" s="82">
        <f t="shared" si="36"/>
        <v>1</v>
      </c>
      <c r="AF549" s="82">
        <f t="shared" si="37"/>
        <v>23</v>
      </c>
      <c r="AG549" s="102" t="s">
        <v>3250</v>
      </c>
      <c r="AH549" s="8" t="s">
        <v>203</v>
      </c>
      <c r="AI549" s="8" t="s">
        <v>214</v>
      </c>
      <c r="AJ549" s="35" t="s">
        <v>3285</v>
      </c>
      <c r="AK549" s="8"/>
      <c r="AL549" s="42">
        <f t="shared" si="1231"/>
        <v>0</v>
      </c>
      <c r="AM549" s="42">
        <f t="shared" si="1214"/>
        <v>0</v>
      </c>
      <c r="AN549" s="42">
        <f t="shared" si="1215"/>
        <v>0</v>
      </c>
      <c r="AO549" s="42">
        <f t="shared" si="1238"/>
        <v>0</v>
      </c>
      <c r="AP549" s="42">
        <f t="shared" si="1216"/>
        <v>0</v>
      </c>
      <c r="AQ549" s="42">
        <f t="shared" si="1217"/>
        <v>0</v>
      </c>
      <c r="AR549" s="42">
        <f t="shared" si="1232"/>
        <v>0</v>
      </c>
      <c r="AS549" s="42">
        <f t="shared" si="1218"/>
        <v>0</v>
      </c>
      <c r="AT549" s="42">
        <f t="shared" si="1219"/>
        <v>0</v>
      </c>
      <c r="AU549" s="42">
        <f t="shared" si="1220"/>
        <v>0</v>
      </c>
      <c r="AV549" s="42">
        <f>IF(M549="ПП",РПП*AA549*(U549/1.5),IF(M549="ВП",ВПр*AA549*(U549/1.5),IF(M549="РПА",РПА*AA549*(U549/1.5),IF(M549="КПА",КПА*AA549*(U549/1.5),0))))</f>
        <v>69</v>
      </c>
      <c r="AW549" s="42">
        <f t="shared" si="1221"/>
        <v>0</v>
      </c>
      <c r="AX549" s="42">
        <f t="shared" si="1233"/>
        <v>0</v>
      </c>
      <c r="AY549" s="42">
        <f t="shared" si="1234"/>
        <v>0</v>
      </c>
      <c r="AZ549" s="42">
        <f t="shared" si="1222"/>
        <v>0</v>
      </c>
      <c r="BA549" s="42">
        <f t="shared" si="1235"/>
        <v>0</v>
      </c>
      <c r="BB549" s="42">
        <f t="shared" si="1236"/>
        <v>0</v>
      </c>
      <c r="BC549" s="42">
        <f t="shared" si="1237"/>
        <v>0</v>
      </c>
      <c r="BD549" s="42">
        <f t="shared" si="1223"/>
        <v>0</v>
      </c>
      <c r="BE549" s="43">
        <f t="shared" si="1224"/>
        <v>69</v>
      </c>
      <c r="BF549" s="44"/>
      <c r="BG549" s="45">
        <f t="shared" si="1225"/>
        <v>0</v>
      </c>
      <c r="BH549" s="45">
        <f t="shared" si="1226"/>
        <v>0</v>
      </c>
      <c r="BI549" s="45">
        <f t="shared" si="1227"/>
        <v>0</v>
      </c>
      <c r="BJ549" s="46">
        <f t="shared" si="1210"/>
        <v>0</v>
      </c>
      <c r="BK549" s="46">
        <f t="shared" si="1211"/>
        <v>0</v>
      </c>
      <c r="BL549" s="46">
        <f t="shared" si="1212"/>
        <v>69</v>
      </c>
    </row>
    <row r="550" spans="1:64" ht="30" customHeight="1" x14ac:dyDescent="0.25">
      <c r="A550" s="84" t="str">
        <f t="shared" si="1228"/>
        <v>Д</v>
      </c>
      <c r="B550" s="84" t="str">
        <f t="shared" si="32"/>
        <v>М</v>
      </c>
      <c r="C550" s="101" t="s">
        <v>1483</v>
      </c>
      <c r="D550" s="16" t="str">
        <f t="shared" si="33"/>
        <v>'02.04.02</v>
      </c>
      <c r="E550" s="17" t="str">
        <f t="shared" si="34"/>
        <v>Управление инфокоммуникациями и интеллектуальные системы</v>
      </c>
      <c r="F550" s="9" t="s">
        <v>414</v>
      </c>
      <c r="G550" s="9"/>
      <c r="H550" s="10" t="s">
        <v>3233</v>
      </c>
      <c r="I550" s="10"/>
      <c r="J550" s="115" t="s">
        <v>3202</v>
      </c>
      <c r="K550" s="11">
        <v>4</v>
      </c>
      <c r="L550" s="11"/>
      <c r="M550" s="8" t="s">
        <v>187</v>
      </c>
      <c r="N550" s="11"/>
      <c r="O550" s="11"/>
      <c r="P550" s="11"/>
      <c r="Q550" s="8"/>
      <c r="R550" s="11"/>
      <c r="S550" s="11"/>
      <c r="T550" s="11"/>
      <c r="U550" s="11">
        <v>15</v>
      </c>
      <c r="V550" s="11"/>
      <c r="W550" s="83" t="str">
        <f t="shared" si="1229"/>
        <v>НФИмд</v>
      </c>
      <c r="X550" s="110" t="s">
        <v>3234</v>
      </c>
      <c r="Y550" s="11">
        <v>3</v>
      </c>
      <c r="Z550" s="11">
        <v>2</v>
      </c>
      <c r="AA550" s="83">
        <f t="shared" si="35"/>
        <v>23</v>
      </c>
      <c r="AB550" s="11">
        <v>14</v>
      </c>
      <c r="AC550" s="11">
        <v>9</v>
      </c>
      <c r="AD550" s="81">
        <f t="shared" si="1230"/>
        <v>1</v>
      </c>
      <c r="AE550" s="82">
        <f t="shared" si="36"/>
        <v>1</v>
      </c>
      <c r="AF550" s="82">
        <f t="shared" si="37"/>
        <v>23</v>
      </c>
      <c r="AG550" s="102" t="s">
        <v>3250</v>
      </c>
      <c r="AH550" s="8" t="s">
        <v>203</v>
      </c>
      <c r="AI550" s="8" t="s">
        <v>214</v>
      </c>
      <c r="AJ550" s="36" t="s">
        <v>3285</v>
      </c>
      <c r="AK550" s="8"/>
      <c r="AL550" s="42">
        <f t="shared" si="1231"/>
        <v>0</v>
      </c>
      <c r="AM550" s="42">
        <f t="shared" si="1214"/>
        <v>0</v>
      </c>
      <c r="AN550" s="42">
        <f t="shared" si="1215"/>
        <v>0</v>
      </c>
      <c r="AO550" s="42">
        <f t="shared" si="1238"/>
        <v>0</v>
      </c>
      <c r="AP550" s="42">
        <f t="shared" si="1216"/>
        <v>0</v>
      </c>
      <c r="AQ550" s="42">
        <f t="shared" si="1217"/>
        <v>0</v>
      </c>
      <c r="AR550" s="42">
        <f t="shared" si="1232"/>
        <v>0</v>
      </c>
      <c r="AS550" s="42">
        <f t="shared" si="1218"/>
        <v>0</v>
      </c>
      <c r="AT550" s="42">
        <f t="shared" si="1219"/>
        <v>0</v>
      </c>
      <c r="AU550" s="42">
        <f t="shared" si="1220"/>
        <v>0</v>
      </c>
      <c r="AV550" s="42">
        <f>IF(M550="ПП",РПП*AA550*(U550/1.5),IF(M550="ВП",ВПр*AA550*(U550/1.5),IF(M550="РПА",РПА*AA550*(U550/1.5),IF(M550="КПА",КПА*AA550*(U550/1.5),0))))</f>
        <v>345</v>
      </c>
      <c r="AW550" s="42">
        <f t="shared" si="1221"/>
        <v>0</v>
      </c>
      <c r="AX550" s="42">
        <f t="shared" si="1233"/>
        <v>0</v>
      </c>
      <c r="AY550" s="42">
        <f t="shared" si="1234"/>
        <v>0</v>
      </c>
      <c r="AZ550" s="42">
        <f t="shared" si="1222"/>
        <v>0</v>
      </c>
      <c r="BA550" s="42">
        <f t="shared" si="1235"/>
        <v>0</v>
      </c>
      <c r="BB550" s="42">
        <f t="shared" si="1236"/>
        <v>0</v>
      </c>
      <c r="BC550" s="42">
        <f t="shared" si="1237"/>
        <v>0</v>
      </c>
      <c r="BD550" s="42">
        <f t="shared" si="1223"/>
        <v>0</v>
      </c>
      <c r="BE550" s="43">
        <f t="shared" si="1224"/>
        <v>345</v>
      </c>
      <c r="BF550" s="44"/>
      <c r="BG550" s="45">
        <f t="shared" si="1225"/>
        <v>0</v>
      </c>
      <c r="BH550" s="45">
        <f t="shared" si="1226"/>
        <v>0</v>
      </c>
      <c r="BI550" s="45">
        <f t="shared" si="1227"/>
        <v>0</v>
      </c>
      <c r="BJ550" s="46">
        <f t="shared" si="1210"/>
        <v>0</v>
      </c>
      <c r="BK550" s="46">
        <f t="shared" si="1211"/>
        <v>0</v>
      </c>
      <c r="BL550" s="46">
        <f t="shared" si="1212"/>
        <v>345</v>
      </c>
    </row>
    <row r="551" spans="1:64" ht="30" customHeight="1" x14ac:dyDescent="0.25">
      <c r="A551" s="84" t="str">
        <f t="shared" si="1228"/>
        <v>Д</v>
      </c>
      <c r="B551" s="84" t="str">
        <f t="shared" si="32"/>
        <v>М</v>
      </c>
      <c r="C551" s="101" t="s">
        <v>1483</v>
      </c>
      <c r="D551" s="16" t="str">
        <f t="shared" si="33"/>
        <v>'02.04.02</v>
      </c>
      <c r="E551" s="17" t="str">
        <f t="shared" si="34"/>
        <v>Управление инфокоммуникациями и интеллектуальные системы</v>
      </c>
      <c r="F551" s="9"/>
      <c r="G551" s="9"/>
      <c r="H551" s="10" t="s">
        <v>3233</v>
      </c>
      <c r="I551" s="10"/>
      <c r="J551" s="115" t="s">
        <v>3224</v>
      </c>
      <c r="K551" s="11">
        <v>4</v>
      </c>
      <c r="L551" s="11"/>
      <c r="M551" s="8" t="s">
        <v>98</v>
      </c>
      <c r="N551" s="11"/>
      <c r="O551" s="11"/>
      <c r="P551" s="11"/>
      <c r="Q551" s="8" t="s">
        <v>97</v>
      </c>
      <c r="R551" s="11"/>
      <c r="S551" s="11"/>
      <c r="T551" s="11"/>
      <c r="U551" s="11"/>
      <c r="V551" s="11"/>
      <c r="W551" s="83" t="str">
        <f t="shared" si="1229"/>
        <v>НФИмд</v>
      </c>
      <c r="X551" s="110" t="s">
        <v>3234</v>
      </c>
      <c r="Y551" s="11"/>
      <c r="Z551" s="11">
        <v>1</v>
      </c>
      <c r="AA551" s="83">
        <f t="shared" si="35"/>
        <v>23</v>
      </c>
      <c r="AB551" s="11">
        <v>14</v>
      </c>
      <c r="AC551" s="11">
        <v>9</v>
      </c>
      <c r="AD551" s="81">
        <f t="shared" si="1230"/>
        <v>12</v>
      </c>
      <c r="AE551" s="82">
        <f t="shared" si="36"/>
        <v>1</v>
      </c>
      <c r="AF551" s="82">
        <f t="shared" si="37"/>
        <v>1.9166666666666667</v>
      </c>
      <c r="AG551" s="102" t="s">
        <v>3250</v>
      </c>
      <c r="AH551" s="8" t="s">
        <v>204</v>
      </c>
      <c r="AI551" s="8" t="s">
        <v>212</v>
      </c>
      <c r="AJ551" s="35" t="s">
        <v>3255</v>
      </c>
      <c r="AK551" s="8"/>
      <c r="AL551" s="42">
        <f t="shared" si="1231"/>
        <v>0</v>
      </c>
      <c r="AM551" s="42">
        <f t="shared" si="1214"/>
        <v>0</v>
      </c>
      <c r="AN551" s="42">
        <f t="shared" si="1215"/>
        <v>0</v>
      </c>
      <c r="AO551" s="42">
        <f t="shared" si="1238"/>
        <v>0</v>
      </c>
      <c r="AP551" s="42">
        <f t="shared" si="1216"/>
        <v>0</v>
      </c>
      <c r="AQ551" s="42">
        <f t="shared" si="1217"/>
        <v>0</v>
      </c>
      <c r="AR551" s="42">
        <f t="shared" si="1232"/>
        <v>0</v>
      </c>
      <c r="AS551" s="42">
        <f t="shared" si="1218"/>
        <v>0</v>
      </c>
      <c r="AT551" s="42">
        <f t="shared" si="1219"/>
        <v>0</v>
      </c>
      <c r="AU551" s="42">
        <f t="shared" si="1220"/>
        <v>0</v>
      </c>
      <c r="AV551" s="42">
        <f>IF(M551="ПП",РПП*AA551*(U551/1.5),IF(M551="ВП",ВПр*AA551*(U551/1.5),IF(M551="РПА",РПА*AA551*(U551/1.5),IF(M551="КПА",КПА*AA551*(U551/1.5),0))))</f>
        <v>0</v>
      </c>
      <c r="AW551" s="42">
        <f t="shared" si="1221"/>
        <v>0</v>
      </c>
      <c r="AX551" s="42">
        <f t="shared" si="1233"/>
        <v>0</v>
      </c>
      <c r="AY551" s="42">
        <f t="shared" si="1234"/>
        <v>0</v>
      </c>
      <c r="AZ551" s="42">
        <f t="shared" si="1222"/>
        <v>0</v>
      </c>
      <c r="BA551" s="42">
        <f t="shared" si="1235"/>
        <v>0</v>
      </c>
      <c r="BB551" s="42">
        <f t="shared" si="1236"/>
        <v>0</v>
      </c>
      <c r="BC551" s="42">
        <f t="shared" si="1237"/>
        <v>0</v>
      </c>
      <c r="BD551" s="42">
        <f t="shared" si="1223"/>
        <v>2</v>
      </c>
      <c r="BE551" s="43">
        <f t="shared" si="1224"/>
        <v>2</v>
      </c>
      <c r="BF551" s="44"/>
      <c r="BG551" s="45">
        <f t="shared" si="1225"/>
        <v>0</v>
      </c>
      <c r="BH551" s="45">
        <f t="shared" si="1226"/>
        <v>0</v>
      </c>
      <c r="BI551" s="45">
        <f t="shared" si="1227"/>
        <v>0</v>
      </c>
      <c r="BJ551" s="46">
        <f t="shared" si="1210"/>
        <v>0</v>
      </c>
      <c r="BK551" s="46">
        <f t="shared" si="1211"/>
        <v>0</v>
      </c>
      <c r="BL551" s="46">
        <f t="shared" si="1212"/>
        <v>2</v>
      </c>
    </row>
    <row r="552" spans="1:64" ht="30" customHeight="1" x14ac:dyDescent="0.25">
      <c r="A552" s="84" t="str">
        <f t="shared" si="1228"/>
        <v>Д</v>
      </c>
      <c r="B552" s="84" t="str">
        <f t="shared" si="32"/>
        <v>М</v>
      </c>
      <c r="C552" s="101" t="s">
        <v>1483</v>
      </c>
      <c r="D552" s="16" t="str">
        <f t="shared" si="33"/>
        <v>'02.04.02</v>
      </c>
      <c r="E552" s="17" t="str">
        <f t="shared" si="34"/>
        <v>Управление инфокоммуникациями и интеллектуальные системы</v>
      </c>
      <c r="F552" s="9"/>
      <c r="G552" s="9"/>
      <c r="H552" s="10" t="s">
        <v>3233</v>
      </c>
      <c r="I552" s="10"/>
      <c r="J552" s="115" t="s">
        <v>3224</v>
      </c>
      <c r="K552" s="11">
        <v>4</v>
      </c>
      <c r="L552" s="11"/>
      <c r="M552" s="8" t="s">
        <v>1738</v>
      </c>
      <c r="N552" s="11"/>
      <c r="O552" s="11"/>
      <c r="P552" s="11"/>
      <c r="Q552" s="8" t="s">
        <v>97</v>
      </c>
      <c r="R552" s="12"/>
      <c r="S552" s="12"/>
      <c r="T552" s="12"/>
      <c r="U552" s="12"/>
      <c r="V552" s="12"/>
      <c r="W552" s="83" t="str">
        <f t="shared" si="1229"/>
        <v>НФИмд</v>
      </c>
      <c r="X552" s="110" t="s">
        <v>3234</v>
      </c>
      <c r="Y552" s="11"/>
      <c r="Z552" s="11">
        <v>1</v>
      </c>
      <c r="AA552" s="83">
        <f t="shared" si="35"/>
        <v>23</v>
      </c>
      <c r="AB552" s="11">
        <v>14</v>
      </c>
      <c r="AC552" s="11">
        <v>9</v>
      </c>
      <c r="AD552" s="81">
        <f t="shared" si="1230"/>
        <v>1</v>
      </c>
      <c r="AE552" s="82">
        <f t="shared" si="36"/>
        <v>1</v>
      </c>
      <c r="AF552" s="82">
        <f t="shared" si="37"/>
        <v>23</v>
      </c>
      <c r="AG552" s="102" t="s">
        <v>3250</v>
      </c>
      <c r="AH552" s="8" t="s">
        <v>204</v>
      </c>
      <c r="AI552" s="8" t="s">
        <v>212</v>
      </c>
      <c r="AJ552" s="35" t="s">
        <v>3255</v>
      </c>
      <c r="AK552" s="8"/>
      <c r="AL552" s="42">
        <f t="shared" si="1231"/>
        <v>0</v>
      </c>
      <c r="AM552" s="42">
        <f t="shared" si="1214"/>
        <v>0</v>
      </c>
      <c r="AN552" s="42">
        <f t="shared" si="1215"/>
        <v>0</v>
      </c>
      <c r="AO552" s="42">
        <f t="shared" si="1238"/>
        <v>0</v>
      </c>
      <c r="AP552" s="42">
        <f t="shared" si="1216"/>
        <v>0</v>
      </c>
      <c r="AQ552" s="42">
        <f t="shared" si="1217"/>
        <v>0</v>
      </c>
      <c r="AR552" s="42">
        <f t="shared" si="1232"/>
        <v>0</v>
      </c>
      <c r="AS552" s="42">
        <f t="shared" si="1218"/>
        <v>0</v>
      </c>
      <c r="AT552" s="42">
        <f t="shared" si="1219"/>
        <v>0</v>
      </c>
      <c r="AU552" s="42">
        <f t="shared" si="1220"/>
        <v>0</v>
      </c>
      <c r="AV552" s="42">
        <f>IF(M552="ПП",РПП*AA552*(U552/1.5),IF(M552="ВП",ВПр*AA552*(U552/1.5),IF(M552="РПА",РПА*AA552*(U552/1.5),IF(M552="КПА",КПА*AA552*(U552/1.5),0))))</f>
        <v>0</v>
      </c>
      <c r="AW552" s="42">
        <f t="shared" si="1221"/>
        <v>0</v>
      </c>
      <c r="AX552" s="42">
        <f t="shared" si="1233"/>
        <v>0</v>
      </c>
      <c r="AY552" s="42">
        <f t="shared" si="1234"/>
        <v>0</v>
      </c>
      <c r="AZ552" s="42">
        <f t="shared" si="1222"/>
        <v>0</v>
      </c>
      <c r="BA552" s="42">
        <f t="shared" si="1235"/>
        <v>0</v>
      </c>
      <c r="BB552" s="42">
        <f t="shared" si="1236"/>
        <v>0</v>
      </c>
      <c r="BC552" s="42">
        <f t="shared" si="1237"/>
        <v>0</v>
      </c>
      <c r="BD552" s="42">
        <f t="shared" si="1223"/>
        <v>11.5</v>
      </c>
      <c r="BE552" s="43">
        <f t="shared" si="1224"/>
        <v>11.5</v>
      </c>
      <c r="BF552" s="44"/>
      <c r="BG552" s="45">
        <f t="shared" si="1225"/>
        <v>0</v>
      </c>
      <c r="BH552" s="45">
        <f t="shared" si="1226"/>
        <v>0</v>
      </c>
      <c r="BI552" s="45">
        <f t="shared" si="1227"/>
        <v>0</v>
      </c>
      <c r="BJ552" s="46">
        <f t="shared" si="1210"/>
        <v>0</v>
      </c>
      <c r="BK552" s="46">
        <f t="shared" si="1211"/>
        <v>0</v>
      </c>
      <c r="BL552" s="46">
        <f t="shared" si="1212"/>
        <v>11.5</v>
      </c>
    </row>
    <row r="553" spans="1:64" ht="30" customHeight="1" x14ac:dyDescent="0.25">
      <c r="A553" s="84" t="str">
        <f t="shared" si="1228"/>
        <v>Д</v>
      </c>
      <c r="B553" s="84" t="str">
        <f t="shared" si="32"/>
        <v>М</v>
      </c>
      <c r="C553" s="101" t="s">
        <v>1483</v>
      </c>
      <c r="D553" s="16" t="str">
        <f t="shared" si="33"/>
        <v>'02.04.02</v>
      </c>
      <c r="E553" s="17" t="str">
        <f t="shared" si="34"/>
        <v>Управление инфокоммуникациями и интеллектуальные системы</v>
      </c>
      <c r="F553" s="9"/>
      <c r="G553" s="9"/>
      <c r="H553" s="10" t="s">
        <v>3233</v>
      </c>
      <c r="I553" s="10"/>
      <c r="J553" s="115" t="s">
        <v>3225</v>
      </c>
      <c r="K553" s="11">
        <v>4</v>
      </c>
      <c r="L553" s="11"/>
      <c r="M553" s="8" t="s">
        <v>96</v>
      </c>
      <c r="N553" s="11"/>
      <c r="O553" s="11"/>
      <c r="P553" s="11"/>
      <c r="Q553" s="8"/>
      <c r="R553" s="11"/>
      <c r="S553" s="11"/>
      <c r="T553" s="23"/>
      <c r="U553" s="11"/>
      <c r="V553" s="11"/>
      <c r="W553" s="83" t="str">
        <f t="shared" si="1229"/>
        <v>НФИмд</v>
      </c>
      <c r="X553" s="110" t="s">
        <v>3234</v>
      </c>
      <c r="Y553" s="11"/>
      <c r="Z553" s="11">
        <v>1</v>
      </c>
      <c r="AA553" s="83">
        <f t="shared" si="35"/>
        <v>23</v>
      </c>
      <c r="AB553" s="11">
        <v>14</v>
      </c>
      <c r="AC553" s="11">
        <v>9</v>
      </c>
      <c r="AD553" s="81">
        <f t="shared" si="1230"/>
        <v>1</v>
      </c>
      <c r="AE553" s="82">
        <f t="shared" si="36"/>
        <v>1</v>
      </c>
      <c r="AF553" s="82">
        <f t="shared" si="37"/>
        <v>23</v>
      </c>
      <c r="AG553" s="102" t="s">
        <v>3250</v>
      </c>
      <c r="AH553" s="8" t="s">
        <v>204</v>
      </c>
      <c r="AI553" s="8" t="s">
        <v>213</v>
      </c>
      <c r="AJ553" s="35" t="s">
        <v>3259</v>
      </c>
      <c r="AK553" s="8"/>
      <c r="AL553" s="42">
        <f t="shared" si="1231"/>
        <v>0</v>
      </c>
      <c r="AM553" s="42">
        <f t="shared" si="1214"/>
        <v>0</v>
      </c>
      <c r="AN553" s="42">
        <f t="shared" si="1215"/>
        <v>0</v>
      </c>
      <c r="AO553" s="42">
        <f t="shared" si="1238"/>
        <v>0</v>
      </c>
      <c r="AP553" s="42">
        <f t="shared" si="1216"/>
        <v>0</v>
      </c>
      <c r="AQ553" s="42">
        <f t="shared" si="1217"/>
        <v>0</v>
      </c>
      <c r="AR553" s="42">
        <f t="shared" si="1232"/>
        <v>0</v>
      </c>
      <c r="AS553" s="42">
        <f t="shared" si="1218"/>
        <v>0</v>
      </c>
      <c r="AT553" s="42">
        <f t="shared" si="1219"/>
        <v>0</v>
      </c>
      <c r="AU553" s="42">
        <f t="shared" si="1220"/>
        <v>0</v>
      </c>
      <c r="AV553" s="42">
        <f>IF(M553="ПП",РПП*AA553*(U553/1.5),IF(M553="ВП",ВПр*AA553*(U553/1.5),IF(M553="РПА",РПА*AA553*(U553/1.5),IF(M553="КПА",КПА*AA553*(U553/1.5),0))))</f>
        <v>0</v>
      </c>
      <c r="AW553" s="42">
        <f t="shared" si="1221"/>
        <v>0</v>
      </c>
      <c r="AX553" s="42">
        <f t="shared" si="1233"/>
        <v>0</v>
      </c>
      <c r="AY553" s="42">
        <f t="shared" si="1234"/>
        <v>0</v>
      </c>
      <c r="AZ553" s="42">
        <f t="shared" si="1222"/>
        <v>0</v>
      </c>
      <c r="BA553" s="42">
        <f t="shared" si="1235"/>
        <v>0</v>
      </c>
      <c r="BB553" s="42">
        <f t="shared" si="1236"/>
        <v>688</v>
      </c>
      <c r="BC553" s="42">
        <f t="shared" si="1237"/>
        <v>0</v>
      </c>
      <c r="BD553" s="42">
        <f t="shared" si="1223"/>
        <v>0</v>
      </c>
      <c r="BE553" s="43">
        <f t="shared" si="1224"/>
        <v>688</v>
      </c>
      <c r="BF553" s="44"/>
      <c r="BG553" s="45">
        <f t="shared" si="1225"/>
        <v>0</v>
      </c>
      <c r="BH553" s="45">
        <f t="shared" si="1226"/>
        <v>0</v>
      </c>
      <c r="BI553" s="45">
        <f t="shared" si="1227"/>
        <v>0</v>
      </c>
      <c r="BJ553" s="46">
        <f t="shared" ref="BJ553:BJ663" si="1239">IF(OR(K553="2;3",K553="2;4",K553=2,K553="4;3",K553="4;4",K553=4,K553="6;3",K553="6;4",K553=6,K553="8;3",K553="8;4",K553=8,K553="10;3",K553="10;4",K553=10,K553=12),SUM(AL553:AN553),0)</f>
        <v>0</v>
      </c>
      <c r="BK553" s="46">
        <f t="shared" ref="BK553:BK663" si="1240">IF(BJ553&lt;&gt;0,SUM(N553:P553)/2,0)</f>
        <v>0</v>
      </c>
      <c r="BL553" s="46">
        <f t="shared" ref="BL553:BL663" si="1241">IF(OR(K553="2;3",K553="2;4",K553=2,K553="4;3",K553="4;4",K553=4,K553="6;3",K553="6;4",K553=6,K553="8;3",K553="8;4",K553=8,K553="10;3",K553="10;4",K553=10,K553=12),SUM(AO553:BD553),0)</f>
        <v>688</v>
      </c>
    </row>
    <row r="554" spans="1:64" ht="30" customHeight="1" x14ac:dyDescent="0.25">
      <c r="A554" s="84" t="str">
        <f t="shared" si="1228"/>
        <v>Д</v>
      </c>
      <c r="B554" s="84" t="str">
        <f t="shared" si="32"/>
        <v>М</v>
      </c>
      <c r="C554" s="101" t="s">
        <v>1483</v>
      </c>
      <c r="D554" s="16" t="str">
        <f t="shared" si="33"/>
        <v>'02.04.02</v>
      </c>
      <c r="E554" s="17" t="str">
        <f t="shared" si="34"/>
        <v>Управление инфокоммуникациями и интеллектуальные системы</v>
      </c>
      <c r="F554" s="9"/>
      <c r="G554" s="9"/>
      <c r="H554" s="10" t="s">
        <v>3233</v>
      </c>
      <c r="I554" s="10"/>
      <c r="J554" s="115" t="s">
        <v>3225</v>
      </c>
      <c r="K554" s="12">
        <v>4</v>
      </c>
      <c r="L554" s="11"/>
      <c r="M554" s="8" t="s">
        <v>96</v>
      </c>
      <c r="N554" s="12"/>
      <c r="O554" s="12"/>
      <c r="P554" s="12"/>
      <c r="Q554" s="8"/>
      <c r="R554" s="11"/>
      <c r="S554" s="11"/>
      <c r="T554" s="23"/>
      <c r="U554" s="11"/>
      <c r="V554" s="11"/>
      <c r="W554" s="83" t="str">
        <f t="shared" si="1229"/>
        <v>НФИмд</v>
      </c>
      <c r="X554" s="110" t="s">
        <v>3234</v>
      </c>
      <c r="Y554" s="11"/>
      <c r="Z554" s="11">
        <v>1</v>
      </c>
      <c r="AA554" s="83">
        <f t="shared" si="35"/>
        <v>23</v>
      </c>
      <c r="AB554" s="11">
        <v>14</v>
      </c>
      <c r="AC554" s="11">
        <v>9</v>
      </c>
      <c r="AD554" s="81">
        <f t="shared" si="1230"/>
        <v>1</v>
      </c>
      <c r="AE554" s="82">
        <f t="shared" si="36"/>
        <v>1</v>
      </c>
      <c r="AF554" s="82">
        <f t="shared" si="37"/>
        <v>23</v>
      </c>
      <c r="AG554" s="102" t="s">
        <v>3250</v>
      </c>
      <c r="AH554" s="8" t="s">
        <v>204</v>
      </c>
      <c r="AI554" s="8" t="s">
        <v>212</v>
      </c>
      <c r="AJ554" s="35" t="s">
        <v>3265</v>
      </c>
      <c r="AK554" s="8"/>
      <c r="AL554" s="42">
        <f t="shared" si="1231"/>
        <v>0</v>
      </c>
      <c r="AM554" s="42">
        <f t="shared" si="1214"/>
        <v>0</v>
      </c>
      <c r="AN554" s="42">
        <f t="shared" si="1215"/>
        <v>0</v>
      </c>
      <c r="AO554" s="42">
        <f t="shared" si="1238"/>
        <v>0</v>
      </c>
      <c r="AP554" s="42">
        <f t="shared" si="1216"/>
        <v>0</v>
      </c>
      <c r="AQ554" s="42">
        <f t="shared" si="1217"/>
        <v>0</v>
      </c>
      <c r="AR554" s="42">
        <f t="shared" si="1232"/>
        <v>0</v>
      </c>
      <c r="AS554" s="42">
        <f t="shared" si="1218"/>
        <v>0</v>
      </c>
      <c r="AT554" s="42">
        <f t="shared" si="1219"/>
        <v>0</v>
      </c>
      <c r="AU554" s="42">
        <f t="shared" si="1220"/>
        <v>0</v>
      </c>
      <c r="AV554" s="42">
        <f>IF(M554="ПП",РПП*AA554*(U554/1.5),IF(M554="ВП",ВПр*AA554*(U554/1.5),IF(M554="РПА",РПА*AA554*(U554/1.5),IF(M554="КПА",КПА*AA554*(U554/1.5),0))))</f>
        <v>0</v>
      </c>
      <c r="AW554" s="42">
        <f t="shared" si="1221"/>
        <v>0</v>
      </c>
      <c r="AX554" s="42">
        <f t="shared" si="1233"/>
        <v>0</v>
      </c>
      <c r="AY554" s="42">
        <f t="shared" si="1234"/>
        <v>0</v>
      </c>
      <c r="AZ554" s="42">
        <f t="shared" si="1222"/>
        <v>0</v>
      </c>
      <c r="BA554" s="42">
        <f t="shared" si="1235"/>
        <v>0</v>
      </c>
      <c r="BB554" s="42">
        <f t="shared" si="1236"/>
        <v>688</v>
      </c>
      <c r="BC554" s="42">
        <f t="shared" si="1237"/>
        <v>0</v>
      </c>
      <c r="BD554" s="42">
        <f t="shared" si="1223"/>
        <v>0</v>
      </c>
      <c r="BE554" s="43">
        <f t="shared" si="1224"/>
        <v>688</v>
      </c>
      <c r="BF554" s="44"/>
      <c r="BG554" s="45">
        <f t="shared" si="1225"/>
        <v>0</v>
      </c>
      <c r="BH554" s="45">
        <f t="shared" si="1226"/>
        <v>0</v>
      </c>
      <c r="BI554" s="45">
        <f t="shared" si="1227"/>
        <v>0</v>
      </c>
      <c r="BJ554" s="46">
        <f t="shared" si="1239"/>
        <v>0</v>
      </c>
      <c r="BK554" s="46">
        <f t="shared" si="1240"/>
        <v>0</v>
      </c>
      <c r="BL554" s="46">
        <f t="shared" si="1241"/>
        <v>688</v>
      </c>
    </row>
    <row r="555" spans="1:64" ht="30" customHeight="1" x14ac:dyDescent="0.25">
      <c r="A555" s="84" t="str">
        <f t="shared" si="1228"/>
        <v>Д</v>
      </c>
      <c r="B555" s="84" t="str">
        <f t="shared" si="32"/>
        <v>М</v>
      </c>
      <c r="C555" s="101" t="s">
        <v>1483</v>
      </c>
      <c r="D555" s="16" t="str">
        <f t="shared" si="33"/>
        <v>'02.04.02</v>
      </c>
      <c r="E555" s="17" t="str">
        <f t="shared" si="34"/>
        <v>Управление инфокоммуникациями и интеллектуальные системы</v>
      </c>
      <c r="F555" s="9"/>
      <c r="G555" s="9"/>
      <c r="H555" s="10" t="s">
        <v>3233</v>
      </c>
      <c r="I555" s="10"/>
      <c r="J555" s="115" t="s">
        <v>73</v>
      </c>
      <c r="K555" s="11">
        <v>4</v>
      </c>
      <c r="L555" s="11"/>
      <c r="M555" s="8" t="s">
        <v>27</v>
      </c>
      <c r="N555" s="11"/>
      <c r="O555" s="11"/>
      <c r="P555" s="11"/>
      <c r="Q555" s="8"/>
      <c r="R555" s="11"/>
      <c r="S555" s="11"/>
      <c r="T555" s="11"/>
      <c r="U555" s="11"/>
      <c r="V555" s="11"/>
      <c r="W555" s="83" t="str">
        <f t="shared" si="1229"/>
        <v>НФИмд</v>
      </c>
      <c r="X555" s="110" t="s">
        <v>3234</v>
      </c>
      <c r="Y555" s="11"/>
      <c r="Z555" s="11">
        <v>1</v>
      </c>
      <c r="AA555" s="83">
        <f t="shared" si="35"/>
        <v>23</v>
      </c>
      <c r="AB555" s="11">
        <v>14</v>
      </c>
      <c r="AC555" s="11">
        <v>9</v>
      </c>
      <c r="AD555" s="81">
        <f t="shared" si="1230"/>
        <v>1</v>
      </c>
      <c r="AE555" s="82">
        <f t="shared" si="36"/>
        <v>1</v>
      </c>
      <c r="AF555" s="82">
        <f t="shared" si="37"/>
        <v>23</v>
      </c>
      <c r="AG555" s="102" t="s">
        <v>3250</v>
      </c>
      <c r="AH555" s="8" t="s">
        <v>204</v>
      </c>
      <c r="AI555" s="8" t="s">
        <v>212</v>
      </c>
      <c r="AJ555" s="37" t="s">
        <v>3265</v>
      </c>
      <c r="AK555" s="8"/>
      <c r="AL555" s="42">
        <f t="shared" si="1231"/>
        <v>0</v>
      </c>
      <c r="AM555" s="42">
        <f t="shared" si="1214"/>
        <v>0</v>
      </c>
      <c r="AN555" s="42">
        <f t="shared" si="1215"/>
        <v>0</v>
      </c>
      <c r="AO555" s="42">
        <f t="shared" si="1238"/>
        <v>0</v>
      </c>
      <c r="AP555" s="42">
        <f t="shared" si="1216"/>
        <v>0</v>
      </c>
      <c r="AQ555" s="42">
        <f t="shared" si="1217"/>
        <v>0</v>
      </c>
      <c r="AR555" s="42">
        <f t="shared" si="1232"/>
        <v>0</v>
      </c>
      <c r="AS555" s="42">
        <f t="shared" si="1218"/>
        <v>0</v>
      </c>
      <c r="AT555" s="42">
        <f t="shared" si="1219"/>
        <v>0</v>
      </c>
      <c r="AU555" s="42">
        <f t="shared" si="1220"/>
        <v>0</v>
      </c>
      <c r="AV555" s="42">
        <f>IF(M555="ПП",РПП*AA555*(U555/1.5),IF(M555="ВП",ВПр*AA555*(U555/1.5),IF(M555="РПА",РПА*AA555*(U555/1.5),IF(M555="КПА",КПА*AA555*(U555/1.5),0))))</f>
        <v>0</v>
      </c>
      <c r="AW555" s="42">
        <f t="shared" si="1221"/>
        <v>0</v>
      </c>
      <c r="AX555" s="42">
        <f t="shared" si="1233"/>
        <v>0</v>
      </c>
      <c r="AY555" s="42">
        <f t="shared" si="1234"/>
        <v>0</v>
      </c>
      <c r="AZ555" s="42">
        <f t="shared" si="1222"/>
        <v>0</v>
      </c>
      <c r="BA555" s="42">
        <f t="shared" si="1235"/>
        <v>0</v>
      </c>
      <c r="BB555" s="42">
        <f t="shared" si="1236"/>
        <v>0</v>
      </c>
      <c r="BC555" s="42">
        <f t="shared" si="1237"/>
        <v>92</v>
      </c>
      <c r="BD555" s="42">
        <f t="shared" si="1223"/>
        <v>0</v>
      </c>
      <c r="BE555" s="43">
        <f t="shared" si="1224"/>
        <v>92</v>
      </c>
      <c r="BF555" s="44"/>
      <c r="BG555" s="45">
        <f t="shared" si="1225"/>
        <v>0</v>
      </c>
      <c r="BH555" s="45">
        <f t="shared" si="1226"/>
        <v>0</v>
      </c>
      <c r="BI555" s="45">
        <f t="shared" si="1227"/>
        <v>0</v>
      </c>
      <c r="BJ555" s="46">
        <f t="shared" si="1239"/>
        <v>0</v>
      </c>
      <c r="BK555" s="46">
        <f t="shared" si="1240"/>
        <v>0</v>
      </c>
      <c r="BL555" s="46">
        <f t="shared" si="1241"/>
        <v>92</v>
      </c>
    </row>
    <row r="556" spans="1:64" ht="30" customHeight="1" x14ac:dyDescent="0.25">
      <c r="A556" s="84" t="str">
        <f t="shared" si="1228"/>
        <v>Д</v>
      </c>
      <c r="B556" s="84" t="str">
        <f t="shared" si="32"/>
        <v>А</v>
      </c>
      <c r="C556" s="101" t="s">
        <v>1980</v>
      </c>
      <c r="D556" s="16" t="str">
        <f t="shared" si="33"/>
        <v>'1.2.3.</v>
      </c>
      <c r="E556" s="17" t="str">
        <f t="shared" si="34"/>
        <v>Теоретическая информатика, кибернетика</v>
      </c>
      <c r="F556" s="9"/>
      <c r="G556" s="9"/>
      <c r="H556" s="10"/>
      <c r="I556" s="10"/>
      <c r="J556" s="115" t="s">
        <v>1769</v>
      </c>
      <c r="K556" s="109">
        <v>3</v>
      </c>
      <c r="L556" s="109"/>
      <c r="M556" s="113" t="s">
        <v>1770</v>
      </c>
      <c r="N556" s="11"/>
      <c r="O556" s="11"/>
      <c r="P556" s="11"/>
      <c r="Q556" s="8"/>
      <c r="R556" s="11"/>
      <c r="S556" s="11"/>
      <c r="T556" s="11"/>
      <c r="U556" s="109"/>
      <c r="V556" s="11"/>
      <c r="W556" s="83" t="str">
        <f t="shared" si="1229"/>
        <v>НТКад</v>
      </c>
      <c r="X556" s="114" t="s">
        <v>3241</v>
      </c>
      <c r="Y556" s="11"/>
      <c r="Z556" s="11"/>
      <c r="AA556" s="83">
        <f t="shared" si="35"/>
        <v>3</v>
      </c>
      <c r="AB556" s="109">
        <v>0</v>
      </c>
      <c r="AC556" s="109">
        <v>3</v>
      </c>
      <c r="AD556" s="81">
        <f t="shared" si="1230"/>
        <v>1</v>
      </c>
      <c r="AE556" s="82">
        <f t="shared" si="36"/>
        <v>1</v>
      </c>
      <c r="AF556" s="82">
        <f t="shared" si="37"/>
        <v>3</v>
      </c>
      <c r="AG556" s="102"/>
      <c r="AH556" s="113" t="s">
        <v>204</v>
      </c>
      <c r="AI556" s="113" t="s">
        <v>212</v>
      </c>
      <c r="AJ556" s="35" t="s">
        <v>3252</v>
      </c>
      <c r="AK556" s="8"/>
      <c r="AL556" s="42">
        <f t="shared" si="1231"/>
        <v>0</v>
      </c>
      <c r="AM556" s="42">
        <f t="shared" si="1214"/>
        <v>0</v>
      </c>
      <c r="AN556" s="42">
        <f t="shared" si="1215"/>
        <v>0</v>
      </c>
      <c r="AO556" s="42">
        <f t="shared" si="1238"/>
        <v>0</v>
      </c>
      <c r="AP556" s="42">
        <f t="shared" si="1216"/>
        <v>0</v>
      </c>
      <c r="AQ556" s="42">
        <f t="shared" si="1217"/>
        <v>0</v>
      </c>
      <c r="AR556" s="42">
        <f t="shared" si="1232"/>
        <v>0</v>
      </c>
      <c r="AS556" s="42">
        <f t="shared" si="1218"/>
        <v>0</v>
      </c>
      <c r="AT556" s="42">
        <f t="shared" si="1219"/>
        <v>0</v>
      </c>
      <c r="AU556" s="42">
        <f t="shared" si="1220"/>
        <v>0</v>
      </c>
      <c r="AV556" s="42">
        <f>IF(M556="ПП",РПП*AA556*(U556/1.5),IF(M556="ВП",ВПр*AA556*(U556/1.5),IF(M556="РПА",РПА*AA556*(U556/1.5),IF(M556="КПА",КПА*AA556*(U556/1.5),0))))</f>
        <v>0</v>
      </c>
      <c r="AW556" s="42">
        <f t="shared" si="1221"/>
        <v>0</v>
      </c>
      <c r="AX556" s="42">
        <f t="shared" si="1233"/>
        <v>0</v>
      </c>
      <c r="AY556" s="42">
        <f t="shared" si="1234"/>
        <v>0</v>
      </c>
      <c r="AZ556" s="42">
        <f t="shared" si="1222"/>
        <v>0</v>
      </c>
      <c r="BA556" s="42">
        <f t="shared" si="1235"/>
        <v>300</v>
      </c>
      <c r="BB556" s="42">
        <f t="shared" si="1236"/>
        <v>0</v>
      </c>
      <c r="BC556" s="42">
        <f t="shared" si="1237"/>
        <v>0</v>
      </c>
      <c r="BD556" s="42">
        <f t="shared" si="1223"/>
        <v>0</v>
      </c>
      <c r="BE556" s="43">
        <f t="shared" si="1224"/>
        <v>300</v>
      </c>
      <c r="BF556" s="44"/>
      <c r="BG556" s="45">
        <f t="shared" si="1225"/>
        <v>0</v>
      </c>
      <c r="BH556" s="45">
        <f t="shared" si="1226"/>
        <v>0</v>
      </c>
      <c r="BI556" s="45">
        <f t="shared" si="1227"/>
        <v>300</v>
      </c>
      <c r="BJ556" s="46">
        <f t="shared" si="1239"/>
        <v>0</v>
      </c>
      <c r="BK556" s="46">
        <f t="shared" si="1240"/>
        <v>0</v>
      </c>
      <c r="BL556" s="46">
        <f t="shared" si="1241"/>
        <v>0</v>
      </c>
    </row>
    <row r="557" spans="1:64" ht="30" customHeight="1" x14ac:dyDescent="0.25">
      <c r="A557" s="84" t="str">
        <f t="shared" si="1228"/>
        <v>Д</v>
      </c>
      <c r="B557" s="84" t="str">
        <f t="shared" si="32"/>
        <v>А</v>
      </c>
      <c r="C557" s="101" t="s">
        <v>1980</v>
      </c>
      <c r="D557" s="16" t="str">
        <f t="shared" si="33"/>
        <v>'1.2.3.</v>
      </c>
      <c r="E557" s="17" t="str">
        <f t="shared" si="34"/>
        <v>Теоретическая информатика, кибернетика</v>
      </c>
      <c r="F557" s="9"/>
      <c r="G557" s="9"/>
      <c r="H557" s="10"/>
      <c r="I557" s="10"/>
      <c r="J557" s="115" t="s">
        <v>1769</v>
      </c>
      <c r="K557" s="109">
        <v>3</v>
      </c>
      <c r="L557" s="109"/>
      <c r="M557" s="113" t="s">
        <v>1770</v>
      </c>
      <c r="N557" s="11"/>
      <c r="O557" s="11"/>
      <c r="P557" s="11"/>
      <c r="Q557" s="8"/>
      <c r="R557" s="11"/>
      <c r="S557" s="11"/>
      <c r="T557" s="11"/>
      <c r="U557" s="109"/>
      <c r="V557" s="11"/>
      <c r="W557" s="83" t="str">
        <f t="shared" si="1229"/>
        <v>НТКад</v>
      </c>
      <c r="X557" s="114" t="s">
        <v>3241</v>
      </c>
      <c r="Y557" s="11"/>
      <c r="Z557" s="11"/>
      <c r="AA557" s="83">
        <f t="shared" si="35"/>
        <v>2</v>
      </c>
      <c r="AB557" s="109">
        <v>2</v>
      </c>
      <c r="AC557" s="109">
        <v>0</v>
      </c>
      <c r="AD557" s="81">
        <f t="shared" si="1230"/>
        <v>1</v>
      </c>
      <c r="AE557" s="82">
        <f t="shared" si="36"/>
        <v>1</v>
      </c>
      <c r="AF557" s="82">
        <f t="shared" si="37"/>
        <v>2</v>
      </c>
      <c r="AG557" s="102"/>
      <c r="AH557" s="113" t="s">
        <v>204</v>
      </c>
      <c r="AI557" s="113" t="s">
        <v>213</v>
      </c>
      <c r="AJ557" s="126" t="s">
        <v>3259</v>
      </c>
      <c r="AK557" s="8"/>
      <c r="AL557" s="42">
        <f t="shared" si="1231"/>
        <v>0</v>
      </c>
      <c r="AM557" s="42">
        <f t="shared" ref="AM557:AM663" si="1242">IF(OR(M557="пр",M557="ия",M557="сп"),P557*AE557*L557,0)</f>
        <v>0</v>
      </c>
      <c r="AN557" s="42">
        <f t="shared" ref="AN557:AN663" si="1243">IF(OR(M557="лаб",M557="клн"),O557*AE557*L557,0)</f>
        <v>0</v>
      </c>
      <c r="AO557" s="42">
        <f t="shared" si="1238"/>
        <v>0</v>
      </c>
      <c r="AP557" s="42">
        <f t="shared" ref="AP557:AP663" si="1244">IF(SUM(O557:P557)&lt;&gt;0,IF(Q557="Зач",ПАБРС*AA557,0),0)+IF(N557&lt;&gt;0,IF(Q557="Экз",ПАБРС*AA557,0),0)</f>
        <v>0</v>
      </c>
      <c r="AQ557" s="42">
        <f t="shared" ref="AQ557:AQ663" si="1245">(IF(AP557&lt;&gt;0,ОфВед*(IF(OR(M557="лек",M557="лаб"),Z557,AE557)),0))*(IF(F557="ФТД",0,1))</f>
        <v>0</v>
      </c>
      <c r="AR557" s="42">
        <f t="shared" si="1232"/>
        <v>0</v>
      </c>
      <c r="AS557" s="42">
        <f t="shared" ref="AS557:AS663" si="1246">IF(OR(M557="лаб",M557="пр"),IF(R557="К",AA557*ВПКР,IF(R557="М",AA557*ВПИБ,0)),0)</f>
        <v>0</v>
      </c>
      <c r="AT557" s="42">
        <f t="shared" ref="AT557:AT663" si="1247">IF(OR(M557="лаб",M557="пр"),IF(S557="К",AA557*ВПКП,0),0)</f>
        <v>0</v>
      </c>
      <c r="AU557" s="42">
        <f t="shared" ref="AU557:AU663" si="1248">IF(M557="УП",T557/1.5*AA557*РУП,IF(M557="УПМ",T557/1.5*AA557*РУПЛеч,0))</f>
        <v>0</v>
      </c>
      <c r="AV557" s="42">
        <f>IF(M557="ПП",РПП*AA557*(U557/1.5),IF(M557="ВП",ВПр*AA557*(U557/1.5),IF(M557="РПА",РПА*AA557*(U557/1.5),IF(M557="КПА",КПА*AA557*(U557/1.5),0))))</f>
        <v>0</v>
      </c>
      <c r="AW557" s="42">
        <f t="shared" ref="AW557:AW663" si="1249">IF(M557="НР",(AB557*НИРМ+AC557*НИРМИн)*(V557/1.5),IF(M557="НИ",(AB557*НИРА+AC557*НИРАИ)*(V557/1.5),0))</f>
        <v>0</v>
      </c>
      <c r="AX557" s="42">
        <f t="shared" si="1233"/>
        <v>0</v>
      </c>
      <c r="AY557" s="42">
        <f t="shared" si="1234"/>
        <v>0</v>
      </c>
      <c r="AZ557" s="42">
        <f t="shared" ref="AZ557:AZ663" si="1250">IF(AND(Q557="КЭ",M557="ЧК"),AA557*КдЭк,0)</f>
        <v>0</v>
      </c>
      <c r="BA557" s="42">
        <f t="shared" si="1235"/>
        <v>150</v>
      </c>
      <c r="BB557" s="42">
        <f t="shared" si="1236"/>
        <v>0</v>
      </c>
      <c r="BC557" s="42">
        <f t="shared" si="1237"/>
        <v>0</v>
      </c>
      <c r="BD557" s="42">
        <f t="shared" ref="BD557:BD663" si="1251">IF(M557="ЧГ",AA557*ЧГ,IF(M557="ПГ",AA557*ПГ,IF(M557="ТЕСТ",ТГИЭ*AE557,IF(M557="СГ",AA557*СГ,0))))</f>
        <v>0</v>
      </c>
      <c r="BE557" s="43">
        <f t="shared" ref="BE557:BE663" si="1252">SUM(AL557:BD557)</f>
        <v>150</v>
      </c>
      <c r="BF557" s="44"/>
      <c r="BG557" s="45">
        <f t="shared" ref="BG557:BG663" si="1253">IF(OR(K557="1;1",K557="1;2",K557=1,K557="3;1",K557="3;2",K557=3,K557="5;1",K557="5;2",K557=5,K557="7;1",K557="7;2",K557=7,K557="9;1",K557="9;2",K557=9,K557=11),SUM(AL557:AN557),0)</f>
        <v>0</v>
      </c>
      <c r="BH557" s="45">
        <f t="shared" ref="BH557:BH663" si="1254">IF(BG557&lt;&gt;0,SUM(N557:P557)/2,0)</f>
        <v>0</v>
      </c>
      <c r="BI557" s="45">
        <f t="shared" ref="BI557:BI663" si="1255">IF(OR(K557="1;1",K557="1;2",K557=1,K557="3;1",K557="3;2",K557=3,K557="5;1",K557="5;2",K557=5,K557="7;1",K557="7;2",K557=7,K557="9;1",K557="9;2",K557=9,K557=11),SUM(AO557:BD557),0)</f>
        <v>150</v>
      </c>
      <c r="BJ557" s="46">
        <f t="shared" si="1239"/>
        <v>0</v>
      </c>
      <c r="BK557" s="46">
        <f t="shared" si="1240"/>
        <v>0</v>
      </c>
      <c r="BL557" s="46">
        <f t="shared" si="1241"/>
        <v>0</v>
      </c>
    </row>
    <row r="558" spans="1:64" ht="30" customHeight="1" x14ac:dyDescent="0.25">
      <c r="A558" s="84" t="str">
        <f t="shared" si="1228"/>
        <v>Д</v>
      </c>
      <c r="B558" s="84" t="str">
        <f t="shared" si="32"/>
        <v>А</v>
      </c>
      <c r="C558" s="101" t="s">
        <v>1980</v>
      </c>
      <c r="D558" s="16" t="str">
        <f t="shared" si="33"/>
        <v>'1.2.3.</v>
      </c>
      <c r="E558" s="17" t="str">
        <f t="shared" si="34"/>
        <v>Теоретическая информатика, кибернетика</v>
      </c>
      <c r="F558" s="9"/>
      <c r="G558" s="9"/>
      <c r="H558" s="10"/>
      <c r="I558" s="10"/>
      <c r="J558" s="115" t="s">
        <v>1769</v>
      </c>
      <c r="K558" s="109">
        <v>3</v>
      </c>
      <c r="L558" s="109"/>
      <c r="M558" s="113" t="s">
        <v>1770</v>
      </c>
      <c r="N558" s="11"/>
      <c r="O558" s="11"/>
      <c r="P558" s="11"/>
      <c r="Q558" s="8"/>
      <c r="R558" s="11"/>
      <c r="S558" s="11"/>
      <c r="T558" s="11"/>
      <c r="U558" s="109"/>
      <c r="V558" s="11"/>
      <c r="W558" s="83" t="str">
        <f t="shared" si="1229"/>
        <v>НТКад</v>
      </c>
      <c r="X558" s="114" t="s">
        <v>3241</v>
      </c>
      <c r="Y558" s="11"/>
      <c r="Z558" s="11"/>
      <c r="AA558" s="83">
        <f t="shared" si="35"/>
        <v>2</v>
      </c>
      <c r="AB558" s="109">
        <v>2</v>
      </c>
      <c r="AC558" s="109">
        <v>0</v>
      </c>
      <c r="AD558" s="81">
        <f t="shared" si="1230"/>
        <v>1</v>
      </c>
      <c r="AE558" s="82">
        <f t="shared" si="36"/>
        <v>1</v>
      </c>
      <c r="AF558" s="82">
        <f t="shared" si="37"/>
        <v>2</v>
      </c>
      <c r="AG558" s="102"/>
      <c r="AH558" s="113" t="s">
        <v>204</v>
      </c>
      <c r="AI558" s="113" t="s">
        <v>212</v>
      </c>
      <c r="AJ558" s="121" t="s">
        <v>3261</v>
      </c>
      <c r="AK558" s="8"/>
      <c r="AL558" s="42">
        <f t="shared" si="1231"/>
        <v>0</v>
      </c>
      <c r="AM558" s="42">
        <f t="shared" si="1242"/>
        <v>0</v>
      </c>
      <c r="AN558" s="42">
        <f t="shared" si="1243"/>
        <v>0</v>
      </c>
      <c r="AO558" s="42">
        <f t="shared" si="1238"/>
        <v>0</v>
      </c>
      <c r="AP558" s="42">
        <f t="shared" si="1244"/>
        <v>0</v>
      </c>
      <c r="AQ558" s="42">
        <f t="shared" si="1245"/>
        <v>0</v>
      </c>
      <c r="AR558" s="42">
        <f t="shared" si="1232"/>
        <v>0</v>
      </c>
      <c r="AS558" s="42">
        <f t="shared" si="1246"/>
        <v>0</v>
      </c>
      <c r="AT558" s="42">
        <f t="shared" si="1247"/>
        <v>0</v>
      </c>
      <c r="AU558" s="42">
        <f t="shared" si="1248"/>
        <v>0</v>
      </c>
      <c r="AV558" s="42">
        <f>IF(M558="ПП",РПП*AA558*(U558/1.5),IF(M558="ВП",ВПр*AA558*(U558/1.5),IF(M558="РПА",РПА*AA558*(U558/1.5),IF(M558="КПА",КПА*AA558*(U558/1.5),0))))</f>
        <v>0</v>
      </c>
      <c r="AW558" s="42">
        <f t="shared" si="1249"/>
        <v>0</v>
      </c>
      <c r="AX558" s="42">
        <f t="shared" si="1233"/>
        <v>0</v>
      </c>
      <c r="AY558" s="42">
        <f t="shared" si="1234"/>
        <v>0</v>
      </c>
      <c r="AZ558" s="42">
        <f t="shared" si="1250"/>
        <v>0</v>
      </c>
      <c r="BA558" s="42">
        <f t="shared" si="1235"/>
        <v>150</v>
      </c>
      <c r="BB558" s="42">
        <f t="shared" si="1236"/>
        <v>0</v>
      </c>
      <c r="BC558" s="42">
        <f t="shared" si="1237"/>
        <v>0</v>
      </c>
      <c r="BD558" s="42">
        <f t="shared" si="1251"/>
        <v>0</v>
      </c>
      <c r="BE558" s="43">
        <f t="shared" si="1252"/>
        <v>150</v>
      </c>
      <c r="BF558" s="44"/>
      <c r="BG558" s="45">
        <f t="shared" si="1253"/>
        <v>0</v>
      </c>
      <c r="BH558" s="45">
        <f t="shared" si="1254"/>
        <v>0</v>
      </c>
      <c r="BI558" s="45">
        <f t="shared" si="1255"/>
        <v>150</v>
      </c>
      <c r="BJ558" s="46">
        <f t="shared" si="1239"/>
        <v>0</v>
      </c>
      <c r="BK558" s="46">
        <f t="shared" si="1240"/>
        <v>0</v>
      </c>
      <c r="BL558" s="46">
        <f t="shared" si="1241"/>
        <v>0</v>
      </c>
    </row>
    <row r="559" spans="1:64" ht="30" customHeight="1" x14ac:dyDescent="0.25">
      <c r="A559" s="84" t="str">
        <f t="shared" si="1228"/>
        <v>Д</v>
      </c>
      <c r="B559" s="84" t="str">
        <f t="shared" si="32"/>
        <v>А</v>
      </c>
      <c r="C559" s="101" t="s">
        <v>1980</v>
      </c>
      <c r="D559" s="16" t="str">
        <f t="shared" si="33"/>
        <v>'1.2.3.</v>
      </c>
      <c r="E559" s="17" t="str">
        <f t="shared" si="34"/>
        <v>Теоретическая информатика, кибернетика</v>
      </c>
      <c r="F559" s="9"/>
      <c r="G559" s="9"/>
      <c r="H559" s="10"/>
      <c r="I559" s="10"/>
      <c r="J559" s="115" t="s">
        <v>1769</v>
      </c>
      <c r="K559" s="109">
        <v>3</v>
      </c>
      <c r="L559" s="109"/>
      <c r="M559" s="113" t="s">
        <v>1770</v>
      </c>
      <c r="N559" s="11"/>
      <c r="O559" s="11"/>
      <c r="P559" s="11"/>
      <c r="Q559" s="8"/>
      <c r="R559" s="11"/>
      <c r="S559" s="11"/>
      <c r="T559" s="11"/>
      <c r="U559" s="109"/>
      <c r="V559" s="11"/>
      <c r="W559" s="83" t="str">
        <f t="shared" si="1229"/>
        <v>НТКад</v>
      </c>
      <c r="X559" s="114" t="s">
        <v>3241</v>
      </c>
      <c r="Y559" s="11"/>
      <c r="Z559" s="11"/>
      <c r="AA559" s="83">
        <f t="shared" si="35"/>
        <v>1</v>
      </c>
      <c r="AB559" s="109">
        <v>1</v>
      </c>
      <c r="AC559" s="109"/>
      <c r="AD559" s="81">
        <f t="shared" si="1230"/>
        <v>1</v>
      </c>
      <c r="AE559" s="82">
        <f t="shared" si="36"/>
        <v>1</v>
      </c>
      <c r="AF559" s="82">
        <f t="shared" si="37"/>
        <v>1</v>
      </c>
      <c r="AG559" s="102"/>
      <c r="AH559" s="113" t="s">
        <v>205</v>
      </c>
      <c r="AI559" s="113" t="s">
        <v>213</v>
      </c>
      <c r="AJ559" s="121" t="s">
        <v>3296</v>
      </c>
      <c r="AK559" s="8"/>
      <c r="AL559" s="42">
        <f t="shared" si="1231"/>
        <v>0</v>
      </c>
      <c r="AM559" s="42">
        <f t="shared" si="1242"/>
        <v>0</v>
      </c>
      <c r="AN559" s="42">
        <f t="shared" si="1243"/>
        <v>0</v>
      </c>
      <c r="AO559" s="42">
        <f t="shared" si="1238"/>
        <v>0</v>
      </c>
      <c r="AP559" s="42">
        <f t="shared" si="1244"/>
        <v>0</v>
      </c>
      <c r="AQ559" s="42">
        <f t="shared" si="1245"/>
        <v>0</v>
      </c>
      <c r="AR559" s="42">
        <f t="shared" si="1232"/>
        <v>0</v>
      </c>
      <c r="AS559" s="42">
        <f t="shared" si="1246"/>
        <v>0</v>
      </c>
      <c r="AT559" s="42">
        <f t="shared" si="1247"/>
        <v>0</v>
      </c>
      <c r="AU559" s="42">
        <f t="shared" ref="AU559:AU575" si="1256">IF(M559="УП",T559/1.5*AA559*РУП,IF(M559="УПМ",T559/1.5*AA559*РУПЛеч,0))</f>
        <v>0</v>
      </c>
      <c r="AV559" s="42">
        <f>IF(M559="ПП",РПП*AA559*(U559/1.5),IF(M559="ВП",ВПр*AA559*(U559/1.5),IF(M559="РПА",РПА*AA559*(U559/1.5),IF(M559="КПА",КПА*AA559*(U559/1.5),0))))</f>
        <v>0</v>
      </c>
      <c r="AW559" s="42">
        <f t="shared" ref="AW559:AW575" si="1257">IF(M559="НР",(AB559*НИРМ+AC559*НИРМИн)*(V559/1.5),IF(M559="НИ",(AB559*НИРА+AC559*НИРАИ)*(V559/1.5),0))</f>
        <v>0</v>
      </c>
      <c r="AX559" s="42">
        <f t="shared" si="1233"/>
        <v>0</v>
      </c>
      <c r="AY559" s="42">
        <f t="shared" si="1234"/>
        <v>0</v>
      </c>
      <c r="AZ559" s="42">
        <f t="shared" ref="AZ559:AZ575" si="1258">IF(AND(Q559="КЭ",M559="ЧК"),AA559*КдЭк,0)</f>
        <v>0</v>
      </c>
      <c r="BA559" s="42">
        <f t="shared" si="1235"/>
        <v>75</v>
      </c>
      <c r="BB559" s="42">
        <f t="shared" si="1236"/>
        <v>0</v>
      </c>
      <c r="BC559" s="42">
        <f t="shared" si="1237"/>
        <v>0</v>
      </c>
      <c r="BD559" s="42">
        <f t="shared" ref="BD559:BD575" si="1259">IF(M559="ЧГ",AA559*ЧГ,IF(M559="ПГ",AA559*ПГ,IF(M559="ТЕСТ",ТГИЭ*AE559,IF(M559="СГ",AA559*СГ,0))))</f>
        <v>0</v>
      </c>
      <c r="BE559" s="43">
        <f t="shared" ref="BE559:BE575" si="1260">SUM(AL559:BD559)</f>
        <v>75</v>
      </c>
      <c r="BF559" s="44"/>
      <c r="BG559" s="45">
        <f t="shared" ref="BG559:BG575" si="1261">IF(OR(K559="1;1",K559="1;2",K559=1,K559="3;1",K559="3;2",K559=3,K559="5;1",K559="5;2",K559=5,K559="7;1",K559="7;2",K559=7,K559="9;1",K559="9;2",K559=9,K559=11),SUM(AL559:AN559),0)</f>
        <v>0</v>
      </c>
      <c r="BH559" s="45">
        <f t="shared" ref="BH559:BH575" si="1262">IF(BG559&lt;&gt;0,SUM(N559:P559)/2,0)</f>
        <v>0</v>
      </c>
      <c r="BI559" s="45">
        <f t="shared" ref="BI559:BI575" si="1263">IF(OR(K559="1;1",K559="1;2",K559=1,K559="3;1",K559="3;2",K559=3,K559="5;1",K559="5;2",K559=5,K559="7;1",K559="7;2",K559=7,K559="9;1",K559="9;2",K559=9,K559=11),SUM(AO559:BD559),0)</f>
        <v>75</v>
      </c>
      <c r="BJ559" s="46">
        <f t="shared" si="1239"/>
        <v>0</v>
      </c>
      <c r="BK559" s="46">
        <f t="shared" si="1240"/>
        <v>0</v>
      </c>
      <c r="BL559" s="46">
        <f t="shared" si="1241"/>
        <v>0</v>
      </c>
    </row>
    <row r="560" spans="1:64" ht="30" customHeight="1" x14ac:dyDescent="0.25">
      <c r="A560" s="84" t="str">
        <f t="shared" si="1228"/>
        <v>Д</v>
      </c>
      <c r="B560" s="84" t="str">
        <f t="shared" si="32"/>
        <v>А</v>
      </c>
      <c r="C560" s="101" t="s">
        <v>1980</v>
      </c>
      <c r="D560" s="16" t="str">
        <f t="shared" si="33"/>
        <v>'1.2.3.</v>
      </c>
      <c r="E560" s="17" t="str">
        <f t="shared" si="34"/>
        <v>Теоретическая информатика, кибернетика</v>
      </c>
      <c r="F560" s="9"/>
      <c r="G560" s="9"/>
      <c r="H560" s="10"/>
      <c r="I560" s="10"/>
      <c r="J560" s="115" t="s">
        <v>1769</v>
      </c>
      <c r="K560" s="117">
        <v>3</v>
      </c>
      <c r="L560" s="109"/>
      <c r="M560" s="113" t="s">
        <v>1770</v>
      </c>
      <c r="N560" s="11"/>
      <c r="O560" s="11"/>
      <c r="P560" s="11"/>
      <c r="Q560" s="8"/>
      <c r="R560" s="11"/>
      <c r="S560" s="11"/>
      <c r="T560" s="11"/>
      <c r="U560" s="117"/>
      <c r="V560" s="11"/>
      <c r="W560" s="83" t="str">
        <f t="shared" si="1229"/>
        <v>НТКад</v>
      </c>
      <c r="X560" s="114" t="s">
        <v>3241</v>
      </c>
      <c r="Y560" s="11"/>
      <c r="Z560" s="11"/>
      <c r="AA560" s="83">
        <f t="shared" si="35"/>
        <v>1</v>
      </c>
      <c r="AB560" s="109"/>
      <c r="AC560" s="109">
        <v>1</v>
      </c>
      <c r="AD560" s="81">
        <f t="shared" si="1230"/>
        <v>1</v>
      </c>
      <c r="AE560" s="82">
        <f t="shared" si="36"/>
        <v>1</v>
      </c>
      <c r="AF560" s="82">
        <f t="shared" si="37"/>
        <v>1</v>
      </c>
      <c r="AG560" s="102"/>
      <c r="AH560" s="113" t="s">
        <v>204</v>
      </c>
      <c r="AI560" s="113" t="s">
        <v>212</v>
      </c>
      <c r="AJ560" s="121" t="s">
        <v>3256</v>
      </c>
      <c r="AK560" s="8"/>
      <c r="AL560" s="42">
        <f t="shared" si="1231"/>
        <v>0</v>
      </c>
      <c r="AM560" s="42">
        <f t="shared" si="1242"/>
        <v>0</v>
      </c>
      <c r="AN560" s="42">
        <f t="shared" si="1243"/>
        <v>0</v>
      </c>
      <c r="AO560" s="42">
        <f t="shared" si="1238"/>
        <v>0</v>
      </c>
      <c r="AP560" s="42">
        <f t="shared" si="1244"/>
        <v>0</v>
      </c>
      <c r="AQ560" s="42">
        <f t="shared" si="1245"/>
        <v>0</v>
      </c>
      <c r="AR560" s="42">
        <f t="shared" si="1232"/>
        <v>0</v>
      </c>
      <c r="AS560" s="42">
        <f t="shared" si="1246"/>
        <v>0</v>
      </c>
      <c r="AT560" s="42">
        <f t="shared" si="1247"/>
        <v>0</v>
      </c>
      <c r="AU560" s="42">
        <f t="shared" si="1256"/>
        <v>0</v>
      </c>
      <c r="AV560" s="42">
        <f>IF(M560="ПП",РПП*AA560*(U560/1.5),IF(M560="ВП",ВПр*AA560*(U560/1.5),IF(M560="РПА",РПА*AA560*(U560/1.5),IF(M560="КПА",КПА*AA560*(U560/1.5),0))))</f>
        <v>0</v>
      </c>
      <c r="AW560" s="42">
        <f t="shared" si="1257"/>
        <v>0</v>
      </c>
      <c r="AX560" s="42">
        <f t="shared" si="1233"/>
        <v>0</v>
      </c>
      <c r="AY560" s="42">
        <f t="shared" si="1234"/>
        <v>0</v>
      </c>
      <c r="AZ560" s="42">
        <f t="shared" si="1258"/>
        <v>0</v>
      </c>
      <c r="BA560" s="42">
        <f t="shared" si="1235"/>
        <v>100</v>
      </c>
      <c r="BB560" s="42">
        <f t="shared" si="1236"/>
        <v>0</v>
      </c>
      <c r="BC560" s="42">
        <f t="shared" si="1237"/>
        <v>0</v>
      </c>
      <c r="BD560" s="42">
        <f t="shared" si="1259"/>
        <v>0</v>
      </c>
      <c r="BE560" s="43">
        <f t="shared" si="1260"/>
        <v>100</v>
      </c>
      <c r="BF560" s="44"/>
      <c r="BG560" s="45">
        <f t="shared" si="1261"/>
        <v>0</v>
      </c>
      <c r="BH560" s="45">
        <f t="shared" si="1262"/>
        <v>0</v>
      </c>
      <c r="BI560" s="45">
        <f t="shared" si="1263"/>
        <v>100</v>
      </c>
      <c r="BJ560" s="46">
        <f t="shared" si="1239"/>
        <v>0</v>
      </c>
      <c r="BK560" s="46">
        <f t="shared" si="1240"/>
        <v>0</v>
      </c>
      <c r="BL560" s="46">
        <f t="shared" si="1241"/>
        <v>0</v>
      </c>
    </row>
    <row r="561" spans="1:64" ht="30" customHeight="1" x14ac:dyDescent="0.25">
      <c r="A561" s="84" t="str">
        <f t="shared" si="1228"/>
        <v>Д</v>
      </c>
      <c r="B561" s="84" t="str">
        <f t="shared" si="32"/>
        <v>А</v>
      </c>
      <c r="C561" s="101" t="s">
        <v>1980</v>
      </c>
      <c r="D561" s="16" t="str">
        <f t="shared" si="33"/>
        <v>'1.2.3.</v>
      </c>
      <c r="E561" s="17" t="str">
        <f t="shared" si="34"/>
        <v>Теоретическая информатика, кибернетика</v>
      </c>
      <c r="F561" s="9"/>
      <c r="G561" s="9"/>
      <c r="H561" s="10"/>
      <c r="I561" s="10"/>
      <c r="J561" s="115" t="s">
        <v>1769</v>
      </c>
      <c r="K561" s="109">
        <v>3</v>
      </c>
      <c r="L561" s="109"/>
      <c r="M561" s="113" t="s">
        <v>1770</v>
      </c>
      <c r="N561" s="11"/>
      <c r="O561" s="11"/>
      <c r="P561" s="11"/>
      <c r="Q561" s="8"/>
      <c r="R561" s="11"/>
      <c r="S561" s="11"/>
      <c r="T561" s="11"/>
      <c r="U561" s="109"/>
      <c r="V561" s="11"/>
      <c r="W561" s="83" t="str">
        <f t="shared" si="1229"/>
        <v>НТКад</v>
      </c>
      <c r="X561" s="114" t="s">
        <v>3241</v>
      </c>
      <c r="Y561" s="11"/>
      <c r="Z561" s="11"/>
      <c r="AA561" s="83">
        <f t="shared" si="35"/>
        <v>1</v>
      </c>
      <c r="AB561" s="109">
        <v>1</v>
      </c>
      <c r="AC561" s="109"/>
      <c r="AD561" s="81">
        <f t="shared" si="1230"/>
        <v>1</v>
      </c>
      <c r="AE561" s="82">
        <f t="shared" si="36"/>
        <v>1</v>
      </c>
      <c r="AF561" s="82">
        <f t="shared" si="37"/>
        <v>1</v>
      </c>
      <c r="AG561" s="102"/>
      <c r="AH561" s="113" t="s">
        <v>204</v>
      </c>
      <c r="AI561" s="113" t="s">
        <v>212</v>
      </c>
      <c r="AJ561" s="121" t="s">
        <v>3261</v>
      </c>
      <c r="AK561" s="8"/>
      <c r="AL561" s="42">
        <f t="shared" si="1231"/>
        <v>0</v>
      </c>
      <c r="AM561" s="42">
        <f t="shared" si="1242"/>
        <v>0</v>
      </c>
      <c r="AN561" s="42">
        <f t="shared" si="1243"/>
        <v>0</v>
      </c>
      <c r="AO561" s="42">
        <f t="shared" si="1238"/>
        <v>0</v>
      </c>
      <c r="AP561" s="42">
        <f t="shared" si="1244"/>
        <v>0</v>
      </c>
      <c r="AQ561" s="42">
        <f t="shared" si="1245"/>
        <v>0</v>
      </c>
      <c r="AR561" s="42">
        <f t="shared" si="1232"/>
        <v>0</v>
      </c>
      <c r="AS561" s="42">
        <f t="shared" si="1246"/>
        <v>0</v>
      </c>
      <c r="AT561" s="42">
        <f t="shared" si="1247"/>
        <v>0</v>
      </c>
      <c r="AU561" s="42">
        <f t="shared" si="1256"/>
        <v>0</v>
      </c>
      <c r="AV561" s="42">
        <f>IF(M561="ПП",РПП*AA561*(U561/1.5),IF(M561="ВП",ВПр*AA561*(U561/1.5),IF(M561="РПА",РПА*AA561*(U561/1.5),IF(M561="КПА",КПА*AA561*(U561/1.5),0))))</f>
        <v>0</v>
      </c>
      <c r="AW561" s="42">
        <f t="shared" si="1257"/>
        <v>0</v>
      </c>
      <c r="AX561" s="42">
        <f t="shared" si="1233"/>
        <v>0</v>
      </c>
      <c r="AY561" s="42">
        <f t="shared" si="1234"/>
        <v>0</v>
      </c>
      <c r="AZ561" s="42">
        <f t="shared" si="1258"/>
        <v>0</v>
      </c>
      <c r="BA561" s="42">
        <f t="shared" si="1235"/>
        <v>75</v>
      </c>
      <c r="BB561" s="42">
        <f t="shared" si="1236"/>
        <v>0</v>
      </c>
      <c r="BC561" s="42">
        <f t="shared" si="1237"/>
        <v>0</v>
      </c>
      <c r="BD561" s="42">
        <f t="shared" si="1259"/>
        <v>0</v>
      </c>
      <c r="BE561" s="43">
        <f t="shared" si="1260"/>
        <v>75</v>
      </c>
      <c r="BF561" s="44"/>
      <c r="BG561" s="45">
        <f t="shared" si="1261"/>
        <v>0</v>
      </c>
      <c r="BH561" s="45">
        <f t="shared" si="1262"/>
        <v>0</v>
      </c>
      <c r="BI561" s="45">
        <f t="shared" si="1263"/>
        <v>75</v>
      </c>
      <c r="BJ561" s="46">
        <f t="shared" si="1239"/>
        <v>0</v>
      </c>
      <c r="BK561" s="46">
        <f t="shared" si="1240"/>
        <v>0</v>
      </c>
      <c r="BL561" s="46">
        <f t="shared" si="1241"/>
        <v>0</v>
      </c>
    </row>
    <row r="562" spans="1:64" ht="30" customHeight="1" x14ac:dyDescent="0.25">
      <c r="A562" s="84" t="str">
        <f t="shared" si="1228"/>
        <v>Д</v>
      </c>
      <c r="B562" s="84" t="str">
        <f t="shared" si="32"/>
        <v>А</v>
      </c>
      <c r="C562" s="101" t="s">
        <v>1980</v>
      </c>
      <c r="D562" s="16" t="str">
        <f t="shared" si="33"/>
        <v>'1.2.3.</v>
      </c>
      <c r="E562" s="17" t="str">
        <f t="shared" si="34"/>
        <v>Теоретическая информатика, кибернетика</v>
      </c>
      <c r="F562" s="9"/>
      <c r="G562" s="9"/>
      <c r="H562" s="10"/>
      <c r="I562" s="10"/>
      <c r="J562" s="115" t="s">
        <v>1769</v>
      </c>
      <c r="K562" s="109">
        <v>3</v>
      </c>
      <c r="L562" s="109"/>
      <c r="M562" s="113" t="s">
        <v>1770</v>
      </c>
      <c r="N562" s="11"/>
      <c r="O562" s="11"/>
      <c r="P562" s="11"/>
      <c r="Q562" s="8"/>
      <c r="R562" s="11"/>
      <c r="S562" s="11"/>
      <c r="T562" s="11"/>
      <c r="U562" s="109"/>
      <c r="V562" s="11"/>
      <c r="W562" s="83" t="str">
        <f t="shared" si="1229"/>
        <v>НТКад</v>
      </c>
      <c r="X562" s="114" t="s">
        <v>3241</v>
      </c>
      <c r="Y562" s="11"/>
      <c r="Z562" s="11"/>
      <c r="AA562" s="83">
        <f t="shared" si="35"/>
        <v>1</v>
      </c>
      <c r="AB562" s="109">
        <v>1</v>
      </c>
      <c r="AC562" s="109"/>
      <c r="AD562" s="81">
        <f t="shared" si="1230"/>
        <v>1</v>
      </c>
      <c r="AE562" s="82">
        <f t="shared" si="36"/>
        <v>1</v>
      </c>
      <c r="AF562" s="82">
        <f t="shared" si="37"/>
        <v>1</v>
      </c>
      <c r="AG562" s="102"/>
      <c r="AH562" s="113" t="s">
        <v>204</v>
      </c>
      <c r="AI562" s="113" t="s">
        <v>212</v>
      </c>
      <c r="AJ562" s="121" t="s">
        <v>3255</v>
      </c>
      <c r="AK562" s="8"/>
      <c r="AL562" s="42">
        <f t="shared" si="1231"/>
        <v>0</v>
      </c>
      <c r="AM562" s="42">
        <f t="shared" si="1242"/>
        <v>0</v>
      </c>
      <c r="AN562" s="42">
        <f t="shared" si="1243"/>
        <v>0</v>
      </c>
      <c r="AO562" s="42">
        <f t="shared" si="1238"/>
        <v>0</v>
      </c>
      <c r="AP562" s="42">
        <f t="shared" si="1244"/>
        <v>0</v>
      </c>
      <c r="AQ562" s="42">
        <f t="shared" si="1245"/>
        <v>0</v>
      </c>
      <c r="AR562" s="42">
        <f t="shared" si="1232"/>
        <v>0</v>
      </c>
      <c r="AS562" s="42">
        <f t="shared" si="1246"/>
        <v>0</v>
      </c>
      <c r="AT562" s="42">
        <f t="shared" si="1247"/>
        <v>0</v>
      </c>
      <c r="AU562" s="42">
        <f t="shared" si="1256"/>
        <v>0</v>
      </c>
      <c r="AV562" s="42">
        <f>IF(M562="ПП",РПП*AA562*(U562/1.5),IF(M562="ВП",ВПр*AA562*(U562/1.5),IF(M562="РПА",РПА*AA562*(U562/1.5),IF(M562="КПА",КПА*AA562*(U562/1.5),0))))</f>
        <v>0</v>
      </c>
      <c r="AW562" s="42">
        <f t="shared" si="1257"/>
        <v>0</v>
      </c>
      <c r="AX562" s="42">
        <f t="shared" si="1233"/>
        <v>0</v>
      </c>
      <c r="AY562" s="42">
        <f t="shared" si="1234"/>
        <v>0</v>
      </c>
      <c r="AZ562" s="42">
        <f t="shared" si="1258"/>
        <v>0</v>
      </c>
      <c r="BA562" s="42">
        <f t="shared" si="1235"/>
        <v>75</v>
      </c>
      <c r="BB562" s="42">
        <f t="shared" si="1236"/>
        <v>0</v>
      </c>
      <c r="BC562" s="42">
        <f t="shared" si="1237"/>
        <v>0</v>
      </c>
      <c r="BD562" s="42">
        <f t="shared" si="1259"/>
        <v>0</v>
      </c>
      <c r="BE562" s="43">
        <f t="shared" si="1260"/>
        <v>75</v>
      </c>
      <c r="BF562" s="44"/>
      <c r="BG562" s="45">
        <f t="shared" si="1261"/>
        <v>0</v>
      </c>
      <c r="BH562" s="45">
        <f t="shared" si="1262"/>
        <v>0</v>
      </c>
      <c r="BI562" s="45">
        <f t="shared" si="1263"/>
        <v>75</v>
      </c>
      <c r="BJ562" s="46">
        <f t="shared" si="1239"/>
        <v>0</v>
      </c>
      <c r="BK562" s="46">
        <f t="shared" si="1240"/>
        <v>0</v>
      </c>
      <c r="BL562" s="46">
        <f t="shared" si="1241"/>
        <v>0</v>
      </c>
    </row>
    <row r="563" spans="1:64" ht="30" customHeight="1" x14ac:dyDescent="0.25">
      <c r="A563" s="84" t="str">
        <f t="shared" si="1228"/>
        <v>Д</v>
      </c>
      <c r="B563" s="84" t="str">
        <f t="shared" si="32"/>
        <v>А</v>
      </c>
      <c r="C563" s="101" t="s">
        <v>1980</v>
      </c>
      <c r="D563" s="16" t="str">
        <f t="shared" si="33"/>
        <v>'1.2.3.</v>
      </c>
      <c r="E563" s="17" t="str">
        <f t="shared" si="34"/>
        <v>Теоретическая информатика, кибернетика</v>
      </c>
      <c r="F563" s="9"/>
      <c r="G563" s="9"/>
      <c r="H563" s="10"/>
      <c r="I563" s="10"/>
      <c r="J563" s="115" t="s">
        <v>1769</v>
      </c>
      <c r="K563" s="109">
        <v>3</v>
      </c>
      <c r="L563" s="109"/>
      <c r="M563" s="113" t="s">
        <v>1770</v>
      </c>
      <c r="N563" s="11"/>
      <c r="O563" s="11"/>
      <c r="P563" s="11"/>
      <c r="Q563" s="8"/>
      <c r="R563" s="11"/>
      <c r="S563" s="11"/>
      <c r="T563" s="11"/>
      <c r="U563" s="109"/>
      <c r="V563" s="11"/>
      <c r="W563" s="83" t="str">
        <f t="shared" si="1229"/>
        <v>НТКад</v>
      </c>
      <c r="X563" s="114" t="s">
        <v>3241</v>
      </c>
      <c r="Y563" s="11"/>
      <c r="Z563" s="11"/>
      <c r="AA563" s="83">
        <f t="shared" si="35"/>
        <v>1</v>
      </c>
      <c r="AB563" s="109">
        <v>1</v>
      </c>
      <c r="AC563" s="109"/>
      <c r="AD563" s="81">
        <f t="shared" si="1230"/>
        <v>1</v>
      </c>
      <c r="AE563" s="82">
        <f t="shared" si="36"/>
        <v>1</v>
      </c>
      <c r="AF563" s="82">
        <f t="shared" si="37"/>
        <v>1</v>
      </c>
      <c r="AG563" s="102"/>
      <c r="AH563" s="113" t="s">
        <v>204</v>
      </c>
      <c r="AI563" s="113" t="s">
        <v>213</v>
      </c>
      <c r="AJ563" s="121" t="s">
        <v>3266</v>
      </c>
      <c r="AK563" s="8"/>
      <c r="AL563" s="42">
        <f t="shared" si="1231"/>
        <v>0</v>
      </c>
      <c r="AM563" s="42">
        <f t="shared" si="1242"/>
        <v>0</v>
      </c>
      <c r="AN563" s="42">
        <f t="shared" si="1243"/>
        <v>0</v>
      </c>
      <c r="AO563" s="42">
        <f t="shared" si="1238"/>
        <v>0</v>
      </c>
      <c r="AP563" s="42">
        <f t="shared" si="1244"/>
        <v>0</v>
      </c>
      <c r="AQ563" s="42">
        <f t="shared" si="1245"/>
        <v>0</v>
      </c>
      <c r="AR563" s="42">
        <f t="shared" si="1232"/>
        <v>0</v>
      </c>
      <c r="AS563" s="42">
        <f t="shared" si="1246"/>
        <v>0</v>
      </c>
      <c r="AT563" s="42">
        <f t="shared" si="1247"/>
        <v>0</v>
      </c>
      <c r="AU563" s="42">
        <f t="shared" si="1256"/>
        <v>0</v>
      </c>
      <c r="AV563" s="42">
        <f>IF(M563="ПП",РПП*AA563*(U563/1.5),IF(M563="ВП",ВПр*AA563*(U563/1.5),IF(M563="РПА",РПА*AA563*(U563/1.5),IF(M563="КПА",КПА*AA563*(U563/1.5),0))))</f>
        <v>0</v>
      </c>
      <c r="AW563" s="42">
        <f t="shared" si="1257"/>
        <v>0</v>
      </c>
      <c r="AX563" s="42">
        <f t="shared" si="1233"/>
        <v>0</v>
      </c>
      <c r="AY563" s="42">
        <f t="shared" si="1234"/>
        <v>0</v>
      </c>
      <c r="AZ563" s="42">
        <f t="shared" si="1258"/>
        <v>0</v>
      </c>
      <c r="BA563" s="42">
        <f t="shared" si="1235"/>
        <v>75</v>
      </c>
      <c r="BB563" s="42">
        <f t="shared" si="1236"/>
        <v>0</v>
      </c>
      <c r="BC563" s="42">
        <f t="shared" si="1237"/>
        <v>0</v>
      </c>
      <c r="BD563" s="42">
        <f t="shared" si="1259"/>
        <v>0</v>
      </c>
      <c r="BE563" s="43">
        <f t="shared" si="1260"/>
        <v>75</v>
      </c>
      <c r="BF563" s="44"/>
      <c r="BG563" s="45">
        <f t="shared" si="1261"/>
        <v>0</v>
      </c>
      <c r="BH563" s="45">
        <f t="shared" si="1262"/>
        <v>0</v>
      </c>
      <c r="BI563" s="45">
        <f t="shared" si="1263"/>
        <v>75</v>
      </c>
      <c r="BJ563" s="46">
        <f t="shared" si="1239"/>
        <v>0</v>
      </c>
      <c r="BK563" s="46">
        <f t="shared" si="1240"/>
        <v>0</v>
      </c>
      <c r="BL563" s="46">
        <f t="shared" si="1241"/>
        <v>0</v>
      </c>
    </row>
    <row r="564" spans="1:64" ht="30" customHeight="1" x14ac:dyDescent="0.25">
      <c r="A564" s="84" t="str">
        <f t="shared" si="1228"/>
        <v>Д</v>
      </c>
      <c r="B564" s="84" t="str">
        <f t="shared" si="32"/>
        <v>А</v>
      </c>
      <c r="C564" s="101" t="s">
        <v>1980</v>
      </c>
      <c r="D564" s="16" t="str">
        <f t="shared" si="33"/>
        <v>'1.2.3.</v>
      </c>
      <c r="E564" s="17" t="str">
        <f t="shared" si="34"/>
        <v>Теоретическая информатика, кибернетика</v>
      </c>
      <c r="F564" s="9"/>
      <c r="G564" s="9"/>
      <c r="H564" s="10"/>
      <c r="I564" s="10"/>
      <c r="J564" s="115" t="s">
        <v>3358</v>
      </c>
      <c r="K564" s="109">
        <v>3</v>
      </c>
      <c r="L564" s="109">
        <v>20</v>
      </c>
      <c r="M564" s="113" t="s">
        <v>474</v>
      </c>
      <c r="N564" s="11"/>
      <c r="O564" s="11"/>
      <c r="P564" s="11"/>
      <c r="Q564" s="8"/>
      <c r="R564" s="11"/>
      <c r="S564" s="11"/>
      <c r="T564" s="11"/>
      <c r="U564" s="109">
        <v>3</v>
      </c>
      <c r="V564" s="11"/>
      <c r="W564" s="83" t="str">
        <f t="shared" si="1229"/>
        <v>НТКад</v>
      </c>
      <c r="X564" s="114" t="s">
        <v>3241</v>
      </c>
      <c r="Y564" s="11"/>
      <c r="Z564" s="11"/>
      <c r="AA564" s="83">
        <f t="shared" si="35"/>
        <v>3</v>
      </c>
      <c r="AB564" s="109">
        <v>0</v>
      </c>
      <c r="AC564" s="109">
        <v>3</v>
      </c>
      <c r="AD564" s="81">
        <f t="shared" si="1230"/>
        <v>1</v>
      </c>
      <c r="AE564" s="82">
        <f t="shared" si="36"/>
        <v>1</v>
      </c>
      <c r="AF564" s="82">
        <f t="shared" si="37"/>
        <v>3</v>
      </c>
      <c r="AG564" s="102"/>
      <c r="AH564" s="113" t="s">
        <v>204</v>
      </c>
      <c r="AI564" s="113" t="s">
        <v>212</v>
      </c>
      <c r="AJ564" s="124" t="s">
        <v>3257</v>
      </c>
      <c r="AK564" s="8" t="s">
        <v>949</v>
      </c>
      <c r="AL564" s="42">
        <f t="shared" si="1231"/>
        <v>0</v>
      </c>
      <c r="AM564" s="42">
        <f t="shared" si="1242"/>
        <v>0</v>
      </c>
      <c r="AN564" s="42">
        <f t="shared" si="1243"/>
        <v>0</v>
      </c>
      <c r="AO564" s="42">
        <f t="shared" si="1238"/>
        <v>0</v>
      </c>
      <c r="AP564" s="42">
        <f t="shared" si="1244"/>
        <v>0</v>
      </c>
      <c r="AQ564" s="42">
        <f t="shared" si="1245"/>
        <v>0</v>
      </c>
      <c r="AR564" s="42">
        <f t="shared" si="1232"/>
        <v>0</v>
      </c>
      <c r="AS564" s="42">
        <f t="shared" si="1246"/>
        <v>0</v>
      </c>
      <c r="AT564" s="42">
        <f t="shared" si="1247"/>
        <v>0</v>
      </c>
      <c r="AU564" s="42">
        <f t="shared" si="1256"/>
        <v>0</v>
      </c>
      <c r="AV564" s="42">
        <f>IF(M564="ПП",РПП*AA564*(U564/1.5),IF(M564="ВП",ВПр*AA564*(U564/1.5),IF(M564="РПА",РПА*AA564*(U564/1.5),IF(M564="КПА",КПА*AA564*(U564/1.5),0))))</f>
        <v>9</v>
      </c>
      <c r="AW564" s="42">
        <f t="shared" si="1257"/>
        <v>0</v>
      </c>
      <c r="AX564" s="42">
        <f t="shared" si="1233"/>
        <v>0</v>
      </c>
      <c r="AY564" s="42">
        <f t="shared" si="1234"/>
        <v>0</v>
      </c>
      <c r="AZ564" s="42">
        <f t="shared" si="1258"/>
        <v>0</v>
      </c>
      <c r="BA564" s="42">
        <f t="shared" si="1235"/>
        <v>0</v>
      </c>
      <c r="BB564" s="42">
        <f t="shared" si="1236"/>
        <v>0</v>
      </c>
      <c r="BC564" s="42">
        <f t="shared" si="1237"/>
        <v>0</v>
      </c>
      <c r="BD564" s="42">
        <f t="shared" si="1259"/>
        <v>0</v>
      </c>
      <c r="BE564" s="43">
        <f t="shared" si="1260"/>
        <v>9</v>
      </c>
      <c r="BF564" s="44"/>
      <c r="BG564" s="45">
        <f t="shared" si="1261"/>
        <v>0</v>
      </c>
      <c r="BH564" s="45">
        <f t="shared" si="1262"/>
        <v>0</v>
      </c>
      <c r="BI564" s="45">
        <f t="shared" si="1263"/>
        <v>9</v>
      </c>
      <c r="BJ564" s="46">
        <f t="shared" si="1239"/>
        <v>0</v>
      </c>
      <c r="BK564" s="46">
        <f t="shared" si="1240"/>
        <v>0</v>
      </c>
      <c r="BL564" s="46">
        <f t="shared" si="1241"/>
        <v>0</v>
      </c>
    </row>
    <row r="565" spans="1:64" ht="30" customHeight="1" x14ac:dyDescent="0.25">
      <c r="A565" s="84" t="str">
        <f t="shared" si="1228"/>
        <v>Д</v>
      </c>
      <c r="B565" s="84" t="str">
        <f t="shared" si="32"/>
        <v>А</v>
      </c>
      <c r="C565" s="101" t="s">
        <v>1980</v>
      </c>
      <c r="D565" s="16" t="str">
        <f t="shared" si="33"/>
        <v>'1.2.3.</v>
      </c>
      <c r="E565" s="17" t="str">
        <f t="shared" si="34"/>
        <v>Теоретическая информатика, кибернетика</v>
      </c>
      <c r="F565" s="9"/>
      <c r="G565" s="9"/>
      <c r="H565" s="10"/>
      <c r="I565" s="10"/>
      <c r="J565" s="115" t="s">
        <v>3358</v>
      </c>
      <c r="K565" s="109">
        <v>3</v>
      </c>
      <c r="L565" s="109">
        <v>20</v>
      </c>
      <c r="M565" s="113" t="s">
        <v>474</v>
      </c>
      <c r="N565" s="11"/>
      <c r="O565" s="11"/>
      <c r="P565" s="11"/>
      <c r="Q565" s="8"/>
      <c r="R565" s="11"/>
      <c r="S565" s="11"/>
      <c r="T565" s="11"/>
      <c r="U565" s="109">
        <v>3</v>
      </c>
      <c r="V565" s="11"/>
      <c r="W565" s="83" t="str">
        <f t="shared" si="1229"/>
        <v>НТКад</v>
      </c>
      <c r="X565" s="114" t="s">
        <v>3241</v>
      </c>
      <c r="Y565" s="11"/>
      <c r="Z565" s="11"/>
      <c r="AA565" s="83">
        <f t="shared" si="35"/>
        <v>2</v>
      </c>
      <c r="AB565" s="109">
        <v>2</v>
      </c>
      <c r="AC565" s="109">
        <v>0</v>
      </c>
      <c r="AD565" s="81">
        <f t="shared" si="1230"/>
        <v>1</v>
      </c>
      <c r="AE565" s="82">
        <f t="shared" si="36"/>
        <v>1</v>
      </c>
      <c r="AF565" s="82">
        <f t="shared" si="37"/>
        <v>2</v>
      </c>
      <c r="AG565" s="102"/>
      <c r="AH565" s="113" t="s">
        <v>204</v>
      </c>
      <c r="AI565" s="113" t="s">
        <v>213</v>
      </c>
      <c r="AJ565" s="126" t="s">
        <v>3259</v>
      </c>
      <c r="AK565" s="8"/>
      <c r="AL565" s="42">
        <f t="shared" si="1231"/>
        <v>0</v>
      </c>
      <c r="AM565" s="42">
        <f t="shared" si="1242"/>
        <v>0</v>
      </c>
      <c r="AN565" s="42">
        <f t="shared" si="1243"/>
        <v>0</v>
      </c>
      <c r="AO565" s="42">
        <f t="shared" si="1238"/>
        <v>0</v>
      </c>
      <c r="AP565" s="42">
        <f t="shared" si="1244"/>
        <v>0</v>
      </c>
      <c r="AQ565" s="42">
        <f t="shared" si="1245"/>
        <v>0</v>
      </c>
      <c r="AR565" s="42">
        <f t="shared" si="1232"/>
        <v>0</v>
      </c>
      <c r="AS565" s="42">
        <f t="shared" si="1246"/>
        <v>0</v>
      </c>
      <c r="AT565" s="42">
        <f t="shared" si="1247"/>
        <v>0</v>
      </c>
      <c r="AU565" s="42">
        <f t="shared" si="1256"/>
        <v>0</v>
      </c>
      <c r="AV565" s="42">
        <f>IF(M565="ПП",РПП*AA565*(U565/1.5),IF(M565="ВП",ВПр*AA565*(U565/1.5),IF(M565="РПА",РПА*AA565*(U565/1.5),IF(M565="КПА",КПА*AA565*(U565/1.5),0))))</f>
        <v>6</v>
      </c>
      <c r="AW565" s="42">
        <f t="shared" si="1257"/>
        <v>0</v>
      </c>
      <c r="AX565" s="42">
        <f t="shared" si="1233"/>
        <v>0</v>
      </c>
      <c r="AY565" s="42">
        <f t="shared" si="1234"/>
        <v>0</v>
      </c>
      <c r="AZ565" s="42">
        <f t="shared" si="1258"/>
        <v>0</v>
      </c>
      <c r="BA565" s="42">
        <f t="shared" si="1235"/>
        <v>0</v>
      </c>
      <c r="BB565" s="42">
        <f t="shared" si="1236"/>
        <v>0</v>
      </c>
      <c r="BC565" s="42">
        <f t="shared" si="1237"/>
        <v>0</v>
      </c>
      <c r="BD565" s="42">
        <f t="shared" si="1259"/>
        <v>0</v>
      </c>
      <c r="BE565" s="43">
        <f t="shared" si="1260"/>
        <v>6</v>
      </c>
      <c r="BF565" s="44"/>
      <c r="BG565" s="45">
        <f t="shared" si="1261"/>
        <v>0</v>
      </c>
      <c r="BH565" s="45">
        <f t="shared" si="1262"/>
        <v>0</v>
      </c>
      <c r="BI565" s="45">
        <f t="shared" si="1263"/>
        <v>6</v>
      </c>
      <c r="BJ565" s="46">
        <f t="shared" si="1239"/>
        <v>0</v>
      </c>
      <c r="BK565" s="46">
        <f t="shared" si="1240"/>
        <v>0</v>
      </c>
      <c r="BL565" s="46">
        <f t="shared" si="1241"/>
        <v>0</v>
      </c>
    </row>
    <row r="566" spans="1:64" ht="30" customHeight="1" x14ac:dyDescent="0.25">
      <c r="A566" s="84" t="str">
        <f t="shared" si="1228"/>
        <v>Д</v>
      </c>
      <c r="B566" s="84" t="str">
        <f t="shared" si="32"/>
        <v>А</v>
      </c>
      <c r="C566" s="101" t="s">
        <v>1980</v>
      </c>
      <c r="D566" s="16" t="str">
        <f t="shared" si="33"/>
        <v>'1.2.3.</v>
      </c>
      <c r="E566" s="17" t="str">
        <f t="shared" si="34"/>
        <v>Теоретическая информатика, кибернетика</v>
      </c>
      <c r="F566" s="9"/>
      <c r="G566" s="9"/>
      <c r="H566" s="10"/>
      <c r="I566" s="10"/>
      <c r="J566" s="115" t="s">
        <v>3358</v>
      </c>
      <c r="K566" s="109">
        <v>3</v>
      </c>
      <c r="L566" s="109">
        <v>20</v>
      </c>
      <c r="M566" s="113" t="s">
        <v>474</v>
      </c>
      <c r="N566" s="11"/>
      <c r="O566" s="11"/>
      <c r="P566" s="11"/>
      <c r="Q566" s="8"/>
      <c r="R566" s="11"/>
      <c r="S566" s="11"/>
      <c r="T566" s="11"/>
      <c r="U566" s="109">
        <v>3</v>
      </c>
      <c r="V566" s="11"/>
      <c r="W566" s="83" t="str">
        <f t="shared" si="1229"/>
        <v>НТКад</v>
      </c>
      <c r="X566" s="114" t="s">
        <v>3241</v>
      </c>
      <c r="Y566" s="11"/>
      <c r="Z566" s="11"/>
      <c r="AA566" s="83">
        <f t="shared" si="35"/>
        <v>2</v>
      </c>
      <c r="AB566" s="109">
        <v>2</v>
      </c>
      <c r="AC566" s="109">
        <v>0</v>
      </c>
      <c r="AD566" s="81">
        <f t="shared" si="1230"/>
        <v>1</v>
      </c>
      <c r="AE566" s="82">
        <f t="shared" si="36"/>
        <v>1</v>
      </c>
      <c r="AF566" s="82">
        <f t="shared" si="37"/>
        <v>2</v>
      </c>
      <c r="AG566" s="102"/>
      <c r="AH566" s="113" t="s">
        <v>204</v>
      </c>
      <c r="AI566" s="113" t="s">
        <v>212</v>
      </c>
      <c r="AJ566" s="121" t="s">
        <v>3261</v>
      </c>
      <c r="AK566" s="8"/>
      <c r="AL566" s="42">
        <f t="shared" si="1231"/>
        <v>0</v>
      </c>
      <c r="AM566" s="42">
        <f t="shared" si="1242"/>
        <v>0</v>
      </c>
      <c r="AN566" s="42">
        <f t="shared" si="1243"/>
        <v>0</v>
      </c>
      <c r="AO566" s="42">
        <f t="shared" si="1238"/>
        <v>0</v>
      </c>
      <c r="AP566" s="42">
        <f t="shared" si="1244"/>
        <v>0</v>
      </c>
      <c r="AQ566" s="42">
        <f t="shared" si="1245"/>
        <v>0</v>
      </c>
      <c r="AR566" s="42">
        <f t="shared" si="1232"/>
        <v>0</v>
      </c>
      <c r="AS566" s="42">
        <f t="shared" si="1246"/>
        <v>0</v>
      </c>
      <c r="AT566" s="42">
        <f t="shared" si="1247"/>
        <v>0</v>
      </c>
      <c r="AU566" s="42">
        <f t="shared" si="1256"/>
        <v>0</v>
      </c>
      <c r="AV566" s="42">
        <f>IF(M566="ПП",РПП*AA566*(U566/1.5),IF(M566="ВП",ВПр*AA566*(U566/1.5),IF(M566="РПА",РПА*AA566*(U566/1.5),IF(M566="КПА",КПА*AA566*(U566/1.5),0))))</f>
        <v>6</v>
      </c>
      <c r="AW566" s="42">
        <f t="shared" si="1257"/>
        <v>0</v>
      </c>
      <c r="AX566" s="42">
        <f t="shared" si="1233"/>
        <v>0</v>
      </c>
      <c r="AY566" s="42">
        <f t="shared" si="1234"/>
        <v>0</v>
      </c>
      <c r="AZ566" s="42">
        <f t="shared" si="1258"/>
        <v>0</v>
      </c>
      <c r="BA566" s="42">
        <f t="shared" si="1235"/>
        <v>0</v>
      </c>
      <c r="BB566" s="42">
        <f t="shared" si="1236"/>
        <v>0</v>
      </c>
      <c r="BC566" s="42">
        <f t="shared" si="1237"/>
        <v>0</v>
      </c>
      <c r="BD566" s="42">
        <f t="shared" si="1259"/>
        <v>0</v>
      </c>
      <c r="BE566" s="43">
        <f t="shared" si="1260"/>
        <v>6</v>
      </c>
      <c r="BF566" s="44"/>
      <c r="BG566" s="45">
        <f t="shared" si="1261"/>
        <v>0</v>
      </c>
      <c r="BH566" s="45">
        <f t="shared" si="1262"/>
        <v>0</v>
      </c>
      <c r="BI566" s="45">
        <f t="shared" si="1263"/>
        <v>6</v>
      </c>
      <c r="BJ566" s="46">
        <f t="shared" si="1239"/>
        <v>0</v>
      </c>
      <c r="BK566" s="46">
        <f t="shared" si="1240"/>
        <v>0</v>
      </c>
      <c r="BL566" s="46">
        <f t="shared" si="1241"/>
        <v>0</v>
      </c>
    </row>
    <row r="567" spans="1:64" ht="30" customHeight="1" x14ac:dyDescent="0.25">
      <c r="A567" s="84" t="str">
        <f t="shared" si="1228"/>
        <v>Д</v>
      </c>
      <c r="B567" s="84" t="str">
        <f t="shared" si="32"/>
        <v>А</v>
      </c>
      <c r="C567" s="101" t="s">
        <v>1980</v>
      </c>
      <c r="D567" s="16" t="str">
        <f t="shared" si="33"/>
        <v>'1.2.3.</v>
      </c>
      <c r="E567" s="17" t="str">
        <f t="shared" si="34"/>
        <v>Теоретическая информатика, кибернетика</v>
      </c>
      <c r="F567" s="9"/>
      <c r="G567" s="9"/>
      <c r="H567" s="10"/>
      <c r="I567" s="10"/>
      <c r="J567" s="115" t="s">
        <v>3358</v>
      </c>
      <c r="K567" s="109">
        <v>3</v>
      </c>
      <c r="L567" s="109">
        <v>20</v>
      </c>
      <c r="M567" s="113" t="s">
        <v>474</v>
      </c>
      <c r="N567" s="11"/>
      <c r="O567" s="11"/>
      <c r="P567" s="11"/>
      <c r="Q567" s="8"/>
      <c r="R567" s="11"/>
      <c r="S567" s="11"/>
      <c r="T567" s="11"/>
      <c r="U567" s="109">
        <v>3</v>
      </c>
      <c r="V567" s="11"/>
      <c r="W567" s="83" t="str">
        <f t="shared" si="1229"/>
        <v>НТКад</v>
      </c>
      <c r="X567" s="114" t="s">
        <v>3241</v>
      </c>
      <c r="Y567" s="11"/>
      <c r="Z567" s="11"/>
      <c r="AA567" s="83">
        <f t="shared" si="35"/>
        <v>1</v>
      </c>
      <c r="AB567" s="109">
        <v>1</v>
      </c>
      <c r="AC567" s="109"/>
      <c r="AD567" s="81">
        <f t="shared" si="1230"/>
        <v>1</v>
      </c>
      <c r="AE567" s="82">
        <f t="shared" si="36"/>
        <v>1</v>
      </c>
      <c r="AF567" s="82">
        <f t="shared" si="37"/>
        <v>1</v>
      </c>
      <c r="AG567" s="102"/>
      <c r="AH567" s="113" t="s">
        <v>205</v>
      </c>
      <c r="AI567" s="113" t="s">
        <v>213</v>
      </c>
      <c r="AJ567" s="121" t="s">
        <v>3296</v>
      </c>
      <c r="AK567" s="8"/>
      <c r="AL567" s="42">
        <f t="shared" si="1231"/>
        <v>0</v>
      </c>
      <c r="AM567" s="42">
        <f t="shared" si="1242"/>
        <v>0</v>
      </c>
      <c r="AN567" s="42">
        <f t="shared" si="1243"/>
        <v>0</v>
      </c>
      <c r="AO567" s="42">
        <f t="shared" si="1238"/>
        <v>0</v>
      </c>
      <c r="AP567" s="42">
        <f t="shared" si="1244"/>
        <v>0</v>
      </c>
      <c r="AQ567" s="42">
        <f t="shared" si="1245"/>
        <v>0</v>
      </c>
      <c r="AR567" s="42">
        <f t="shared" si="1232"/>
        <v>0</v>
      </c>
      <c r="AS567" s="42">
        <f t="shared" si="1246"/>
        <v>0</v>
      </c>
      <c r="AT567" s="42">
        <f t="shared" si="1247"/>
        <v>0</v>
      </c>
      <c r="AU567" s="42">
        <f t="shared" si="1256"/>
        <v>0</v>
      </c>
      <c r="AV567" s="42">
        <f>IF(M567="ПП",РПП*AA567*(U567/1.5),IF(M567="ВП",ВПр*AA567*(U567/1.5),IF(M567="РПА",РПА*AA567*(U567/1.5),IF(M567="КПА",КПА*AA567*(U567/1.5),0))))</f>
        <v>3</v>
      </c>
      <c r="AW567" s="42">
        <f t="shared" si="1257"/>
        <v>0</v>
      </c>
      <c r="AX567" s="42">
        <f t="shared" si="1233"/>
        <v>0</v>
      </c>
      <c r="AY567" s="42">
        <f t="shared" si="1234"/>
        <v>0</v>
      </c>
      <c r="AZ567" s="42">
        <f t="shared" si="1258"/>
        <v>0</v>
      </c>
      <c r="BA567" s="42">
        <f t="shared" si="1235"/>
        <v>0</v>
      </c>
      <c r="BB567" s="42">
        <f t="shared" si="1236"/>
        <v>0</v>
      </c>
      <c r="BC567" s="42">
        <f t="shared" si="1237"/>
        <v>0</v>
      </c>
      <c r="BD567" s="42">
        <f t="shared" si="1259"/>
        <v>0</v>
      </c>
      <c r="BE567" s="43">
        <f t="shared" si="1260"/>
        <v>3</v>
      </c>
      <c r="BF567" s="44"/>
      <c r="BG567" s="45">
        <f t="shared" si="1261"/>
        <v>0</v>
      </c>
      <c r="BH567" s="45">
        <f t="shared" si="1262"/>
        <v>0</v>
      </c>
      <c r="BI567" s="45">
        <f t="shared" si="1263"/>
        <v>3</v>
      </c>
      <c r="BJ567" s="46">
        <f t="shared" si="1239"/>
        <v>0</v>
      </c>
      <c r="BK567" s="46">
        <f t="shared" si="1240"/>
        <v>0</v>
      </c>
      <c r="BL567" s="46">
        <f t="shared" si="1241"/>
        <v>0</v>
      </c>
    </row>
    <row r="568" spans="1:64" ht="30" customHeight="1" x14ac:dyDescent="0.25">
      <c r="A568" s="84" t="str">
        <f t="shared" si="1228"/>
        <v>Д</v>
      </c>
      <c r="B568" s="84" t="str">
        <f t="shared" si="32"/>
        <v>А</v>
      </c>
      <c r="C568" s="101" t="s">
        <v>1980</v>
      </c>
      <c r="D568" s="16" t="str">
        <f t="shared" si="33"/>
        <v>'1.2.3.</v>
      </c>
      <c r="E568" s="17" t="str">
        <f t="shared" si="34"/>
        <v>Теоретическая информатика, кибернетика</v>
      </c>
      <c r="F568" s="9"/>
      <c r="G568" s="9"/>
      <c r="H568" s="10"/>
      <c r="I568" s="10"/>
      <c r="J568" s="115" t="s">
        <v>3358</v>
      </c>
      <c r="K568" s="117">
        <v>3</v>
      </c>
      <c r="L568" s="109">
        <v>20</v>
      </c>
      <c r="M568" s="113" t="s">
        <v>474</v>
      </c>
      <c r="N568" s="11"/>
      <c r="O568" s="11"/>
      <c r="P568" s="11"/>
      <c r="Q568" s="8"/>
      <c r="R568" s="11"/>
      <c r="S568" s="11"/>
      <c r="T568" s="11"/>
      <c r="U568" s="117">
        <v>3</v>
      </c>
      <c r="V568" s="11"/>
      <c r="W568" s="83" t="str">
        <f t="shared" si="1229"/>
        <v>НТКад</v>
      </c>
      <c r="X568" s="114" t="s">
        <v>3241</v>
      </c>
      <c r="Y568" s="11"/>
      <c r="Z568" s="11"/>
      <c r="AA568" s="83">
        <f t="shared" si="35"/>
        <v>1</v>
      </c>
      <c r="AB568" s="109"/>
      <c r="AC568" s="109">
        <v>1</v>
      </c>
      <c r="AD568" s="81">
        <f t="shared" si="1230"/>
        <v>1</v>
      </c>
      <c r="AE568" s="82">
        <f t="shared" si="36"/>
        <v>1</v>
      </c>
      <c r="AF568" s="82">
        <f t="shared" si="37"/>
        <v>1</v>
      </c>
      <c r="AG568" s="102"/>
      <c r="AH568" s="113" t="s">
        <v>204</v>
      </c>
      <c r="AI568" s="113" t="s">
        <v>212</v>
      </c>
      <c r="AJ568" s="121" t="s">
        <v>3256</v>
      </c>
      <c r="AK568" s="8"/>
      <c r="AL568" s="42">
        <f t="shared" si="1231"/>
        <v>0</v>
      </c>
      <c r="AM568" s="42">
        <f t="shared" si="1242"/>
        <v>0</v>
      </c>
      <c r="AN568" s="42">
        <f t="shared" si="1243"/>
        <v>0</v>
      </c>
      <c r="AO568" s="42">
        <f t="shared" si="1238"/>
        <v>0</v>
      </c>
      <c r="AP568" s="42">
        <f t="shared" si="1244"/>
        <v>0</v>
      </c>
      <c r="AQ568" s="42">
        <f t="shared" si="1245"/>
        <v>0</v>
      </c>
      <c r="AR568" s="42">
        <f t="shared" si="1232"/>
        <v>0</v>
      </c>
      <c r="AS568" s="42">
        <f t="shared" si="1246"/>
        <v>0</v>
      </c>
      <c r="AT568" s="42">
        <f t="shared" si="1247"/>
        <v>0</v>
      </c>
      <c r="AU568" s="42">
        <f t="shared" si="1256"/>
        <v>0</v>
      </c>
      <c r="AV568" s="42">
        <f>IF(M568="ПП",РПП*AA568*(U568/1.5),IF(M568="ВП",ВПр*AA568*(U568/1.5),IF(M568="РПА",РПА*AA568*(U568/1.5),IF(M568="КПА",КПА*AA568*(U568/1.5),0))))</f>
        <v>3</v>
      </c>
      <c r="AW568" s="42">
        <f t="shared" si="1257"/>
        <v>0</v>
      </c>
      <c r="AX568" s="42">
        <f t="shared" si="1233"/>
        <v>0</v>
      </c>
      <c r="AY568" s="42">
        <f t="shared" si="1234"/>
        <v>0</v>
      </c>
      <c r="AZ568" s="42">
        <f t="shared" si="1258"/>
        <v>0</v>
      </c>
      <c r="BA568" s="42">
        <f t="shared" si="1235"/>
        <v>0</v>
      </c>
      <c r="BB568" s="42">
        <f t="shared" si="1236"/>
        <v>0</v>
      </c>
      <c r="BC568" s="42">
        <f t="shared" si="1237"/>
        <v>0</v>
      </c>
      <c r="BD568" s="42">
        <f t="shared" si="1259"/>
        <v>0</v>
      </c>
      <c r="BE568" s="43">
        <f t="shared" si="1260"/>
        <v>3</v>
      </c>
      <c r="BF568" s="44"/>
      <c r="BG568" s="45">
        <f t="shared" si="1261"/>
        <v>0</v>
      </c>
      <c r="BH568" s="45">
        <f t="shared" si="1262"/>
        <v>0</v>
      </c>
      <c r="BI568" s="45">
        <f t="shared" si="1263"/>
        <v>3</v>
      </c>
      <c r="BJ568" s="46">
        <f t="shared" si="1239"/>
        <v>0</v>
      </c>
      <c r="BK568" s="46">
        <f t="shared" si="1240"/>
        <v>0</v>
      </c>
      <c r="BL568" s="46">
        <f t="shared" si="1241"/>
        <v>0</v>
      </c>
    </row>
    <row r="569" spans="1:64" ht="30" customHeight="1" x14ac:dyDescent="0.25">
      <c r="A569" s="84" t="str">
        <f t="shared" si="1228"/>
        <v>Д</v>
      </c>
      <c r="B569" s="84" t="str">
        <f t="shared" si="32"/>
        <v>А</v>
      </c>
      <c r="C569" s="101" t="s">
        <v>1980</v>
      </c>
      <c r="D569" s="16" t="str">
        <f t="shared" si="33"/>
        <v>'1.2.3.</v>
      </c>
      <c r="E569" s="17" t="str">
        <f t="shared" si="34"/>
        <v>Теоретическая информатика, кибернетика</v>
      </c>
      <c r="F569" s="9"/>
      <c r="G569" s="9"/>
      <c r="H569" s="10"/>
      <c r="I569" s="10"/>
      <c r="J569" s="115" t="s">
        <v>3358</v>
      </c>
      <c r="K569" s="109">
        <v>3</v>
      </c>
      <c r="L569" s="109">
        <v>20</v>
      </c>
      <c r="M569" s="113" t="s">
        <v>474</v>
      </c>
      <c r="N569" s="11"/>
      <c r="O569" s="11"/>
      <c r="P569" s="11"/>
      <c r="Q569" s="8"/>
      <c r="R569" s="11"/>
      <c r="S569" s="11"/>
      <c r="T569" s="11"/>
      <c r="U569" s="109">
        <v>3</v>
      </c>
      <c r="V569" s="11"/>
      <c r="W569" s="83" t="str">
        <f t="shared" si="1229"/>
        <v>НТКад</v>
      </c>
      <c r="X569" s="114" t="s">
        <v>3241</v>
      </c>
      <c r="Y569" s="11"/>
      <c r="Z569" s="11"/>
      <c r="AA569" s="83">
        <f t="shared" si="35"/>
        <v>1</v>
      </c>
      <c r="AB569" s="109">
        <v>1</v>
      </c>
      <c r="AC569" s="109"/>
      <c r="AD569" s="81">
        <f t="shared" si="1230"/>
        <v>1</v>
      </c>
      <c r="AE569" s="82">
        <f t="shared" si="36"/>
        <v>1</v>
      </c>
      <c r="AF569" s="82">
        <f t="shared" si="37"/>
        <v>1</v>
      </c>
      <c r="AG569" s="102"/>
      <c r="AH569" s="113" t="s">
        <v>204</v>
      </c>
      <c r="AI569" s="113" t="s">
        <v>212</v>
      </c>
      <c r="AJ569" s="121" t="s">
        <v>3261</v>
      </c>
      <c r="AK569" s="8"/>
      <c r="AL569" s="42">
        <f t="shared" si="1231"/>
        <v>0</v>
      </c>
      <c r="AM569" s="42">
        <f t="shared" si="1242"/>
        <v>0</v>
      </c>
      <c r="AN569" s="42">
        <f t="shared" si="1243"/>
        <v>0</v>
      </c>
      <c r="AO569" s="42">
        <f t="shared" si="1238"/>
        <v>0</v>
      </c>
      <c r="AP569" s="42">
        <f t="shared" si="1244"/>
        <v>0</v>
      </c>
      <c r="AQ569" s="42">
        <f t="shared" si="1245"/>
        <v>0</v>
      </c>
      <c r="AR569" s="42">
        <f t="shared" si="1232"/>
        <v>0</v>
      </c>
      <c r="AS569" s="42">
        <f t="shared" si="1246"/>
        <v>0</v>
      </c>
      <c r="AT569" s="42">
        <f t="shared" si="1247"/>
        <v>0</v>
      </c>
      <c r="AU569" s="42">
        <f t="shared" si="1256"/>
        <v>0</v>
      </c>
      <c r="AV569" s="42">
        <f>IF(M569="ПП",РПП*AA569*(U569/1.5),IF(M569="ВП",ВПр*AA569*(U569/1.5),IF(M569="РПА",РПА*AA569*(U569/1.5),IF(M569="КПА",КПА*AA569*(U569/1.5),0))))</f>
        <v>3</v>
      </c>
      <c r="AW569" s="42">
        <f t="shared" si="1257"/>
        <v>0</v>
      </c>
      <c r="AX569" s="42">
        <f t="shared" si="1233"/>
        <v>0</v>
      </c>
      <c r="AY569" s="42">
        <f t="shared" si="1234"/>
        <v>0</v>
      </c>
      <c r="AZ569" s="42">
        <f t="shared" si="1258"/>
        <v>0</v>
      </c>
      <c r="BA569" s="42">
        <f t="shared" si="1235"/>
        <v>0</v>
      </c>
      <c r="BB569" s="42">
        <f t="shared" si="1236"/>
        <v>0</v>
      </c>
      <c r="BC569" s="42">
        <f t="shared" si="1237"/>
        <v>0</v>
      </c>
      <c r="BD569" s="42">
        <f t="shared" si="1259"/>
        <v>0</v>
      </c>
      <c r="BE569" s="43">
        <f t="shared" si="1260"/>
        <v>3</v>
      </c>
      <c r="BF569" s="44"/>
      <c r="BG569" s="45">
        <f t="shared" si="1261"/>
        <v>0</v>
      </c>
      <c r="BH569" s="45">
        <f t="shared" si="1262"/>
        <v>0</v>
      </c>
      <c r="BI569" s="45">
        <f t="shared" si="1263"/>
        <v>3</v>
      </c>
      <c r="BJ569" s="46">
        <f t="shared" si="1239"/>
        <v>0</v>
      </c>
      <c r="BK569" s="46">
        <f t="shared" si="1240"/>
        <v>0</v>
      </c>
      <c r="BL569" s="46">
        <f t="shared" si="1241"/>
        <v>0</v>
      </c>
    </row>
    <row r="570" spans="1:64" ht="30" customHeight="1" x14ac:dyDescent="0.25">
      <c r="A570" s="84" t="str">
        <f t="shared" si="1228"/>
        <v>Д</v>
      </c>
      <c r="B570" s="84" t="str">
        <f t="shared" si="32"/>
        <v>А</v>
      </c>
      <c r="C570" s="101" t="s">
        <v>1980</v>
      </c>
      <c r="D570" s="16" t="str">
        <f t="shared" si="33"/>
        <v>'1.2.3.</v>
      </c>
      <c r="E570" s="17" t="str">
        <f t="shared" si="34"/>
        <v>Теоретическая информатика, кибернетика</v>
      </c>
      <c r="F570" s="9"/>
      <c r="G570" s="9"/>
      <c r="H570" s="10"/>
      <c r="I570" s="10"/>
      <c r="J570" s="115" t="s">
        <v>3358</v>
      </c>
      <c r="K570" s="109">
        <v>3</v>
      </c>
      <c r="L570" s="109">
        <v>20</v>
      </c>
      <c r="M570" s="113" t="s">
        <v>474</v>
      </c>
      <c r="N570" s="11"/>
      <c r="O570" s="11"/>
      <c r="P570" s="11"/>
      <c r="Q570" s="8"/>
      <c r="R570" s="11"/>
      <c r="S570" s="11"/>
      <c r="T570" s="11"/>
      <c r="U570" s="109">
        <v>3</v>
      </c>
      <c r="V570" s="11"/>
      <c r="W570" s="83" t="str">
        <f t="shared" si="1229"/>
        <v>НТКад</v>
      </c>
      <c r="X570" s="114" t="s">
        <v>3241</v>
      </c>
      <c r="Y570" s="11"/>
      <c r="Z570" s="11"/>
      <c r="AA570" s="83">
        <f t="shared" si="35"/>
        <v>1</v>
      </c>
      <c r="AB570" s="109">
        <v>1</v>
      </c>
      <c r="AC570" s="109"/>
      <c r="AD570" s="81">
        <f t="shared" si="1230"/>
        <v>1</v>
      </c>
      <c r="AE570" s="82">
        <f t="shared" si="36"/>
        <v>1</v>
      </c>
      <c r="AF570" s="82">
        <f t="shared" si="37"/>
        <v>1</v>
      </c>
      <c r="AG570" s="102"/>
      <c r="AH570" s="113" t="s">
        <v>204</v>
      </c>
      <c r="AI570" s="113" t="s">
        <v>212</v>
      </c>
      <c r="AJ570" s="121" t="s">
        <v>3255</v>
      </c>
      <c r="AK570" s="8"/>
      <c r="AL570" s="42">
        <f t="shared" si="1231"/>
        <v>0</v>
      </c>
      <c r="AM570" s="42">
        <f t="shared" si="1242"/>
        <v>0</v>
      </c>
      <c r="AN570" s="42">
        <f t="shared" si="1243"/>
        <v>0</v>
      </c>
      <c r="AO570" s="42">
        <f t="shared" si="1238"/>
        <v>0</v>
      </c>
      <c r="AP570" s="42">
        <f t="shared" si="1244"/>
        <v>0</v>
      </c>
      <c r="AQ570" s="42">
        <f t="shared" si="1245"/>
        <v>0</v>
      </c>
      <c r="AR570" s="42">
        <f t="shared" si="1232"/>
        <v>0</v>
      </c>
      <c r="AS570" s="42">
        <f t="shared" si="1246"/>
        <v>0</v>
      </c>
      <c r="AT570" s="42">
        <f t="shared" si="1247"/>
        <v>0</v>
      </c>
      <c r="AU570" s="42">
        <f t="shared" si="1256"/>
        <v>0</v>
      </c>
      <c r="AV570" s="42">
        <f>IF(M570="ПП",РПП*AA570*(U570/1.5),IF(M570="ВП",ВПр*AA570*(U570/1.5),IF(M570="РПА",РПА*AA570*(U570/1.5),IF(M570="КПА",КПА*AA570*(U570/1.5),0))))</f>
        <v>3</v>
      </c>
      <c r="AW570" s="42">
        <f t="shared" si="1257"/>
        <v>0</v>
      </c>
      <c r="AX570" s="42">
        <f t="shared" si="1233"/>
        <v>0</v>
      </c>
      <c r="AY570" s="42">
        <f t="shared" si="1234"/>
        <v>0</v>
      </c>
      <c r="AZ570" s="42">
        <f t="shared" si="1258"/>
        <v>0</v>
      </c>
      <c r="BA570" s="42">
        <f t="shared" si="1235"/>
        <v>0</v>
      </c>
      <c r="BB570" s="42">
        <f t="shared" si="1236"/>
        <v>0</v>
      </c>
      <c r="BC570" s="42">
        <f t="shared" si="1237"/>
        <v>0</v>
      </c>
      <c r="BD570" s="42">
        <f t="shared" si="1259"/>
        <v>0</v>
      </c>
      <c r="BE570" s="43">
        <f t="shared" si="1260"/>
        <v>3</v>
      </c>
      <c r="BF570" s="44"/>
      <c r="BG570" s="45">
        <f t="shared" si="1261"/>
        <v>0</v>
      </c>
      <c r="BH570" s="45">
        <f t="shared" si="1262"/>
        <v>0</v>
      </c>
      <c r="BI570" s="45">
        <f t="shared" si="1263"/>
        <v>3</v>
      </c>
      <c r="BJ570" s="46">
        <f t="shared" si="1239"/>
        <v>0</v>
      </c>
      <c r="BK570" s="46">
        <f t="shared" si="1240"/>
        <v>0</v>
      </c>
      <c r="BL570" s="46">
        <f t="shared" si="1241"/>
        <v>0</v>
      </c>
    </row>
    <row r="571" spans="1:64" ht="30" customHeight="1" x14ac:dyDescent="0.25">
      <c r="A571" s="84" t="str">
        <f t="shared" si="1228"/>
        <v>Д</v>
      </c>
      <c r="B571" s="84" t="str">
        <f t="shared" si="32"/>
        <v>А</v>
      </c>
      <c r="C571" s="101" t="s">
        <v>1980</v>
      </c>
      <c r="D571" s="16" t="str">
        <f t="shared" si="33"/>
        <v>'1.2.3.</v>
      </c>
      <c r="E571" s="17" t="str">
        <f t="shared" si="34"/>
        <v>Теоретическая информатика, кибернетика</v>
      </c>
      <c r="F571" s="9"/>
      <c r="G571" s="9"/>
      <c r="H571" s="10"/>
      <c r="I571" s="10"/>
      <c r="J571" s="115" t="s">
        <v>3358</v>
      </c>
      <c r="K571" s="109">
        <v>3</v>
      </c>
      <c r="L571" s="109">
        <v>20</v>
      </c>
      <c r="M571" s="113" t="s">
        <v>474</v>
      </c>
      <c r="N571" s="11"/>
      <c r="O571" s="11"/>
      <c r="P571" s="11"/>
      <c r="Q571" s="8"/>
      <c r="R571" s="11"/>
      <c r="S571" s="11"/>
      <c r="T571" s="11"/>
      <c r="U571" s="109">
        <v>3</v>
      </c>
      <c r="V571" s="11"/>
      <c r="W571" s="83" t="str">
        <f t="shared" si="1229"/>
        <v>НТКад</v>
      </c>
      <c r="X571" s="114" t="s">
        <v>3241</v>
      </c>
      <c r="Y571" s="11"/>
      <c r="Z571" s="11"/>
      <c r="AA571" s="83">
        <f t="shared" si="35"/>
        <v>1</v>
      </c>
      <c r="AB571" s="109">
        <v>1</v>
      </c>
      <c r="AC571" s="109"/>
      <c r="AD571" s="81">
        <f t="shared" si="1230"/>
        <v>1</v>
      </c>
      <c r="AE571" s="82">
        <f t="shared" si="36"/>
        <v>1</v>
      </c>
      <c r="AF571" s="82">
        <f t="shared" si="37"/>
        <v>1</v>
      </c>
      <c r="AG571" s="102"/>
      <c r="AH571" s="113" t="s">
        <v>204</v>
      </c>
      <c r="AI571" s="113" t="s">
        <v>213</v>
      </c>
      <c r="AJ571" s="121" t="s">
        <v>3266</v>
      </c>
      <c r="AK571" s="8"/>
      <c r="AL571" s="42">
        <f t="shared" si="1231"/>
        <v>0</v>
      </c>
      <c r="AM571" s="42">
        <f t="shared" si="1242"/>
        <v>0</v>
      </c>
      <c r="AN571" s="42">
        <f t="shared" si="1243"/>
        <v>0</v>
      </c>
      <c r="AO571" s="42">
        <f t="shared" si="1238"/>
        <v>0</v>
      </c>
      <c r="AP571" s="42">
        <f t="shared" si="1244"/>
        <v>0</v>
      </c>
      <c r="AQ571" s="42">
        <f t="shared" si="1245"/>
        <v>0</v>
      </c>
      <c r="AR571" s="42">
        <f t="shared" si="1232"/>
        <v>0</v>
      </c>
      <c r="AS571" s="42">
        <f t="shared" si="1246"/>
        <v>0</v>
      </c>
      <c r="AT571" s="42">
        <f t="shared" si="1247"/>
        <v>0</v>
      </c>
      <c r="AU571" s="42">
        <f t="shared" si="1256"/>
        <v>0</v>
      </c>
      <c r="AV571" s="42">
        <f>IF(M571="ПП",РПП*AA571*(U571/1.5),IF(M571="ВП",ВПр*AA571*(U571/1.5),IF(M571="РПА",РПА*AA571*(U571/1.5),IF(M571="КПА",КПА*AA571*(U571/1.5),0))))</f>
        <v>3</v>
      </c>
      <c r="AW571" s="42">
        <f t="shared" si="1257"/>
        <v>0</v>
      </c>
      <c r="AX571" s="42">
        <f t="shared" si="1233"/>
        <v>0</v>
      </c>
      <c r="AY571" s="42">
        <f t="shared" si="1234"/>
        <v>0</v>
      </c>
      <c r="AZ571" s="42">
        <f t="shared" si="1258"/>
        <v>0</v>
      </c>
      <c r="BA571" s="42">
        <f t="shared" si="1235"/>
        <v>0</v>
      </c>
      <c r="BB571" s="42">
        <f t="shared" si="1236"/>
        <v>0</v>
      </c>
      <c r="BC571" s="42">
        <f t="shared" si="1237"/>
        <v>0</v>
      </c>
      <c r="BD571" s="42">
        <f t="shared" si="1259"/>
        <v>0</v>
      </c>
      <c r="BE571" s="43">
        <f t="shared" si="1260"/>
        <v>3</v>
      </c>
      <c r="BF571" s="44"/>
      <c r="BG571" s="45">
        <f t="shared" si="1261"/>
        <v>0</v>
      </c>
      <c r="BH571" s="45">
        <f t="shared" si="1262"/>
        <v>0</v>
      </c>
      <c r="BI571" s="45">
        <f t="shared" si="1263"/>
        <v>3</v>
      </c>
      <c r="BJ571" s="46">
        <f t="shared" si="1239"/>
        <v>0</v>
      </c>
      <c r="BK571" s="46">
        <f t="shared" si="1240"/>
        <v>0</v>
      </c>
      <c r="BL571" s="46">
        <f t="shared" si="1241"/>
        <v>0</v>
      </c>
    </row>
    <row r="572" spans="1:64" ht="30" customHeight="1" x14ac:dyDescent="0.25">
      <c r="A572" s="84" t="str">
        <f t="shared" si="1228"/>
        <v>Д</v>
      </c>
      <c r="B572" s="84" t="str">
        <f t="shared" si="32"/>
        <v>А</v>
      </c>
      <c r="C572" s="101" t="s">
        <v>1980</v>
      </c>
      <c r="D572" s="16" t="str">
        <f t="shared" si="33"/>
        <v>'1.2.3.</v>
      </c>
      <c r="E572" s="17" t="str">
        <f t="shared" si="34"/>
        <v>Теоретическая информатика, кибернетика</v>
      </c>
      <c r="F572" s="9"/>
      <c r="G572" s="9"/>
      <c r="H572" s="10"/>
      <c r="I572" s="10"/>
      <c r="J572" s="115" t="s">
        <v>3358</v>
      </c>
      <c r="K572" s="109">
        <v>4</v>
      </c>
      <c r="L572" s="109">
        <v>20</v>
      </c>
      <c r="M572" s="113" t="s">
        <v>474</v>
      </c>
      <c r="N572" s="11"/>
      <c r="O572" s="11"/>
      <c r="P572" s="11"/>
      <c r="Q572" s="8"/>
      <c r="R572" s="11"/>
      <c r="S572" s="11"/>
      <c r="T572" s="11"/>
      <c r="U572" s="109">
        <v>3</v>
      </c>
      <c r="V572" s="11"/>
      <c r="W572" s="83" t="str">
        <f t="shared" si="1229"/>
        <v>НТКад</v>
      </c>
      <c r="X572" s="114" t="s">
        <v>3241</v>
      </c>
      <c r="Y572" s="11"/>
      <c r="Z572" s="11"/>
      <c r="AA572" s="83">
        <f t="shared" si="35"/>
        <v>3</v>
      </c>
      <c r="AB572" s="109">
        <v>0</v>
      </c>
      <c r="AC572" s="109">
        <v>3</v>
      </c>
      <c r="AD572" s="81">
        <f t="shared" si="1230"/>
        <v>1</v>
      </c>
      <c r="AE572" s="82">
        <f t="shared" si="36"/>
        <v>1</v>
      </c>
      <c r="AF572" s="82">
        <f t="shared" si="37"/>
        <v>3</v>
      </c>
      <c r="AG572" s="102"/>
      <c r="AH572" s="113" t="s">
        <v>204</v>
      </c>
      <c r="AI572" s="113" t="s">
        <v>212</v>
      </c>
      <c r="AJ572" s="121" t="s">
        <v>3257</v>
      </c>
      <c r="AK572" s="8" t="s">
        <v>949</v>
      </c>
      <c r="AL572" s="42">
        <f t="shared" si="1231"/>
        <v>0</v>
      </c>
      <c r="AM572" s="42">
        <f t="shared" si="1242"/>
        <v>0</v>
      </c>
      <c r="AN572" s="42">
        <f t="shared" si="1243"/>
        <v>0</v>
      </c>
      <c r="AO572" s="42">
        <f t="shared" si="1238"/>
        <v>0</v>
      </c>
      <c r="AP572" s="42">
        <f t="shared" si="1244"/>
        <v>0</v>
      </c>
      <c r="AQ572" s="42">
        <f t="shared" si="1245"/>
        <v>0</v>
      </c>
      <c r="AR572" s="42">
        <f t="shared" si="1232"/>
        <v>0</v>
      </c>
      <c r="AS572" s="42">
        <f t="shared" si="1246"/>
        <v>0</v>
      </c>
      <c r="AT572" s="42">
        <f t="shared" si="1247"/>
        <v>0</v>
      </c>
      <c r="AU572" s="42">
        <f t="shared" si="1256"/>
        <v>0</v>
      </c>
      <c r="AV572" s="42">
        <f>IF(M572="ПП",РПП*AA572*(U572/1.5),IF(M572="ВП",ВПр*AA572*(U572/1.5),IF(M572="РПА",РПА*AA572*(U572/1.5),IF(M572="КПА",КПА*AA572*(U572/1.5),0))))</f>
        <v>9</v>
      </c>
      <c r="AW572" s="42">
        <f t="shared" si="1257"/>
        <v>0</v>
      </c>
      <c r="AX572" s="42">
        <f t="shared" si="1233"/>
        <v>0</v>
      </c>
      <c r="AY572" s="42">
        <f t="shared" si="1234"/>
        <v>0</v>
      </c>
      <c r="AZ572" s="42">
        <f t="shared" si="1258"/>
        <v>0</v>
      </c>
      <c r="BA572" s="42">
        <f t="shared" si="1235"/>
        <v>0</v>
      </c>
      <c r="BB572" s="42">
        <f t="shared" si="1236"/>
        <v>0</v>
      </c>
      <c r="BC572" s="42">
        <f t="shared" si="1237"/>
        <v>0</v>
      </c>
      <c r="BD572" s="42">
        <f t="shared" si="1259"/>
        <v>0</v>
      </c>
      <c r="BE572" s="43">
        <f t="shared" si="1260"/>
        <v>9</v>
      </c>
      <c r="BF572" s="44"/>
      <c r="BG572" s="45">
        <f t="shared" si="1261"/>
        <v>0</v>
      </c>
      <c r="BH572" s="45">
        <f t="shared" si="1262"/>
        <v>0</v>
      </c>
      <c r="BI572" s="45">
        <f t="shared" si="1263"/>
        <v>0</v>
      </c>
      <c r="BJ572" s="46">
        <f t="shared" si="1239"/>
        <v>0</v>
      </c>
      <c r="BK572" s="46">
        <f t="shared" si="1240"/>
        <v>0</v>
      </c>
      <c r="BL572" s="46">
        <f t="shared" si="1241"/>
        <v>9</v>
      </c>
    </row>
    <row r="573" spans="1:64" ht="30" customHeight="1" x14ac:dyDescent="0.25">
      <c r="A573" s="84" t="str">
        <f t="shared" si="1228"/>
        <v>Д</v>
      </c>
      <c r="B573" s="84" t="str">
        <f t="shared" si="32"/>
        <v>А</v>
      </c>
      <c r="C573" s="101" t="s">
        <v>1980</v>
      </c>
      <c r="D573" s="16" t="str">
        <f t="shared" si="33"/>
        <v>'1.2.3.</v>
      </c>
      <c r="E573" s="17" t="str">
        <f t="shared" si="34"/>
        <v>Теоретическая информатика, кибернетика</v>
      </c>
      <c r="F573" s="9"/>
      <c r="G573" s="9"/>
      <c r="H573" s="10"/>
      <c r="I573" s="10"/>
      <c r="J573" s="115" t="s">
        <v>3358</v>
      </c>
      <c r="K573" s="109">
        <v>4</v>
      </c>
      <c r="L573" s="109">
        <v>20</v>
      </c>
      <c r="M573" s="113" t="s">
        <v>474</v>
      </c>
      <c r="N573" s="11"/>
      <c r="O573" s="11"/>
      <c r="P573" s="11"/>
      <c r="Q573" s="8"/>
      <c r="R573" s="11"/>
      <c r="S573" s="11"/>
      <c r="T573" s="11"/>
      <c r="U573" s="109">
        <v>3</v>
      </c>
      <c r="V573" s="11"/>
      <c r="W573" s="83" t="str">
        <f t="shared" si="1229"/>
        <v>НТКад</v>
      </c>
      <c r="X573" s="114" t="s">
        <v>3241</v>
      </c>
      <c r="Y573" s="11"/>
      <c r="Z573" s="11"/>
      <c r="AA573" s="83">
        <f t="shared" si="35"/>
        <v>2</v>
      </c>
      <c r="AB573" s="109">
        <v>2</v>
      </c>
      <c r="AC573" s="109">
        <v>0</v>
      </c>
      <c r="AD573" s="81">
        <f t="shared" si="1230"/>
        <v>1</v>
      </c>
      <c r="AE573" s="82">
        <f t="shared" si="36"/>
        <v>1</v>
      </c>
      <c r="AF573" s="82">
        <f t="shared" si="37"/>
        <v>2</v>
      </c>
      <c r="AG573" s="102"/>
      <c r="AH573" s="113" t="s">
        <v>204</v>
      </c>
      <c r="AI573" s="113" t="s">
        <v>213</v>
      </c>
      <c r="AJ573" s="126" t="s">
        <v>3259</v>
      </c>
      <c r="AK573" s="8"/>
      <c r="AL573" s="42">
        <f t="shared" si="1231"/>
        <v>0</v>
      </c>
      <c r="AM573" s="42">
        <f t="shared" si="1242"/>
        <v>0</v>
      </c>
      <c r="AN573" s="42">
        <f t="shared" si="1243"/>
        <v>0</v>
      </c>
      <c r="AO573" s="42">
        <f t="shared" si="1238"/>
        <v>0</v>
      </c>
      <c r="AP573" s="42">
        <f t="shared" si="1244"/>
        <v>0</v>
      </c>
      <c r="AQ573" s="42">
        <f t="shared" si="1245"/>
        <v>0</v>
      </c>
      <c r="AR573" s="42">
        <f t="shared" si="1232"/>
        <v>0</v>
      </c>
      <c r="AS573" s="42">
        <f t="shared" si="1246"/>
        <v>0</v>
      </c>
      <c r="AT573" s="42">
        <f t="shared" si="1247"/>
        <v>0</v>
      </c>
      <c r="AU573" s="42">
        <f t="shared" si="1256"/>
        <v>0</v>
      </c>
      <c r="AV573" s="42">
        <f>IF(M573="ПП",РПП*AA573*(U573/1.5),IF(M573="ВП",ВПр*AA573*(U573/1.5),IF(M573="РПА",РПА*AA573*(U573/1.5),IF(M573="КПА",КПА*AA573*(U573/1.5),0))))</f>
        <v>6</v>
      </c>
      <c r="AW573" s="42">
        <f t="shared" si="1257"/>
        <v>0</v>
      </c>
      <c r="AX573" s="42">
        <f t="shared" si="1233"/>
        <v>0</v>
      </c>
      <c r="AY573" s="42">
        <f t="shared" si="1234"/>
        <v>0</v>
      </c>
      <c r="AZ573" s="42">
        <f t="shared" si="1258"/>
        <v>0</v>
      </c>
      <c r="BA573" s="42">
        <f t="shared" si="1235"/>
        <v>0</v>
      </c>
      <c r="BB573" s="42">
        <f t="shared" si="1236"/>
        <v>0</v>
      </c>
      <c r="BC573" s="42">
        <f t="shared" si="1237"/>
        <v>0</v>
      </c>
      <c r="BD573" s="42">
        <f t="shared" si="1259"/>
        <v>0</v>
      </c>
      <c r="BE573" s="43">
        <f t="shared" si="1260"/>
        <v>6</v>
      </c>
      <c r="BF573" s="44"/>
      <c r="BG573" s="45">
        <f t="shared" si="1261"/>
        <v>0</v>
      </c>
      <c r="BH573" s="45">
        <f t="shared" si="1262"/>
        <v>0</v>
      </c>
      <c r="BI573" s="45">
        <f t="shared" si="1263"/>
        <v>0</v>
      </c>
      <c r="BJ573" s="46">
        <f t="shared" si="1239"/>
        <v>0</v>
      </c>
      <c r="BK573" s="46">
        <f t="shared" si="1240"/>
        <v>0</v>
      </c>
      <c r="BL573" s="46">
        <f t="shared" si="1241"/>
        <v>6</v>
      </c>
    </row>
    <row r="574" spans="1:64" ht="30" customHeight="1" x14ac:dyDescent="0.25">
      <c r="A574" s="84" t="str">
        <f t="shared" si="1228"/>
        <v>Д</v>
      </c>
      <c r="B574" s="84" t="str">
        <f t="shared" si="32"/>
        <v>А</v>
      </c>
      <c r="C574" s="101" t="s">
        <v>1980</v>
      </c>
      <c r="D574" s="16" t="str">
        <f t="shared" si="33"/>
        <v>'1.2.3.</v>
      </c>
      <c r="E574" s="17" t="str">
        <f t="shared" si="34"/>
        <v>Теоретическая информатика, кибернетика</v>
      </c>
      <c r="F574" s="9"/>
      <c r="G574" s="9"/>
      <c r="H574" s="10"/>
      <c r="I574" s="10"/>
      <c r="J574" s="115" t="s">
        <v>3358</v>
      </c>
      <c r="K574" s="109">
        <v>4</v>
      </c>
      <c r="L574" s="109">
        <v>20</v>
      </c>
      <c r="M574" s="113" t="s">
        <v>474</v>
      </c>
      <c r="N574" s="11"/>
      <c r="O574" s="11"/>
      <c r="P574" s="11"/>
      <c r="Q574" s="8"/>
      <c r="R574" s="11"/>
      <c r="S574" s="11"/>
      <c r="T574" s="11"/>
      <c r="U574" s="109">
        <v>3</v>
      </c>
      <c r="V574" s="11"/>
      <c r="W574" s="83" t="str">
        <f t="shared" si="1229"/>
        <v>НТКад</v>
      </c>
      <c r="X574" s="114" t="s">
        <v>3241</v>
      </c>
      <c r="Y574" s="11"/>
      <c r="Z574" s="11"/>
      <c r="AA574" s="83">
        <f t="shared" si="35"/>
        <v>2</v>
      </c>
      <c r="AB574" s="109">
        <v>2</v>
      </c>
      <c r="AC574" s="109">
        <v>0</v>
      </c>
      <c r="AD574" s="81">
        <f t="shared" si="1230"/>
        <v>1</v>
      </c>
      <c r="AE574" s="82">
        <f t="shared" si="36"/>
        <v>1</v>
      </c>
      <c r="AF574" s="82">
        <f t="shared" si="37"/>
        <v>2</v>
      </c>
      <c r="AG574" s="102"/>
      <c r="AH574" s="113" t="s">
        <v>204</v>
      </c>
      <c r="AI574" s="113" t="s">
        <v>212</v>
      </c>
      <c r="AJ574" s="121" t="s">
        <v>3261</v>
      </c>
      <c r="AK574" s="8"/>
      <c r="AL574" s="42">
        <f t="shared" si="1231"/>
        <v>0</v>
      </c>
      <c r="AM574" s="42">
        <f t="shared" si="1242"/>
        <v>0</v>
      </c>
      <c r="AN574" s="42">
        <f t="shared" si="1243"/>
        <v>0</v>
      </c>
      <c r="AO574" s="42">
        <f t="shared" si="1238"/>
        <v>0</v>
      </c>
      <c r="AP574" s="42">
        <f t="shared" si="1244"/>
        <v>0</v>
      </c>
      <c r="AQ574" s="42">
        <f t="shared" si="1245"/>
        <v>0</v>
      </c>
      <c r="AR574" s="42">
        <f t="shared" si="1232"/>
        <v>0</v>
      </c>
      <c r="AS574" s="42">
        <f t="shared" si="1246"/>
        <v>0</v>
      </c>
      <c r="AT574" s="42">
        <f t="shared" si="1247"/>
        <v>0</v>
      </c>
      <c r="AU574" s="42">
        <f t="shared" si="1256"/>
        <v>0</v>
      </c>
      <c r="AV574" s="42">
        <f>IF(M574="ПП",РПП*AA574*(U574/1.5),IF(M574="ВП",ВПр*AA574*(U574/1.5),IF(M574="РПА",РПА*AA574*(U574/1.5),IF(M574="КПА",КПА*AA574*(U574/1.5),0))))</f>
        <v>6</v>
      </c>
      <c r="AW574" s="42">
        <f t="shared" si="1257"/>
        <v>0</v>
      </c>
      <c r="AX574" s="42">
        <f t="shared" si="1233"/>
        <v>0</v>
      </c>
      <c r="AY574" s="42">
        <f t="shared" si="1234"/>
        <v>0</v>
      </c>
      <c r="AZ574" s="42">
        <f t="shared" si="1258"/>
        <v>0</v>
      </c>
      <c r="BA574" s="42">
        <f t="shared" si="1235"/>
        <v>0</v>
      </c>
      <c r="BB574" s="42">
        <f t="shared" si="1236"/>
        <v>0</v>
      </c>
      <c r="BC574" s="42">
        <f t="shared" si="1237"/>
        <v>0</v>
      </c>
      <c r="BD574" s="42">
        <f t="shared" si="1259"/>
        <v>0</v>
      </c>
      <c r="BE574" s="43">
        <f t="shared" si="1260"/>
        <v>6</v>
      </c>
      <c r="BF574" s="44"/>
      <c r="BG574" s="45">
        <f t="shared" si="1261"/>
        <v>0</v>
      </c>
      <c r="BH574" s="45">
        <f t="shared" si="1262"/>
        <v>0</v>
      </c>
      <c r="BI574" s="45">
        <f t="shared" si="1263"/>
        <v>0</v>
      </c>
      <c r="BJ574" s="46">
        <f t="shared" si="1239"/>
        <v>0</v>
      </c>
      <c r="BK574" s="46">
        <f t="shared" si="1240"/>
        <v>0</v>
      </c>
      <c r="BL574" s="46">
        <f t="shared" si="1241"/>
        <v>6</v>
      </c>
    </row>
    <row r="575" spans="1:64" ht="30" customHeight="1" x14ac:dyDescent="0.25">
      <c r="A575" s="84" t="str">
        <f t="shared" si="1228"/>
        <v>Д</v>
      </c>
      <c r="B575" s="84" t="str">
        <f t="shared" si="32"/>
        <v>А</v>
      </c>
      <c r="C575" s="101" t="s">
        <v>1980</v>
      </c>
      <c r="D575" s="16" t="str">
        <f t="shared" si="33"/>
        <v>'1.2.3.</v>
      </c>
      <c r="E575" s="17" t="str">
        <f t="shared" si="34"/>
        <v>Теоретическая информатика, кибернетика</v>
      </c>
      <c r="F575" s="9"/>
      <c r="G575" s="9"/>
      <c r="H575" s="10"/>
      <c r="I575" s="10"/>
      <c r="J575" s="115" t="s">
        <v>3358</v>
      </c>
      <c r="K575" s="109">
        <v>4</v>
      </c>
      <c r="L575" s="109">
        <v>20</v>
      </c>
      <c r="M575" s="113" t="s">
        <v>474</v>
      </c>
      <c r="N575" s="11"/>
      <c r="O575" s="11"/>
      <c r="P575" s="11"/>
      <c r="Q575" s="8"/>
      <c r="R575" s="11"/>
      <c r="S575" s="11"/>
      <c r="T575" s="11"/>
      <c r="U575" s="109">
        <v>3</v>
      </c>
      <c r="V575" s="11"/>
      <c r="W575" s="83" t="str">
        <f t="shared" si="1229"/>
        <v>НТКад</v>
      </c>
      <c r="X575" s="114" t="s">
        <v>3241</v>
      </c>
      <c r="Y575" s="11"/>
      <c r="Z575" s="11"/>
      <c r="AA575" s="83">
        <f t="shared" si="35"/>
        <v>1</v>
      </c>
      <c r="AB575" s="109">
        <v>1</v>
      </c>
      <c r="AC575" s="109"/>
      <c r="AD575" s="81">
        <f t="shared" si="1230"/>
        <v>1</v>
      </c>
      <c r="AE575" s="82">
        <f t="shared" si="36"/>
        <v>1</v>
      </c>
      <c r="AF575" s="82">
        <f t="shared" si="37"/>
        <v>1</v>
      </c>
      <c r="AG575" s="102"/>
      <c r="AH575" s="113" t="s">
        <v>205</v>
      </c>
      <c r="AI575" s="113" t="s">
        <v>213</v>
      </c>
      <c r="AJ575" s="121" t="s">
        <v>3296</v>
      </c>
      <c r="AK575" s="8"/>
      <c r="AL575" s="42">
        <f t="shared" si="1231"/>
        <v>0</v>
      </c>
      <c r="AM575" s="42">
        <f t="shared" si="1242"/>
        <v>0</v>
      </c>
      <c r="AN575" s="42">
        <f t="shared" si="1243"/>
        <v>0</v>
      </c>
      <c r="AO575" s="42">
        <f t="shared" si="1238"/>
        <v>0</v>
      </c>
      <c r="AP575" s="42">
        <f t="shared" si="1244"/>
        <v>0</v>
      </c>
      <c r="AQ575" s="42">
        <f t="shared" si="1245"/>
        <v>0</v>
      </c>
      <c r="AR575" s="42">
        <f t="shared" si="1232"/>
        <v>0</v>
      </c>
      <c r="AS575" s="42">
        <f t="shared" si="1246"/>
        <v>0</v>
      </c>
      <c r="AT575" s="42">
        <f t="shared" si="1247"/>
        <v>0</v>
      </c>
      <c r="AU575" s="42">
        <f t="shared" si="1256"/>
        <v>0</v>
      </c>
      <c r="AV575" s="42">
        <f>IF(M575="ПП",РПП*AA575*(U575/1.5),IF(M575="ВП",ВПр*AA575*(U575/1.5),IF(M575="РПА",РПА*AA575*(U575/1.5),IF(M575="КПА",КПА*AA575*(U575/1.5),0))))</f>
        <v>3</v>
      </c>
      <c r="AW575" s="42">
        <f t="shared" si="1257"/>
        <v>0</v>
      </c>
      <c r="AX575" s="42">
        <f t="shared" si="1233"/>
        <v>0</v>
      </c>
      <c r="AY575" s="42">
        <f t="shared" si="1234"/>
        <v>0</v>
      </c>
      <c r="AZ575" s="42">
        <f t="shared" si="1258"/>
        <v>0</v>
      </c>
      <c r="BA575" s="42">
        <f t="shared" si="1235"/>
        <v>0</v>
      </c>
      <c r="BB575" s="42">
        <f t="shared" si="1236"/>
        <v>0</v>
      </c>
      <c r="BC575" s="42">
        <f t="shared" si="1237"/>
        <v>0</v>
      </c>
      <c r="BD575" s="42">
        <f t="shared" si="1259"/>
        <v>0</v>
      </c>
      <c r="BE575" s="43">
        <f t="shared" si="1260"/>
        <v>3</v>
      </c>
      <c r="BF575" s="44"/>
      <c r="BG575" s="45">
        <f t="shared" si="1261"/>
        <v>0</v>
      </c>
      <c r="BH575" s="45">
        <f t="shared" si="1262"/>
        <v>0</v>
      </c>
      <c r="BI575" s="45">
        <f t="shared" si="1263"/>
        <v>0</v>
      </c>
      <c r="BJ575" s="46">
        <f t="shared" si="1239"/>
        <v>0</v>
      </c>
      <c r="BK575" s="46">
        <f t="shared" si="1240"/>
        <v>0</v>
      </c>
      <c r="BL575" s="46">
        <f t="shared" si="1241"/>
        <v>3</v>
      </c>
    </row>
    <row r="576" spans="1:64" ht="30" customHeight="1" x14ac:dyDescent="0.25">
      <c r="A576" s="84" t="str">
        <f t="shared" si="1228"/>
        <v>Д</v>
      </c>
      <c r="B576" s="84" t="str">
        <f t="shared" si="32"/>
        <v>А</v>
      </c>
      <c r="C576" s="101" t="s">
        <v>1980</v>
      </c>
      <c r="D576" s="16" t="str">
        <f t="shared" si="33"/>
        <v>'1.2.3.</v>
      </c>
      <c r="E576" s="17" t="str">
        <f t="shared" si="34"/>
        <v>Теоретическая информатика, кибернетика</v>
      </c>
      <c r="F576" s="9"/>
      <c r="G576" s="9"/>
      <c r="H576" s="10"/>
      <c r="I576" s="10"/>
      <c r="J576" s="115" t="s">
        <v>3358</v>
      </c>
      <c r="K576" s="117">
        <v>4</v>
      </c>
      <c r="L576" s="109">
        <v>20</v>
      </c>
      <c r="M576" s="113" t="s">
        <v>474</v>
      </c>
      <c r="N576" s="11"/>
      <c r="O576" s="11"/>
      <c r="P576" s="11"/>
      <c r="Q576" s="8"/>
      <c r="R576" s="11"/>
      <c r="S576" s="11"/>
      <c r="T576" s="11"/>
      <c r="U576" s="117">
        <v>3</v>
      </c>
      <c r="V576" s="11"/>
      <c r="W576" s="83" t="str">
        <f t="shared" si="1229"/>
        <v>НТКад</v>
      </c>
      <c r="X576" s="114" t="s">
        <v>3241</v>
      </c>
      <c r="Y576" s="11"/>
      <c r="Z576" s="11"/>
      <c r="AA576" s="83">
        <f t="shared" si="35"/>
        <v>1</v>
      </c>
      <c r="AB576" s="109"/>
      <c r="AC576" s="109">
        <v>1</v>
      </c>
      <c r="AD576" s="81">
        <f t="shared" si="1230"/>
        <v>1</v>
      </c>
      <c r="AE576" s="82">
        <f t="shared" si="36"/>
        <v>1</v>
      </c>
      <c r="AF576" s="82">
        <f t="shared" si="37"/>
        <v>1</v>
      </c>
      <c r="AG576" s="102"/>
      <c r="AH576" s="113" t="s">
        <v>204</v>
      </c>
      <c r="AI576" s="113" t="s">
        <v>212</v>
      </c>
      <c r="AJ576" s="121" t="s">
        <v>3256</v>
      </c>
      <c r="AK576" s="8"/>
      <c r="AL576" s="42">
        <f t="shared" si="1231"/>
        <v>0</v>
      </c>
      <c r="AM576" s="42">
        <f t="shared" si="1242"/>
        <v>0</v>
      </c>
      <c r="AN576" s="42">
        <f t="shared" si="1243"/>
        <v>0</v>
      </c>
      <c r="AO576" s="42">
        <f t="shared" si="1238"/>
        <v>0</v>
      </c>
      <c r="AP576" s="42">
        <f t="shared" si="1244"/>
        <v>0</v>
      </c>
      <c r="AQ576" s="42">
        <f t="shared" si="1245"/>
        <v>0</v>
      </c>
      <c r="AR576" s="42">
        <f t="shared" si="1232"/>
        <v>0</v>
      </c>
      <c r="AS576" s="42">
        <f t="shared" si="1246"/>
        <v>0</v>
      </c>
      <c r="AT576" s="42">
        <f t="shared" si="1247"/>
        <v>0</v>
      </c>
      <c r="AU576" s="42">
        <f t="shared" si="1248"/>
        <v>0</v>
      </c>
      <c r="AV576" s="42">
        <f>IF(M576="ПП",РПП*AA576*(U576/1.5),IF(M576="ВП",ВПр*AA576*(U576/1.5),IF(M576="РПА",РПА*AA576*(U576/1.5),IF(M576="КПА",КПА*AA576*(U576/1.5),0))))</f>
        <v>3</v>
      </c>
      <c r="AW576" s="42">
        <f t="shared" si="1249"/>
        <v>0</v>
      </c>
      <c r="AX576" s="42">
        <f t="shared" si="1233"/>
        <v>0</v>
      </c>
      <c r="AY576" s="42">
        <f t="shared" si="1234"/>
        <v>0</v>
      </c>
      <c r="AZ576" s="42">
        <f t="shared" si="1250"/>
        <v>0</v>
      </c>
      <c r="BA576" s="42">
        <f t="shared" si="1235"/>
        <v>0</v>
      </c>
      <c r="BB576" s="42">
        <f t="shared" si="1236"/>
        <v>0</v>
      </c>
      <c r="BC576" s="42">
        <f t="shared" si="1237"/>
        <v>0</v>
      </c>
      <c r="BD576" s="42">
        <f t="shared" si="1251"/>
        <v>0</v>
      </c>
      <c r="BE576" s="43">
        <f t="shared" si="1252"/>
        <v>3</v>
      </c>
      <c r="BF576" s="44"/>
      <c r="BG576" s="45">
        <f t="shared" si="1253"/>
        <v>0</v>
      </c>
      <c r="BH576" s="45">
        <f t="shared" si="1254"/>
        <v>0</v>
      </c>
      <c r="BI576" s="45">
        <f t="shared" si="1255"/>
        <v>0</v>
      </c>
      <c r="BJ576" s="46">
        <f t="shared" si="1239"/>
        <v>0</v>
      </c>
      <c r="BK576" s="46">
        <f t="shared" si="1240"/>
        <v>0</v>
      </c>
      <c r="BL576" s="46">
        <f t="shared" si="1241"/>
        <v>3</v>
      </c>
    </row>
    <row r="577" spans="1:64" ht="30" customHeight="1" x14ac:dyDescent="0.25">
      <c r="A577" s="84" t="str">
        <f t="shared" si="1228"/>
        <v>Д</v>
      </c>
      <c r="B577" s="84" t="str">
        <f t="shared" si="32"/>
        <v>А</v>
      </c>
      <c r="C577" s="101" t="s">
        <v>1980</v>
      </c>
      <c r="D577" s="16" t="str">
        <f t="shared" si="33"/>
        <v>'1.2.3.</v>
      </c>
      <c r="E577" s="17" t="str">
        <f t="shared" si="34"/>
        <v>Теоретическая информатика, кибернетика</v>
      </c>
      <c r="F577" s="9"/>
      <c r="G577" s="9"/>
      <c r="H577" s="10"/>
      <c r="I577" s="10"/>
      <c r="J577" s="115" t="s">
        <v>3358</v>
      </c>
      <c r="K577" s="109">
        <v>4</v>
      </c>
      <c r="L577" s="109">
        <v>20</v>
      </c>
      <c r="M577" s="113" t="s">
        <v>474</v>
      </c>
      <c r="N577" s="11"/>
      <c r="O577" s="11"/>
      <c r="P577" s="11"/>
      <c r="Q577" s="8"/>
      <c r="R577" s="11"/>
      <c r="S577" s="11"/>
      <c r="T577" s="11"/>
      <c r="U577" s="109">
        <v>3</v>
      </c>
      <c r="V577" s="11"/>
      <c r="W577" s="83" t="str">
        <f t="shared" si="1229"/>
        <v>НТКад</v>
      </c>
      <c r="X577" s="114" t="s">
        <v>3241</v>
      </c>
      <c r="Y577" s="11"/>
      <c r="Z577" s="11"/>
      <c r="AA577" s="83">
        <f t="shared" si="35"/>
        <v>1</v>
      </c>
      <c r="AB577" s="109">
        <v>1</v>
      </c>
      <c r="AC577" s="109"/>
      <c r="AD577" s="81">
        <f t="shared" si="1230"/>
        <v>1</v>
      </c>
      <c r="AE577" s="82">
        <f t="shared" si="36"/>
        <v>1</v>
      </c>
      <c r="AF577" s="82">
        <f t="shared" si="37"/>
        <v>1</v>
      </c>
      <c r="AG577" s="102"/>
      <c r="AH577" s="113" t="s">
        <v>204</v>
      </c>
      <c r="AI577" s="113" t="s">
        <v>212</v>
      </c>
      <c r="AJ577" s="121" t="s">
        <v>3261</v>
      </c>
      <c r="AK577" s="8"/>
      <c r="AL577" s="42">
        <f t="shared" si="1231"/>
        <v>0</v>
      </c>
      <c r="AM577" s="42">
        <f t="shared" si="1242"/>
        <v>0</v>
      </c>
      <c r="AN577" s="42">
        <f t="shared" si="1243"/>
        <v>0</v>
      </c>
      <c r="AO577" s="42">
        <f t="shared" si="1238"/>
        <v>0</v>
      </c>
      <c r="AP577" s="42">
        <f t="shared" si="1244"/>
        <v>0</v>
      </c>
      <c r="AQ577" s="42">
        <f t="shared" si="1245"/>
        <v>0</v>
      </c>
      <c r="AR577" s="42">
        <f t="shared" si="1232"/>
        <v>0</v>
      </c>
      <c r="AS577" s="42">
        <f t="shared" si="1246"/>
        <v>0</v>
      </c>
      <c r="AT577" s="42">
        <f t="shared" si="1247"/>
        <v>0</v>
      </c>
      <c r="AU577" s="42">
        <f t="shared" si="1248"/>
        <v>0</v>
      </c>
      <c r="AV577" s="42">
        <f>IF(M577="ПП",РПП*AA577*(U577/1.5),IF(M577="ВП",ВПр*AA577*(U577/1.5),IF(M577="РПА",РПА*AA577*(U577/1.5),IF(M577="КПА",КПА*AA577*(U577/1.5),0))))</f>
        <v>3</v>
      </c>
      <c r="AW577" s="42">
        <f t="shared" si="1249"/>
        <v>0</v>
      </c>
      <c r="AX577" s="42">
        <f t="shared" si="1233"/>
        <v>0</v>
      </c>
      <c r="AY577" s="42">
        <f t="shared" si="1234"/>
        <v>0</v>
      </c>
      <c r="AZ577" s="42">
        <f t="shared" si="1250"/>
        <v>0</v>
      </c>
      <c r="BA577" s="42">
        <f t="shared" si="1235"/>
        <v>0</v>
      </c>
      <c r="BB577" s="42">
        <f t="shared" si="1236"/>
        <v>0</v>
      </c>
      <c r="BC577" s="42">
        <f t="shared" si="1237"/>
        <v>0</v>
      </c>
      <c r="BD577" s="42">
        <f t="shared" si="1251"/>
        <v>0</v>
      </c>
      <c r="BE577" s="43">
        <f t="shared" si="1252"/>
        <v>3</v>
      </c>
      <c r="BF577" s="44"/>
      <c r="BG577" s="45">
        <f t="shared" si="1253"/>
        <v>0</v>
      </c>
      <c r="BH577" s="45">
        <f t="shared" si="1254"/>
        <v>0</v>
      </c>
      <c r="BI577" s="45">
        <f t="shared" si="1255"/>
        <v>0</v>
      </c>
      <c r="BJ577" s="46">
        <f t="shared" si="1239"/>
        <v>0</v>
      </c>
      <c r="BK577" s="46">
        <f t="shared" si="1240"/>
        <v>0</v>
      </c>
      <c r="BL577" s="46">
        <f t="shared" si="1241"/>
        <v>3</v>
      </c>
    </row>
    <row r="578" spans="1:64" ht="30" customHeight="1" x14ac:dyDescent="0.25">
      <c r="A578" s="84" t="str">
        <f t="shared" si="1228"/>
        <v>Д</v>
      </c>
      <c r="B578" s="84" t="str">
        <f t="shared" ref="B578:B593" si="1264">IF(C578&gt;0, VLOOKUP(C578,Код_ООП,11,FALSE),0)</f>
        <v>А</v>
      </c>
      <c r="C578" s="101" t="s">
        <v>1980</v>
      </c>
      <c r="D578" s="16" t="str">
        <f t="shared" ref="D578:D593" si="1265">IF(C578&gt;0, VLOOKUP(C578,Код_ООП,2,FALSE),0)</f>
        <v>'1.2.3.</v>
      </c>
      <c r="E578" s="17" t="str">
        <f t="shared" ref="E578:E593" si="1266">IF(C578&gt;0, VLOOKUP(C578,Код_ООП,13,FALSE),0)</f>
        <v>Теоретическая информатика, кибернетика</v>
      </c>
      <c r="F578" s="9"/>
      <c r="G578" s="9"/>
      <c r="H578" s="10"/>
      <c r="I578" s="10"/>
      <c r="J578" s="115" t="s">
        <v>3358</v>
      </c>
      <c r="K578" s="109">
        <v>4</v>
      </c>
      <c r="L578" s="109">
        <v>20</v>
      </c>
      <c r="M578" s="113" t="s">
        <v>474</v>
      </c>
      <c r="N578" s="11"/>
      <c r="O578" s="11"/>
      <c r="P578" s="11"/>
      <c r="Q578" s="8"/>
      <c r="R578" s="12"/>
      <c r="S578" s="12"/>
      <c r="T578" s="12"/>
      <c r="U578" s="109">
        <v>3</v>
      </c>
      <c r="V578" s="12"/>
      <c r="W578" s="83" t="str">
        <f t="shared" si="1229"/>
        <v>НТКад</v>
      </c>
      <c r="X578" s="114" t="s">
        <v>3241</v>
      </c>
      <c r="Y578" s="11"/>
      <c r="Z578" s="11"/>
      <c r="AA578" s="83">
        <f t="shared" ref="AA578:AA593" si="1267">AB578+AC578</f>
        <v>1</v>
      </c>
      <c r="AB578" s="109">
        <v>1</v>
      </c>
      <c r="AC578" s="109"/>
      <c r="AD578" s="81">
        <f t="shared" si="1230"/>
        <v>1</v>
      </c>
      <c r="AE578" s="82">
        <f t="shared" ref="AE578:AE593" si="1268">IF(AF578&gt;1,1,AF578)</f>
        <v>1</v>
      </c>
      <c r="AF578" s="82">
        <f t="shared" ref="AF578:AF593" si="1269">AA578/AD578</f>
        <v>1</v>
      </c>
      <c r="AG578" s="102"/>
      <c r="AH578" s="113" t="s">
        <v>204</v>
      </c>
      <c r="AI578" s="113" t="s">
        <v>212</v>
      </c>
      <c r="AJ578" s="121" t="s">
        <v>3255</v>
      </c>
      <c r="AK578" s="8"/>
      <c r="AL578" s="42">
        <f t="shared" si="1231"/>
        <v>0</v>
      </c>
      <c r="AM578" s="42">
        <f t="shared" si="1242"/>
        <v>0</v>
      </c>
      <c r="AN578" s="42">
        <f t="shared" si="1243"/>
        <v>0</v>
      </c>
      <c r="AO578" s="42">
        <f t="shared" si="1238"/>
        <v>0</v>
      </c>
      <c r="AP578" s="42">
        <f t="shared" si="1244"/>
        <v>0</v>
      </c>
      <c r="AQ578" s="42">
        <f t="shared" si="1245"/>
        <v>0</v>
      </c>
      <c r="AR578" s="42">
        <f t="shared" si="1232"/>
        <v>0</v>
      </c>
      <c r="AS578" s="42">
        <f t="shared" si="1246"/>
        <v>0</v>
      </c>
      <c r="AT578" s="42">
        <f t="shared" si="1247"/>
        <v>0</v>
      </c>
      <c r="AU578" s="42">
        <f t="shared" si="1248"/>
        <v>0</v>
      </c>
      <c r="AV578" s="42">
        <f>IF(M578="ПП",РПП*AA578*(U578/1.5),IF(M578="ВП",ВПр*AA578*(U578/1.5),IF(M578="РПА",РПА*AA578*(U578/1.5),IF(M578="КПА",КПА*AA578*(U578/1.5),0))))</f>
        <v>3</v>
      </c>
      <c r="AW578" s="42">
        <f t="shared" si="1249"/>
        <v>0</v>
      </c>
      <c r="AX578" s="42">
        <f t="shared" si="1233"/>
        <v>0</v>
      </c>
      <c r="AY578" s="42">
        <f t="shared" si="1234"/>
        <v>0</v>
      </c>
      <c r="AZ578" s="42">
        <f t="shared" si="1250"/>
        <v>0</v>
      </c>
      <c r="BA578" s="42">
        <f t="shared" si="1235"/>
        <v>0</v>
      </c>
      <c r="BB578" s="42">
        <f t="shared" si="1236"/>
        <v>0</v>
      </c>
      <c r="BC578" s="42">
        <f t="shared" si="1237"/>
        <v>0</v>
      </c>
      <c r="BD578" s="42">
        <f t="shared" si="1251"/>
        <v>0</v>
      </c>
      <c r="BE578" s="43">
        <f t="shared" si="1252"/>
        <v>3</v>
      </c>
      <c r="BF578" s="44"/>
      <c r="BG578" s="45">
        <f t="shared" si="1253"/>
        <v>0</v>
      </c>
      <c r="BH578" s="45">
        <f t="shared" si="1254"/>
        <v>0</v>
      </c>
      <c r="BI578" s="45">
        <f t="shared" si="1255"/>
        <v>0</v>
      </c>
      <c r="BJ578" s="46">
        <f t="shared" si="1239"/>
        <v>0</v>
      </c>
      <c r="BK578" s="46">
        <f t="shared" si="1240"/>
        <v>0</v>
      </c>
      <c r="BL578" s="46">
        <f t="shared" si="1241"/>
        <v>3</v>
      </c>
    </row>
    <row r="579" spans="1:64" ht="30" customHeight="1" x14ac:dyDescent="0.25">
      <c r="A579" s="84" t="str">
        <f t="shared" si="1228"/>
        <v>Д</v>
      </c>
      <c r="B579" s="84" t="str">
        <f t="shared" si="1264"/>
        <v>А</v>
      </c>
      <c r="C579" s="101" t="s">
        <v>1980</v>
      </c>
      <c r="D579" s="16" t="str">
        <f t="shared" si="1265"/>
        <v>'1.2.3.</v>
      </c>
      <c r="E579" s="17" t="str">
        <f t="shared" si="1266"/>
        <v>Теоретическая информатика, кибернетика</v>
      </c>
      <c r="F579" s="9"/>
      <c r="G579" s="9"/>
      <c r="H579" s="10"/>
      <c r="I579" s="10"/>
      <c r="J579" s="115" t="s">
        <v>3358</v>
      </c>
      <c r="K579" s="109">
        <v>4</v>
      </c>
      <c r="L579" s="109">
        <v>20</v>
      </c>
      <c r="M579" s="113" t="s">
        <v>474</v>
      </c>
      <c r="N579" s="11"/>
      <c r="O579" s="11"/>
      <c r="P579" s="11"/>
      <c r="Q579" s="8"/>
      <c r="R579" s="11"/>
      <c r="S579" s="11"/>
      <c r="T579" s="23"/>
      <c r="U579" s="109">
        <v>3</v>
      </c>
      <c r="V579" s="11"/>
      <c r="W579" s="83" t="str">
        <f t="shared" si="1229"/>
        <v>НТКад</v>
      </c>
      <c r="X579" s="114" t="s">
        <v>3241</v>
      </c>
      <c r="Y579" s="11"/>
      <c r="Z579" s="11"/>
      <c r="AA579" s="83">
        <f t="shared" si="1267"/>
        <v>1</v>
      </c>
      <c r="AB579" s="109">
        <v>1</v>
      </c>
      <c r="AC579" s="109"/>
      <c r="AD579" s="81">
        <f t="shared" si="1230"/>
        <v>1</v>
      </c>
      <c r="AE579" s="82">
        <f t="shared" si="1268"/>
        <v>1</v>
      </c>
      <c r="AF579" s="82">
        <f t="shared" si="1269"/>
        <v>1</v>
      </c>
      <c r="AG579" s="102"/>
      <c r="AH579" s="113" t="s">
        <v>204</v>
      </c>
      <c r="AI579" s="113" t="s">
        <v>213</v>
      </c>
      <c r="AJ579" s="121" t="s">
        <v>3266</v>
      </c>
      <c r="AK579" s="8"/>
      <c r="AL579" s="42">
        <f t="shared" si="1231"/>
        <v>0</v>
      </c>
      <c r="AM579" s="42">
        <f t="shared" si="1242"/>
        <v>0</v>
      </c>
      <c r="AN579" s="42">
        <f t="shared" si="1243"/>
        <v>0</v>
      </c>
      <c r="AO579" s="42">
        <f t="shared" si="1238"/>
        <v>0</v>
      </c>
      <c r="AP579" s="42">
        <f t="shared" si="1244"/>
        <v>0</v>
      </c>
      <c r="AQ579" s="42">
        <f t="shared" si="1245"/>
        <v>0</v>
      </c>
      <c r="AR579" s="42">
        <f t="shared" si="1232"/>
        <v>0</v>
      </c>
      <c r="AS579" s="42">
        <f t="shared" si="1246"/>
        <v>0</v>
      </c>
      <c r="AT579" s="42">
        <f t="shared" si="1247"/>
        <v>0</v>
      </c>
      <c r="AU579" s="42">
        <f t="shared" si="1248"/>
        <v>0</v>
      </c>
      <c r="AV579" s="42">
        <f>IF(M579="ПП",РПП*AA579*(U579/1.5),IF(M579="ВП",ВПр*AA579*(U579/1.5),IF(M579="РПА",РПА*AA579*(U579/1.5),IF(M579="КПА",КПА*AA579*(U579/1.5),0))))</f>
        <v>3</v>
      </c>
      <c r="AW579" s="42">
        <f t="shared" si="1249"/>
        <v>0</v>
      </c>
      <c r="AX579" s="42">
        <f t="shared" si="1233"/>
        <v>0</v>
      </c>
      <c r="AY579" s="42">
        <f t="shared" si="1234"/>
        <v>0</v>
      </c>
      <c r="AZ579" s="42">
        <f t="shared" si="1250"/>
        <v>0</v>
      </c>
      <c r="BA579" s="42">
        <f t="shared" si="1235"/>
        <v>0</v>
      </c>
      <c r="BB579" s="42">
        <f t="shared" si="1236"/>
        <v>0</v>
      </c>
      <c r="BC579" s="42">
        <f t="shared" si="1237"/>
        <v>0</v>
      </c>
      <c r="BD579" s="42">
        <f t="shared" si="1251"/>
        <v>0</v>
      </c>
      <c r="BE579" s="43">
        <f t="shared" si="1252"/>
        <v>3</v>
      </c>
      <c r="BF579" s="44"/>
      <c r="BG579" s="45">
        <f t="shared" si="1253"/>
        <v>0</v>
      </c>
      <c r="BH579" s="45">
        <f t="shared" si="1254"/>
        <v>0</v>
      </c>
      <c r="BI579" s="45">
        <f t="shared" si="1255"/>
        <v>0</v>
      </c>
      <c r="BJ579" s="46">
        <f t="shared" si="1239"/>
        <v>0</v>
      </c>
      <c r="BK579" s="46">
        <f t="shared" si="1240"/>
        <v>0</v>
      </c>
      <c r="BL579" s="46">
        <f t="shared" si="1241"/>
        <v>3</v>
      </c>
    </row>
    <row r="580" spans="1:64" ht="30" customHeight="1" x14ac:dyDescent="0.25">
      <c r="A580" s="84" t="str">
        <f t="shared" si="1228"/>
        <v>Д</v>
      </c>
      <c r="B580" s="84" t="str">
        <f t="shared" si="1264"/>
        <v>А</v>
      </c>
      <c r="C580" s="101" t="s">
        <v>1980</v>
      </c>
      <c r="D580" s="16" t="str">
        <f t="shared" si="1265"/>
        <v>'1.2.3.</v>
      </c>
      <c r="E580" s="17" t="str">
        <f t="shared" si="1266"/>
        <v>Теоретическая информатика, кибернетика</v>
      </c>
      <c r="F580" s="9"/>
      <c r="G580" s="9"/>
      <c r="H580" s="10"/>
      <c r="I580" s="10"/>
      <c r="J580" s="115" t="s">
        <v>3358</v>
      </c>
      <c r="K580" s="109">
        <v>3</v>
      </c>
      <c r="L580" s="109">
        <v>20</v>
      </c>
      <c r="M580" s="113" t="s">
        <v>474</v>
      </c>
      <c r="N580" s="12"/>
      <c r="O580" s="12"/>
      <c r="P580" s="12"/>
      <c r="Q580" s="8"/>
      <c r="R580" s="11"/>
      <c r="S580" s="11"/>
      <c r="T580" s="23"/>
      <c r="U580" s="109">
        <v>3</v>
      </c>
      <c r="V580" s="11"/>
      <c r="W580" s="83" t="str">
        <f t="shared" si="1229"/>
        <v>НТКад</v>
      </c>
      <c r="X580" s="114" t="s">
        <v>3241</v>
      </c>
      <c r="Y580" s="11"/>
      <c r="Z580" s="11"/>
      <c r="AA580" s="83">
        <f t="shared" si="1267"/>
        <v>1</v>
      </c>
      <c r="AB580" s="109">
        <v>1</v>
      </c>
      <c r="AC580" s="109"/>
      <c r="AD580" s="81">
        <f t="shared" si="1230"/>
        <v>1</v>
      </c>
      <c r="AE580" s="82">
        <f t="shared" si="1268"/>
        <v>1</v>
      </c>
      <c r="AF580" s="82">
        <f t="shared" si="1269"/>
        <v>1</v>
      </c>
      <c r="AG580" s="102"/>
      <c r="AH580" s="113" t="s">
        <v>204</v>
      </c>
      <c r="AI580" s="113" t="s">
        <v>212</v>
      </c>
      <c r="AJ580" s="119" t="s">
        <v>3265</v>
      </c>
      <c r="AK580" s="8"/>
      <c r="AL580" s="42">
        <f t="shared" si="1231"/>
        <v>0</v>
      </c>
      <c r="AM580" s="42">
        <f t="shared" si="1242"/>
        <v>0</v>
      </c>
      <c r="AN580" s="42">
        <f t="shared" si="1243"/>
        <v>0</v>
      </c>
      <c r="AO580" s="42">
        <f t="shared" si="1238"/>
        <v>0</v>
      </c>
      <c r="AP580" s="42">
        <f t="shared" si="1244"/>
        <v>0</v>
      </c>
      <c r="AQ580" s="42">
        <f t="shared" si="1245"/>
        <v>0</v>
      </c>
      <c r="AR580" s="42">
        <f t="shared" si="1232"/>
        <v>0</v>
      </c>
      <c r="AS580" s="42">
        <f t="shared" si="1246"/>
        <v>0</v>
      </c>
      <c r="AT580" s="42">
        <f t="shared" si="1247"/>
        <v>0</v>
      </c>
      <c r="AU580" s="42">
        <f t="shared" si="1248"/>
        <v>0</v>
      </c>
      <c r="AV580" s="42">
        <f>IF(M580="ПП",РПП*AA580*(U580/1.5),IF(M580="ВП",ВПр*AA580*(U580/1.5),IF(M580="РПА",РПА*AA580*(U580/1.5),IF(M580="КПА",КПА*AA580*(U580/1.5),0))))</f>
        <v>3</v>
      </c>
      <c r="AW580" s="42">
        <f t="shared" si="1249"/>
        <v>0</v>
      </c>
      <c r="AX580" s="42">
        <f t="shared" si="1233"/>
        <v>0</v>
      </c>
      <c r="AY580" s="42">
        <f t="shared" si="1234"/>
        <v>0</v>
      </c>
      <c r="AZ580" s="42">
        <f t="shared" si="1250"/>
        <v>0</v>
      </c>
      <c r="BA580" s="42">
        <f t="shared" si="1235"/>
        <v>0</v>
      </c>
      <c r="BB580" s="42">
        <f t="shared" si="1236"/>
        <v>0</v>
      </c>
      <c r="BC580" s="42">
        <f t="shared" si="1237"/>
        <v>0</v>
      </c>
      <c r="BD580" s="42">
        <f t="shared" si="1251"/>
        <v>0</v>
      </c>
      <c r="BE580" s="43">
        <f t="shared" si="1252"/>
        <v>3</v>
      </c>
      <c r="BF580" s="44"/>
      <c r="BG580" s="45">
        <f t="shared" si="1253"/>
        <v>0</v>
      </c>
      <c r="BH580" s="45">
        <f t="shared" si="1254"/>
        <v>0</v>
      </c>
      <c r="BI580" s="45">
        <f t="shared" si="1255"/>
        <v>3</v>
      </c>
      <c r="BJ580" s="46">
        <f t="shared" si="1239"/>
        <v>0</v>
      </c>
      <c r="BK580" s="46">
        <f t="shared" si="1240"/>
        <v>0</v>
      </c>
      <c r="BL580" s="46">
        <f t="shared" si="1241"/>
        <v>0</v>
      </c>
    </row>
    <row r="581" spans="1:64" ht="30" customHeight="1" x14ac:dyDescent="0.25">
      <c r="A581" s="84" t="str">
        <f t="shared" si="1228"/>
        <v>Д</v>
      </c>
      <c r="B581" s="84" t="str">
        <f t="shared" si="1264"/>
        <v>А</v>
      </c>
      <c r="C581" s="101" t="s">
        <v>1980</v>
      </c>
      <c r="D581" s="16" t="str">
        <f t="shared" si="1265"/>
        <v>'1.2.3.</v>
      </c>
      <c r="E581" s="17" t="str">
        <f t="shared" si="1266"/>
        <v>Теоретическая информатика, кибернетика</v>
      </c>
      <c r="F581" s="9"/>
      <c r="G581" s="9"/>
      <c r="H581" s="10"/>
      <c r="I581" s="10"/>
      <c r="J581" s="115" t="s">
        <v>3358</v>
      </c>
      <c r="K581" s="109">
        <v>4</v>
      </c>
      <c r="L581" s="109">
        <v>20</v>
      </c>
      <c r="M581" s="113" t="s">
        <v>474</v>
      </c>
      <c r="N581" s="11"/>
      <c r="O581" s="11"/>
      <c r="P581" s="11"/>
      <c r="Q581" s="8"/>
      <c r="R581" s="11"/>
      <c r="S581" s="11"/>
      <c r="T581" s="11"/>
      <c r="U581" s="109">
        <v>3</v>
      </c>
      <c r="V581" s="11"/>
      <c r="W581" s="83" t="str">
        <f t="shared" si="1229"/>
        <v>НТКад</v>
      </c>
      <c r="X581" s="114" t="s">
        <v>3241</v>
      </c>
      <c r="Y581" s="11"/>
      <c r="Z581" s="11"/>
      <c r="AA581" s="83">
        <f t="shared" si="1267"/>
        <v>1</v>
      </c>
      <c r="AB581" s="109">
        <v>1</v>
      </c>
      <c r="AC581" s="109"/>
      <c r="AD581" s="81">
        <f t="shared" si="1230"/>
        <v>1</v>
      </c>
      <c r="AE581" s="82">
        <f t="shared" si="1268"/>
        <v>1</v>
      </c>
      <c r="AF581" s="82">
        <f t="shared" si="1269"/>
        <v>1</v>
      </c>
      <c r="AG581" s="102"/>
      <c r="AH581" s="113" t="s">
        <v>204</v>
      </c>
      <c r="AI581" s="113" t="s">
        <v>212</v>
      </c>
      <c r="AJ581" s="125" t="s">
        <v>3265</v>
      </c>
      <c r="AK581" s="8"/>
      <c r="AL581" s="42">
        <f t="shared" si="1231"/>
        <v>0</v>
      </c>
      <c r="AM581" s="42">
        <f t="shared" si="1242"/>
        <v>0</v>
      </c>
      <c r="AN581" s="42">
        <f t="shared" si="1243"/>
        <v>0</v>
      </c>
      <c r="AO581" s="42">
        <f t="shared" si="1238"/>
        <v>0</v>
      </c>
      <c r="AP581" s="42">
        <f t="shared" si="1244"/>
        <v>0</v>
      </c>
      <c r="AQ581" s="42">
        <f t="shared" si="1245"/>
        <v>0</v>
      </c>
      <c r="AR581" s="42">
        <f t="shared" si="1232"/>
        <v>0</v>
      </c>
      <c r="AS581" s="42">
        <f t="shared" si="1246"/>
        <v>0</v>
      </c>
      <c r="AT581" s="42">
        <f t="shared" si="1247"/>
        <v>0</v>
      </c>
      <c r="AU581" s="42">
        <f t="shared" si="1248"/>
        <v>0</v>
      </c>
      <c r="AV581" s="42">
        <f>IF(M581="ПП",РПП*AA581*(U581/1.5),IF(M581="ВП",ВПр*AA581*(U581/1.5),IF(M581="РПА",РПА*AA581*(U581/1.5),IF(M581="КПА",КПА*AA581*(U581/1.5),0))))</f>
        <v>3</v>
      </c>
      <c r="AW581" s="42">
        <f t="shared" si="1249"/>
        <v>0</v>
      </c>
      <c r="AX581" s="42">
        <f t="shared" si="1233"/>
        <v>0</v>
      </c>
      <c r="AY581" s="42">
        <f t="shared" si="1234"/>
        <v>0</v>
      </c>
      <c r="AZ581" s="42">
        <f t="shared" si="1250"/>
        <v>0</v>
      </c>
      <c r="BA581" s="42">
        <f t="shared" si="1235"/>
        <v>0</v>
      </c>
      <c r="BB581" s="42">
        <f t="shared" si="1236"/>
        <v>0</v>
      </c>
      <c r="BC581" s="42">
        <f t="shared" si="1237"/>
        <v>0</v>
      </c>
      <c r="BD581" s="42">
        <f t="shared" si="1251"/>
        <v>0</v>
      </c>
      <c r="BE581" s="43">
        <f t="shared" si="1252"/>
        <v>3</v>
      </c>
      <c r="BF581" s="44"/>
      <c r="BG581" s="45">
        <f t="shared" si="1253"/>
        <v>0</v>
      </c>
      <c r="BH581" s="45">
        <f t="shared" si="1254"/>
        <v>0</v>
      </c>
      <c r="BI581" s="45">
        <f t="shared" si="1255"/>
        <v>0</v>
      </c>
      <c r="BJ581" s="46">
        <f t="shared" si="1239"/>
        <v>0</v>
      </c>
      <c r="BK581" s="46">
        <f t="shared" si="1240"/>
        <v>0</v>
      </c>
      <c r="BL581" s="46">
        <f t="shared" si="1241"/>
        <v>3</v>
      </c>
    </row>
    <row r="582" spans="1:64" ht="30" customHeight="1" x14ac:dyDescent="0.25">
      <c r="A582" s="84" t="str">
        <f t="shared" ref="A582:A645" si="1270">IF(C582&gt;0, VLOOKUP(C582,Код_ООП,12,FALSE),0)</f>
        <v>Д</v>
      </c>
      <c r="B582" s="84" t="str">
        <f t="shared" si="1264"/>
        <v>А</v>
      </c>
      <c r="C582" s="131" t="s">
        <v>1979</v>
      </c>
      <c r="D582" s="16" t="str">
        <f t="shared" si="1265"/>
        <v>'1.2.2.</v>
      </c>
      <c r="E582" s="17" t="str">
        <f t="shared" si="1266"/>
        <v>Математическое моделирование, численные методы и комплексы программ</v>
      </c>
      <c r="F582" s="116" t="s">
        <v>413</v>
      </c>
      <c r="G582" s="9"/>
      <c r="H582" s="10"/>
      <c r="I582" s="10"/>
      <c r="J582" s="115" t="s">
        <v>3359</v>
      </c>
      <c r="K582" s="109">
        <v>2</v>
      </c>
      <c r="L582" s="109">
        <v>1</v>
      </c>
      <c r="M582" s="113" t="s">
        <v>23</v>
      </c>
      <c r="N582" s="109">
        <v>12</v>
      </c>
      <c r="O582" s="109"/>
      <c r="P582" s="109"/>
      <c r="Q582" s="113"/>
      <c r="R582" s="117"/>
      <c r="S582" s="117"/>
      <c r="T582" s="117"/>
      <c r="U582" s="117"/>
      <c r="V582" s="117"/>
      <c r="W582" s="83" t="str">
        <f t="shared" ref="W582:W645" si="1271">MID(C582,1,5)</f>
        <v>НЧМад</v>
      </c>
      <c r="X582" s="114" t="s">
        <v>3234</v>
      </c>
      <c r="Y582" s="109">
        <v>1</v>
      </c>
      <c r="Z582" s="109">
        <v>1</v>
      </c>
      <c r="AA582" s="83">
        <f t="shared" si="1267"/>
        <v>3</v>
      </c>
      <c r="AB582" s="109">
        <v>2</v>
      </c>
      <c r="AC582" s="109">
        <v>1</v>
      </c>
      <c r="AD582" s="81">
        <f t="shared" ref="AD582:AD645" si="1272">IF(M582="сп",6,IF(M582="клн",8,IF(OR(M582="лаб",M582="ия"),12,IF(OR(M582="пр",M582="ТЕСТ"),IF(OR(B582="Б",B582="С"),24,12),IF(M582="лек",AA582,1)))))</f>
        <v>3</v>
      </c>
      <c r="AE582" s="82">
        <f t="shared" si="1268"/>
        <v>1</v>
      </c>
      <c r="AF582" s="82">
        <f t="shared" si="1269"/>
        <v>1</v>
      </c>
      <c r="AG582" s="102"/>
      <c r="AH582" s="113" t="s">
        <v>205</v>
      </c>
      <c r="AI582" s="113" t="s">
        <v>212</v>
      </c>
      <c r="AJ582" s="119" t="s">
        <v>3295</v>
      </c>
      <c r="AK582" s="8"/>
      <c r="AL582" s="42">
        <f t="shared" ref="AL582:AL645" si="1273">IF(OR(M582="лек",M582="ТУИС"),(IF(NOT(B582="ЦМ"),N582*L582,0)),0)</f>
        <v>12</v>
      </c>
      <c r="AM582" s="42">
        <f t="shared" si="1242"/>
        <v>0</v>
      </c>
      <c r="AN582" s="42">
        <f t="shared" si="1243"/>
        <v>0</v>
      </c>
      <c r="AO582" s="42">
        <f t="shared" si="1238"/>
        <v>0</v>
      </c>
      <c r="AP582" s="42">
        <f t="shared" si="1244"/>
        <v>0</v>
      </c>
      <c r="AQ582" s="42">
        <f t="shared" si="1245"/>
        <v>0</v>
      </c>
      <c r="AR582" s="42">
        <f t="shared" ref="AR582:AR645" si="1274">(IF(A582="Д",ТКЛД,IF(A582="В",ТКЛВ,IF(A582="З",ТКЛЗ,0))))*(IF(F582="ФТД",0,AL582))*Z582</f>
        <v>0.60000000000000009</v>
      </c>
      <c r="AS582" s="42">
        <f t="shared" si="1246"/>
        <v>0</v>
      </c>
      <c r="AT582" s="42">
        <f t="shared" si="1247"/>
        <v>0</v>
      </c>
      <c r="AU582" s="42">
        <f t="shared" si="1248"/>
        <v>0</v>
      </c>
      <c r="AV582" s="42">
        <f>IF(M582="ПП",РПП*AA582*(U582/1.5),IF(M582="ВП",ВПр*AA582*(U582/1.5),IF(M582="РПА",РПА*AA582*(U582/1.5),IF(M582="КПА",КПА*AA582*(U582/1.5),0))))</f>
        <v>0</v>
      </c>
      <c r="AW582" s="42">
        <f t="shared" si="1249"/>
        <v>0</v>
      </c>
      <c r="AX582" s="42">
        <f t="shared" ref="AX582:AX645" si="1275">IF(AND(M582="ЦП",B582="ЦМ"),AA582*ЦП,0)</f>
        <v>0</v>
      </c>
      <c r="AY582" s="42">
        <f t="shared" ref="AY582:AY645" si="1276">IF(B582="А",IF(M582="РР",AA582*РефАсп,IF(M582="РРФ",AA582*РефФил,0)),0)</f>
        <v>0</v>
      </c>
      <c r="AZ582" s="42">
        <f t="shared" si="1250"/>
        <v>0</v>
      </c>
      <c r="BA582" s="42">
        <f t="shared" ref="BA582:BA645" si="1277">IF(AND(M582="НКД",B582="Д"),AA582*НКД,0)+IF(AND(M582="РПЛ",B582="А"),AA582*РукПЛ,0)+IF(AND(M582="РСтж",B582="А"),AB582*РукСт+AC582*РукИСт,0)+IF(M582="ФГТ",AB582*РукРФа+AC582*РукИна,0)</f>
        <v>0</v>
      </c>
      <c r="BB582" s="42">
        <f t="shared" ref="BB582:BB645" si="1278">IF(M582="РК",IF(OR(B582="С",B582="М",B582="ЦМ"),(AB582*РСМ+AC582*РСМИ),0),0)+IF(M582="РК",IF(B582="Б",(AB582*РБ+AC582*РБИ),0),0)+IF(M582="РК",IF(B582="А",(AB582*РНКР+AC582*РНКРИн),0),0)+IF(AND(Q582="ПАкр"),AA582*0.3)</f>
        <v>0</v>
      </c>
      <c r="BC582" s="42">
        <f t="shared" ref="BC582:BC645" si="1279">IF(M582="РДП",IF(B582="А",AA582*РРА,IF(OR(B582="С",B582="М",B582="ЦМ"),AA582*РРСМ,IF(B582="Б",AA582*РРБ,0))),IF(M582="РДИ",AA582*РДП,0))</f>
        <v>0</v>
      </c>
      <c r="BD582" s="42">
        <f t="shared" si="1251"/>
        <v>0</v>
      </c>
      <c r="BE582" s="43">
        <f t="shared" si="1252"/>
        <v>12.6</v>
      </c>
      <c r="BF582" s="44"/>
      <c r="BG582" s="45">
        <f t="shared" si="1253"/>
        <v>0</v>
      </c>
      <c r="BH582" s="45">
        <f t="shared" si="1254"/>
        <v>0</v>
      </c>
      <c r="BI582" s="45">
        <f t="shared" si="1255"/>
        <v>0</v>
      </c>
      <c r="BJ582" s="46">
        <f t="shared" si="1239"/>
        <v>12</v>
      </c>
      <c r="BK582" s="46">
        <f t="shared" si="1240"/>
        <v>6</v>
      </c>
      <c r="BL582" s="46">
        <f t="shared" si="1241"/>
        <v>0.60000000000000009</v>
      </c>
    </row>
    <row r="583" spans="1:64" ht="30" customHeight="1" x14ac:dyDescent="0.25">
      <c r="A583" s="84" t="str">
        <f t="shared" si="1270"/>
        <v>Д</v>
      </c>
      <c r="B583" s="84" t="str">
        <f t="shared" si="1264"/>
        <v>А</v>
      </c>
      <c r="C583" s="131" t="s">
        <v>1979</v>
      </c>
      <c r="D583" s="16" t="str">
        <f t="shared" si="1265"/>
        <v>'1.2.2.</v>
      </c>
      <c r="E583" s="17" t="str">
        <f t="shared" si="1266"/>
        <v>Математическое моделирование, численные методы и комплексы программ</v>
      </c>
      <c r="F583" s="116" t="s">
        <v>413</v>
      </c>
      <c r="G583" s="9"/>
      <c r="H583" s="10"/>
      <c r="I583" s="10"/>
      <c r="J583" s="115" t="s">
        <v>3359</v>
      </c>
      <c r="K583" s="109">
        <v>2</v>
      </c>
      <c r="L583" s="109">
        <v>1</v>
      </c>
      <c r="M583" s="113" t="s">
        <v>24</v>
      </c>
      <c r="N583" s="109"/>
      <c r="O583" s="109"/>
      <c r="P583" s="109">
        <v>6</v>
      </c>
      <c r="Q583" s="113" t="s">
        <v>102</v>
      </c>
      <c r="R583" s="117"/>
      <c r="S583" s="117"/>
      <c r="T583" s="117"/>
      <c r="U583" s="117"/>
      <c r="V583" s="117"/>
      <c r="W583" s="83" t="str">
        <f t="shared" si="1271"/>
        <v>НЧМад</v>
      </c>
      <c r="X583" s="114" t="s">
        <v>3234</v>
      </c>
      <c r="Y583" s="109">
        <v>1</v>
      </c>
      <c r="Z583" s="109">
        <v>1</v>
      </c>
      <c r="AA583" s="83">
        <f t="shared" si="1267"/>
        <v>3</v>
      </c>
      <c r="AB583" s="109">
        <v>2</v>
      </c>
      <c r="AC583" s="109">
        <v>1</v>
      </c>
      <c r="AD583" s="81">
        <f t="shared" si="1272"/>
        <v>12</v>
      </c>
      <c r="AE583" s="82">
        <f t="shared" si="1268"/>
        <v>0.25</v>
      </c>
      <c r="AF583" s="82">
        <f t="shared" si="1269"/>
        <v>0.25</v>
      </c>
      <c r="AG583" s="102"/>
      <c r="AH583" s="113" t="s">
        <v>205</v>
      </c>
      <c r="AI583" s="113" t="s">
        <v>212</v>
      </c>
      <c r="AJ583" s="119" t="s">
        <v>3295</v>
      </c>
      <c r="AK583" s="8"/>
      <c r="AL583" s="42">
        <f t="shared" si="1273"/>
        <v>0</v>
      </c>
      <c r="AM583" s="42">
        <f t="shared" si="1242"/>
        <v>1.5</v>
      </c>
      <c r="AN583" s="42">
        <f t="shared" si="1243"/>
        <v>0</v>
      </c>
      <c r="AO583" s="42">
        <f t="shared" si="1238"/>
        <v>0.99</v>
      </c>
      <c r="AP583" s="42">
        <f t="shared" si="1244"/>
        <v>1.5</v>
      </c>
      <c r="AQ583" s="42">
        <f t="shared" si="1245"/>
        <v>0.25</v>
      </c>
      <c r="AR583" s="42">
        <f t="shared" si="1274"/>
        <v>0</v>
      </c>
      <c r="AS583" s="42">
        <f t="shared" si="1246"/>
        <v>0</v>
      </c>
      <c r="AT583" s="42">
        <f t="shared" si="1247"/>
        <v>0</v>
      </c>
      <c r="AU583" s="42">
        <f t="shared" si="1248"/>
        <v>0</v>
      </c>
      <c r="AV583" s="42">
        <f>IF(M583="ПП",РПП*AA583*(U583/1.5),IF(M583="ВП",ВПр*AA583*(U583/1.5),IF(M583="РПА",РПА*AA583*(U583/1.5),IF(M583="КПА",КПА*AA583*(U583/1.5),0))))</f>
        <v>0</v>
      </c>
      <c r="AW583" s="42">
        <f t="shared" si="1249"/>
        <v>0</v>
      </c>
      <c r="AX583" s="42">
        <f t="shared" si="1275"/>
        <v>0</v>
      </c>
      <c r="AY583" s="42">
        <f t="shared" si="1276"/>
        <v>0</v>
      </c>
      <c r="AZ583" s="42">
        <f t="shared" si="1250"/>
        <v>0</v>
      </c>
      <c r="BA583" s="42">
        <f t="shared" si="1277"/>
        <v>0</v>
      </c>
      <c r="BB583" s="42">
        <f t="shared" si="1278"/>
        <v>0</v>
      </c>
      <c r="BC583" s="42">
        <f t="shared" si="1279"/>
        <v>0</v>
      </c>
      <c r="BD583" s="42">
        <f t="shared" si="1251"/>
        <v>0</v>
      </c>
      <c r="BE583" s="43">
        <f t="shared" si="1252"/>
        <v>4.24</v>
      </c>
      <c r="BF583" s="44"/>
      <c r="BG583" s="45">
        <f t="shared" si="1253"/>
        <v>0</v>
      </c>
      <c r="BH583" s="45">
        <f t="shared" si="1254"/>
        <v>0</v>
      </c>
      <c r="BI583" s="45">
        <f t="shared" si="1255"/>
        <v>0</v>
      </c>
      <c r="BJ583" s="46">
        <f t="shared" si="1239"/>
        <v>1.5</v>
      </c>
      <c r="BK583" s="46">
        <f t="shared" si="1240"/>
        <v>3</v>
      </c>
      <c r="BL583" s="46">
        <f t="shared" si="1241"/>
        <v>2.74</v>
      </c>
    </row>
    <row r="584" spans="1:64" ht="30" customHeight="1" x14ac:dyDescent="0.25">
      <c r="A584" s="84" t="str">
        <f t="shared" si="1270"/>
        <v>Д</v>
      </c>
      <c r="B584" s="84" t="str">
        <f t="shared" si="1264"/>
        <v>А</v>
      </c>
      <c r="C584" s="131" t="s">
        <v>1979</v>
      </c>
      <c r="D584" s="16" t="str">
        <f t="shared" si="1265"/>
        <v>'1.2.2.</v>
      </c>
      <c r="E584" s="17" t="str">
        <f t="shared" si="1266"/>
        <v>Математическое моделирование, численные методы и комплексы программ</v>
      </c>
      <c r="F584" s="116" t="s">
        <v>413</v>
      </c>
      <c r="G584" s="9"/>
      <c r="H584" s="10"/>
      <c r="I584" s="10"/>
      <c r="J584" s="115" t="s">
        <v>385</v>
      </c>
      <c r="K584" s="109">
        <v>3</v>
      </c>
      <c r="L584" s="109">
        <v>1</v>
      </c>
      <c r="M584" s="113" t="s">
        <v>23</v>
      </c>
      <c r="N584" s="109">
        <v>20</v>
      </c>
      <c r="O584" s="109"/>
      <c r="P584" s="109"/>
      <c r="Q584" s="113" t="s">
        <v>103</v>
      </c>
      <c r="R584" s="117"/>
      <c r="S584" s="117"/>
      <c r="T584" s="117"/>
      <c r="U584" s="117"/>
      <c r="V584" s="117"/>
      <c r="W584" s="83" t="str">
        <f t="shared" si="1271"/>
        <v>НЧМад</v>
      </c>
      <c r="X584" s="114" t="s">
        <v>3241</v>
      </c>
      <c r="Y584" s="109">
        <v>1</v>
      </c>
      <c r="Z584" s="109">
        <v>1</v>
      </c>
      <c r="AA584" s="83">
        <f t="shared" si="1267"/>
        <v>13</v>
      </c>
      <c r="AB584" s="109">
        <v>9</v>
      </c>
      <c r="AC584" s="109">
        <v>4</v>
      </c>
      <c r="AD584" s="81">
        <f t="shared" si="1272"/>
        <v>13</v>
      </c>
      <c r="AE584" s="82">
        <f t="shared" si="1268"/>
        <v>1</v>
      </c>
      <c r="AF584" s="82">
        <f t="shared" si="1269"/>
        <v>1</v>
      </c>
      <c r="AG584" s="102"/>
      <c r="AH584" s="113" t="s">
        <v>204</v>
      </c>
      <c r="AI584" s="113" t="s">
        <v>212</v>
      </c>
      <c r="AJ584" s="119" t="s">
        <v>3252</v>
      </c>
      <c r="AK584" s="8"/>
      <c r="AL584" s="42">
        <f t="shared" si="1273"/>
        <v>20</v>
      </c>
      <c r="AM584" s="42">
        <f t="shared" si="1242"/>
        <v>0</v>
      </c>
      <c r="AN584" s="42">
        <f t="shared" si="1243"/>
        <v>0</v>
      </c>
      <c r="AO584" s="42">
        <f t="shared" si="1238"/>
        <v>4.29</v>
      </c>
      <c r="AP584" s="42">
        <f t="shared" si="1244"/>
        <v>6.5</v>
      </c>
      <c r="AQ584" s="42">
        <f t="shared" si="1245"/>
        <v>1</v>
      </c>
      <c r="AR584" s="42">
        <f t="shared" si="1274"/>
        <v>1</v>
      </c>
      <c r="AS584" s="42">
        <f t="shared" si="1246"/>
        <v>0</v>
      </c>
      <c r="AT584" s="42">
        <f t="shared" si="1247"/>
        <v>0</v>
      </c>
      <c r="AU584" s="42">
        <f t="shared" si="1248"/>
        <v>0</v>
      </c>
      <c r="AV584" s="42">
        <f>IF(M584="ПП",РПП*AA584*(U584/1.5),IF(M584="ВП",ВПр*AA584*(U584/1.5),IF(M584="РПА",РПА*AA584*(U584/1.5),IF(M584="КПА",КПА*AA584*(U584/1.5),0))))</f>
        <v>0</v>
      </c>
      <c r="AW584" s="42">
        <f t="shared" si="1249"/>
        <v>0</v>
      </c>
      <c r="AX584" s="42">
        <f t="shared" si="1275"/>
        <v>0</v>
      </c>
      <c r="AY584" s="42">
        <f t="shared" si="1276"/>
        <v>0</v>
      </c>
      <c r="AZ584" s="42">
        <f t="shared" si="1250"/>
        <v>0</v>
      </c>
      <c r="BA584" s="42">
        <f t="shared" si="1277"/>
        <v>0</v>
      </c>
      <c r="BB584" s="42">
        <f t="shared" si="1278"/>
        <v>0</v>
      </c>
      <c r="BC584" s="42">
        <f t="shared" si="1279"/>
        <v>0</v>
      </c>
      <c r="BD584" s="42">
        <f t="shared" si="1251"/>
        <v>0</v>
      </c>
      <c r="BE584" s="43">
        <f t="shared" si="1252"/>
        <v>32.79</v>
      </c>
      <c r="BF584" s="44"/>
      <c r="BG584" s="45">
        <f t="shared" si="1253"/>
        <v>20</v>
      </c>
      <c r="BH584" s="45">
        <f t="shared" si="1254"/>
        <v>10</v>
      </c>
      <c r="BI584" s="45">
        <f t="shared" si="1255"/>
        <v>12.79</v>
      </c>
      <c r="BJ584" s="46">
        <f t="shared" si="1239"/>
        <v>0</v>
      </c>
      <c r="BK584" s="46">
        <f t="shared" si="1240"/>
        <v>0</v>
      </c>
      <c r="BL584" s="46">
        <f t="shared" si="1241"/>
        <v>0</v>
      </c>
    </row>
    <row r="585" spans="1:64" ht="30" customHeight="1" x14ac:dyDescent="0.25">
      <c r="A585" s="84" t="str">
        <f t="shared" si="1270"/>
        <v>Д</v>
      </c>
      <c r="B585" s="84" t="str">
        <f t="shared" si="1264"/>
        <v>А</v>
      </c>
      <c r="C585" s="131" t="s">
        <v>1979</v>
      </c>
      <c r="D585" s="16" t="str">
        <f t="shared" si="1265"/>
        <v>'1.2.2.</v>
      </c>
      <c r="E585" s="17" t="str">
        <f t="shared" si="1266"/>
        <v>Математическое моделирование, численные методы и комплексы программ</v>
      </c>
      <c r="F585" s="116" t="s">
        <v>413</v>
      </c>
      <c r="G585" s="9"/>
      <c r="H585" s="10"/>
      <c r="I585" s="10"/>
      <c r="J585" s="115" t="s">
        <v>385</v>
      </c>
      <c r="K585" s="109">
        <v>3</v>
      </c>
      <c r="L585" s="109">
        <v>1</v>
      </c>
      <c r="M585" s="113" t="s">
        <v>24</v>
      </c>
      <c r="N585" s="109"/>
      <c r="O585" s="109"/>
      <c r="P585" s="109">
        <v>40</v>
      </c>
      <c r="Q585" s="113"/>
      <c r="R585" s="117"/>
      <c r="S585" s="117"/>
      <c r="T585" s="117"/>
      <c r="U585" s="117"/>
      <c r="V585" s="117"/>
      <c r="W585" s="83" t="str">
        <f t="shared" si="1271"/>
        <v>НЧМад</v>
      </c>
      <c r="X585" s="114" t="s">
        <v>3241</v>
      </c>
      <c r="Y585" s="109">
        <v>1</v>
      </c>
      <c r="Z585" s="109">
        <v>1</v>
      </c>
      <c r="AA585" s="83">
        <f t="shared" si="1267"/>
        <v>13</v>
      </c>
      <c r="AB585" s="132">
        <v>9</v>
      </c>
      <c r="AC585" s="132">
        <v>4</v>
      </c>
      <c r="AD585" s="81">
        <f t="shared" si="1272"/>
        <v>12</v>
      </c>
      <c r="AE585" s="82">
        <f t="shared" si="1268"/>
        <v>1</v>
      </c>
      <c r="AF585" s="82">
        <f t="shared" si="1269"/>
        <v>1.0833333333333333</v>
      </c>
      <c r="AG585" s="102"/>
      <c r="AH585" s="113" t="s">
        <v>204</v>
      </c>
      <c r="AI585" s="113" t="s">
        <v>212</v>
      </c>
      <c r="AJ585" s="120" t="s">
        <v>3252</v>
      </c>
      <c r="AK585" s="8"/>
      <c r="AL585" s="42">
        <f t="shared" si="1273"/>
        <v>0</v>
      </c>
      <c r="AM585" s="42">
        <f t="shared" si="1242"/>
        <v>40</v>
      </c>
      <c r="AN585" s="42">
        <f t="shared" si="1243"/>
        <v>0</v>
      </c>
      <c r="AO585" s="42">
        <f t="shared" si="1238"/>
        <v>0</v>
      </c>
      <c r="AP585" s="42">
        <f t="shared" si="1244"/>
        <v>0</v>
      </c>
      <c r="AQ585" s="42">
        <f t="shared" si="1245"/>
        <v>0</v>
      </c>
      <c r="AR585" s="42">
        <f t="shared" si="1274"/>
        <v>0</v>
      </c>
      <c r="AS585" s="42">
        <f t="shared" si="1246"/>
        <v>0</v>
      </c>
      <c r="AT585" s="42">
        <f t="shared" si="1247"/>
        <v>0</v>
      </c>
      <c r="AU585" s="42">
        <f t="shared" si="1248"/>
        <v>0</v>
      </c>
      <c r="AV585" s="42">
        <f>IF(M585="ПП",РПП*AA585*(U585/1.5),IF(M585="ВП",ВПр*AA585*(U585/1.5),IF(M585="РПА",РПА*AA585*(U585/1.5),IF(M585="КПА",КПА*AA585*(U585/1.5),0))))</f>
        <v>0</v>
      </c>
      <c r="AW585" s="42">
        <f t="shared" si="1249"/>
        <v>0</v>
      </c>
      <c r="AX585" s="42">
        <f t="shared" si="1275"/>
        <v>0</v>
      </c>
      <c r="AY585" s="42">
        <f t="shared" si="1276"/>
        <v>0</v>
      </c>
      <c r="AZ585" s="42">
        <f t="shared" si="1250"/>
        <v>0</v>
      </c>
      <c r="BA585" s="42">
        <f t="shared" si="1277"/>
        <v>0</v>
      </c>
      <c r="BB585" s="42">
        <f t="shared" si="1278"/>
        <v>0</v>
      </c>
      <c r="BC585" s="42">
        <f t="shared" si="1279"/>
        <v>0</v>
      </c>
      <c r="BD585" s="42">
        <f t="shared" si="1251"/>
        <v>0</v>
      </c>
      <c r="BE585" s="43">
        <f t="shared" si="1252"/>
        <v>40</v>
      </c>
      <c r="BF585" s="44"/>
      <c r="BG585" s="45">
        <f t="shared" si="1253"/>
        <v>40</v>
      </c>
      <c r="BH585" s="45">
        <f t="shared" si="1254"/>
        <v>20</v>
      </c>
      <c r="BI585" s="45">
        <f t="shared" si="1255"/>
        <v>0</v>
      </c>
      <c r="BJ585" s="46">
        <f t="shared" si="1239"/>
        <v>0</v>
      </c>
      <c r="BK585" s="46">
        <f t="shared" si="1240"/>
        <v>0</v>
      </c>
      <c r="BL585" s="46">
        <f t="shared" si="1241"/>
        <v>0</v>
      </c>
    </row>
    <row r="586" spans="1:64" ht="30" customHeight="1" x14ac:dyDescent="0.25">
      <c r="A586" s="84" t="str">
        <f t="shared" si="1270"/>
        <v>Д</v>
      </c>
      <c r="B586" s="84" t="str">
        <f t="shared" si="1264"/>
        <v>А</v>
      </c>
      <c r="C586" s="131" t="s">
        <v>1979</v>
      </c>
      <c r="D586" s="16" t="str">
        <f t="shared" si="1265"/>
        <v>'1.2.2.</v>
      </c>
      <c r="E586" s="17" t="str">
        <f t="shared" si="1266"/>
        <v>Математическое моделирование, численные методы и комплексы программ</v>
      </c>
      <c r="F586" s="116" t="s">
        <v>414</v>
      </c>
      <c r="G586" s="9"/>
      <c r="H586" s="10"/>
      <c r="I586" s="10"/>
      <c r="J586" s="115" t="s">
        <v>3358</v>
      </c>
      <c r="K586" s="109">
        <v>3</v>
      </c>
      <c r="L586" s="109">
        <v>20</v>
      </c>
      <c r="M586" s="113" t="s">
        <v>474</v>
      </c>
      <c r="N586" s="109"/>
      <c r="O586" s="109"/>
      <c r="P586" s="109"/>
      <c r="Q586" s="113"/>
      <c r="R586" s="109"/>
      <c r="S586" s="109"/>
      <c r="T586" s="109"/>
      <c r="U586" s="109">
        <v>3</v>
      </c>
      <c r="V586" s="109"/>
      <c r="W586" s="83" t="str">
        <f t="shared" si="1271"/>
        <v>НЧМад</v>
      </c>
      <c r="X586" s="114" t="s">
        <v>3241</v>
      </c>
      <c r="Y586" s="109">
        <v>1</v>
      </c>
      <c r="Z586" s="109">
        <v>1</v>
      </c>
      <c r="AA586" s="83">
        <f t="shared" si="1267"/>
        <v>5</v>
      </c>
      <c r="AB586" s="109">
        <v>4</v>
      </c>
      <c r="AC586" s="109">
        <v>1</v>
      </c>
      <c r="AD586" s="81">
        <f t="shared" si="1272"/>
        <v>1</v>
      </c>
      <c r="AE586" s="82">
        <f t="shared" si="1268"/>
        <v>1</v>
      </c>
      <c r="AF586" s="82">
        <f t="shared" si="1269"/>
        <v>5</v>
      </c>
      <c r="AG586" s="102"/>
      <c r="AH586" s="113" t="s">
        <v>205</v>
      </c>
      <c r="AI586" s="113" t="s">
        <v>212</v>
      </c>
      <c r="AJ586" s="119" t="s">
        <v>3295</v>
      </c>
      <c r="AK586" s="8"/>
      <c r="AL586" s="42">
        <f t="shared" si="1273"/>
        <v>0</v>
      </c>
      <c r="AM586" s="42">
        <f t="shared" si="1242"/>
        <v>0</v>
      </c>
      <c r="AN586" s="42">
        <f t="shared" si="1243"/>
        <v>0</v>
      </c>
      <c r="AO586" s="42">
        <f t="shared" si="1238"/>
        <v>0</v>
      </c>
      <c r="AP586" s="42">
        <f t="shared" si="1244"/>
        <v>0</v>
      </c>
      <c r="AQ586" s="42">
        <f t="shared" si="1245"/>
        <v>0</v>
      </c>
      <c r="AR586" s="42">
        <f t="shared" si="1274"/>
        <v>0</v>
      </c>
      <c r="AS586" s="42">
        <f t="shared" si="1246"/>
        <v>0</v>
      </c>
      <c r="AT586" s="42">
        <f t="shared" si="1247"/>
        <v>0</v>
      </c>
      <c r="AU586" s="42">
        <f t="shared" si="1248"/>
        <v>0</v>
      </c>
      <c r="AV586" s="42">
        <f>IF(M586="ПП",РПП*AA586*(U586/1.5),IF(M586="ВП",ВПр*AA586*(U586/1.5),IF(M586="РПА",РПА*AA586*(U586/1.5),IF(M586="КПА",КПА*AA586*(U586/1.5),0))))</f>
        <v>15</v>
      </c>
      <c r="AW586" s="42">
        <f t="shared" si="1249"/>
        <v>0</v>
      </c>
      <c r="AX586" s="42">
        <f t="shared" si="1275"/>
        <v>0</v>
      </c>
      <c r="AY586" s="42">
        <f t="shared" si="1276"/>
        <v>0</v>
      </c>
      <c r="AZ586" s="42">
        <f t="shared" si="1250"/>
        <v>0</v>
      </c>
      <c r="BA586" s="42">
        <f t="shared" si="1277"/>
        <v>0</v>
      </c>
      <c r="BB586" s="42">
        <f t="shared" si="1278"/>
        <v>0</v>
      </c>
      <c r="BC586" s="42">
        <f t="shared" si="1279"/>
        <v>0</v>
      </c>
      <c r="BD586" s="42">
        <f t="shared" si="1251"/>
        <v>0</v>
      </c>
      <c r="BE586" s="43">
        <f t="shared" si="1252"/>
        <v>15</v>
      </c>
      <c r="BF586" s="44"/>
      <c r="BG586" s="45">
        <f t="shared" si="1253"/>
        <v>0</v>
      </c>
      <c r="BH586" s="45">
        <f t="shared" si="1254"/>
        <v>0</v>
      </c>
      <c r="BI586" s="45">
        <f t="shared" si="1255"/>
        <v>15</v>
      </c>
      <c r="BJ586" s="46">
        <f t="shared" si="1239"/>
        <v>0</v>
      </c>
      <c r="BK586" s="46">
        <f t="shared" si="1240"/>
        <v>0</v>
      </c>
      <c r="BL586" s="46">
        <f t="shared" si="1241"/>
        <v>0</v>
      </c>
    </row>
    <row r="587" spans="1:64" ht="30" customHeight="1" x14ac:dyDescent="0.25">
      <c r="A587" s="84" t="str">
        <f t="shared" si="1270"/>
        <v>Д</v>
      </c>
      <c r="B587" s="84" t="str">
        <f t="shared" si="1264"/>
        <v>А</v>
      </c>
      <c r="C587" s="131" t="s">
        <v>1979</v>
      </c>
      <c r="D587" s="16" t="str">
        <f t="shared" si="1265"/>
        <v>'1.2.2.</v>
      </c>
      <c r="E587" s="17" t="str">
        <f t="shared" si="1266"/>
        <v>Математическое моделирование, численные методы и комплексы программ</v>
      </c>
      <c r="F587" s="116" t="s">
        <v>414</v>
      </c>
      <c r="G587" s="9"/>
      <c r="H587" s="10"/>
      <c r="I587" s="10"/>
      <c r="J587" s="115" t="s">
        <v>3358</v>
      </c>
      <c r="K587" s="109">
        <v>3</v>
      </c>
      <c r="L587" s="109">
        <v>20</v>
      </c>
      <c r="M587" s="113" t="s">
        <v>474</v>
      </c>
      <c r="N587" s="109"/>
      <c r="O587" s="109"/>
      <c r="P587" s="109"/>
      <c r="Q587" s="113"/>
      <c r="R587" s="109"/>
      <c r="S587" s="109"/>
      <c r="T587" s="109"/>
      <c r="U587" s="109">
        <v>3</v>
      </c>
      <c r="V587" s="109"/>
      <c r="W587" s="83" t="str">
        <f t="shared" si="1271"/>
        <v>НЧМад</v>
      </c>
      <c r="X587" s="114" t="s">
        <v>3241</v>
      </c>
      <c r="Y587" s="109">
        <v>1</v>
      </c>
      <c r="Z587" s="109">
        <v>1</v>
      </c>
      <c r="AA587" s="83">
        <f t="shared" si="1267"/>
        <v>2</v>
      </c>
      <c r="AB587" s="109">
        <v>1</v>
      </c>
      <c r="AC587" s="109">
        <v>1</v>
      </c>
      <c r="AD587" s="81">
        <f t="shared" si="1272"/>
        <v>1</v>
      </c>
      <c r="AE587" s="82">
        <f t="shared" si="1268"/>
        <v>1</v>
      </c>
      <c r="AF587" s="82">
        <f t="shared" si="1269"/>
        <v>2</v>
      </c>
      <c r="AG587" s="102"/>
      <c r="AH587" s="113" t="s">
        <v>204</v>
      </c>
      <c r="AI587" s="113" t="s">
        <v>212</v>
      </c>
      <c r="AJ587" s="119" t="s">
        <v>3252</v>
      </c>
      <c r="AK587" s="8"/>
      <c r="AL587" s="42">
        <f t="shared" si="1273"/>
        <v>0</v>
      </c>
      <c r="AM587" s="42">
        <f t="shared" si="1242"/>
        <v>0</v>
      </c>
      <c r="AN587" s="42">
        <f t="shared" si="1243"/>
        <v>0</v>
      </c>
      <c r="AO587" s="42">
        <f t="shared" si="1238"/>
        <v>0</v>
      </c>
      <c r="AP587" s="42">
        <f t="shared" si="1244"/>
        <v>0</v>
      </c>
      <c r="AQ587" s="42">
        <f t="shared" si="1245"/>
        <v>0</v>
      </c>
      <c r="AR587" s="42">
        <f t="shared" si="1274"/>
        <v>0</v>
      </c>
      <c r="AS587" s="42">
        <f t="shared" si="1246"/>
        <v>0</v>
      </c>
      <c r="AT587" s="42">
        <f t="shared" si="1247"/>
        <v>0</v>
      </c>
      <c r="AU587" s="42">
        <f t="shared" si="1248"/>
        <v>0</v>
      </c>
      <c r="AV587" s="42">
        <f>IF(M587="ПП",РПП*AA587*(U587/1.5),IF(M587="ВП",ВПр*AA587*(U587/1.5),IF(M587="РПА",РПА*AA587*(U587/1.5),IF(M587="КПА",КПА*AA587*(U587/1.5),0))))</f>
        <v>6</v>
      </c>
      <c r="AW587" s="42">
        <f t="shared" si="1249"/>
        <v>0</v>
      </c>
      <c r="AX587" s="42">
        <f t="shared" si="1275"/>
        <v>0</v>
      </c>
      <c r="AY587" s="42">
        <f t="shared" si="1276"/>
        <v>0</v>
      </c>
      <c r="AZ587" s="42">
        <f t="shared" si="1250"/>
        <v>0</v>
      </c>
      <c r="BA587" s="42">
        <f t="shared" si="1277"/>
        <v>0</v>
      </c>
      <c r="BB587" s="42">
        <f t="shared" si="1278"/>
        <v>0</v>
      </c>
      <c r="BC587" s="42">
        <f t="shared" si="1279"/>
        <v>0</v>
      </c>
      <c r="BD587" s="42">
        <f t="shared" si="1251"/>
        <v>0</v>
      </c>
      <c r="BE587" s="43">
        <f t="shared" si="1252"/>
        <v>6</v>
      </c>
      <c r="BF587" s="44"/>
      <c r="BG587" s="45">
        <f t="shared" si="1253"/>
        <v>0</v>
      </c>
      <c r="BH587" s="45">
        <f t="shared" si="1254"/>
        <v>0</v>
      </c>
      <c r="BI587" s="45">
        <f t="shared" si="1255"/>
        <v>6</v>
      </c>
      <c r="BJ587" s="46">
        <f t="shared" si="1239"/>
        <v>0</v>
      </c>
      <c r="BK587" s="46">
        <f t="shared" si="1240"/>
        <v>0</v>
      </c>
      <c r="BL587" s="46">
        <f t="shared" si="1241"/>
        <v>0</v>
      </c>
    </row>
    <row r="588" spans="1:64" ht="30" customHeight="1" x14ac:dyDescent="0.25">
      <c r="A588" s="84" t="str">
        <f t="shared" si="1270"/>
        <v>Д</v>
      </c>
      <c r="B588" s="84" t="str">
        <f t="shared" si="1264"/>
        <v>А</v>
      </c>
      <c r="C588" s="131" t="s">
        <v>1979</v>
      </c>
      <c r="D588" s="16" t="str">
        <f t="shared" si="1265"/>
        <v>'1.2.2.</v>
      </c>
      <c r="E588" s="17" t="str">
        <f t="shared" si="1266"/>
        <v>Математическое моделирование, численные методы и комплексы программ</v>
      </c>
      <c r="F588" s="116" t="s">
        <v>414</v>
      </c>
      <c r="G588" s="9"/>
      <c r="H588" s="10"/>
      <c r="I588" s="10"/>
      <c r="J588" s="115" t="s">
        <v>3358</v>
      </c>
      <c r="K588" s="109">
        <v>3</v>
      </c>
      <c r="L588" s="109">
        <v>20</v>
      </c>
      <c r="M588" s="113" t="s">
        <v>474</v>
      </c>
      <c r="N588" s="109"/>
      <c r="O588" s="109"/>
      <c r="P588" s="109"/>
      <c r="Q588" s="113"/>
      <c r="R588" s="109"/>
      <c r="S588" s="109"/>
      <c r="T588" s="109"/>
      <c r="U588" s="109">
        <v>3</v>
      </c>
      <c r="V588" s="109"/>
      <c r="W588" s="83" t="str">
        <f t="shared" si="1271"/>
        <v>НЧМад</v>
      </c>
      <c r="X588" s="114" t="s">
        <v>3241</v>
      </c>
      <c r="Y588" s="109">
        <v>1</v>
      </c>
      <c r="Z588" s="109">
        <v>1</v>
      </c>
      <c r="AA588" s="83">
        <f t="shared" si="1267"/>
        <v>2</v>
      </c>
      <c r="AB588" s="109">
        <v>2</v>
      </c>
      <c r="AC588" s="109"/>
      <c r="AD588" s="81">
        <f t="shared" si="1272"/>
        <v>1</v>
      </c>
      <c r="AE588" s="82">
        <f t="shared" si="1268"/>
        <v>1</v>
      </c>
      <c r="AF588" s="82">
        <f t="shared" si="1269"/>
        <v>2</v>
      </c>
      <c r="AG588" s="102"/>
      <c r="AH588" s="113" t="s">
        <v>204</v>
      </c>
      <c r="AI588" s="113" t="s">
        <v>212</v>
      </c>
      <c r="AJ588" s="119" t="s">
        <v>3257</v>
      </c>
      <c r="AK588" s="8" t="s">
        <v>949</v>
      </c>
      <c r="AL588" s="42">
        <f t="shared" si="1273"/>
        <v>0</v>
      </c>
      <c r="AM588" s="42">
        <f t="shared" si="1242"/>
        <v>0</v>
      </c>
      <c r="AN588" s="42">
        <f t="shared" si="1243"/>
        <v>0</v>
      </c>
      <c r="AO588" s="42">
        <f t="shared" si="1238"/>
        <v>0</v>
      </c>
      <c r="AP588" s="42">
        <f t="shared" si="1244"/>
        <v>0</v>
      </c>
      <c r="AQ588" s="42">
        <f t="shared" si="1245"/>
        <v>0</v>
      </c>
      <c r="AR588" s="42">
        <f t="shared" si="1274"/>
        <v>0</v>
      </c>
      <c r="AS588" s="42">
        <f t="shared" si="1246"/>
        <v>0</v>
      </c>
      <c r="AT588" s="42">
        <f t="shared" si="1247"/>
        <v>0</v>
      </c>
      <c r="AU588" s="42">
        <f t="shared" si="1248"/>
        <v>0</v>
      </c>
      <c r="AV588" s="42">
        <f>IF(M588="ПП",РПП*AA588*(U588/1.5),IF(M588="ВП",ВПр*AA588*(U588/1.5),IF(M588="РПА",РПА*AA588*(U588/1.5),IF(M588="КПА",КПА*AA588*(U588/1.5),0))))</f>
        <v>6</v>
      </c>
      <c r="AW588" s="42">
        <f t="shared" si="1249"/>
        <v>0</v>
      </c>
      <c r="AX588" s="42">
        <f t="shared" si="1275"/>
        <v>0</v>
      </c>
      <c r="AY588" s="42">
        <f t="shared" si="1276"/>
        <v>0</v>
      </c>
      <c r="AZ588" s="42">
        <f t="shared" si="1250"/>
        <v>0</v>
      </c>
      <c r="BA588" s="42">
        <f t="shared" si="1277"/>
        <v>0</v>
      </c>
      <c r="BB588" s="42">
        <f t="shared" si="1278"/>
        <v>0</v>
      </c>
      <c r="BC588" s="42">
        <f t="shared" si="1279"/>
        <v>0</v>
      </c>
      <c r="BD588" s="42">
        <f t="shared" si="1251"/>
        <v>0</v>
      </c>
      <c r="BE588" s="43">
        <f t="shared" si="1252"/>
        <v>6</v>
      </c>
      <c r="BF588" s="44"/>
      <c r="BG588" s="45">
        <f t="shared" si="1253"/>
        <v>0</v>
      </c>
      <c r="BH588" s="45">
        <f t="shared" si="1254"/>
        <v>0</v>
      </c>
      <c r="BI588" s="45">
        <f t="shared" si="1255"/>
        <v>6</v>
      </c>
      <c r="BJ588" s="46">
        <f t="shared" si="1239"/>
        <v>0</v>
      </c>
      <c r="BK588" s="46">
        <f t="shared" si="1240"/>
        <v>0</v>
      </c>
      <c r="BL588" s="46">
        <f t="shared" si="1241"/>
        <v>0</v>
      </c>
    </row>
    <row r="589" spans="1:64" ht="30" customHeight="1" x14ac:dyDescent="0.25">
      <c r="A589" s="84" t="str">
        <f t="shared" si="1270"/>
        <v>Д</v>
      </c>
      <c r="B589" s="84" t="str">
        <f t="shared" si="1264"/>
        <v>А</v>
      </c>
      <c r="C589" s="131" t="s">
        <v>1979</v>
      </c>
      <c r="D589" s="16" t="str">
        <f t="shared" si="1265"/>
        <v>'1.2.2.</v>
      </c>
      <c r="E589" s="17" t="str">
        <f t="shared" si="1266"/>
        <v>Математическое моделирование, численные методы и комплексы программ</v>
      </c>
      <c r="F589" s="116" t="s">
        <v>414</v>
      </c>
      <c r="G589" s="9"/>
      <c r="H589" s="10"/>
      <c r="I589" s="10"/>
      <c r="J589" s="115" t="s">
        <v>3358</v>
      </c>
      <c r="K589" s="109">
        <v>4</v>
      </c>
      <c r="L589" s="109">
        <v>18</v>
      </c>
      <c r="M589" s="113" t="s">
        <v>474</v>
      </c>
      <c r="N589" s="109"/>
      <c r="O589" s="109"/>
      <c r="P589" s="109"/>
      <c r="Q589" s="113"/>
      <c r="R589" s="109"/>
      <c r="S589" s="109"/>
      <c r="T589" s="109"/>
      <c r="U589" s="109">
        <v>3</v>
      </c>
      <c r="V589" s="109"/>
      <c r="W589" s="83" t="str">
        <f t="shared" si="1271"/>
        <v>НЧМад</v>
      </c>
      <c r="X589" s="114" t="s">
        <v>3241</v>
      </c>
      <c r="Y589" s="109">
        <v>1</v>
      </c>
      <c r="Z589" s="109">
        <v>1</v>
      </c>
      <c r="AA589" s="83">
        <f t="shared" si="1267"/>
        <v>5</v>
      </c>
      <c r="AB589" s="109">
        <v>4</v>
      </c>
      <c r="AC589" s="109">
        <v>1</v>
      </c>
      <c r="AD589" s="81">
        <f t="shared" si="1272"/>
        <v>1</v>
      </c>
      <c r="AE589" s="82">
        <f t="shared" si="1268"/>
        <v>1</v>
      </c>
      <c r="AF589" s="82">
        <f t="shared" si="1269"/>
        <v>5</v>
      </c>
      <c r="AG589" s="102"/>
      <c r="AH589" s="113" t="s">
        <v>205</v>
      </c>
      <c r="AI589" s="113" t="s">
        <v>212</v>
      </c>
      <c r="AJ589" s="119" t="s">
        <v>3295</v>
      </c>
      <c r="AK589" s="8"/>
      <c r="AL589" s="42">
        <f t="shared" si="1273"/>
        <v>0</v>
      </c>
      <c r="AM589" s="42">
        <f t="shared" si="1242"/>
        <v>0</v>
      </c>
      <c r="AN589" s="42">
        <f t="shared" si="1243"/>
        <v>0</v>
      </c>
      <c r="AO589" s="42">
        <f t="shared" si="1238"/>
        <v>0</v>
      </c>
      <c r="AP589" s="42">
        <f t="shared" si="1244"/>
        <v>0</v>
      </c>
      <c r="AQ589" s="42">
        <f t="shared" si="1245"/>
        <v>0</v>
      </c>
      <c r="AR589" s="42">
        <f t="shared" si="1274"/>
        <v>0</v>
      </c>
      <c r="AS589" s="42">
        <f t="shared" si="1246"/>
        <v>0</v>
      </c>
      <c r="AT589" s="42">
        <f t="shared" si="1247"/>
        <v>0</v>
      </c>
      <c r="AU589" s="42">
        <f t="shared" si="1248"/>
        <v>0</v>
      </c>
      <c r="AV589" s="42">
        <f>IF(M589="ПП",РПП*AA589*(U589/1.5),IF(M589="ВП",ВПр*AA589*(U589/1.5),IF(M589="РПА",РПА*AA589*(U589/1.5),IF(M589="КПА",КПА*AA589*(U589/1.5),0))))</f>
        <v>15</v>
      </c>
      <c r="AW589" s="42">
        <f t="shared" si="1249"/>
        <v>0</v>
      </c>
      <c r="AX589" s="42">
        <f t="shared" si="1275"/>
        <v>0</v>
      </c>
      <c r="AY589" s="42">
        <f t="shared" si="1276"/>
        <v>0</v>
      </c>
      <c r="AZ589" s="42">
        <f t="shared" si="1250"/>
        <v>0</v>
      </c>
      <c r="BA589" s="42">
        <f t="shared" si="1277"/>
        <v>0</v>
      </c>
      <c r="BB589" s="42">
        <f t="shared" si="1278"/>
        <v>0</v>
      </c>
      <c r="BC589" s="42">
        <f t="shared" si="1279"/>
        <v>0</v>
      </c>
      <c r="BD589" s="42">
        <f t="shared" si="1251"/>
        <v>0</v>
      </c>
      <c r="BE589" s="43">
        <f t="shared" si="1252"/>
        <v>15</v>
      </c>
      <c r="BF589" s="44"/>
      <c r="BG589" s="45">
        <f t="shared" si="1253"/>
        <v>0</v>
      </c>
      <c r="BH589" s="45">
        <f t="shared" si="1254"/>
        <v>0</v>
      </c>
      <c r="BI589" s="45">
        <f t="shared" si="1255"/>
        <v>0</v>
      </c>
      <c r="BJ589" s="46">
        <f t="shared" si="1239"/>
        <v>0</v>
      </c>
      <c r="BK589" s="46">
        <f t="shared" si="1240"/>
        <v>0</v>
      </c>
      <c r="BL589" s="46">
        <f t="shared" si="1241"/>
        <v>15</v>
      </c>
    </row>
    <row r="590" spans="1:64" ht="30" customHeight="1" x14ac:dyDescent="0.25">
      <c r="A590" s="84" t="str">
        <f t="shared" si="1270"/>
        <v>Д</v>
      </c>
      <c r="B590" s="84" t="str">
        <f t="shared" si="1264"/>
        <v>А</v>
      </c>
      <c r="C590" s="131" t="s">
        <v>1979</v>
      </c>
      <c r="D590" s="16" t="str">
        <f t="shared" si="1265"/>
        <v>'1.2.2.</v>
      </c>
      <c r="E590" s="17" t="str">
        <f t="shared" si="1266"/>
        <v>Математическое моделирование, численные методы и комплексы программ</v>
      </c>
      <c r="F590" s="116" t="s">
        <v>414</v>
      </c>
      <c r="G590" s="9"/>
      <c r="H590" s="10"/>
      <c r="I590" s="10"/>
      <c r="J590" s="115" t="s">
        <v>3358</v>
      </c>
      <c r="K590" s="109">
        <v>4</v>
      </c>
      <c r="L590" s="109">
        <v>18</v>
      </c>
      <c r="M590" s="113" t="s">
        <v>474</v>
      </c>
      <c r="N590" s="109"/>
      <c r="O590" s="109"/>
      <c r="P590" s="109"/>
      <c r="Q590" s="113"/>
      <c r="R590" s="109"/>
      <c r="S590" s="109"/>
      <c r="T590" s="109"/>
      <c r="U590" s="109">
        <v>3</v>
      </c>
      <c r="V590" s="109"/>
      <c r="W590" s="83" t="str">
        <f t="shared" si="1271"/>
        <v>НЧМад</v>
      </c>
      <c r="X590" s="114" t="s">
        <v>3241</v>
      </c>
      <c r="Y590" s="109">
        <v>1</v>
      </c>
      <c r="Z590" s="109">
        <v>1</v>
      </c>
      <c r="AA590" s="83">
        <f t="shared" si="1267"/>
        <v>2</v>
      </c>
      <c r="AB590" s="109">
        <v>1</v>
      </c>
      <c r="AC590" s="109">
        <v>1</v>
      </c>
      <c r="AD590" s="81">
        <f t="shared" si="1272"/>
        <v>1</v>
      </c>
      <c r="AE590" s="82">
        <f t="shared" si="1268"/>
        <v>1</v>
      </c>
      <c r="AF590" s="82">
        <f t="shared" si="1269"/>
        <v>2</v>
      </c>
      <c r="AG590" s="102"/>
      <c r="AH590" s="113" t="s">
        <v>204</v>
      </c>
      <c r="AI590" s="113" t="s">
        <v>212</v>
      </c>
      <c r="AJ590" s="119" t="s">
        <v>3252</v>
      </c>
      <c r="AK590" s="8"/>
      <c r="AL590" s="42">
        <f t="shared" si="1273"/>
        <v>0</v>
      </c>
      <c r="AM590" s="42">
        <f t="shared" si="1242"/>
        <v>0</v>
      </c>
      <c r="AN590" s="42">
        <f t="shared" si="1243"/>
        <v>0</v>
      </c>
      <c r="AO590" s="42">
        <f t="shared" si="1238"/>
        <v>0</v>
      </c>
      <c r="AP590" s="42">
        <f t="shared" si="1244"/>
        <v>0</v>
      </c>
      <c r="AQ590" s="42">
        <f t="shared" si="1245"/>
        <v>0</v>
      </c>
      <c r="AR590" s="42">
        <f t="shared" si="1274"/>
        <v>0</v>
      </c>
      <c r="AS590" s="42">
        <f t="shared" si="1246"/>
        <v>0</v>
      </c>
      <c r="AT590" s="42">
        <f t="shared" si="1247"/>
        <v>0</v>
      </c>
      <c r="AU590" s="42">
        <f t="shared" si="1248"/>
        <v>0</v>
      </c>
      <c r="AV590" s="42">
        <f>IF(M590="ПП",РПП*AA590*(U590/1.5),IF(M590="ВП",ВПр*AA590*(U590/1.5),IF(M590="РПА",РПА*AA590*(U590/1.5),IF(M590="КПА",КПА*AA590*(U590/1.5),0))))</f>
        <v>6</v>
      </c>
      <c r="AW590" s="42">
        <f t="shared" si="1249"/>
        <v>0</v>
      </c>
      <c r="AX590" s="42">
        <f t="shared" si="1275"/>
        <v>0</v>
      </c>
      <c r="AY590" s="42">
        <f t="shared" si="1276"/>
        <v>0</v>
      </c>
      <c r="AZ590" s="42">
        <f t="shared" si="1250"/>
        <v>0</v>
      </c>
      <c r="BA590" s="42">
        <f t="shared" si="1277"/>
        <v>0</v>
      </c>
      <c r="BB590" s="42">
        <f t="shared" si="1278"/>
        <v>0</v>
      </c>
      <c r="BC590" s="42">
        <f t="shared" si="1279"/>
        <v>0</v>
      </c>
      <c r="BD590" s="42">
        <f t="shared" si="1251"/>
        <v>0</v>
      </c>
      <c r="BE590" s="43">
        <f t="shared" si="1252"/>
        <v>6</v>
      </c>
      <c r="BF590" s="44"/>
      <c r="BG590" s="45">
        <f t="shared" si="1253"/>
        <v>0</v>
      </c>
      <c r="BH590" s="45">
        <f t="shared" si="1254"/>
        <v>0</v>
      </c>
      <c r="BI590" s="45">
        <f t="shared" si="1255"/>
        <v>0</v>
      </c>
      <c r="BJ590" s="46">
        <f t="shared" si="1239"/>
        <v>0</v>
      </c>
      <c r="BK590" s="46">
        <f t="shared" si="1240"/>
        <v>0</v>
      </c>
      <c r="BL590" s="46">
        <f t="shared" si="1241"/>
        <v>6</v>
      </c>
    </row>
    <row r="591" spans="1:64" ht="30" customHeight="1" x14ac:dyDescent="0.25">
      <c r="A591" s="84" t="str">
        <f t="shared" si="1270"/>
        <v>Д</v>
      </c>
      <c r="B591" s="84" t="str">
        <f t="shared" si="1264"/>
        <v>А</v>
      </c>
      <c r="C591" s="131" t="s">
        <v>1979</v>
      </c>
      <c r="D591" s="16" t="str">
        <f t="shared" si="1265"/>
        <v>'1.2.2.</v>
      </c>
      <c r="E591" s="17" t="str">
        <f t="shared" si="1266"/>
        <v>Математическое моделирование, численные методы и комплексы программ</v>
      </c>
      <c r="F591" s="116" t="s">
        <v>414</v>
      </c>
      <c r="G591" s="9"/>
      <c r="H591" s="10"/>
      <c r="I591" s="10"/>
      <c r="J591" s="115" t="s">
        <v>3358</v>
      </c>
      <c r="K591" s="109">
        <v>4</v>
      </c>
      <c r="L591" s="109">
        <v>18</v>
      </c>
      <c r="M591" s="113" t="s">
        <v>474</v>
      </c>
      <c r="N591" s="109"/>
      <c r="O591" s="109"/>
      <c r="P591" s="109"/>
      <c r="Q591" s="113"/>
      <c r="R591" s="109"/>
      <c r="S591" s="109"/>
      <c r="T591" s="109"/>
      <c r="U591" s="109">
        <v>3</v>
      </c>
      <c r="V591" s="109"/>
      <c r="W591" s="83" t="str">
        <f t="shared" si="1271"/>
        <v>НЧМад</v>
      </c>
      <c r="X591" s="114" t="s">
        <v>3241</v>
      </c>
      <c r="Y591" s="109">
        <v>1</v>
      </c>
      <c r="Z591" s="109">
        <v>1</v>
      </c>
      <c r="AA591" s="83">
        <f t="shared" si="1267"/>
        <v>2</v>
      </c>
      <c r="AB591" s="109">
        <v>2</v>
      </c>
      <c r="AC591" s="109"/>
      <c r="AD591" s="81">
        <f t="shared" si="1272"/>
        <v>1</v>
      </c>
      <c r="AE591" s="82">
        <f t="shared" si="1268"/>
        <v>1</v>
      </c>
      <c r="AF591" s="82">
        <f t="shared" si="1269"/>
        <v>2</v>
      </c>
      <c r="AG591" s="102"/>
      <c r="AH591" s="113" t="s">
        <v>204</v>
      </c>
      <c r="AI591" s="113" t="s">
        <v>212</v>
      </c>
      <c r="AJ591" s="121" t="s">
        <v>3257</v>
      </c>
      <c r="AK591" s="8" t="s">
        <v>949</v>
      </c>
      <c r="AL591" s="42">
        <f t="shared" si="1273"/>
        <v>0</v>
      </c>
      <c r="AM591" s="42">
        <f t="shared" si="1242"/>
        <v>0</v>
      </c>
      <c r="AN591" s="42">
        <f t="shared" si="1243"/>
        <v>0</v>
      </c>
      <c r="AO591" s="42">
        <f t="shared" si="1238"/>
        <v>0</v>
      </c>
      <c r="AP591" s="42">
        <f t="shared" si="1244"/>
        <v>0</v>
      </c>
      <c r="AQ591" s="42">
        <f t="shared" si="1245"/>
        <v>0</v>
      </c>
      <c r="AR591" s="42">
        <f t="shared" si="1274"/>
        <v>0</v>
      </c>
      <c r="AS591" s="42">
        <f t="shared" si="1246"/>
        <v>0</v>
      </c>
      <c r="AT591" s="42">
        <f t="shared" si="1247"/>
        <v>0</v>
      </c>
      <c r="AU591" s="42">
        <f t="shared" si="1248"/>
        <v>0</v>
      </c>
      <c r="AV591" s="42">
        <f>IF(M591="ПП",РПП*AA591*(U591/1.5),IF(M591="ВП",ВПр*AA591*(U591/1.5),IF(M591="РПА",РПА*AA591*(U591/1.5),IF(M591="КПА",КПА*AA591*(U591/1.5),0))))</f>
        <v>6</v>
      </c>
      <c r="AW591" s="42">
        <f t="shared" si="1249"/>
        <v>0</v>
      </c>
      <c r="AX591" s="42">
        <f t="shared" si="1275"/>
        <v>0</v>
      </c>
      <c r="AY591" s="42">
        <f t="shared" si="1276"/>
        <v>0</v>
      </c>
      <c r="AZ591" s="42">
        <f t="shared" si="1250"/>
        <v>0</v>
      </c>
      <c r="BA591" s="42">
        <f t="shared" si="1277"/>
        <v>0</v>
      </c>
      <c r="BB591" s="42">
        <f t="shared" si="1278"/>
        <v>0</v>
      </c>
      <c r="BC591" s="42">
        <f t="shared" si="1279"/>
        <v>0</v>
      </c>
      <c r="BD591" s="42">
        <f t="shared" si="1251"/>
        <v>0</v>
      </c>
      <c r="BE591" s="43">
        <f t="shared" si="1252"/>
        <v>6</v>
      </c>
      <c r="BF591" s="44"/>
      <c r="BG591" s="45">
        <f t="shared" si="1253"/>
        <v>0</v>
      </c>
      <c r="BH591" s="45">
        <f t="shared" si="1254"/>
        <v>0</v>
      </c>
      <c r="BI591" s="45">
        <f t="shared" si="1255"/>
        <v>0</v>
      </c>
      <c r="BJ591" s="46">
        <f t="shared" si="1239"/>
        <v>0</v>
      </c>
      <c r="BK591" s="46">
        <f t="shared" si="1240"/>
        <v>0</v>
      </c>
      <c r="BL591" s="46">
        <f t="shared" si="1241"/>
        <v>6</v>
      </c>
    </row>
    <row r="592" spans="1:64" ht="30" customHeight="1" x14ac:dyDescent="0.25">
      <c r="A592" s="84" t="str">
        <f t="shared" si="1270"/>
        <v>Д</v>
      </c>
      <c r="B592" s="84" t="str">
        <f t="shared" si="1264"/>
        <v>А</v>
      </c>
      <c r="C592" s="131" t="s">
        <v>1979</v>
      </c>
      <c r="D592" s="16" t="str">
        <f t="shared" si="1265"/>
        <v>'1.2.2.</v>
      </c>
      <c r="E592" s="17" t="str">
        <f t="shared" si="1266"/>
        <v>Математическое моделирование, численные методы и комплексы программ</v>
      </c>
      <c r="F592" s="116" t="s">
        <v>498</v>
      </c>
      <c r="G592" s="9"/>
      <c r="H592" s="10"/>
      <c r="I592" s="10"/>
      <c r="J592" s="115" t="s">
        <v>1769</v>
      </c>
      <c r="K592" s="109">
        <v>3</v>
      </c>
      <c r="L592" s="109"/>
      <c r="M592" s="113" t="s">
        <v>1770</v>
      </c>
      <c r="N592" s="109"/>
      <c r="O592" s="109"/>
      <c r="P592" s="109"/>
      <c r="Q592" s="113"/>
      <c r="R592" s="109"/>
      <c r="S592" s="109"/>
      <c r="T592" s="109"/>
      <c r="U592" s="109"/>
      <c r="V592" s="109"/>
      <c r="W592" s="83" t="str">
        <f t="shared" si="1271"/>
        <v>НЧМад</v>
      </c>
      <c r="X592" s="114" t="s">
        <v>3241</v>
      </c>
      <c r="Y592" s="109">
        <v>1</v>
      </c>
      <c r="Z592" s="109">
        <v>1</v>
      </c>
      <c r="AA592" s="83">
        <f t="shared" si="1267"/>
        <v>5</v>
      </c>
      <c r="AB592" s="109">
        <v>4</v>
      </c>
      <c r="AC592" s="109">
        <v>1</v>
      </c>
      <c r="AD592" s="81">
        <f t="shared" si="1272"/>
        <v>1</v>
      </c>
      <c r="AE592" s="82">
        <f t="shared" si="1268"/>
        <v>1</v>
      </c>
      <c r="AF592" s="82">
        <f t="shared" si="1269"/>
        <v>5</v>
      </c>
      <c r="AG592" s="102"/>
      <c r="AH592" s="113" t="s">
        <v>205</v>
      </c>
      <c r="AI592" s="113" t="s">
        <v>212</v>
      </c>
      <c r="AJ592" s="119" t="s">
        <v>3295</v>
      </c>
      <c r="AK592" s="8"/>
      <c r="AL592" s="42">
        <f t="shared" si="1273"/>
        <v>0</v>
      </c>
      <c r="AM592" s="42">
        <f t="shared" si="1242"/>
        <v>0</v>
      </c>
      <c r="AN592" s="42">
        <f t="shared" si="1243"/>
        <v>0</v>
      </c>
      <c r="AO592" s="42">
        <f t="shared" si="1238"/>
        <v>0</v>
      </c>
      <c r="AP592" s="42">
        <f t="shared" si="1244"/>
        <v>0</v>
      </c>
      <c r="AQ592" s="42">
        <f t="shared" si="1245"/>
        <v>0</v>
      </c>
      <c r="AR592" s="42">
        <f t="shared" si="1274"/>
        <v>0</v>
      </c>
      <c r="AS592" s="42">
        <f t="shared" si="1246"/>
        <v>0</v>
      </c>
      <c r="AT592" s="42">
        <f t="shared" si="1247"/>
        <v>0</v>
      </c>
      <c r="AU592" s="42">
        <f t="shared" si="1248"/>
        <v>0</v>
      </c>
      <c r="AV592" s="42">
        <f>IF(M592="ПП",РПП*AA592*(U592/1.5),IF(M592="ВП",ВПр*AA592*(U592/1.5),IF(M592="РПА",РПА*AA592*(U592/1.5),IF(M592="КПА",КПА*AA592*(U592/1.5),0))))</f>
        <v>0</v>
      </c>
      <c r="AW592" s="42">
        <f t="shared" si="1249"/>
        <v>0</v>
      </c>
      <c r="AX592" s="42">
        <f t="shared" si="1275"/>
        <v>0</v>
      </c>
      <c r="AY592" s="42">
        <f t="shared" si="1276"/>
        <v>0</v>
      </c>
      <c r="AZ592" s="42">
        <f t="shared" si="1250"/>
        <v>0</v>
      </c>
      <c r="BA592" s="42">
        <f t="shared" si="1277"/>
        <v>400</v>
      </c>
      <c r="BB592" s="42">
        <f t="shared" si="1278"/>
        <v>0</v>
      </c>
      <c r="BC592" s="42">
        <f t="shared" si="1279"/>
        <v>0</v>
      </c>
      <c r="BD592" s="42">
        <f t="shared" si="1251"/>
        <v>0</v>
      </c>
      <c r="BE592" s="43">
        <f t="shared" si="1252"/>
        <v>400</v>
      </c>
      <c r="BF592" s="44"/>
      <c r="BG592" s="45">
        <f t="shared" si="1253"/>
        <v>0</v>
      </c>
      <c r="BH592" s="45">
        <f t="shared" si="1254"/>
        <v>0</v>
      </c>
      <c r="BI592" s="45">
        <f t="shared" si="1255"/>
        <v>400</v>
      </c>
      <c r="BJ592" s="46">
        <f t="shared" si="1239"/>
        <v>0</v>
      </c>
      <c r="BK592" s="46">
        <f t="shared" si="1240"/>
        <v>0</v>
      </c>
      <c r="BL592" s="46">
        <f t="shared" si="1241"/>
        <v>0</v>
      </c>
    </row>
    <row r="593" spans="1:64" ht="30" customHeight="1" x14ac:dyDescent="0.25">
      <c r="A593" s="84" t="str">
        <f t="shared" si="1270"/>
        <v>Д</v>
      </c>
      <c r="B593" s="84" t="str">
        <f t="shared" si="1264"/>
        <v>А</v>
      </c>
      <c r="C593" s="131" t="s">
        <v>1979</v>
      </c>
      <c r="D593" s="16" t="str">
        <f t="shared" si="1265"/>
        <v>'1.2.2.</v>
      </c>
      <c r="E593" s="17" t="str">
        <f t="shared" si="1266"/>
        <v>Математическое моделирование, численные методы и комплексы программ</v>
      </c>
      <c r="F593" s="116" t="s">
        <v>498</v>
      </c>
      <c r="G593" s="9"/>
      <c r="H593" s="10"/>
      <c r="I593" s="10"/>
      <c r="J593" s="115" t="s">
        <v>1769</v>
      </c>
      <c r="K593" s="109">
        <v>3</v>
      </c>
      <c r="L593" s="109"/>
      <c r="M593" s="113" t="s">
        <v>1770</v>
      </c>
      <c r="N593" s="109"/>
      <c r="O593" s="109"/>
      <c r="P593" s="109"/>
      <c r="Q593" s="113"/>
      <c r="R593" s="109"/>
      <c r="S593" s="109"/>
      <c r="T593" s="109"/>
      <c r="U593" s="109"/>
      <c r="V593" s="109"/>
      <c r="W593" s="83" t="str">
        <f t="shared" si="1271"/>
        <v>НЧМад</v>
      </c>
      <c r="X593" s="114" t="s">
        <v>3241</v>
      </c>
      <c r="Y593" s="109">
        <v>1</v>
      </c>
      <c r="Z593" s="109">
        <v>1</v>
      </c>
      <c r="AA593" s="83">
        <f t="shared" si="1267"/>
        <v>2</v>
      </c>
      <c r="AB593" s="109">
        <v>1</v>
      </c>
      <c r="AC593" s="109">
        <v>1</v>
      </c>
      <c r="AD593" s="81">
        <f t="shared" si="1272"/>
        <v>1</v>
      </c>
      <c r="AE593" s="82">
        <f t="shared" si="1268"/>
        <v>1</v>
      </c>
      <c r="AF593" s="82">
        <f t="shared" si="1269"/>
        <v>2</v>
      </c>
      <c r="AG593" s="102"/>
      <c r="AH593" s="113" t="s">
        <v>204</v>
      </c>
      <c r="AI593" s="113" t="s">
        <v>212</v>
      </c>
      <c r="AJ593" s="119" t="s">
        <v>3252</v>
      </c>
      <c r="AK593" s="8"/>
      <c r="AL593" s="42">
        <f t="shared" si="1273"/>
        <v>0</v>
      </c>
      <c r="AM593" s="42">
        <f t="shared" si="1242"/>
        <v>0</v>
      </c>
      <c r="AN593" s="42">
        <f t="shared" si="1243"/>
        <v>0</v>
      </c>
      <c r="AO593" s="42">
        <f t="shared" si="1238"/>
        <v>0</v>
      </c>
      <c r="AP593" s="42">
        <f t="shared" si="1244"/>
        <v>0</v>
      </c>
      <c r="AQ593" s="42">
        <f t="shared" si="1245"/>
        <v>0</v>
      </c>
      <c r="AR593" s="42">
        <f t="shared" si="1274"/>
        <v>0</v>
      </c>
      <c r="AS593" s="42">
        <f t="shared" si="1246"/>
        <v>0</v>
      </c>
      <c r="AT593" s="42">
        <f t="shared" si="1247"/>
        <v>0</v>
      </c>
      <c r="AU593" s="42">
        <f t="shared" si="1248"/>
        <v>0</v>
      </c>
      <c r="AV593" s="42">
        <f>IF(M593="ПП",РПП*AA593*(U593/1.5),IF(M593="ВП",ВПр*AA593*(U593/1.5),IF(M593="РПА",РПА*AA593*(U593/1.5),IF(M593="КПА",КПА*AA593*(U593/1.5),0))))</f>
        <v>0</v>
      </c>
      <c r="AW593" s="42">
        <f t="shared" si="1249"/>
        <v>0</v>
      </c>
      <c r="AX593" s="42">
        <f t="shared" si="1275"/>
        <v>0</v>
      </c>
      <c r="AY593" s="42">
        <f t="shared" si="1276"/>
        <v>0</v>
      </c>
      <c r="AZ593" s="42">
        <f t="shared" si="1250"/>
        <v>0</v>
      </c>
      <c r="BA593" s="42">
        <f t="shared" si="1277"/>
        <v>175</v>
      </c>
      <c r="BB593" s="42">
        <f t="shared" si="1278"/>
        <v>0</v>
      </c>
      <c r="BC593" s="42">
        <f t="shared" si="1279"/>
        <v>0</v>
      </c>
      <c r="BD593" s="42">
        <f t="shared" si="1251"/>
        <v>0</v>
      </c>
      <c r="BE593" s="43">
        <f t="shared" si="1252"/>
        <v>175</v>
      </c>
      <c r="BF593" s="44"/>
      <c r="BG593" s="45">
        <f t="shared" si="1253"/>
        <v>0</v>
      </c>
      <c r="BH593" s="45">
        <f t="shared" si="1254"/>
        <v>0</v>
      </c>
      <c r="BI593" s="45">
        <f t="shared" si="1255"/>
        <v>175</v>
      </c>
      <c r="BJ593" s="46">
        <f t="shared" si="1239"/>
        <v>0</v>
      </c>
      <c r="BK593" s="46">
        <f t="shared" si="1240"/>
        <v>0</v>
      </c>
      <c r="BL593" s="46">
        <f t="shared" si="1241"/>
        <v>0</v>
      </c>
    </row>
    <row r="594" spans="1:64" ht="30" customHeight="1" x14ac:dyDescent="0.25">
      <c r="A594" s="84" t="str">
        <f t="shared" si="1270"/>
        <v>Д</v>
      </c>
      <c r="B594" s="84" t="str">
        <f t="shared" ref="B594:B610" si="1280">IF(C594&gt;0, VLOOKUP(C594,Код_ООП,11,FALSE),0)</f>
        <v>А</v>
      </c>
      <c r="C594" s="131" t="s">
        <v>1979</v>
      </c>
      <c r="D594" s="16" t="str">
        <f t="shared" ref="D594:D610" si="1281">IF(C594&gt;0, VLOOKUP(C594,Код_ООП,2,FALSE),0)</f>
        <v>'1.2.2.</v>
      </c>
      <c r="E594" s="17" t="str">
        <f t="shared" ref="E594:E610" si="1282">IF(C594&gt;0, VLOOKUP(C594,Код_ООП,13,FALSE),0)</f>
        <v>Математическое моделирование, численные методы и комплексы программ</v>
      </c>
      <c r="F594" s="116" t="s">
        <v>498</v>
      </c>
      <c r="G594" s="9"/>
      <c r="H594" s="10"/>
      <c r="I594" s="10"/>
      <c r="J594" s="115" t="s">
        <v>1769</v>
      </c>
      <c r="K594" s="109">
        <v>3</v>
      </c>
      <c r="L594" s="109"/>
      <c r="M594" s="113" t="s">
        <v>1770</v>
      </c>
      <c r="N594" s="109"/>
      <c r="O594" s="109"/>
      <c r="P594" s="109"/>
      <c r="Q594" s="113"/>
      <c r="R594" s="109"/>
      <c r="S594" s="109"/>
      <c r="T594" s="109"/>
      <c r="U594" s="109"/>
      <c r="V594" s="109"/>
      <c r="W594" s="83" t="str">
        <f t="shared" si="1271"/>
        <v>НЧМад</v>
      </c>
      <c r="X594" s="114" t="s">
        <v>3241</v>
      </c>
      <c r="Y594" s="109">
        <v>1</v>
      </c>
      <c r="Z594" s="109">
        <v>1</v>
      </c>
      <c r="AA594" s="83">
        <f t="shared" ref="AA594:AA610" si="1283">AB594+AC594</f>
        <v>2</v>
      </c>
      <c r="AB594" s="109">
        <v>2</v>
      </c>
      <c r="AC594" s="109"/>
      <c r="AD594" s="81">
        <f t="shared" si="1272"/>
        <v>1</v>
      </c>
      <c r="AE594" s="82">
        <f t="shared" ref="AE594:AE610" si="1284">IF(AF594&gt;1,1,AF594)</f>
        <v>1</v>
      </c>
      <c r="AF594" s="82">
        <f t="shared" ref="AF594:AF610" si="1285">AA594/AD594</f>
        <v>2</v>
      </c>
      <c r="AG594" s="102"/>
      <c r="AH594" s="113" t="s">
        <v>204</v>
      </c>
      <c r="AI594" s="113" t="s">
        <v>212</v>
      </c>
      <c r="AJ594" s="119" t="s">
        <v>3257</v>
      </c>
      <c r="AK594" s="8" t="s">
        <v>949</v>
      </c>
      <c r="AL594" s="42">
        <f t="shared" si="1273"/>
        <v>0</v>
      </c>
      <c r="AM594" s="42">
        <f t="shared" ref="AM594:AM610" si="1286">IF(OR(M594="пр",M594="ия",M594="сп"),P594*AE594*L594,0)</f>
        <v>0</v>
      </c>
      <c r="AN594" s="42">
        <f t="shared" ref="AN594:AN610" si="1287">IF(OR(M594="лаб",M594="клн"),O594*AE594*L594,0)</f>
        <v>0</v>
      </c>
      <c r="AO594" s="42">
        <f t="shared" ref="AO594:AO609" si="1288">(IF((AND(OR(K594=1,K594=2,K594=3,K594=4,K594=5,K594=6,K594=7,K594=8,K594=9,K594=10,K594=11,K594=12),OR(Q594="Зач",Q594="Экз"))),ТКиРА*AA594,0)+IF(SUM(N594:P594)&lt;&gt;0,IF(Q594="ТК",ТКиРА*AA594,0),0))*(IF(F594="ФТД",0,1))</f>
        <v>0</v>
      </c>
      <c r="AP594" s="42">
        <f t="shared" ref="AP594:AP610" si="1289">IF(SUM(O594:P594)&lt;&gt;0,IF(Q594="Зач",ПАБРС*AA594,0),0)+IF(N594&lt;&gt;0,IF(Q594="Экз",ПАБРС*AA594,0),0)</f>
        <v>0</v>
      </c>
      <c r="AQ594" s="42">
        <f t="shared" ref="AQ594:AQ609" si="1290">(IF(AP594&lt;&gt;0,ОфВед*(IF(OR(M594="лек",M594="лаб"),Z594,AE594)),0))*(IF(F594="ФТД",0,1))</f>
        <v>0</v>
      </c>
      <c r="AR594" s="42">
        <f t="shared" si="1274"/>
        <v>0</v>
      </c>
      <c r="AS594" s="42">
        <f t="shared" ref="AS594:AS610" si="1291">IF(OR(M594="лаб",M594="пр"),IF(R594="К",AA594*ВПКР,IF(R594="М",AA594*ВПИБ,0)),0)</f>
        <v>0</v>
      </c>
      <c r="AT594" s="42">
        <f t="shared" ref="AT594:AT610" si="1292">IF(OR(M594="лаб",M594="пр"),IF(S594="К",AA594*ВПКП,0),0)</f>
        <v>0</v>
      </c>
      <c r="AU594" s="42">
        <f t="shared" ref="AU594:AU610" si="1293">IF(M594="УП",T594/1.5*AA594*РУП,IF(M594="УПМ",T594/1.5*AA594*РУПЛеч,0))</f>
        <v>0</v>
      </c>
      <c r="AV594" s="42">
        <f>IF(M594="ПП",РПП*AA594*(U594/1.5),IF(M594="ВП",ВПр*AA594*(U594/1.5),IF(M594="РПА",РПА*AA594*(U594/1.5),IF(M594="КПА",КПА*AA594*(U594/1.5),0))))</f>
        <v>0</v>
      </c>
      <c r="AW594" s="42">
        <f t="shared" ref="AW594:AW610" si="1294">IF(M594="НР",(AB594*НИРМ+AC594*НИРМИн)*(V594/1.5),IF(M594="НИ",(AB594*НИРА+AC594*НИРАИ)*(V594/1.5),0))</f>
        <v>0</v>
      </c>
      <c r="AX594" s="42">
        <f t="shared" si="1275"/>
        <v>0</v>
      </c>
      <c r="AY594" s="42">
        <f t="shared" si="1276"/>
        <v>0</v>
      </c>
      <c r="AZ594" s="42">
        <f t="shared" ref="AZ594:AZ610" si="1295">IF(AND(Q594="КЭ",M594="ЧК"),AA594*КдЭк,0)</f>
        <v>0</v>
      </c>
      <c r="BA594" s="42">
        <f t="shared" si="1277"/>
        <v>150</v>
      </c>
      <c r="BB594" s="42">
        <f t="shared" si="1278"/>
        <v>0</v>
      </c>
      <c r="BC594" s="42">
        <f t="shared" si="1279"/>
        <v>0</v>
      </c>
      <c r="BD594" s="42">
        <f t="shared" ref="BD594:BD610" si="1296">IF(M594="ЧГ",AA594*ЧГ,IF(M594="ПГ",AA594*ПГ,IF(M594="ТЕСТ",ТГИЭ*AE594,IF(M594="СГ",AA594*СГ,0))))</f>
        <v>0</v>
      </c>
      <c r="BE594" s="43">
        <f t="shared" ref="BE594:BE610" si="1297">SUM(AL594:BD594)</f>
        <v>150</v>
      </c>
      <c r="BF594" s="44"/>
      <c r="BG594" s="45">
        <f t="shared" ref="BG594:BG610" si="1298">IF(OR(K594="1;1",K594="1;2",K594=1,K594="3;1",K594="3;2",K594=3,K594="5;1",K594="5;2",K594=5,K594="7;1",K594="7;2",K594=7,K594="9;1",K594="9;2",K594=9,K594=11),SUM(AL594:AN594),0)</f>
        <v>0</v>
      </c>
      <c r="BH594" s="45">
        <f t="shared" ref="BH594:BH610" si="1299">IF(BG594&lt;&gt;0,SUM(N594:P594)/2,0)</f>
        <v>0</v>
      </c>
      <c r="BI594" s="45">
        <f t="shared" ref="BI594:BI610" si="1300">IF(OR(K594="1;1",K594="1;2",K594=1,K594="3;1",K594="3;2",K594=3,K594="5;1",K594="5;2",K594=5,K594="7;1",K594="7;2",K594=7,K594="9;1",K594="9;2",K594=9,K594=11),SUM(AO594:BD594),0)</f>
        <v>150</v>
      </c>
      <c r="BJ594" s="46">
        <f t="shared" ref="BJ594:BJ610" si="1301">IF(OR(K594="2;3",K594="2;4",K594=2,K594="4;3",K594="4;4",K594=4,K594="6;3",K594="6;4",K594=6,K594="8;3",K594="8;4",K594=8,K594="10;3",K594="10;4",K594=10,K594=12),SUM(AL594:AN594),0)</f>
        <v>0</v>
      </c>
      <c r="BK594" s="46">
        <f t="shared" ref="BK594:BK610" si="1302">IF(BJ594&lt;&gt;0,SUM(N594:P594)/2,0)</f>
        <v>0</v>
      </c>
      <c r="BL594" s="46">
        <f t="shared" ref="BL594:BL610" si="1303">IF(OR(K594="2;3",K594="2;4",K594=2,K594="4;3",K594="4;4",K594=4,K594="6;3",K594="6;4",K594=6,K594="8;3",K594="8;4",K594=8,K594="10;3",K594="10;4",K594=10,K594=12),SUM(AO594:BD594),0)</f>
        <v>0</v>
      </c>
    </row>
    <row r="595" spans="1:64" ht="30" customHeight="1" x14ac:dyDescent="0.25">
      <c r="A595" s="84" t="str">
        <f t="shared" si="1270"/>
        <v>Д</v>
      </c>
      <c r="B595" s="84" t="str">
        <f t="shared" si="1280"/>
        <v>А</v>
      </c>
      <c r="C595" s="131" t="s">
        <v>1979</v>
      </c>
      <c r="D595" s="16" t="str">
        <f t="shared" si="1281"/>
        <v>'1.2.2.</v>
      </c>
      <c r="E595" s="17" t="str">
        <f t="shared" si="1282"/>
        <v>Математическое моделирование, численные методы и комплексы программ</v>
      </c>
      <c r="F595" s="9"/>
      <c r="G595" s="9"/>
      <c r="H595" s="10"/>
      <c r="I595" s="10"/>
      <c r="J595" s="115" t="s">
        <v>1769</v>
      </c>
      <c r="K595" s="11">
        <v>3</v>
      </c>
      <c r="L595" s="11"/>
      <c r="M595" s="8" t="s">
        <v>1770</v>
      </c>
      <c r="N595" s="11"/>
      <c r="O595" s="11"/>
      <c r="P595" s="11"/>
      <c r="Q595" s="8"/>
      <c r="R595" s="11"/>
      <c r="S595" s="11"/>
      <c r="T595" s="11"/>
      <c r="U595" s="11"/>
      <c r="V595" s="11"/>
      <c r="W595" s="83" t="str">
        <f t="shared" si="1271"/>
        <v>НЧМад</v>
      </c>
      <c r="X595" s="114" t="s">
        <v>3241</v>
      </c>
      <c r="Y595" s="11"/>
      <c r="Z595" s="11"/>
      <c r="AA595" s="83">
        <f t="shared" si="1283"/>
        <v>1</v>
      </c>
      <c r="AB595" s="11">
        <v>1</v>
      </c>
      <c r="AC595" s="11"/>
      <c r="AD595" s="81">
        <f t="shared" si="1272"/>
        <v>1</v>
      </c>
      <c r="AE595" s="82">
        <f t="shared" si="1284"/>
        <v>1</v>
      </c>
      <c r="AF595" s="82">
        <f t="shared" si="1285"/>
        <v>1</v>
      </c>
      <c r="AG595" s="102"/>
      <c r="AH595" s="113" t="s">
        <v>204</v>
      </c>
      <c r="AI595" s="113" t="s">
        <v>212</v>
      </c>
      <c r="AJ595" s="119" t="s">
        <v>3265</v>
      </c>
      <c r="AK595" s="8"/>
      <c r="AL595" s="42">
        <f t="shared" si="1273"/>
        <v>0</v>
      </c>
      <c r="AM595" s="42">
        <f t="shared" si="1286"/>
        <v>0</v>
      </c>
      <c r="AN595" s="42">
        <f t="shared" si="1287"/>
        <v>0</v>
      </c>
      <c r="AO595" s="42">
        <f t="shared" si="1288"/>
        <v>0</v>
      </c>
      <c r="AP595" s="42">
        <f t="shared" si="1289"/>
        <v>0</v>
      </c>
      <c r="AQ595" s="42">
        <f t="shared" si="1290"/>
        <v>0</v>
      </c>
      <c r="AR595" s="42">
        <f t="shared" si="1274"/>
        <v>0</v>
      </c>
      <c r="AS595" s="42">
        <f t="shared" si="1291"/>
        <v>0</v>
      </c>
      <c r="AT595" s="42">
        <f t="shared" si="1292"/>
        <v>0</v>
      </c>
      <c r="AU595" s="42">
        <f t="shared" si="1293"/>
        <v>0</v>
      </c>
      <c r="AV595" s="42">
        <f>IF(M595="ПП",РПП*AA595*(U595/1.5),IF(M595="ВП",ВПр*AA595*(U595/1.5),IF(M595="РПА",РПА*AA595*(U595/1.5),IF(M595="КПА",КПА*AA595*(U595/1.5),0))))</f>
        <v>0</v>
      </c>
      <c r="AW595" s="42">
        <f t="shared" si="1294"/>
        <v>0</v>
      </c>
      <c r="AX595" s="42">
        <f t="shared" si="1275"/>
        <v>0</v>
      </c>
      <c r="AY595" s="42">
        <f t="shared" si="1276"/>
        <v>0</v>
      </c>
      <c r="AZ595" s="42">
        <f t="shared" si="1295"/>
        <v>0</v>
      </c>
      <c r="BA595" s="42">
        <f t="shared" si="1277"/>
        <v>75</v>
      </c>
      <c r="BB595" s="42">
        <f t="shared" si="1278"/>
        <v>0</v>
      </c>
      <c r="BC595" s="42">
        <f t="shared" si="1279"/>
        <v>0</v>
      </c>
      <c r="BD595" s="42">
        <f t="shared" si="1296"/>
        <v>0</v>
      </c>
      <c r="BE595" s="43">
        <f t="shared" si="1297"/>
        <v>75</v>
      </c>
      <c r="BF595" s="44"/>
      <c r="BG595" s="45">
        <f t="shared" si="1298"/>
        <v>0</v>
      </c>
      <c r="BH595" s="45">
        <f t="shared" si="1299"/>
        <v>0</v>
      </c>
      <c r="BI595" s="45">
        <f t="shared" si="1300"/>
        <v>75</v>
      </c>
      <c r="BJ595" s="46">
        <f t="shared" si="1301"/>
        <v>0</v>
      </c>
      <c r="BK595" s="46">
        <f t="shared" si="1302"/>
        <v>0</v>
      </c>
      <c r="BL595" s="46">
        <f t="shared" si="1303"/>
        <v>0</v>
      </c>
    </row>
    <row r="596" spans="1:64" ht="30" customHeight="1" x14ac:dyDescent="0.25">
      <c r="A596" s="84" t="str">
        <f t="shared" si="1270"/>
        <v>Д</v>
      </c>
      <c r="B596" s="84" t="str">
        <f t="shared" si="1280"/>
        <v>А</v>
      </c>
      <c r="C596" s="41" t="s">
        <v>1978</v>
      </c>
      <c r="D596" s="16" t="str">
        <f t="shared" si="1281"/>
        <v>'1.1.6.</v>
      </c>
      <c r="E596" s="17" t="str">
        <f t="shared" si="1282"/>
        <v>Вычислительная математика</v>
      </c>
      <c r="F596" s="116" t="s">
        <v>414</v>
      </c>
      <c r="G596" s="116"/>
      <c r="H596" s="112"/>
      <c r="I596" s="112"/>
      <c r="J596" s="115" t="s">
        <v>3358</v>
      </c>
      <c r="K596" s="109">
        <v>5</v>
      </c>
      <c r="L596" s="109"/>
      <c r="M596" s="113" t="s">
        <v>474</v>
      </c>
      <c r="N596" s="109"/>
      <c r="O596" s="109"/>
      <c r="P596" s="109"/>
      <c r="Q596" s="113"/>
      <c r="R596" s="109"/>
      <c r="S596" s="109"/>
      <c r="T596" s="109"/>
      <c r="U596" s="109">
        <v>6</v>
      </c>
      <c r="V596" s="109"/>
      <c r="W596" s="83" t="str">
        <f t="shared" si="1271"/>
        <v>НВМад</v>
      </c>
      <c r="X596" s="114" t="s">
        <v>3244</v>
      </c>
      <c r="Y596" s="109">
        <v>1</v>
      </c>
      <c r="Z596" s="109">
        <v>1</v>
      </c>
      <c r="AA596" s="83">
        <f t="shared" si="1283"/>
        <v>1</v>
      </c>
      <c r="AB596" s="109">
        <v>1</v>
      </c>
      <c r="AC596" s="109"/>
      <c r="AD596" s="81">
        <f t="shared" si="1272"/>
        <v>1</v>
      </c>
      <c r="AE596" s="82">
        <f t="shared" si="1284"/>
        <v>1</v>
      </c>
      <c r="AF596" s="82">
        <f t="shared" si="1285"/>
        <v>1</v>
      </c>
      <c r="AG596" s="102"/>
      <c r="AH596" s="113" t="s">
        <v>204</v>
      </c>
      <c r="AI596" s="113" t="s">
        <v>212</v>
      </c>
      <c r="AJ596" s="119" t="s">
        <v>3252</v>
      </c>
      <c r="AK596" s="8"/>
      <c r="AL596" s="42">
        <f t="shared" si="1273"/>
        <v>0</v>
      </c>
      <c r="AM596" s="42">
        <f t="shared" si="1286"/>
        <v>0</v>
      </c>
      <c r="AN596" s="42">
        <f t="shared" si="1287"/>
        <v>0</v>
      </c>
      <c r="AO596" s="42">
        <f t="shared" si="1288"/>
        <v>0</v>
      </c>
      <c r="AP596" s="42">
        <f t="shared" si="1289"/>
        <v>0</v>
      </c>
      <c r="AQ596" s="42">
        <f t="shared" si="1290"/>
        <v>0</v>
      </c>
      <c r="AR596" s="42">
        <f t="shared" si="1274"/>
        <v>0</v>
      </c>
      <c r="AS596" s="42">
        <f t="shared" si="1291"/>
        <v>0</v>
      </c>
      <c r="AT596" s="42">
        <f t="shared" si="1292"/>
        <v>0</v>
      </c>
      <c r="AU596" s="42">
        <f t="shared" si="1293"/>
        <v>0</v>
      </c>
      <c r="AV596" s="42">
        <f>IF(M596="ПП",РПП*AA596*(U596/1.5),IF(M596="ВП",ВПр*AA596*(U596/1.5),IF(M596="РПА",РПА*AA596*(U596/1.5),IF(M596="КПА",КПА*AA596*(U596/1.5),0))))</f>
        <v>6</v>
      </c>
      <c r="AW596" s="42">
        <f t="shared" si="1294"/>
        <v>0</v>
      </c>
      <c r="AX596" s="42">
        <f t="shared" si="1275"/>
        <v>0</v>
      </c>
      <c r="AY596" s="42">
        <f t="shared" si="1276"/>
        <v>0</v>
      </c>
      <c r="AZ596" s="42">
        <f t="shared" si="1295"/>
        <v>0</v>
      </c>
      <c r="BA596" s="42">
        <f t="shared" si="1277"/>
        <v>0</v>
      </c>
      <c r="BB596" s="42">
        <f t="shared" si="1278"/>
        <v>0</v>
      </c>
      <c r="BC596" s="42">
        <f t="shared" si="1279"/>
        <v>0</v>
      </c>
      <c r="BD596" s="42">
        <f t="shared" si="1296"/>
        <v>0</v>
      </c>
      <c r="BE596" s="43">
        <f t="shared" si="1297"/>
        <v>6</v>
      </c>
      <c r="BF596" s="44"/>
      <c r="BG596" s="45">
        <f t="shared" si="1298"/>
        <v>0</v>
      </c>
      <c r="BH596" s="45">
        <f t="shared" si="1299"/>
        <v>0</v>
      </c>
      <c r="BI596" s="45">
        <f t="shared" si="1300"/>
        <v>6</v>
      </c>
      <c r="BJ596" s="46">
        <f t="shared" si="1301"/>
        <v>0</v>
      </c>
      <c r="BK596" s="46">
        <f t="shared" si="1302"/>
        <v>0</v>
      </c>
      <c r="BL596" s="46">
        <f t="shared" si="1303"/>
        <v>0</v>
      </c>
    </row>
    <row r="597" spans="1:64" ht="30" customHeight="1" x14ac:dyDescent="0.25">
      <c r="A597" s="84" t="str">
        <f t="shared" si="1270"/>
        <v>Д</v>
      </c>
      <c r="B597" s="84" t="str">
        <f t="shared" si="1280"/>
        <v>А</v>
      </c>
      <c r="C597" s="41" t="s">
        <v>1978</v>
      </c>
      <c r="D597" s="16" t="str">
        <f t="shared" si="1281"/>
        <v>'1.1.6.</v>
      </c>
      <c r="E597" s="17" t="str">
        <f t="shared" si="1282"/>
        <v>Вычислительная математика</v>
      </c>
      <c r="F597" s="116" t="s">
        <v>414</v>
      </c>
      <c r="G597" s="116"/>
      <c r="H597" s="112"/>
      <c r="I597" s="112"/>
      <c r="J597" s="115" t="s">
        <v>3360</v>
      </c>
      <c r="K597" s="117">
        <v>5</v>
      </c>
      <c r="L597" s="109"/>
      <c r="M597" s="113" t="s">
        <v>510</v>
      </c>
      <c r="N597" s="117"/>
      <c r="O597" s="117"/>
      <c r="P597" s="117"/>
      <c r="Q597" s="113"/>
      <c r="R597" s="117"/>
      <c r="S597" s="117"/>
      <c r="T597" s="117"/>
      <c r="U597" s="117"/>
      <c r="V597" s="117">
        <v>24</v>
      </c>
      <c r="W597" s="83" t="str">
        <f t="shared" si="1271"/>
        <v>НВМад</v>
      </c>
      <c r="X597" s="114" t="s">
        <v>3244</v>
      </c>
      <c r="Y597" s="109">
        <v>1</v>
      </c>
      <c r="Z597" s="109">
        <v>1</v>
      </c>
      <c r="AA597" s="83">
        <f t="shared" si="1283"/>
        <v>1</v>
      </c>
      <c r="AB597" s="109">
        <v>1</v>
      </c>
      <c r="AC597" s="109"/>
      <c r="AD597" s="81">
        <f t="shared" si="1272"/>
        <v>1</v>
      </c>
      <c r="AE597" s="82">
        <f t="shared" si="1284"/>
        <v>1</v>
      </c>
      <c r="AF597" s="82">
        <f t="shared" si="1285"/>
        <v>1</v>
      </c>
      <c r="AG597" s="102"/>
      <c r="AH597" s="113" t="s">
        <v>204</v>
      </c>
      <c r="AI597" s="113" t="s">
        <v>212</v>
      </c>
      <c r="AJ597" s="120" t="s">
        <v>3252</v>
      </c>
      <c r="AK597" s="8"/>
      <c r="AL597" s="42">
        <f t="shared" si="1273"/>
        <v>0</v>
      </c>
      <c r="AM597" s="42">
        <f t="shared" si="1286"/>
        <v>0</v>
      </c>
      <c r="AN597" s="42">
        <f t="shared" si="1287"/>
        <v>0</v>
      </c>
      <c r="AO597" s="42">
        <f t="shared" si="1288"/>
        <v>0</v>
      </c>
      <c r="AP597" s="42">
        <f t="shared" si="1289"/>
        <v>0</v>
      </c>
      <c r="AQ597" s="42">
        <f t="shared" si="1290"/>
        <v>0</v>
      </c>
      <c r="AR597" s="42">
        <f t="shared" si="1274"/>
        <v>0</v>
      </c>
      <c r="AS597" s="42">
        <f t="shared" si="1291"/>
        <v>0</v>
      </c>
      <c r="AT597" s="42">
        <f t="shared" si="1292"/>
        <v>0</v>
      </c>
      <c r="AU597" s="42">
        <f t="shared" si="1293"/>
        <v>0</v>
      </c>
      <c r="AV597" s="42">
        <f>IF(M597="ПП",РПП*AA597*(U597/1.5),IF(M597="ВП",ВПр*AA597*(U597/1.5),IF(M597="РПА",РПА*AA597*(U597/1.5),IF(M597="КПА",КПА*AA597*(U597/1.5),0))))</f>
        <v>0</v>
      </c>
      <c r="AW597" s="42">
        <f t="shared" si="1294"/>
        <v>8</v>
      </c>
      <c r="AX597" s="42">
        <f t="shared" si="1275"/>
        <v>0</v>
      </c>
      <c r="AY597" s="42">
        <f t="shared" si="1276"/>
        <v>0</v>
      </c>
      <c r="AZ597" s="42">
        <f t="shared" si="1295"/>
        <v>0</v>
      </c>
      <c r="BA597" s="42">
        <f t="shared" si="1277"/>
        <v>0</v>
      </c>
      <c r="BB597" s="42">
        <f t="shared" si="1278"/>
        <v>0</v>
      </c>
      <c r="BC597" s="42">
        <f t="shared" si="1279"/>
        <v>0</v>
      </c>
      <c r="BD597" s="42">
        <f t="shared" si="1296"/>
        <v>0</v>
      </c>
      <c r="BE597" s="43">
        <f t="shared" si="1297"/>
        <v>8</v>
      </c>
      <c r="BF597" s="44"/>
      <c r="BG597" s="45">
        <f t="shared" si="1298"/>
        <v>0</v>
      </c>
      <c r="BH597" s="45">
        <f t="shared" si="1299"/>
        <v>0</v>
      </c>
      <c r="BI597" s="45">
        <f t="shared" si="1300"/>
        <v>8</v>
      </c>
      <c r="BJ597" s="46">
        <f t="shared" si="1301"/>
        <v>0</v>
      </c>
      <c r="BK597" s="46">
        <f t="shared" si="1302"/>
        <v>0</v>
      </c>
      <c r="BL597" s="46">
        <f t="shared" si="1303"/>
        <v>0</v>
      </c>
    </row>
    <row r="598" spans="1:64" ht="30" customHeight="1" x14ac:dyDescent="0.25">
      <c r="A598" s="84" t="str">
        <f t="shared" si="1270"/>
        <v>Д</v>
      </c>
      <c r="B598" s="84" t="str">
        <f t="shared" si="1280"/>
        <v>А</v>
      </c>
      <c r="C598" s="41" t="s">
        <v>1978</v>
      </c>
      <c r="D598" s="16" t="str">
        <f t="shared" si="1281"/>
        <v>'1.1.6.</v>
      </c>
      <c r="E598" s="17" t="str">
        <f t="shared" si="1282"/>
        <v>Вычислительная математика</v>
      </c>
      <c r="F598" s="116" t="s">
        <v>414</v>
      </c>
      <c r="G598" s="116"/>
      <c r="H598" s="112"/>
      <c r="I598" s="112"/>
      <c r="J598" s="115" t="s">
        <v>3361</v>
      </c>
      <c r="K598" s="109">
        <v>6</v>
      </c>
      <c r="L598" s="109"/>
      <c r="M598" s="113" t="s">
        <v>474</v>
      </c>
      <c r="N598" s="109"/>
      <c r="O598" s="109"/>
      <c r="P598" s="109"/>
      <c r="Q598" s="113"/>
      <c r="R598" s="109"/>
      <c r="S598" s="109"/>
      <c r="T598" s="109"/>
      <c r="U598" s="109">
        <v>21</v>
      </c>
      <c r="V598" s="109"/>
      <c r="W598" s="83" t="str">
        <f t="shared" si="1271"/>
        <v>НВМад</v>
      </c>
      <c r="X598" s="114" t="s">
        <v>3244</v>
      </c>
      <c r="Y598" s="109">
        <v>1</v>
      </c>
      <c r="Z598" s="109">
        <v>1</v>
      </c>
      <c r="AA598" s="83">
        <f t="shared" si="1283"/>
        <v>1</v>
      </c>
      <c r="AB598" s="109">
        <v>1</v>
      </c>
      <c r="AC598" s="109"/>
      <c r="AD598" s="81">
        <f t="shared" si="1272"/>
        <v>1</v>
      </c>
      <c r="AE598" s="82">
        <f t="shared" si="1284"/>
        <v>1</v>
      </c>
      <c r="AF598" s="82">
        <f t="shared" si="1285"/>
        <v>1</v>
      </c>
      <c r="AG598" s="102"/>
      <c r="AH598" s="113" t="s">
        <v>204</v>
      </c>
      <c r="AI598" s="113" t="s">
        <v>212</v>
      </c>
      <c r="AJ598" s="119" t="s">
        <v>3252</v>
      </c>
      <c r="AK598" s="8"/>
      <c r="AL598" s="42">
        <f t="shared" si="1273"/>
        <v>0</v>
      </c>
      <c r="AM598" s="42">
        <f t="shared" si="1286"/>
        <v>0</v>
      </c>
      <c r="AN598" s="42">
        <f t="shared" si="1287"/>
        <v>0</v>
      </c>
      <c r="AO598" s="42">
        <f t="shared" si="1288"/>
        <v>0</v>
      </c>
      <c r="AP598" s="42">
        <f t="shared" si="1289"/>
        <v>0</v>
      </c>
      <c r="AQ598" s="42">
        <f t="shared" si="1290"/>
        <v>0</v>
      </c>
      <c r="AR598" s="42">
        <f t="shared" si="1274"/>
        <v>0</v>
      </c>
      <c r="AS598" s="42">
        <f t="shared" si="1291"/>
        <v>0</v>
      </c>
      <c r="AT598" s="42">
        <f t="shared" si="1292"/>
        <v>0</v>
      </c>
      <c r="AU598" s="42">
        <f t="shared" si="1293"/>
        <v>0</v>
      </c>
      <c r="AV598" s="42">
        <f>IF(M598="ПП",РПП*AA598*(U598/1.5),IF(M598="ВП",ВПр*AA598*(U598/1.5),IF(M598="РПА",РПА*AA598*(U598/1.5),IF(M598="КПА",КПА*AA598*(U598/1.5),0))))</f>
        <v>21</v>
      </c>
      <c r="AW598" s="42">
        <f t="shared" si="1294"/>
        <v>0</v>
      </c>
      <c r="AX598" s="42">
        <f t="shared" si="1275"/>
        <v>0</v>
      </c>
      <c r="AY598" s="42">
        <f t="shared" si="1276"/>
        <v>0</v>
      </c>
      <c r="AZ598" s="42">
        <f t="shared" si="1295"/>
        <v>0</v>
      </c>
      <c r="BA598" s="42">
        <f t="shared" si="1277"/>
        <v>0</v>
      </c>
      <c r="BB598" s="42">
        <f t="shared" si="1278"/>
        <v>0</v>
      </c>
      <c r="BC598" s="42">
        <f t="shared" si="1279"/>
        <v>0</v>
      </c>
      <c r="BD598" s="42">
        <f t="shared" si="1296"/>
        <v>0</v>
      </c>
      <c r="BE598" s="43">
        <f t="shared" si="1297"/>
        <v>21</v>
      </c>
      <c r="BF598" s="44"/>
      <c r="BG598" s="45">
        <f t="shared" si="1298"/>
        <v>0</v>
      </c>
      <c r="BH598" s="45">
        <f t="shared" si="1299"/>
        <v>0</v>
      </c>
      <c r="BI598" s="45">
        <f t="shared" si="1300"/>
        <v>0</v>
      </c>
      <c r="BJ598" s="46">
        <f t="shared" si="1301"/>
        <v>0</v>
      </c>
      <c r="BK598" s="46">
        <f t="shared" si="1302"/>
        <v>0</v>
      </c>
      <c r="BL598" s="46">
        <f t="shared" si="1303"/>
        <v>21</v>
      </c>
    </row>
    <row r="599" spans="1:64" ht="30" customHeight="1" x14ac:dyDescent="0.25">
      <c r="A599" s="84" t="str">
        <f t="shared" si="1270"/>
        <v>Д</v>
      </c>
      <c r="B599" s="84" t="str">
        <f t="shared" si="1280"/>
        <v>А</v>
      </c>
      <c r="C599" s="41" t="s">
        <v>1978</v>
      </c>
      <c r="D599" s="16" t="str">
        <f t="shared" si="1281"/>
        <v>'1.1.6.</v>
      </c>
      <c r="E599" s="17" t="str">
        <f t="shared" si="1282"/>
        <v>Вычислительная математика</v>
      </c>
      <c r="F599" s="116" t="s">
        <v>498</v>
      </c>
      <c r="G599" s="116"/>
      <c r="H599" s="112"/>
      <c r="I599" s="112"/>
      <c r="J599" s="115" t="s">
        <v>3362</v>
      </c>
      <c r="K599" s="109">
        <v>6</v>
      </c>
      <c r="L599" s="109"/>
      <c r="M599" s="113" t="s">
        <v>96</v>
      </c>
      <c r="N599" s="109"/>
      <c r="O599" s="109"/>
      <c r="P599" s="109"/>
      <c r="Q599" s="113"/>
      <c r="R599" s="109"/>
      <c r="S599" s="109"/>
      <c r="T599" s="109"/>
      <c r="U599" s="109"/>
      <c r="V599" s="109"/>
      <c r="W599" s="83" t="str">
        <f t="shared" si="1271"/>
        <v>НВМад</v>
      </c>
      <c r="X599" s="114" t="s">
        <v>3244</v>
      </c>
      <c r="Y599" s="109">
        <v>1</v>
      </c>
      <c r="Z599" s="109">
        <v>1</v>
      </c>
      <c r="AA599" s="83">
        <f t="shared" si="1283"/>
        <v>1</v>
      </c>
      <c r="AB599" s="109">
        <v>1</v>
      </c>
      <c r="AC599" s="109"/>
      <c r="AD599" s="81">
        <f t="shared" si="1272"/>
        <v>1</v>
      </c>
      <c r="AE599" s="82">
        <f t="shared" si="1284"/>
        <v>1</v>
      </c>
      <c r="AF599" s="82">
        <f t="shared" si="1285"/>
        <v>1</v>
      </c>
      <c r="AG599" s="102"/>
      <c r="AH599" s="113" t="s">
        <v>204</v>
      </c>
      <c r="AI599" s="113" t="s">
        <v>212</v>
      </c>
      <c r="AJ599" s="119" t="s">
        <v>3252</v>
      </c>
      <c r="AK599" s="8"/>
      <c r="AL599" s="42">
        <f t="shared" si="1273"/>
        <v>0</v>
      </c>
      <c r="AM599" s="42">
        <f t="shared" si="1286"/>
        <v>0</v>
      </c>
      <c r="AN599" s="42">
        <f t="shared" si="1287"/>
        <v>0</v>
      </c>
      <c r="AO599" s="42">
        <f t="shared" si="1288"/>
        <v>0</v>
      </c>
      <c r="AP599" s="42">
        <f t="shared" si="1289"/>
        <v>0</v>
      </c>
      <c r="AQ599" s="42">
        <f t="shared" si="1290"/>
        <v>0</v>
      </c>
      <c r="AR599" s="42">
        <f t="shared" si="1274"/>
        <v>0</v>
      </c>
      <c r="AS599" s="42">
        <f t="shared" si="1291"/>
        <v>0</v>
      </c>
      <c r="AT599" s="42">
        <f t="shared" si="1292"/>
        <v>0</v>
      </c>
      <c r="AU599" s="42">
        <f t="shared" si="1293"/>
        <v>0</v>
      </c>
      <c r="AV599" s="42">
        <f>IF(M599="ПП",РПП*AA599*(U599/1.5),IF(M599="ВП",ВПр*AA599*(U599/1.5),IF(M599="РПА",РПА*AA599*(U599/1.5),IF(M599="КПА",КПА*AA599*(U599/1.5),0))))</f>
        <v>0</v>
      </c>
      <c r="AW599" s="42">
        <f t="shared" si="1294"/>
        <v>0</v>
      </c>
      <c r="AX599" s="42">
        <f t="shared" si="1275"/>
        <v>0</v>
      </c>
      <c r="AY599" s="42">
        <f t="shared" si="1276"/>
        <v>0</v>
      </c>
      <c r="AZ599" s="42">
        <f t="shared" si="1295"/>
        <v>0</v>
      </c>
      <c r="BA599" s="42">
        <f t="shared" si="1277"/>
        <v>0</v>
      </c>
      <c r="BB599" s="42">
        <f t="shared" si="1278"/>
        <v>30</v>
      </c>
      <c r="BC599" s="42">
        <f t="shared" si="1279"/>
        <v>0</v>
      </c>
      <c r="BD599" s="42">
        <f t="shared" si="1296"/>
        <v>0</v>
      </c>
      <c r="BE599" s="43">
        <f t="shared" si="1297"/>
        <v>30</v>
      </c>
      <c r="BF599" s="44"/>
      <c r="BG599" s="45">
        <f t="shared" si="1298"/>
        <v>0</v>
      </c>
      <c r="BH599" s="45">
        <f t="shared" si="1299"/>
        <v>0</v>
      </c>
      <c r="BI599" s="45">
        <f t="shared" si="1300"/>
        <v>0</v>
      </c>
      <c r="BJ599" s="46">
        <f t="shared" si="1301"/>
        <v>0</v>
      </c>
      <c r="BK599" s="46">
        <f t="shared" si="1302"/>
        <v>0</v>
      </c>
      <c r="BL599" s="46">
        <f t="shared" si="1303"/>
        <v>30</v>
      </c>
    </row>
    <row r="600" spans="1:64" ht="30" customHeight="1" x14ac:dyDescent="0.25">
      <c r="A600" s="84" t="str">
        <f t="shared" si="1270"/>
        <v>Д</v>
      </c>
      <c r="B600" s="84" t="str">
        <f t="shared" si="1280"/>
        <v>А</v>
      </c>
      <c r="C600" s="41" t="s">
        <v>1978</v>
      </c>
      <c r="D600" s="16" t="str">
        <f t="shared" si="1281"/>
        <v>'1.1.6.</v>
      </c>
      <c r="E600" s="17" t="str">
        <f t="shared" si="1282"/>
        <v>Вычислительная математика</v>
      </c>
      <c r="F600" s="116" t="s">
        <v>498</v>
      </c>
      <c r="G600" s="116"/>
      <c r="H600" s="112"/>
      <c r="I600" s="112"/>
      <c r="J600" s="115" t="s">
        <v>3363</v>
      </c>
      <c r="K600" s="109">
        <v>6</v>
      </c>
      <c r="L600" s="109"/>
      <c r="M600" s="113" t="s">
        <v>27</v>
      </c>
      <c r="N600" s="109"/>
      <c r="O600" s="109"/>
      <c r="P600" s="109"/>
      <c r="Q600" s="113"/>
      <c r="R600" s="109"/>
      <c r="S600" s="109"/>
      <c r="T600" s="109"/>
      <c r="U600" s="109"/>
      <c r="V600" s="109"/>
      <c r="W600" s="83" t="str">
        <f t="shared" si="1271"/>
        <v>НВМад</v>
      </c>
      <c r="X600" s="114" t="s">
        <v>3244</v>
      </c>
      <c r="Y600" s="109">
        <v>1</v>
      </c>
      <c r="Z600" s="109">
        <v>1</v>
      </c>
      <c r="AA600" s="83">
        <f t="shared" si="1283"/>
        <v>1</v>
      </c>
      <c r="AB600" s="109">
        <v>1</v>
      </c>
      <c r="AC600" s="109"/>
      <c r="AD600" s="81">
        <f t="shared" si="1272"/>
        <v>1</v>
      </c>
      <c r="AE600" s="82">
        <f t="shared" si="1284"/>
        <v>1</v>
      </c>
      <c r="AF600" s="82">
        <f t="shared" si="1285"/>
        <v>1</v>
      </c>
      <c r="AG600" s="102"/>
      <c r="AH600" s="113" t="s">
        <v>204</v>
      </c>
      <c r="AI600" s="113" t="s">
        <v>212</v>
      </c>
      <c r="AJ600" s="119" t="s">
        <v>3252</v>
      </c>
      <c r="AK600" s="8"/>
      <c r="AL600" s="42">
        <f t="shared" si="1273"/>
        <v>0</v>
      </c>
      <c r="AM600" s="42">
        <f t="shared" si="1286"/>
        <v>0</v>
      </c>
      <c r="AN600" s="42">
        <f t="shared" si="1287"/>
        <v>0</v>
      </c>
      <c r="AO600" s="42">
        <f t="shared" si="1288"/>
        <v>0</v>
      </c>
      <c r="AP600" s="42">
        <f t="shared" si="1289"/>
        <v>0</v>
      </c>
      <c r="AQ600" s="42">
        <f t="shared" si="1290"/>
        <v>0</v>
      </c>
      <c r="AR600" s="42">
        <f t="shared" si="1274"/>
        <v>0</v>
      </c>
      <c r="AS600" s="42">
        <f t="shared" si="1291"/>
        <v>0</v>
      </c>
      <c r="AT600" s="42">
        <f t="shared" si="1292"/>
        <v>0</v>
      </c>
      <c r="AU600" s="42">
        <f t="shared" si="1293"/>
        <v>0</v>
      </c>
      <c r="AV600" s="42">
        <f>IF(M600="ПП",РПП*AA600*(U600/1.5),IF(M600="ВП",ВПр*AA600*(U600/1.5),IF(M600="РПА",РПА*AA600*(U600/1.5),IF(M600="КПА",КПА*AA600*(U600/1.5),0))))</f>
        <v>0</v>
      </c>
      <c r="AW600" s="42">
        <f t="shared" si="1294"/>
        <v>0</v>
      </c>
      <c r="AX600" s="42">
        <f t="shared" si="1275"/>
        <v>0</v>
      </c>
      <c r="AY600" s="42">
        <f t="shared" si="1276"/>
        <v>0</v>
      </c>
      <c r="AZ600" s="42">
        <f t="shared" si="1295"/>
        <v>0</v>
      </c>
      <c r="BA600" s="42">
        <f t="shared" si="1277"/>
        <v>0</v>
      </c>
      <c r="BB600" s="42">
        <f t="shared" si="1278"/>
        <v>0</v>
      </c>
      <c r="BC600" s="42">
        <f t="shared" si="1279"/>
        <v>6</v>
      </c>
      <c r="BD600" s="42">
        <f t="shared" si="1296"/>
        <v>0</v>
      </c>
      <c r="BE600" s="43">
        <f t="shared" si="1297"/>
        <v>6</v>
      </c>
      <c r="BF600" s="44"/>
      <c r="BG600" s="45">
        <f t="shared" si="1298"/>
        <v>0</v>
      </c>
      <c r="BH600" s="45">
        <f t="shared" si="1299"/>
        <v>0</v>
      </c>
      <c r="BI600" s="45">
        <f t="shared" si="1300"/>
        <v>0</v>
      </c>
      <c r="BJ600" s="46">
        <f t="shared" si="1301"/>
        <v>0</v>
      </c>
      <c r="BK600" s="46">
        <f t="shared" si="1302"/>
        <v>0</v>
      </c>
      <c r="BL600" s="46">
        <f t="shared" si="1303"/>
        <v>6</v>
      </c>
    </row>
    <row r="601" spans="1:64" ht="30" customHeight="1" x14ac:dyDescent="0.25">
      <c r="A601" s="84" t="str">
        <f t="shared" si="1270"/>
        <v>Д</v>
      </c>
      <c r="B601" s="84" t="str">
        <f t="shared" si="1280"/>
        <v>А</v>
      </c>
      <c r="C601" s="131" t="s">
        <v>2594</v>
      </c>
      <c r="D601" s="16" t="str">
        <f t="shared" si="1281"/>
        <v>'09.06.01</v>
      </c>
      <c r="E601" s="17" t="str">
        <f t="shared" si="1282"/>
        <v>Математическое моделирование, численные методы и комплексы программ</v>
      </c>
      <c r="F601" s="116" t="s">
        <v>414</v>
      </c>
      <c r="G601" s="116"/>
      <c r="H601" s="112"/>
      <c r="I601" s="112"/>
      <c r="J601" s="115" t="s">
        <v>3358</v>
      </c>
      <c r="K601" s="109">
        <v>5</v>
      </c>
      <c r="L601" s="109"/>
      <c r="M601" s="113" t="s">
        <v>474</v>
      </c>
      <c r="N601" s="109"/>
      <c r="O601" s="109"/>
      <c r="P601" s="109"/>
      <c r="Q601" s="113"/>
      <c r="R601" s="109"/>
      <c r="S601" s="109"/>
      <c r="T601" s="109"/>
      <c r="U601" s="109">
        <v>4</v>
      </c>
      <c r="V601" s="109"/>
      <c r="W601" s="83" t="str">
        <f t="shared" si="1271"/>
        <v>НИВад</v>
      </c>
      <c r="X601" s="114" t="s">
        <v>3245</v>
      </c>
      <c r="Y601" s="109">
        <v>1</v>
      </c>
      <c r="Z601" s="109">
        <v>1</v>
      </c>
      <c r="AA601" s="83">
        <f t="shared" si="1283"/>
        <v>1</v>
      </c>
      <c r="AB601" s="109"/>
      <c r="AC601" s="109">
        <v>1</v>
      </c>
      <c r="AD601" s="81">
        <f t="shared" si="1272"/>
        <v>1</v>
      </c>
      <c r="AE601" s="82">
        <f t="shared" si="1284"/>
        <v>1</v>
      </c>
      <c r="AF601" s="82">
        <f t="shared" si="1285"/>
        <v>1</v>
      </c>
      <c r="AG601" s="102"/>
      <c r="AH601" s="113" t="s">
        <v>204</v>
      </c>
      <c r="AI601" s="113" t="s">
        <v>212</v>
      </c>
      <c r="AJ601" s="121" t="s">
        <v>3257</v>
      </c>
      <c r="AK601" s="8" t="s">
        <v>949</v>
      </c>
      <c r="AL601" s="42">
        <f t="shared" si="1273"/>
        <v>0</v>
      </c>
      <c r="AM601" s="42">
        <f t="shared" si="1286"/>
        <v>0</v>
      </c>
      <c r="AN601" s="42">
        <f t="shared" si="1287"/>
        <v>0</v>
      </c>
      <c r="AO601" s="42">
        <f t="shared" si="1288"/>
        <v>0</v>
      </c>
      <c r="AP601" s="42">
        <f t="shared" si="1289"/>
        <v>0</v>
      </c>
      <c r="AQ601" s="42">
        <f t="shared" si="1290"/>
        <v>0</v>
      </c>
      <c r="AR601" s="42">
        <f t="shared" si="1274"/>
        <v>0</v>
      </c>
      <c r="AS601" s="42">
        <f t="shared" si="1291"/>
        <v>0</v>
      </c>
      <c r="AT601" s="42">
        <f t="shared" si="1292"/>
        <v>0</v>
      </c>
      <c r="AU601" s="42">
        <f t="shared" si="1293"/>
        <v>0</v>
      </c>
      <c r="AV601" s="42">
        <f>IF(M601="ПП",РПП*AA601*(U601/1.5),IF(M601="ВП",ВПр*AA601*(U601/1.5),IF(M601="РПА",РПА*AA601*(U601/1.5),IF(M601="КПА",КПА*AA601*(U601/1.5),0))))</f>
        <v>4</v>
      </c>
      <c r="AW601" s="42">
        <f t="shared" si="1294"/>
        <v>0</v>
      </c>
      <c r="AX601" s="42">
        <f t="shared" si="1275"/>
        <v>0</v>
      </c>
      <c r="AY601" s="42">
        <f t="shared" si="1276"/>
        <v>0</v>
      </c>
      <c r="AZ601" s="42">
        <f t="shared" si="1295"/>
        <v>0</v>
      </c>
      <c r="BA601" s="42">
        <f t="shared" si="1277"/>
        <v>0</v>
      </c>
      <c r="BB601" s="42">
        <f t="shared" si="1278"/>
        <v>0</v>
      </c>
      <c r="BC601" s="42">
        <f t="shared" si="1279"/>
        <v>0</v>
      </c>
      <c r="BD601" s="42">
        <f t="shared" si="1296"/>
        <v>0</v>
      </c>
      <c r="BE601" s="43">
        <f t="shared" si="1297"/>
        <v>4</v>
      </c>
      <c r="BF601" s="44"/>
      <c r="BG601" s="45">
        <f t="shared" si="1298"/>
        <v>0</v>
      </c>
      <c r="BH601" s="45">
        <f t="shared" si="1299"/>
        <v>0</v>
      </c>
      <c r="BI601" s="45">
        <f t="shared" si="1300"/>
        <v>4</v>
      </c>
      <c r="BJ601" s="46">
        <f t="shared" si="1301"/>
        <v>0</v>
      </c>
      <c r="BK601" s="46">
        <f t="shared" si="1302"/>
        <v>0</v>
      </c>
      <c r="BL601" s="46">
        <f t="shared" si="1303"/>
        <v>0</v>
      </c>
    </row>
    <row r="602" spans="1:64" ht="30" customHeight="1" x14ac:dyDescent="0.25">
      <c r="A602" s="84" t="str">
        <f t="shared" si="1270"/>
        <v>Д</v>
      </c>
      <c r="B602" s="84" t="str">
        <f t="shared" si="1280"/>
        <v>А</v>
      </c>
      <c r="C602" s="131" t="s">
        <v>2594</v>
      </c>
      <c r="D602" s="16" t="str">
        <f t="shared" si="1281"/>
        <v>'09.06.01</v>
      </c>
      <c r="E602" s="17" t="str">
        <f t="shared" si="1282"/>
        <v>Математическое моделирование, численные методы и комплексы программ</v>
      </c>
      <c r="F602" s="116" t="s">
        <v>414</v>
      </c>
      <c r="G602" s="116"/>
      <c r="H602" s="112"/>
      <c r="I602" s="112"/>
      <c r="J602" s="115" t="s">
        <v>3358</v>
      </c>
      <c r="K602" s="117">
        <v>6</v>
      </c>
      <c r="L602" s="109"/>
      <c r="M602" s="113" t="s">
        <v>474</v>
      </c>
      <c r="N602" s="117"/>
      <c r="O602" s="117"/>
      <c r="P602" s="117"/>
      <c r="Q602" s="113"/>
      <c r="R602" s="117"/>
      <c r="S602" s="117"/>
      <c r="T602" s="117"/>
      <c r="U602" s="117">
        <v>4</v>
      </c>
      <c r="V602" s="117"/>
      <c r="W602" s="83" t="str">
        <f t="shared" si="1271"/>
        <v>НИВад</v>
      </c>
      <c r="X602" s="114" t="s">
        <v>3245</v>
      </c>
      <c r="Y602" s="109">
        <v>1</v>
      </c>
      <c r="Z602" s="109">
        <v>1</v>
      </c>
      <c r="AA602" s="83">
        <f t="shared" si="1283"/>
        <v>1</v>
      </c>
      <c r="AB602" s="109"/>
      <c r="AC602" s="109">
        <v>1</v>
      </c>
      <c r="AD602" s="81">
        <f t="shared" si="1272"/>
        <v>1</v>
      </c>
      <c r="AE602" s="82">
        <f t="shared" si="1284"/>
        <v>1</v>
      </c>
      <c r="AF602" s="82">
        <f t="shared" si="1285"/>
        <v>1</v>
      </c>
      <c r="AG602" s="102"/>
      <c r="AH602" s="113" t="s">
        <v>204</v>
      </c>
      <c r="AI602" s="113" t="s">
        <v>212</v>
      </c>
      <c r="AJ602" s="120" t="s">
        <v>3257</v>
      </c>
      <c r="AK602" s="8" t="s">
        <v>949</v>
      </c>
      <c r="AL602" s="42">
        <f t="shared" si="1273"/>
        <v>0</v>
      </c>
      <c r="AM602" s="42">
        <f t="shared" si="1286"/>
        <v>0</v>
      </c>
      <c r="AN602" s="42">
        <f t="shared" si="1287"/>
        <v>0</v>
      </c>
      <c r="AO602" s="42">
        <f t="shared" si="1288"/>
        <v>0</v>
      </c>
      <c r="AP602" s="42">
        <f t="shared" si="1289"/>
        <v>0</v>
      </c>
      <c r="AQ602" s="42">
        <f t="shared" si="1290"/>
        <v>0</v>
      </c>
      <c r="AR602" s="42">
        <f t="shared" si="1274"/>
        <v>0</v>
      </c>
      <c r="AS602" s="42">
        <f t="shared" si="1291"/>
        <v>0</v>
      </c>
      <c r="AT602" s="42">
        <f t="shared" si="1292"/>
        <v>0</v>
      </c>
      <c r="AU602" s="42">
        <f t="shared" si="1293"/>
        <v>0</v>
      </c>
      <c r="AV602" s="42">
        <f>IF(M602="ПП",РПП*AA602*(U602/1.5),IF(M602="ВП",ВПр*AA602*(U602/1.5),IF(M602="РПА",РПА*AA602*(U602/1.5),IF(M602="КПА",КПА*AA602*(U602/1.5),0))))</f>
        <v>4</v>
      </c>
      <c r="AW602" s="42">
        <f t="shared" si="1294"/>
        <v>0</v>
      </c>
      <c r="AX602" s="42">
        <f t="shared" si="1275"/>
        <v>0</v>
      </c>
      <c r="AY602" s="42">
        <f t="shared" si="1276"/>
        <v>0</v>
      </c>
      <c r="AZ602" s="42">
        <f t="shared" si="1295"/>
        <v>0</v>
      </c>
      <c r="BA602" s="42">
        <f t="shared" si="1277"/>
        <v>0</v>
      </c>
      <c r="BB602" s="42">
        <f t="shared" si="1278"/>
        <v>0</v>
      </c>
      <c r="BC602" s="42">
        <f t="shared" si="1279"/>
        <v>0</v>
      </c>
      <c r="BD602" s="42">
        <f t="shared" si="1296"/>
        <v>0</v>
      </c>
      <c r="BE602" s="43">
        <f t="shared" si="1297"/>
        <v>4</v>
      </c>
      <c r="BF602" s="44"/>
      <c r="BG602" s="45">
        <f t="shared" si="1298"/>
        <v>0</v>
      </c>
      <c r="BH602" s="45">
        <f t="shared" si="1299"/>
        <v>0</v>
      </c>
      <c r="BI602" s="45">
        <f t="shared" si="1300"/>
        <v>0</v>
      </c>
      <c r="BJ602" s="46">
        <f t="shared" si="1301"/>
        <v>0</v>
      </c>
      <c r="BK602" s="46">
        <f t="shared" si="1302"/>
        <v>0</v>
      </c>
      <c r="BL602" s="46">
        <f t="shared" si="1303"/>
        <v>4</v>
      </c>
    </row>
    <row r="603" spans="1:64" ht="30" customHeight="1" x14ac:dyDescent="0.25">
      <c r="A603" s="84" t="str">
        <f t="shared" si="1270"/>
        <v>Д</v>
      </c>
      <c r="B603" s="84" t="str">
        <f t="shared" si="1280"/>
        <v>А</v>
      </c>
      <c r="C603" s="131" t="s">
        <v>2594</v>
      </c>
      <c r="D603" s="16" t="str">
        <f t="shared" si="1281"/>
        <v>'09.06.01</v>
      </c>
      <c r="E603" s="17" t="str">
        <f t="shared" si="1282"/>
        <v>Математическое моделирование, численные методы и комплексы программ</v>
      </c>
      <c r="F603" s="116" t="s">
        <v>414</v>
      </c>
      <c r="G603" s="116"/>
      <c r="H603" s="112"/>
      <c r="I603" s="112"/>
      <c r="J603" s="115" t="s">
        <v>3360</v>
      </c>
      <c r="K603" s="118">
        <v>1</v>
      </c>
      <c r="L603" s="109"/>
      <c r="M603" s="113" t="s">
        <v>510</v>
      </c>
      <c r="N603" s="118"/>
      <c r="O603" s="118"/>
      <c r="P603" s="118"/>
      <c r="Q603" s="113"/>
      <c r="R603" s="118"/>
      <c r="S603" s="118"/>
      <c r="T603" s="118"/>
      <c r="U603" s="118"/>
      <c r="V603" s="118">
        <v>19</v>
      </c>
      <c r="W603" s="83" t="str">
        <f t="shared" si="1271"/>
        <v>НИВад</v>
      </c>
      <c r="X603" s="114" t="s">
        <v>3245</v>
      </c>
      <c r="Y603" s="109">
        <v>1</v>
      </c>
      <c r="Z603" s="109">
        <v>1</v>
      </c>
      <c r="AA603" s="83">
        <f t="shared" si="1283"/>
        <v>1</v>
      </c>
      <c r="AB603" s="109"/>
      <c r="AC603" s="109">
        <v>1</v>
      </c>
      <c r="AD603" s="81">
        <f t="shared" si="1272"/>
        <v>1</v>
      </c>
      <c r="AE603" s="82">
        <f t="shared" si="1284"/>
        <v>1</v>
      </c>
      <c r="AF603" s="82">
        <f t="shared" si="1285"/>
        <v>1</v>
      </c>
      <c r="AG603" s="102"/>
      <c r="AH603" s="113" t="s">
        <v>204</v>
      </c>
      <c r="AI603" s="113" t="s">
        <v>212</v>
      </c>
      <c r="AJ603" s="119" t="s">
        <v>3257</v>
      </c>
      <c r="AK603" s="8" t="s">
        <v>949</v>
      </c>
      <c r="AL603" s="42">
        <f t="shared" si="1273"/>
        <v>0</v>
      </c>
      <c r="AM603" s="42">
        <f t="shared" si="1286"/>
        <v>0</v>
      </c>
      <c r="AN603" s="42">
        <f t="shared" si="1287"/>
        <v>0</v>
      </c>
      <c r="AO603" s="42">
        <f t="shared" si="1288"/>
        <v>0</v>
      </c>
      <c r="AP603" s="42">
        <f t="shared" si="1289"/>
        <v>0</v>
      </c>
      <c r="AQ603" s="42">
        <f t="shared" si="1290"/>
        <v>0</v>
      </c>
      <c r="AR603" s="42">
        <f t="shared" si="1274"/>
        <v>0</v>
      </c>
      <c r="AS603" s="42">
        <f t="shared" si="1291"/>
        <v>0</v>
      </c>
      <c r="AT603" s="42">
        <f t="shared" si="1292"/>
        <v>0</v>
      </c>
      <c r="AU603" s="42">
        <f t="shared" si="1293"/>
        <v>0</v>
      </c>
      <c r="AV603" s="42">
        <f>IF(M603="ПП",РПП*AA603*(U603/1.5),IF(M603="ВП",ВПр*AA603*(U603/1.5),IF(M603="РПА",РПА*AA603*(U603/1.5),IF(M603="КПА",КПА*AA603*(U603/1.5),0))))</f>
        <v>0</v>
      </c>
      <c r="AW603" s="42">
        <f t="shared" si="1294"/>
        <v>9.5</v>
      </c>
      <c r="AX603" s="42">
        <f t="shared" si="1275"/>
        <v>0</v>
      </c>
      <c r="AY603" s="42">
        <f t="shared" si="1276"/>
        <v>0</v>
      </c>
      <c r="AZ603" s="42">
        <f t="shared" si="1295"/>
        <v>0</v>
      </c>
      <c r="BA603" s="42">
        <f t="shared" si="1277"/>
        <v>0</v>
      </c>
      <c r="BB603" s="42">
        <f t="shared" si="1278"/>
        <v>0</v>
      </c>
      <c r="BC603" s="42">
        <f t="shared" si="1279"/>
        <v>0</v>
      </c>
      <c r="BD603" s="42">
        <f t="shared" si="1296"/>
        <v>0</v>
      </c>
      <c r="BE603" s="43">
        <f t="shared" si="1297"/>
        <v>9.5</v>
      </c>
      <c r="BF603" s="44"/>
      <c r="BG603" s="45">
        <f t="shared" si="1298"/>
        <v>0</v>
      </c>
      <c r="BH603" s="45">
        <f t="shared" si="1299"/>
        <v>0</v>
      </c>
      <c r="BI603" s="45">
        <f t="shared" si="1300"/>
        <v>9.5</v>
      </c>
      <c r="BJ603" s="46">
        <f t="shared" si="1301"/>
        <v>0</v>
      </c>
      <c r="BK603" s="46">
        <f t="shared" si="1302"/>
        <v>0</v>
      </c>
      <c r="BL603" s="46">
        <f t="shared" si="1303"/>
        <v>0</v>
      </c>
    </row>
    <row r="604" spans="1:64" ht="30" customHeight="1" x14ac:dyDescent="0.25">
      <c r="A604" s="84" t="str">
        <f t="shared" si="1270"/>
        <v>Д</v>
      </c>
      <c r="B604" s="84" t="str">
        <f t="shared" si="1280"/>
        <v>А</v>
      </c>
      <c r="C604" s="131" t="s">
        <v>2594</v>
      </c>
      <c r="D604" s="16" t="str">
        <f t="shared" si="1281"/>
        <v>'09.06.01</v>
      </c>
      <c r="E604" s="17" t="str">
        <f t="shared" si="1282"/>
        <v>Математическое моделирование, численные методы и комплексы программ</v>
      </c>
      <c r="F604" s="116" t="s">
        <v>414</v>
      </c>
      <c r="G604" s="116"/>
      <c r="H604" s="112"/>
      <c r="I604" s="112"/>
      <c r="J604" s="115" t="s">
        <v>3360</v>
      </c>
      <c r="K604" s="109">
        <v>2</v>
      </c>
      <c r="L604" s="109"/>
      <c r="M604" s="113" t="s">
        <v>510</v>
      </c>
      <c r="N604" s="109"/>
      <c r="O604" s="109"/>
      <c r="P604" s="109"/>
      <c r="Q604" s="113"/>
      <c r="R604" s="117"/>
      <c r="S604" s="117"/>
      <c r="T604" s="117"/>
      <c r="U604" s="117"/>
      <c r="V604" s="117">
        <v>19</v>
      </c>
      <c r="W604" s="83" t="str">
        <f t="shared" si="1271"/>
        <v>НИВад</v>
      </c>
      <c r="X604" s="114" t="s">
        <v>3245</v>
      </c>
      <c r="Y604" s="109">
        <v>1</v>
      </c>
      <c r="Z604" s="109">
        <v>1</v>
      </c>
      <c r="AA604" s="83">
        <f t="shared" si="1283"/>
        <v>1</v>
      </c>
      <c r="AB604" s="109"/>
      <c r="AC604" s="109">
        <v>1</v>
      </c>
      <c r="AD604" s="81">
        <f t="shared" si="1272"/>
        <v>1</v>
      </c>
      <c r="AE604" s="82">
        <f t="shared" si="1284"/>
        <v>1</v>
      </c>
      <c r="AF604" s="82">
        <f t="shared" si="1285"/>
        <v>1</v>
      </c>
      <c r="AG604" s="102"/>
      <c r="AH604" s="113" t="s">
        <v>204</v>
      </c>
      <c r="AI604" s="113" t="s">
        <v>212</v>
      </c>
      <c r="AJ604" s="119" t="s">
        <v>3257</v>
      </c>
      <c r="AK604" s="8" t="s">
        <v>949</v>
      </c>
      <c r="AL604" s="42">
        <f t="shared" si="1273"/>
        <v>0</v>
      </c>
      <c r="AM604" s="42">
        <f t="shared" si="1286"/>
        <v>0</v>
      </c>
      <c r="AN604" s="42">
        <f t="shared" si="1287"/>
        <v>0</v>
      </c>
      <c r="AO604" s="42">
        <f t="shared" si="1288"/>
        <v>0</v>
      </c>
      <c r="AP604" s="42">
        <f t="shared" si="1289"/>
        <v>0</v>
      </c>
      <c r="AQ604" s="42">
        <f t="shared" si="1290"/>
        <v>0</v>
      </c>
      <c r="AR604" s="42">
        <f t="shared" si="1274"/>
        <v>0</v>
      </c>
      <c r="AS604" s="42">
        <f t="shared" si="1291"/>
        <v>0</v>
      </c>
      <c r="AT604" s="42">
        <f t="shared" si="1292"/>
        <v>0</v>
      </c>
      <c r="AU604" s="42">
        <f t="shared" si="1293"/>
        <v>0</v>
      </c>
      <c r="AV604" s="42">
        <f>IF(M604="ПП",РПП*AA604*(U604/1.5),IF(M604="ВП",ВПр*AA604*(U604/1.5),IF(M604="РПА",РПА*AA604*(U604/1.5),IF(M604="КПА",КПА*AA604*(U604/1.5),0))))</f>
        <v>0</v>
      </c>
      <c r="AW604" s="42">
        <f t="shared" si="1294"/>
        <v>9.5</v>
      </c>
      <c r="AX604" s="42">
        <f t="shared" si="1275"/>
        <v>0</v>
      </c>
      <c r="AY604" s="42">
        <f t="shared" si="1276"/>
        <v>0</v>
      </c>
      <c r="AZ604" s="42">
        <f t="shared" si="1295"/>
        <v>0</v>
      </c>
      <c r="BA604" s="42">
        <f t="shared" si="1277"/>
        <v>0</v>
      </c>
      <c r="BB604" s="42">
        <f t="shared" si="1278"/>
        <v>0</v>
      </c>
      <c r="BC604" s="42">
        <f t="shared" si="1279"/>
        <v>0</v>
      </c>
      <c r="BD604" s="42">
        <f t="shared" si="1296"/>
        <v>0</v>
      </c>
      <c r="BE604" s="43">
        <f t="shared" si="1297"/>
        <v>9.5</v>
      </c>
      <c r="BF604" s="44"/>
      <c r="BG604" s="45">
        <f t="shared" si="1298"/>
        <v>0</v>
      </c>
      <c r="BH604" s="45">
        <f t="shared" si="1299"/>
        <v>0</v>
      </c>
      <c r="BI604" s="45">
        <f t="shared" si="1300"/>
        <v>0</v>
      </c>
      <c r="BJ604" s="46">
        <f t="shared" si="1301"/>
        <v>0</v>
      </c>
      <c r="BK604" s="46">
        <f t="shared" si="1302"/>
        <v>0</v>
      </c>
      <c r="BL604" s="46">
        <f t="shared" si="1303"/>
        <v>9.5</v>
      </c>
    </row>
    <row r="605" spans="1:64" ht="30" customHeight="1" x14ac:dyDescent="0.25">
      <c r="A605" s="84" t="str">
        <f t="shared" si="1270"/>
        <v>Д</v>
      </c>
      <c r="B605" s="84" t="str">
        <f t="shared" ref="B605:B608" si="1304">IF(C605&gt;0, VLOOKUP(C605,Код_ООП,11,FALSE),0)</f>
        <v>А</v>
      </c>
      <c r="C605" s="131" t="s">
        <v>2594</v>
      </c>
      <c r="D605" s="16" t="str">
        <f t="shared" ref="D605:D608" si="1305">IF(C605&gt;0, VLOOKUP(C605,Код_ООП,2,FALSE),0)</f>
        <v>'09.06.01</v>
      </c>
      <c r="E605" s="17" t="str">
        <f t="shared" ref="E605:E608" si="1306">IF(C605&gt;0, VLOOKUP(C605,Код_ООП,13,FALSE),0)</f>
        <v>Математическое моделирование, численные методы и комплексы программ</v>
      </c>
      <c r="F605" s="116" t="s">
        <v>414</v>
      </c>
      <c r="G605" s="116"/>
      <c r="H605" s="112"/>
      <c r="I605" s="112"/>
      <c r="J605" s="115" t="s">
        <v>3360</v>
      </c>
      <c r="K605" s="118">
        <v>3</v>
      </c>
      <c r="L605" s="109"/>
      <c r="M605" s="113" t="s">
        <v>510</v>
      </c>
      <c r="N605" s="118"/>
      <c r="O605" s="118"/>
      <c r="P605" s="118"/>
      <c r="Q605" s="113"/>
      <c r="R605" s="118"/>
      <c r="S605" s="118"/>
      <c r="T605" s="118"/>
      <c r="U605" s="118"/>
      <c r="V605" s="118">
        <v>18</v>
      </c>
      <c r="W605" s="83" t="str">
        <f t="shared" si="1271"/>
        <v>НИВад</v>
      </c>
      <c r="X605" s="114" t="s">
        <v>3245</v>
      </c>
      <c r="Y605" s="109">
        <v>1</v>
      </c>
      <c r="Z605" s="109">
        <v>1</v>
      </c>
      <c r="AA605" s="83">
        <f t="shared" ref="AA605:AA608" si="1307">AB605+AC605</f>
        <v>1</v>
      </c>
      <c r="AB605" s="109"/>
      <c r="AC605" s="109">
        <v>1</v>
      </c>
      <c r="AD605" s="81">
        <f t="shared" si="1272"/>
        <v>1</v>
      </c>
      <c r="AE605" s="82">
        <f t="shared" ref="AE605:AE608" si="1308">IF(AF605&gt;1,1,AF605)</f>
        <v>1</v>
      </c>
      <c r="AF605" s="82">
        <f t="shared" ref="AF605:AF608" si="1309">AA605/AD605</f>
        <v>1</v>
      </c>
      <c r="AG605" s="102"/>
      <c r="AH605" s="113" t="s">
        <v>204</v>
      </c>
      <c r="AI605" s="113" t="s">
        <v>212</v>
      </c>
      <c r="AJ605" s="119" t="s">
        <v>3257</v>
      </c>
      <c r="AK605" s="8" t="s">
        <v>949</v>
      </c>
      <c r="AL605" s="42">
        <f t="shared" si="1273"/>
        <v>0</v>
      </c>
      <c r="AM605" s="42">
        <f t="shared" ref="AM605:AM608" si="1310">IF(OR(M605="пр",M605="ия",M605="сп"),P605*AE605*L605,0)</f>
        <v>0</v>
      </c>
      <c r="AN605" s="42">
        <f t="shared" ref="AN605:AN608" si="1311">IF(OR(M605="лаб",M605="клн"),O605*AE605*L605,0)</f>
        <v>0</v>
      </c>
      <c r="AO605" s="42">
        <f t="shared" ref="AO605:AO608" si="1312">(IF((AND(OR(K605=1,K605=2,K605=3,K605=4,K605=5,K605=6,K605=7,K605=8,K605=9,K605=10,K605=11,K605=12),OR(Q605="Зач",Q605="Экз"))),ТКиРА*AA605,0)+IF(SUM(N605:P605)&lt;&gt;0,IF(Q605="ТК",ТКиРА*AA605,0),0))*(IF(F605="ФТД",0,1))</f>
        <v>0</v>
      </c>
      <c r="AP605" s="42">
        <f t="shared" ref="AP605:AP608" si="1313">IF(SUM(O605:P605)&lt;&gt;0,IF(Q605="Зач",ПАБРС*AA605,0),0)+IF(N605&lt;&gt;0,IF(Q605="Экз",ПАБРС*AA605,0),0)</f>
        <v>0</v>
      </c>
      <c r="AQ605" s="42">
        <f t="shared" ref="AQ605:AQ608" si="1314">(IF(AP605&lt;&gt;0,ОфВед*(IF(OR(M605="лек",M605="лаб"),Z605,AE605)),0))*(IF(F605="ФТД",0,1))</f>
        <v>0</v>
      </c>
      <c r="AR605" s="42">
        <f t="shared" si="1274"/>
        <v>0</v>
      </c>
      <c r="AS605" s="42">
        <f t="shared" ref="AS605:AS608" si="1315">IF(OR(M605="лаб",M605="пр"),IF(R605="К",AA605*ВПКР,IF(R605="М",AA605*ВПИБ,0)),0)</f>
        <v>0</v>
      </c>
      <c r="AT605" s="42">
        <f t="shared" ref="AT605:AT608" si="1316">IF(OR(M605="лаб",M605="пр"),IF(S605="К",AA605*ВПКП,0),0)</f>
        <v>0</v>
      </c>
      <c r="AU605" s="42">
        <f t="shared" ref="AU605:AU608" si="1317">IF(M605="УП",T605/1.5*AA605*РУП,IF(M605="УПМ",T605/1.5*AA605*РУПЛеч,0))</f>
        <v>0</v>
      </c>
      <c r="AV605" s="42">
        <f>IF(M605="ПП",РПП*AA605*(U605/1.5),IF(M605="ВП",ВПр*AA605*(U605/1.5),IF(M605="РПА",РПА*AA605*(U605/1.5),IF(M605="КПА",КПА*AA605*(U605/1.5),0))))</f>
        <v>0</v>
      </c>
      <c r="AW605" s="42">
        <f t="shared" ref="AW605:AW608" si="1318">IF(M605="НР",(AB605*НИРМ+AC605*НИРМИн)*(V605/1.5),IF(M605="НИ",(AB605*НИРА+AC605*НИРАИ)*(V605/1.5),0))</f>
        <v>9</v>
      </c>
      <c r="AX605" s="42">
        <f t="shared" si="1275"/>
        <v>0</v>
      </c>
      <c r="AY605" s="42">
        <f t="shared" si="1276"/>
        <v>0</v>
      </c>
      <c r="AZ605" s="42">
        <f t="shared" ref="AZ605:AZ608" si="1319">IF(AND(Q605="КЭ",M605="ЧК"),AA605*КдЭк,0)</f>
        <v>0</v>
      </c>
      <c r="BA605" s="42">
        <f t="shared" si="1277"/>
        <v>0</v>
      </c>
      <c r="BB605" s="42">
        <f t="shared" si="1278"/>
        <v>0</v>
      </c>
      <c r="BC605" s="42">
        <f t="shared" si="1279"/>
        <v>0</v>
      </c>
      <c r="BD605" s="42">
        <f t="shared" ref="BD605:BD608" si="1320">IF(M605="ЧГ",AA605*ЧГ,IF(M605="ПГ",AA605*ПГ,IF(M605="ТЕСТ",ТГИЭ*AE605,IF(M605="СГ",AA605*СГ,0))))</f>
        <v>0</v>
      </c>
      <c r="BE605" s="43">
        <f t="shared" ref="BE605:BE608" si="1321">SUM(AL605:BD605)</f>
        <v>9</v>
      </c>
      <c r="BF605" s="44"/>
      <c r="BG605" s="45">
        <f t="shared" ref="BG605:BG608" si="1322">IF(OR(K605="1;1",K605="1;2",K605=1,K605="3;1",K605="3;2",K605=3,K605="5;1",K605="5;2",K605=5,K605="7;1",K605="7;2",K605=7,K605="9;1",K605="9;2",K605=9,K605=11),SUM(AL605:AN605),0)</f>
        <v>0</v>
      </c>
      <c r="BH605" s="45">
        <f t="shared" ref="BH605:BH608" si="1323">IF(BG605&lt;&gt;0,SUM(N605:P605)/2,0)</f>
        <v>0</v>
      </c>
      <c r="BI605" s="45">
        <f t="shared" ref="BI605:BI608" si="1324">IF(OR(K605="1;1",K605="1;2",K605=1,K605="3;1",K605="3;2",K605=3,K605="5;1",K605="5;2",K605=5,K605="7;1",K605="7;2",K605=7,K605="9;1",K605="9;2",K605=9,K605=11),SUM(AO605:BD605),0)</f>
        <v>9</v>
      </c>
      <c r="BJ605" s="46">
        <f t="shared" ref="BJ605:BJ608" si="1325">IF(OR(K605="2;3",K605="2;4",K605=2,K605="4;3",K605="4;4",K605=4,K605="6;3",K605="6;4",K605=6,K605="8;3",K605="8;4",K605=8,K605="10;3",K605="10;4",K605=10,K605=12),SUM(AL605:AN605),0)</f>
        <v>0</v>
      </c>
      <c r="BK605" s="46">
        <f t="shared" ref="BK605:BK608" si="1326">IF(BJ605&lt;&gt;0,SUM(N605:P605)/2,0)</f>
        <v>0</v>
      </c>
      <c r="BL605" s="46">
        <f t="shared" ref="BL605:BL608" si="1327">IF(OR(K605="2;3",K605="2;4",K605=2,K605="4;3",K605="4;4",K605=4,K605="6;3",K605="6;4",K605=6,K605="8;3",K605="8;4",K605=8,K605="10;3",K605="10;4",K605=10,K605=12),SUM(AO605:BD605),0)</f>
        <v>0</v>
      </c>
    </row>
    <row r="606" spans="1:64" ht="30" customHeight="1" x14ac:dyDescent="0.25">
      <c r="A606" s="84" t="str">
        <f t="shared" si="1270"/>
        <v>Д</v>
      </c>
      <c r="B606" s="84" t="str">
        <f t="shared" si="1304"/>
        <v>А</v>
      </c>
      <c r="C606" s="131" t="s">
        <v>2594</v>
      </c>
      <c r="D606" s="16" t="str">
        <f t="shared" si="1305"/>
        <v>'09.06.01</v>
      </c>
      <c r="E606" s="17" t="str">
        <f t="shared" si="1306"/>
        <v>Математическое моделирование, численные методы и комплексы программ</v>
      </c>
      <c r="F606" s="116" t="s">
        <v>414</v>
      </c>
      <c r="G606" s="116"/>
      <c r="H606" s="112"/>
      <c r="I606" s="112"/>
      <c r="J606" s="115" t="s">
        <v>3360</v>
      </c>
      <c r="K606" s="109">
        <v>4</v>
      </c>
      <c r="L606" s="109"/>
      <c r="M606" s="113" t="s">
        <v>510</v>
      </c>
      <c r="N606" s="109"/>
      <c r="O606" s="109"/>
      <c r="P606" s="109"/>
      <c r="Q606" s="113"/>
      <c r="R606" s="117"/>
      <c r="S606" s="117"/>
      <c r="T606" s="117"/>
      <c r="U606" s="117"/>
      <c r="V606" s="117">
        <v>22</v>
      </c>
      <c r="W606" s="83" t="str">
        <f t="shared" si="1271"/>
        <v>НИВад</v>
      </c>
      <c r="X606" s="114" t="s">
        <v>3245</v>
      </c>
      <c r="Y606" s="109">
        <v>1</v>
      </c>
      <c r="Z606" s="109">
        <v>1</v>
      </c>
      <c r="AA606" s="83">
        <f t="shared" si="1307"/>
        <v>1</v>
      </c>
      <c r="AB606" s="109"/>
      <c r="AC606" s="109">
        <v>1</v>
      </c>
      <c r="AD606" s="81">
        <f t="shared" si="1272"/>
        <v>1</v>
      </c>
      <c r="AE606" s="82">
        <f t="shared" si="1308"/>
        <v>1</v>
      </c>
      <c r="AF606" s="82">
        <f t="shared" si="1309"/>
        <v>1</v>
      </c>
      <c r="AG606" s="102"/>
      <c r="AH606" s="113" t="s">
        <v>204</v>
      </c>
      <c r="AI606" s="113" t="s">
        <v>212</v>
      </c>
      <c r="AJ606" s="119" t="s">
        <v>3257</v>
      </c>
      <c r="AK606" s="8" t="s">
        <v>949</v>
      </c>
      <c r="AL606" s="42">
        <f t="shared" si="1273"/>
        <v>0</v>
      </c>
      <c r="AM606" s="42">
        <f t="shared" si="1310"/>
        <v>0</v>
      </c>
      <c r="AN606" s="42">
        <f t="shared" si="1311"/>
        <v>0</v>
      </c>
      <c r="AO606" s="42">
        <f t="shared" si="1312"/>
        <v>0</v>
      </c>
      <c r="AP606" s="42">
        <f t="shared" si="1313"/>
        <v>0</v>
      </c>
      <c r="AQ606" s="42">
        <f t="shared" si="1314"/>
        <v>0</v>
      </c>
      <c r="AR606" s="42">
        <f t="shared" si="1274"/>
        <v>0</v>
      </c>
      <c r="AS606" s="42">
        <f t="shared" si="1315"/>
        <v>0</v>
      </c>
      <c r="AT606" s="42">
        <f t="shared" si="1316"/>
        <v>0</v>
      </c>
      <c r="AU606" s="42">
        <f t="shared" si="1317"/>
        <v>0</v>
      </c>
      <c r="AV606" s="42">
        <f>IF(M606="ПП",РПП*AA606*(U606/1.5),IF(M606="ВП",ВПр*AA606*(U606/1.5),IF(M606="РПА",РПА*AA606*(U606/1.5),IF(M606="КПА",КПА*AA606*(U606/1.5),0))))</f>
        <v>0</v>
      </c>
      <c r="AW606" s="42">
        <f t="shared" si="1318"/>
        <v>11</v>
      </c>
      <c r="AX606" s="42">
        <f t="shared" si="1275"/>
        <v>0</v>
      </c>
      <c r="AY606" s="42">
        <f t="shared" si="1276"/>
        <v>0</v>
      </c>
      <c r="AZ606" s="42">
        <f t="shared" si="1319"/>
        <v>0</v>
      </c>
      <c r="BA606" s="42">
        <f t="shared" si="1277"/>
        <v>0</v>
      </c>
      <c r="BB606" s="42">
        <f t="shared" si="1278"/>
        <v>0</v>
      </c>
      <c r="BC606" s="42">
        <f t="shared" si="1279"/>
        <v>0</v>
      </c>
      <c r="BD606" s="42">
        <f t="shared" si="1320"/>
        <v>0</v>
      </c>
      <c r="BE606" s="43">
        <f t="shared" si="1321"/>
        <v>11</v>
      </c>
      <c r="BF606" s="44"/>
      <c r="BG606" s="45">
        <f t="shared" si="1322"/>
        <v>0</v>
      </c>
      <c r="BH606" s="45">
        <f t="shared" si="1323"/>
        <v>0</v>
      </c>
      <c r="BI606" s="45">
        <f t="shared" si="1324"/>
        <v>0</v>
      </c>
      <c r="BJ606" s="46">
        <f t="shared" si="1325"/>
        <v>0</v>
      </c>
      <c r="BK606" s="46">
        <f t="shared" si="1326"/>
        <v>0</v>
      </c>
      <c r="BL606" s="46">
        <f t="shared" si="1327"/>
        <v>11</v>
      </c>
    </row>
    <row r="607" spans="1:64" ht="30" customHeight="1" x14ac:dyDescent="0.25">
      <c r="A607" s="84" t="str">
        <f t="shared" si="1270"/>
        <v>Д</v>
      </c>
      <c r="B607" s="84" t="str">
        <f t="shared" si="1304"/>
        <v>А</v>
      </c>
      <c r="C607" s="131" t="s">
        <v>2594</v>
      </c>
      <c r="D607" s="16" t="str">
        <f t="shared" si="1305"/>
        <v>'09.06.01</v>
      </c>
      <c r="E607" s="17" t="str">
        <f t="shared" si="1306"/>
        <v>Математическое моделирование, численные методы и комплексы программ</v>
      </c>
      <c r="F607" s="116" t="s">
        <v>414</v>
      </c>
      <c r="G607" s="116"/>
      <c r="H607" s="112"/>
      <c r="I607" s="112"/>
      <c r="J607" s="115" t="s">
        <v>3360</v>
      </c>
      <c r="K607" s="118">
        <v>5</v>
      </c>
      <c r="L607" s="109"/>
      <c r="M607" s="113" t="s">
        <v>510</v>
      </c>
      <c r="N607" s="118"/>
      <c r="O607" s="118"/>
      <c r="P607" s="118"/>
      <c r="Q607" s="113"/>
      <c r="R607" s="118"/>
      <c r="S607" s="118"/>
      <c r="T607" s="118"/>
      <c r="U607" s="118"/>
      <c r="V607" s="118">
        <v>26</v>
      </c>
      <c r="W607" s="83" t="str">
        <f t="shared" si="1271"/>
        <v>НИВад</v>
      </c>
      <c r="X607" s="114" t="s">
        <v>3245</v>
      </c>
      <c r="Y607" s="109">
        <v>1</v>
      </c>
      <c r="Z607" s="109">
        <v>1</v>
      </c>
      <c r="AA607" s="83">
        <f t="shared" si="1307"/>
        <v>1</v>
      </c>
      <c r="AB607" s="109"/>
      <c r="AC607" s="109">
        <v>1</v>
      </c>
      <c r="AD607" s="81">
        <f t="shared" si="1272"/>
        <v>1</v>
      </c>
      <c r="AE607" s="82">
        <f t="shared" si="1308"/>
        <v>1</v>
      </c>
      <c r="AF607" s="82">
        <f t="shared" si="1309"/>
        <v>1</v>
      </c>
      <c r="AG607" s="102"/>
      <c r="AH607" s="113" t="s">
        <v>204</v>
      </c>
      <c r="AI607" s="113" t="s">
        <v>212</v>
      </c>
      <c r="AJ607" s="119" t="s">
        <v>3257</v>
      </c>
      <c r="AK607" s="8" t="s">
        <v>949</v>
      </c>
      <c r="AL607" s="42">
        <f t="shared" si="1273"/>
        <v>0</v>
      </c>
      <c r="AM607" s="42">
        <f t="shared" si="1310"/>
        <v>0</v>
      </c>
      <c r="AN607" s="42">
        <f t="shared" si="1311"/>
        <v>0</v>
      </c>
      <c r="AO607" s="42">
        <f t="shared" si="1312"/>
        <v>0</v>
      </c>
      <c r="AP607" s="42">
        <f t="shared" si="1313"/>
        <v>0</v>
      </c>
      <c r="AQ607" s="42">
        <f t="shared" si="1314"/>
        <v>0</v>
      </c>
      <c r="AR607" s="42">
        <f t="shared" si="1274"/>
        <v>0</v>
      </c>
      <c r="AS607" s="42">
        <f t="shared" si="1315"/>
        <v>0</v>
      </c>
      <c r="AT607" s="42">
        <f t="shared" si="1316"/>
        <v>0</v>
      </c>
      <c r="AU607" s="42">
        <f t="shared" si="1317"/>
        <v>0</v>
      </c>
      <c r="AV607" s="42">
        <f>IF(M607="ПП",РПП*AA607*(U607/1.5),IF(M607="ВП",ВПр*AA607*(U607/1.5),IF(M607="РПА",РПА*AA607*(U607/1.5),IF(M607="КПА",КПА*AA607*(U607/1.5),0))))</f>
        <v>0</v>
      </c>
      <c r="AW607" s="42">
        <f t="shared" si="1318"/>
        <v>13</v>
      </c>
      <c r="AX607" s="42">
        <f t="shared" si="1275"/>
        <v>0</v>
      </c>
      <c r="AY607" s="42">
        <f t="shared" si="1276"/>
        <v>0</v>
      </c>
      <c r="AZ607" s="42">
        <f t="shared" si="1319"/>
        <v>0</v>
      </c>
      <c r="BA607" s="42">
        <f t="shared" si="1277"/>
        <v>0</v>
      </c>
      <c r="BB607" s="42">
        <f t="shared" si="1278"/>
        <v>0</v>
      </c>
      <c r="BC607" s="42">
        <f t="shared" si="1279"/>
        <v>0</v>
      </c>
      <c r="BD607" s="42">
        <f t="shared" si="1320"/>
        <v>0</v>
      </c>
      <c r="BE607" s="43">
        <f t="shared" si="1321"/>
        <v>13</v>
      </c>
      <c r="BF607" s="44"/>
      <c r="BG607" s="45">
        <f t="shared" si="1322"/>
        <v>0</v>
      </c>
      <c r="BH607" s="45">
        <f t="shared" si="1323"/>
        <v>0</v>
      </c>
      <c r="BI607" s="45">
        <f t="shared" si="1324"/>
        <v>13</v>
      </c>
      <c r="BJ607" s="46">
        <f t="shared" si="1325"/>
        <v>0</v>
      </c>
      <c r="BK607" s="46">
        <f t="shared" si="1326"/>
        <v>0</v>
      </c>
      <c r="BL607" s="46">
        <f t="shared" si="1327"/>
        <v>0</v>
      </c>
    </row>
    <row r="608" spans="1:64" ht="30" customHeight="1" x14ac:dyDescent="0.25">
      <c r="A608" s="84" t="str">
        <f t="shared" si="1270"/>
        <v>Д</v>
      </c>
      <c r="B608" s="84" t="str">
        <f t="shared" si="1304"/>
        <v>А</v>
      </c>
      <c r="C608" s="131" t="s">
        <v>2594</v>
      </c>
      <c r="D608" s="16" t="str">
        <f t="shared" si="1305"/>
        <v>'09.06.01</v>
      </c>
      <c r="E608" s="17" t="str">
        <f t="shared" si="1306"/>
        <v>Математическое моделирование, численные методы и комплексы программ</v>
      </c>
      <c r="F608" s="116" t="s">
        <v>414</v>
      </c>
      <c r="G608" s="116"/>
      <c r="H608" s="112"/>
      <c r="I608" s="112"/>
      <c r="J608" s="115" t="s">
        <v>3360</v>
      </c>
      <c r="K608" s="109">
        <v>6</v>
      </c>
      <c r="L608" s="109"/>
      <c r="M608" s="113" t="s">
        <v>510</v>
      </c>
      <c r="N608" s="109"/>
      <c r="O608" s="109"/>
      <c r="P608" s="109"/>
      <c r="Q608" s="113"/>
      <c r="R608" s="117"/>
      <c r="S608" s="117"/>
      <c r="T608" s="117"/>
      <c r="U608" s="117"/>
      <c r="V608" s="117">
        <v>26</v>
      </c>
      <c r="W608" s="83" t="str">
        <f t="shared" si="1271"/>
        <v>НИВад</v>
      </c>
      <c r="X608" s="114" t="s">
        <v>3245</v>
      </c>
      <c r="Y608" s="109">
        <v>1</v>
      </c>
      <c r="Z608" s="109">
        <v>1</v>
      </c>
      <c r="AA608" s="83">
        <f t="shared" si="1307"/>
        <v>1</v>
      </c>
      <c r="AB608" s="109"/>
      <c r="AC608" s="109">
        <v>1</v>
      </c>
      <c r="AD608" s="81">
        <f t="shared" si="1272"/>
        <v>1</v>
      </c>
      <c r="AE608" s="82">
        <f t="shared" si="1308"/>
        <v>1</v>
      </c>
      <c r="AF608" s="82">
        <f t="shared" si="1309"/>
        <v>1</v>
      </c>
      <c r="AG608" s="102"/>
      <c r="AH608" s="113" t="s">
        <v>204</v>
      </c>
      <c r="AI608" s="113" t="s">
        <v>212</v>
      </c>
      <c r="AJ608" s="119" t="s">
        <v>3257</v>
      </c>
      <c r="AK608" s="8" t="s">
        <v>949</v>
      </c>
      <c r="AL608" s="42">
        <f t="shared" si="1273"/>
        <v>0</v>
      </c>
      <c r="AM608" s="42">
        <f t="shared" si="1310"/>
        <v>0</v>
      </c>
      <c r="AN608" s="42">
        <f t="shared" si="1311"/>
        <v>0</v>
      </c>
      <c r="AO608" s="42">
        <f t="shared" si="1312"/>
        <v>0</v>
      </c>
      <c r="AP608" s="42">
        <f t="shared" si="1313"/>
        <v>0</v>
      </c>
      <c r="AQ608" s="42">
        <f t="shared" si="1314"/>
        <v>0</v>
      </c>
      <c r="AR608" s="42">
        <f t="shared" si="1274"/>
        <v>0</v>
      </c>
      <c r="AS608" s="42">
        <f t="shared" si="1315"/>
        <v>0</v>
      </c>
      <c r="AT608" s="42">
        <f t="shared" si="1316"/>
        <v>0</v>
      </c>
      <c r="AU608" s="42">
        <f t="shared" si="1317"/>
        <v>0</v>
      </c>
      <c r="AV608" s="42">
        <f>IF(M608="ПП",РПП*AA608*(U608/1.5),IF(M608="ВП",ВПр*AA608*(U608/1.5),IF(M608="РПА",РПА*AA608*(U608/1.5),IF(M608="КПА",КПА*AA608*(U608/1.5),0))))</f>
        <v>0</v>
      </c>
      <c r="AW608" s="42">
        <f t="shared" si="1318"/>
        <v>13</v>
      </c>
      <c r="AX608" s="42">
        <f t="shared" si="1275"/>
        <v>0</v>
      </c>
      <c r="AY608" s="42">
        <f t="shared" si="1276"/>
        <v>0</v>
      </c>
      <c r="AZ608" s="42">
        <f t="shared" si="1319"/>
        <v>0</v>
      </c>
      <c r="BA608" s="42">
        <f t="shared" si="1277"/>
        <v>0</v>
      </c>
      <c r="BB608" s="42">
        <f t="shared" si="1278"/>
        <v>0</v>
      </c>
      <c r="BC608" s="42">
        <f t="shared" si="1279"/>
        <v>0</v>
      </c>
      <c r="BD608" s="42">
        <f t="shared" si="1320"/>
        <v>0</v>
      </c>
      <c r="BE608" s="43">
        <f t="shared" si="1321"/>
        <v>13</v>
      </c>
      <c r="BF608" s="44"/>
      <c r="BG608" s="45">
        <f t="shared" si="1322"/>
        <v>0</v>
      </c>
      <c r="BH608" s="45">
        <f t="shared" si="1323"/>
        <v>0</v>
      </c>
      <c r="BI608" s="45">
        <f t="shared" si="1324"/>
        <v>0</v>
      </c>
      <c r="BJ608" s="46">
        <f t="shared" si="1325"/>
        <v>0</v>
      </c>
      <c r="BK608" s="46">
        <f t="shared" si="1326"/>
        <v>0</v>
      </c>
      <c r="BL608" s="46">
        <f t="shared" si="1327"/>
        <v>13</v>
      </c>
    </row>
    <row r="609" spans="1:64" ht="30" customHeight="1" x14ac:dyDescent="0.25">
      <c r="A609" s="84" t="str">
        <f t="shared" si="1270"/>
        <v>Д</v>
      </c>
      <c r="B609" s="84" t="str">
        <f t="shared" si="1280"/>
        <v>А</v>
      </c>
      <c r="C609" s="131" t="s">
        <v>2594</v>
      </c>
      <c r="D609" s="16" t="str">
        <f t="shared" si="1281"/>
        <v>'09.06.01</v>
      </c>
      <c r="E609" s="17" t="str">
        <f t="shared" si="1282"/>
        <v>Математическое моделирование, численные методы и комплексы программ</v>
      </c>
      <c r="F609" s="116" t="s">
        <v>414</v>
      </c>
      <c r="G609" s="116"/>
      <c r="H609" s="112"/>
      <c r="I609" s="112"/>
      <c r="J609" s="115" t="s">
        <v>3360</v>
      </c>
      <c r="K609" s="118">
        <v>7</v>
      </c>
      <c r="L609" s="109"/>
      <c r="M609" s="113" t="s">
        <v>510</v>
      </c>
      <c r="N609" s="118"/>
      <c r="O609" s="118"/>
      <c r="P609" s="118"/>
      <c r="Q609" s="113"/>
      <c r="R609" s="118"/>
      <c r="S609" s="118"/>
      <c r="T609" s="118"/>
      <c r="U609" s="118"/>
      <c r="V609" s="118">
        <v>26</v>
      </c>
      <c r="W609" s="83" t="str">
        <f t="shared" si="1271"/>
        <v>НИВад</v>
      </c>
      <c r="X609" s="114" t="s">
        <v>3245</v>
      </c>
      <c r="Y609" s="109">
        <v>1</v>
      </c>
      <c r="Z609" s="109">
        <v>1</v>
      </c>
      <c r="AA609" s="83">
        <f t="shared" si="1283"/>
        <v>1</v>
      </c>
      <c r="AB609" s="109"/>
      <c r="AC609" s="109">
        <v>1</v>
      </c>
      <c r="AD609" s="81">
        <f t="shared" si="1272"/>
        <v>1</v>
      </c>
      <c r="AE609" s="82">
        <f t="shared" si="1284"/>
        <v>1</v>
      </c>
      <c r="AF609" s="82">
        <f t="shared" si="1285"/>
        <v>1</v>
      </c>
      <c r="AG609" s="102"/>
      <c r="AH609" s="113" t="s">
        <v>204</v>
      </c>
      <c r="AI609" s="113" t="s">
        <v>212</v>
      </c>
      <c r="AJ609" s="119" t="s">
        <v>3257</v>
      </c>
      <c r="AK609" s="8" t="s">
        <v>949</v>
      </c>
      <c r="AL609" s="42">
        <f t="shared" si="1273"/>
        <v>0</v>
      </c>
      <c r="AM609" s="42">
        <f t="shared" si="1286"/>
        <v>0</v>
      </c>
      <c r="AN609" s="42">
        <f t="shared" si="1287"/>
        <v>0</v>
      </c>
      <c r="AO609" s="42">
        <f t="shared" si="1288"/>
        <v>0</v>
      </c>
      <c r="AP609" s="42">
        <f t="shared" si="1289"/>
        <v>0</v>
      </c>
      <c r="AQ609" s="42">
        <f t="shared" si="1290"/>
        <v>0</v>
      </c>
      <c r="AR609" s="42">
        <f t="shared" si="1274"/>
        <v>0</v>
      </c>
      <c r="AS609" s="42">
        <f t="shared" si="1291"/>
        <v>0</v>
      </c>
      <c r="AT609" s="42">
        <f t="shared" si="1292"/>
        <v>0</v>
      </c>
      <c r="AU609" s="42">
        <f t="shared" si="1293"/>
        <v>0</v>
      </c>
      <c r="AV609" s="42">
        <f>IF(M609="ПП",РПП*AA609*(U609/1.5),IF(M609="ВП",ВПр*AA609*(U609/1.5),IF(M609="РПА",РПА*AA609*(U609/1.5),IF(M609="КПА",КПА*AA609*(U609/1.5),0))))</f>
        <v>0</v>
      </c>
      <c r="AW609" s="42">
        <f t="shared" si="1294"/>
        <v>13</v>
      </c>
      <c r="AX609" s="42">
        <f t="shared" si="1275"/>
        <v>0</v>
      </c>
      <c r="AY609" s="42">
        <f t="shared" si="1276"/>
        <v>0</v>
      </c>
      <c r="AZ609" s="42">
        <f t="shared" si="1295"/>
        <v>0</v>
      </c>
      <c r="BA609" s="42">
        <f t="shared" si="1277"/>
        <v>0</v>
      </c>
      <c r="BB609" s="42">
        <f t="shared" si="1278"/>
        <v>0</v>
      </c>
      <c r="BC609" s="42">
        <f t="shared" si="1279"/>
        <v>0</v>
      </c>
      <c r="BD609" s="42">
        <f t="shared" si="1296"/>
        <v>0</v>
      </c>
      <c r="BE609" s="43">
        <f t="shared" si="1297"/>
        <v>13</v>
      </c>
      <c r="BF609" s="44"/>
      <c r="BG609" s="45">
        <f t="shared" si="1298"/>
        <v>0</v>
      </c>
      <c r="BH609" s="45">
        <f t="shared" si="1299"/>
        <v>0</v>
      </c>
      <c r="BI609" s="45">
        <f t="shared" si="1300"/>
        <v>13</v>
      </c>
      <c r="BJ609" s="46">
        <f t="shared" si="1301"/>
        <v>0</v>
      </c>
      <c r="BK609" s="46">
        <f t="shared" si="1302"/>
        <v>0</v>
      </c>
      <c r="BL609" s="46">
        <f t="shared" si="1303"/>
        <v>0</v>
      </c>
    </row>
    <row r="610" spans="1:64" ht="30" customHeight="1" x14ac:dyDescent="0.25">
      <c r="A610" s="84" t="str">
        <f t="shared" si="1270"/>
        <v>Д</v>
      </c>
      <c r="B610" s="84" t="str">
        <f t="shared" si="1280"/>
        <v>А</v>
      </c>
      <c r="C610" s="133" t="s">
        <v>2594</v>
      </c>
      <c r="D610" s="16" t="str">
        <f t="shared" si="1281"/>
        <v>'09.06.01</v>
      </c>
      <c r="E610" s="17" t="str">
        <f t="shared" si="1282"/>
        <v>Математическое моделирование, численные методы и комплексы программ</v>
      </c>
      <c r="F610" s="9"/>
      <c r="G610" s="9"/>
      <c r="H610" s="112" t="s">
        <v>3233</v>
      </c>
      <c r="I610" s="10"/>
      <c r="J610" s="115" t="s">
        <v>3358</v>
      </c>
      <c r="K610" s="109">
        <v>5</v>
      </c>
      <c r="L610" s="109"/>
      <c r="M610" s="113" t="s">
        <v>474</v>
      </c>
      <c r="N610" s="109"/>
      <c r="O610" s="109"/>
      <c r="P610" s="109"/>
      <c r="Q610" s="113"/>
      <c r="R610" s="109"/>
      <c r="S610" s="109"/>
      <c r="T610" s="109"/>
      <c r="U610" s="109">
        <v>4</v>
      </c>
      <c r="V610" s="109"/>
      <c r="W610" s="83" t="str">
        <f t="shared" si="1271"/>
        <v>НИВад</v>
      </c>
      <c r="X610" s="114" t="s">
        <v>3245</v>
      </c>
      <c r="Y610" s="109"/>
      <c r="Z610" s="109"/>
      <c r="AA610" s="83">
        <f t="shared" si="1283"/>
        <v>1</v>
      </c>
      <c r="AB610" s="109"/>
      <c r="AC610" s="109">
        <v>1</v>
      </c>
      <c r="AD610" s="81">
        <f t="shared" si="1272"/>
        <v>1</v>
      </c>
      <c r="AE610" s="82">
        <f t="shared" si="1284"/>
        <v>1</v>
      </c>
      <c r="AF610" s="82">
        <f t="shared" si="1285"/>
        <v>1</v>
      </c>
      <c r="AG610" s="102"/>
      <c r="AH610" s="113" t="s">
        <v>204</v>
      </c>
      <c r="AI610" s="113" t="s">
        <v>212</v>
      </c>
      <c r="AJ610" s="121" t="s">
        <v>3255</v>
      </c>
      <c r="AK610" s="8"/>
      <c r="AL610" s="42">
        <f t="shared" si="1273"/>
        <v>0</v>
      </c>
      <c r="AM610" s="42">
        <f t="shared" si="1286"/>
        <v>0</v>
      </c>
      <c r="AN610" s="42">
        <f t="shared" si="1287"/>
        <v>0</v>
      </c>
      <c r="AO610" s="42">
        <f>(IF((AND(OR(K610=1,K610=2,K610=3,K610=4,K610=5,K610=6,K610=7,K610=8,K610=9,K610=10,K610=11,K610=12),OR(Q610="Зач",Q610="Экз"))),ТКиРА*AA610,0)+IF(SUM(N610:P610)&lt;&gt;0,IF(Q610="ТК",ТКиРА*AA610,0),0))*(IF(F610="ФТД",0,1))</f>
        <v>0</v>
      </c>
      <c r="AP610" s="42">
        <f t="shared" si="1289"/>
        <v>0</v>
      </c>
      <c r="AQ610" s="42">
        <f>(IF(AP610&lt;&gt;0,ОфВед*(IF(OR(M610="лек",M610="лаб"),Z610,AE610)),0))*(IF(F610="ФТД",0,1))</f>
        <v>0</v>
      </c>
      <c r="AR610" s="42">
        <f t="shared" si="1274"/>
        <v>0</v>
      </c>
      <c r="AS610" s="42">
        <f t="shared" si="1291"/>
        <v>0</v>
      </c>
      <c r="AT610" s="42">
        <f t="shared" si="1292"/>
        <v>0</v>
      </c>
      <c r="AU610" s="42">
        <f t="shared" si="1293"/>
        <v>0</v>
      </c>
      <c r="AV610" s="42">
        <f>IF(M610="ПП",РПП*AA610*(U610/1.5),IF(M610="ВП",ВПр*AA610*(U610/1.5),IF(M610="РПА",РПА*AA610*(U610/1.5),IF(M610="КПА",КПА*AA610*(U610/1.5),0))))</f>
        <v>4</v>
      </c>
      <c r="AW610" s="42">
        <f t="shared" si="1294"/>
        <v>0</v>
      </c>
      <c r="AX610" s="42">
        <f t="shared" si="1275"/>
        <v>0</v>
      </c>
      <c r="AY610" s="42">
        <f t="shared" si="1276"/>
        <v>0</v>
      </c>
      <c r="AZ610" s="42">
        <f t="shared" si="1295"/>
        <v>0</v>
      </c>
      <c r="BA610" s="42">
        <f t="shared" si="1277"/>
        <v>0</v>
      </c>
      <c r="BB610" s="42">
        <f t="shared" si="1278"/>
        <v>0</v>
      </c>
      <c r="BC610" s="42">
        <f t="shared" si="1279"/>
        <v>0</v>
      </c>
      <c r="BD610" s="42">
        <f t="shared" si="1296"/>
        <v>0</v>
      </c>
      <c r="BE610" s="43">
        <f t="shared" si="1297"/>
        <v>4</v>
      </c>
      <c r="BF610" s="44"/>
      <c r="BG610" s="45">
        <f t="shared" si="1298"/>
        <v>0</v>
      </c>
      <c r="BH610" s="45">
        <f t="shared" si="1299"/>
        <v>0</v>
      </c>
      <c r="BI610" s="45">
        <f t="shared" si="1300"/>
        <v>4</v>
      </c>
      <c r="BJ610" s="46">
        <f t="shared" si="1301"/>
        <v>0</v>
      </c>
      <c r="BK610" s="46">
        <f t="shared" si="1302"/>
        <v>0</v>
      </c>
      <c r="BL610" s="46">
        <f t="shared" si="1303"/>
        <v>0</v>
      </c>
    </row>
    <row r="611" spans="1:64" ht="30" customHeight="1" x14ac:dyDescent="0.25">
      <c r="A611" s="84" t="str">
        <f t="shared" si="1270"/>
        <v>Д</v>
      </c>
      <c r="B611" s="84" t="str">
        <f t="shared" ref="B611:B635" si="1328">IF(C611&gt;0, VLOOKUP(C611,Код_ООП,11,FALSE),0)</f>
        <v>А</v>
      </c>
      <c r="C611" s="133" t="s">
        <v>2594</v>
      </c>
      <c r="D611" s="16" t="str">
        <f t="shared" ref="D611:D635" si="1329">IF(C611&gt;0, VLOOKUP(C611,Код_ООП,2,FALSE),0)</f>
        <v>'09.06.01</v>
      </c>
      <c r="E611" s="17" t="str">
        <f t="shared" ref="E611:E635" si="1330">IF(C611&gt;0, VLOOKUP(C611,Код_ООП,13,FALSE),0)</f>
        <v>Математическое моделирование, численные методы и комплексы программ</v>
      </c>
      <c r="F611" s="9"/>
      <c r="G611" s="9"/>
      <c r="H611" s="112" t="s">
        <v>3233</v>
      </c>
      <c r="I611" s="10"/>
      <c r="J611" s="115" t="s">
        <v>3358</v>
      </c>
      <c r="K611" s="109">
        <v>6</v>
      </c>
      <c r="L611" s="109"/>
      <c r="M611" s="113" t="s">
        <v>474</v>
      </c>
      <c r="N611" s="109"/>
      <c r="O611" s="109"/>
      <c r="P611" s="109"/>
      <c r="Q611" s="113"/>
      <c r="R611" s="109"/>
      <c r="S611" s="109"/>
      <c r="T611" s="109"/>
      <c r="U611" s="109">
        <v>4</v>
      </c>
      <c r="V611" s="109"/>
      <c r="W611" s="83" t="str">
        <f t="shared" si="1271"/>
        <v>НИВад</v>
      </c>
      <c r="X611" s="114" t="s">
        <v>3245</v>
      </c>
      <c r="Y611" s="109"/>
      <c r="Z611" s="109"/>
      <c r="AA611" s="83">
        <f t="shared" ref="AA611:AA635" si="1331">AB611+AC611</f>
        <v>1</v>
      </c>
      <c r="AB611" s="109"/>
      <c r="AC611" s="109">
        <v>1</v>
      </c>
      <c r="AD611" s="81">
        <f t="shared" si="1272"/>
        <v>1</v>
      </c>
      <c r="AE611" s="82">
        <f t="shared" ref="AE611:AE635" si="1332">IF(AF611&gt;1,1,AF611)</f>
        <v>1</v>
      </c>
      <c r="AF611" s="82">
        <f t="shared" ref="AF611:AF635" si="1333">AA611/AD611</f>
        <v>1</v>
      </c>
      <c r="AG611" s="102"/>
      <c r="AH611" s="113" t="s">
        <v>204</v>
      </c>
      <c r="AI611" s="113" t="s">
        <v>212</v>
      </c>
      <c r="AJ611" s="121" t="s">
        <v>3255</v>
      </c>
      <c r="AK611" s="8"/>
      <c r="AL611" s="42">
        <f t="shared" si="1273"/>
        <v>0</v>
      </c>
      <c r="AM611" s="42">
        <f t="shared" ref="AM611:AM635" si="1334">IF(OR(M611="пр",M611="ия",M611="сп"),P611*AE611*L611,0)</f>
        <v>0</v>
      </c>
      <c r="AN611" s="42">
        <f t="shared" ref="AN611:AN635" si="1335">IF(OR(M611="лаб",M611="клн"),O611*AE611*L611,0)</f>
        <v>0</v>
      </c>
      <c r="AO611" s="42">
        <f>(IF((AND(OR(K611=1,K611=2,K611=3,K611=4,K611=5,K611=6,K611=7,K611=8,K611=9,K611=10,K611=11,K611=12),OR(Q611="Зач",Q611="Экз"))),ТКиРА*AA611,0)+IF(SUM(N611:P611)&lt;&gt;0,IF(Q611="ТК",ТКиРА*AA611,0),0))*(IF(F611="ФТД",0,1))</f>
        <v>0</v>
      </c>
      <c r="AP611" s="42">
        <f t="shared" ref="AP611:AP635" si="1336">IF(SUM(O611:P611)&lt;&gt;0,IF(Q611="Зач",ПАБРС*AA611,0),0)+IF(N611&lt;&gt;0,IF(Q611="Экз",ПАБРС*AA611,0),0)</f>
        <v>0</v>
      </c>
      <c r="AQ611" s="42">
        <f>(IF(AP611&lt;&gt;0,ОфВед*(IF(OR(M611="лек",M611="лаб"),Z611,AE611)),0))*(IF(F611="ФТД",0,1))</f>
        <v>0</v>
      </c>
      <c r="AR611" s="42">
        <f t="shared" si="1274"/>
        <v>0</v>
      </c>
      <c r="AS611" s="42">
        <f t="shared" ref="AS611:AS635" si="1337">IF(OR(M611="лаб",M611="пр"),IF(R611="К",AA611*ВПКР,IF(R611="М",AA611*ВПИБ,0)),0)</f>
        <v>0</v>
      </c>
      <c r="AT611" s="42">
        <f t="shared" ref="AT611:AT635" si="1338">IF(OR(M611="лаб",M611="пр"),IF(S611="К",AA611*ВПКП,0),0)</f>
        <v>0</v>
      </c>
      <c r="AU611" s="42">
        <f t="shared" ref="AU611:AU635" si="1339">IF(M611="УП",T611/1.5*AA611*РУП,IF(M611="УПМ",T611/1.5*AA611*РУПЛеч,0))</f>
        <v>0</v>
      </c>
      <c r="AV611" s="42">
        <f>IF(M611="ПП",РПП*AA611*(U611/1.5),IF(M611="ВП",ВПр*AA611*(U611/1.5),IF(M611="РПА",РПА*AA611*(U611/1.5),IF(M611="КПА",КПА*AA611*(U611/1.5),0))))</f>
        <v>4</v>
      </c>
      <c r="AW611" s="42">
        <f t="shared" ref="AW611:AW635" si="1340">IF(M611="НР",(AB611*НИРМ+AC611*НИРМИн)*(V611/1.5),IF(M611="НИ",(AB611*НИРА+AC611*НИРАИ)*(V611/1.5),0))</f>
        <v>0</v>
      </c>
      <c r="AX611" s="42">
        <f t="shared" si="1275"/>
        <v>0</v>
      </c>
      <c r="AY611" s="42">
        <f t="shared" si="1276"/>
        <v>0</v>
      </c>
      <c r="AZ611" s="42">
        <f t="shared" ref="AZ611:AZ635" si="1341">IF(AND(Q611="КЭ",M611="ЧК"),AA611*КдЭк,0)</f>
        <v>0</v>
      </c>
      <c r="BA611" s="42">
        <f t="shared" si="1277"/>
        <v>0</v>
      </c>
      <c r="BB611" s="42">
        <f t="shared" si="1278"/>
        <v>0</v>
      </c>
      <c r="BC611" s="42">
        <f t="shared" si="1279"/>
        <v>0</v>
      </c>
      <c r="BD611" s="42">
        <f t="shared" ref="BD611:BD635" si="1342">IF(M611="ЧГ",AA611*ЧГ,IF(M611="ПГ",AA611*ПГ,IF(M611="ТЕСТ",ТГИЭ*AE611,IF(M611="СГ",AA611*СГ,0))))</f>
        <v>0</v>
      </c>
      <c r="BE611" s="43">
        <f t="shared" ref="BE611:BE635" si="1343">SUM(AL611:BD611)</f>
        <v>4</v>
      </c>
      <c r="BF611" s="44"/>
      <c r="BG611" s="45">
        <f t="shared" ref="BG611:BG635" si="1344">IF(OR(K611="1;1",K611="1;2",K611=1,K611="3;1",K611="3;2",K611=3,K611="5;1",K611="5;2",K611=5,K611="7;1",K611="7;2",K611=7,K611="9;1",K611="9;2",K611=9,K611=11),SUM(AL611:AN611),0)</f>
        <v>0</v>
      </c>
      <c r="BH611" s="45">
        <f t="shared" ref="BH611:BH635" si="1345">IF(BG611&lt;&gt;0,SUM(N611:P611)/2,0)</f>
        <v>0</v>
      </c>
      <c r="BI611" s="45">
        <f t="shared" ref="BI611:BI635" si="1346">IF(OR(K611="1;1",K611="1;2",K611=1,K611="3;1",K611="3;2",K611=3,K611="5;1",K611="5;2",K611=5,K611="7;1",K611="7;2",K611=7,K611="9;1",K611="9;2",K611=9,K611=11),SUM(AO611:BD611),0)</f>
        <v>0</v>
      </c>
      <c r="BJ611" s="46">
        <f t="shared" ref="BJ611:BJ635" si="1347">IF(OR(K611="2;3",K611="2;4",K611=2,K611="4;3",K611="4;4",K611=4,K611="6;3",K611="6;4",K611=6,K611="8;3",K611="8;4",K611=8,K611="10;3",K611="10;4",K611=10,K611=12),SUM(AL611:AN611),0)</f>
        <v>0</v>
      </c>
      <c r="BK611" s="46">
        <f t="shared" ref="BK611:BK635" si="1348">IF(BJ611&lt;&gt;0,SUM(N611:P611)/2,0)</f>
        <v>0</v>
      </c>
      <c r="BL611" s="46">
        <f t="shared" ref="BL611:BL635" si="1349">IF(OR(K611="2;3",K611="2;4",K611=2,K611="4;3",K611="4;4",K611=4,K611="6;3",K611="6;4",K611=6,K611="8;3",K611="8;4",K611=8,K611="10;3",K611="10;4",K611=10,K611=12),SUM(AO611:BD611),0)</f>
        <v>4</v>
      </c>
    </row>
    <row r="612" spans="1:64" ht="30" customHeight="1" x14ac:dyDescent="0.25">
      <c r="A612" s="84" t="str">
        <f t="shared" si="1270"/>
        <v>Д</v>
      </c>
      <c r="B612" s="84" t="str">
        <f t="shared" si="1328"/>
        <v>А</v>
      </c>
      <c r="C612" s="133" t="s">
        <v>2594</v>
      </c>
      <c r="D612" s="16" t="str">
        <f t="shared" si="1329"/>
        <v>'09.06.01</v>
      </c>
      <c r="E612" s="17" t="str">
        <f t="shared" si="1330"/>
        <v>Математическое моделирование, численные методы и комплексы программ</v>
      </c>
      <c r="F612" s="9"/>
      <c r="G612" s="9"/>
      <c r="H612" s="112" t="s">
        <v>3233</v>
      </c>
      <c r="I612" s="10"/>
      <c r="J612" s="115" t="s">
        <v>3360</v>
      </c>
      <c r="K612" s="109">
        <v>5</v>
      </c>
      <c r="L612" s="109"/>
      <c r="M612" s="113" t="s">
        <v>510</v>
      </c>
      <c r="N612" s="109"/>
      <c r="O612" s="109"/>
      <c r="P612" s="109"/>
      <c r="Q612" s="113"/>
      <c r="R612" s="109"/>
      <c r="S612" s="109"/>
      <c r="T612" s="109"/>
      <c r="U612" s="109"/>
      <c r="V612" s="109">
        <v>26</v>
      </c>
      <c r="W612" s="83" t="str">
        <f t="shared" si="1271"/>
        <v>НИВад</v>
      </c>
      <c r="X612" s="114" t="s">
        <v>3245</v>
      </c>
      <c r="Y612" s="109"/>
      <c r="Z612" s="109"/>
      <c r="AA612" s="83">
        <f t="shared" si="1331"/>
        <v>1</v>
      </c>
      <c r="AB612" s="109"/>
      <c r="AC612" s="109">
        <v>1</v>
      </c>
      <c r="AD612" s="81">
        <f t="shared" si="1272"/>
        <v>1</v>
      </c>
      <c r="AE612" s="82">
        <f t="shared" si="1332"/>
        <v>1</v>
      </c>
      <c r="AF612" s="82">
        <f t="shared" si="1333"/>
        <v>1</v>
      </c>
      <c r="AG612" s="102"/>
      <c r="AH612" s="113" t="s">
        <v>204</v>
      </c>
      <c r="AI612" s="113" t="s">
        <v>212</v>
      </c>
      <c r="AJ612" s="126" t="s">
        <v>3255</v>
      </c>
      <c r="AK612" s="8"/>
      <c r="AL612" s="42">
        <f t="shared" si="1273"/>
        <v>0</v>
      </c>
      <c r="AM612" s="42">
        <f t="shared" si="1334"/>
        <v>0</v>
      </c>
      <c r="AN612" s="42">
        <f t="shared" si="1335"/>
        <v>0</v>
      </c>
      <c r="AO612" s="42">
        <f>(IF((AND(OR(K612=1,K612=2,K612=3,K612=4,K612=5,K612=6,K612=7,K612=8,K612=9,K612=10,K612=11,K612=12),OR(Q612="Зач",Q612="Экз"))),ТКиРА*AA612,0)+IF(SUM(N612:P612)&lt;&gt;0,IF(Q612="ТК",ТКиРА*AA612,0),0))*(IF(F612="ФТД",0,1))</f>
        <v>0</v>
      </c>
      <c r="AP612" s="42">
        <f t="shared" si="1336"/>
        <v>0</v>
      </c>
      <c r="AQ612" s="42">
        <f>(IF(AP612&lt;&gt;0,ОфВед*(IF(OR(M612="лек",M612="лаб"),Z612,AE612)),0))*(IF(F612="ФТД",0,1))</f>
        <v>0</v>
      </c>
      <c r="AR612" s="42">
        <f t="shared" si="1274"/>
        <v>0</v>
      </c>
      <c r="AS612" s="42">
        <f t="shared" si="1337"/>
        <v>0</v>
      </c>
      <c r="AT612" s="42">
        <f t="shared" si="1338"/>
        <v>0</v>
      </c>
      <c r="AU612" s="42">
        <f t="shared" si="1339"/>
        <v>0</v>
      </c>
      <c r="AV612" s="42">
        <f>IF(M612="ПП",РПП*AA612*(U612/1.5),IF(M612="ВП",ВПр*AA612*(U612/1.5),IF(M612="РПА",РПА*AA612*(U612/1.5),IF(M612="КПА",КПА*AA612*(U612/1.5),0))))</f>
        <v>0</v>
      </c>
      <c r="AW612" s="42">
        <f t="shared" si="1340"/>
        <v>13</v>
      </c>
      <c r="AX612" s="42">
        <f t="shared" si="1275"/>
        <v>0</v>
      </c>
      <c r="AY612" s="42">
        <f t="shared" si="1276"/>
        <v>0</v>
      </c>
      <c r="AZ612" s="42">
        <f t="shared" si="1341"/>
        <v>0</v>
      </c>
      <c r="BA612" s="42">
        <f t="shared" si="1277"/>
        <v>0</v>
      </c>
      <c r="BB612" s="42">
        <f t="shared" si="1278"/>
        <v>0</v>
      </c>
      <c r="BC612" s="42">
        <f t="shared" si="1279"/>
        <v>0</v>
      </c>
      <c r="BD612" s="42">
        <f t="shared" si="1342"/>
        <v>0</v>
      </c>
      <c r="BE612" s="43">
        <f t="shared" si="1343"/>
        <v>13</v>
      </c>
      <c r="BF612" s="44"/>
      <c r="BG612" s="45">
        <f t="shared" si="1344"/>
        <v>0</v>
      </c>
      <c r="BH612" s="45">
        <f t="shared" si="1345"/>
        <v>0</v>
      </c>
      <c r="BI612" s="45">
        <f t="shared" si="1346"/>
        <v>13</v>
      </c>
      <c r="BJ612" s="46">
        <f t="shared" si="1347"/>
        <v>0</v>
      </c>
      <c r="BK612" s="46">
        <f t="shared" si="1348"/>
        <v>0</v>
      </c>
      <c r="BL612" s="46">
        <f t="shared" si="1349"/>
        <v>0</v>
      </c>
    </row>
    <row r="613" spans="1:64" ht="30" customHeight="1" x14ac:dyDescent="0.25">
      <c r="A613" s="84" t="str">
        <f t="shared" si="1270"/>
        <v>Д</v>
      </c>
      <c r="B613" s="84" t="str">
        <f t="shared" si="1328"/>
        <v>А</v>
      </c>
      <c r="C613" s="133" t="s">
        <v>2594</v>
      </c>
      <c r="D613" s="16" t="str">
        <f t="shared" si="1329"/>
        <v>'09.06.01</v>
      </c>
      <c r="E613" s="17" t="str">
        <f t="shared" si="1330"/>
        <v>Математическое моделирование, численные методы и комплексы программ</v>
      </c>
      <c r="F613" s="9"/>
      <c r="G613" s="9"/>
      <c r="H613" s="112" t="s">
        <v>3233</v>
      </c>
      <c r="I613" s="10"/>
      <c r="J613" s="115" t="s">
        <v>3360</v>
      </c>
      <c r="K613" s="109">
        <v>6</v>
      </c>
      <c r="L613" s="109"/>
      <c r="M613" s="113" t="s">
        <v>510</v>
      </c>
      <c r="N613" s="109"/>
      <c r="O613" s="109"/>
      <c r="P613" s="109"/>
      <c r="Q613" s="113"/>
      <c r="R613" s="109"/>
      <c r="S613" s="109"/>
      <c r="T613" s="109"/>
      <c r="U613" s="109"/>
      <c r="V613" s="109">
        <v>26</v>
      </c>
      <c r="W613" s="83" t="str">
        <f t="shared" si="1271"/>
        <v>НИВад</v>
      </c>
      <c r="X613" s="114" t="s">
        <v>3245</v>
      </c>
      <c r="Y613" s="109"/>
      <c r="Z613" s="109"/>
      <c r="AA613" s="83">
        <f t="shared" si="1331"/>
        <v>1</v>
      </c>
      <c r="AB613" s="109"/>
      <c r="AC613" s="109">
        <v>1</v>
      </c>
      <c r="AD613" s="81">
        <f t="shared" si="1272"/>
        <v>1</v>
      </c>
      <c r="AE613" s="82">
        <f t="shared" si="1332"/>
        <v>1</v>
      </c>
      <c r="AF613" s="82">
        <f t="shared" si="1333"/>
        <v>1</v>
      </c>
      <c r="AG613" s="102"/>
      <c r="AH613" s="113" t="s">
        <v>204</v>
      </c>
      <c r="AI613" s="113" t="s">
        <v>212</v>
      </c>
      <c r="AJ613" s="121" t="s">
        <v>3255</v>
      </c>
      <c r="AK613" s="8"/>
      <c r="AL613" s="42">
        <f t="shared" si="1273"/>
        <v>0</v>
      </c>
      <c r="AM613" s="42">
        <f t="shared" si="1334"/>
        <v>0</v>
      </c>
      <c r="AN613" s="42">
        <f t="shared" si="1335"/>
        <v>0</v>
      </c>
      <c r="AO613" s="42">
        <f>(IF((AND(OR(K613=1,K613=2,K613=3,K613=4,K613=5,K613=6,K613=7,K613=8,K613=9,K613=10,K613=11,K613=12),OR(Q613="Зач",Q613="Экз"))),ТКиРА*AA613,0)+IF(SUM(N613:P613)&lt;&gt;0,IF(Q613="ТК",ТКиРА*AA613,0),0))*(IF(F613="ФТД",0,1))</f>
        <v>0</v>
      </c>
      <c r="AP613" s="42">
        <f t="shared" si="1336"/>
        <v>0</v>
      </c>
      <c r="AQ613" s="42">
        <f>(IF(AP613&lt;&gt;0,ОфВед*(IF(OR(M613="лек",M613="лаб"),Z613,AE613)),0))*(IF(F613="ФТД",0,1))</f>
        <v>0</v>
      </c>
      <c r="AR613" s="42">
        <f t="shared" si="1274"/>
        <v>0</v>
      </c>
      <c r="AS613" s="42">
        <f t="shared" si="1337"/>
        <v>0</v>
      </c>
      <c r="AT613" s="42">
        <f t="shared" si="1338"/>
        <v>0</v>
      </c>
      <c r="AU613" s="42">
        <f t="shared" si="1339"/>
        <v>0</v>
      </c>
      <c r="AV613" s="42">
        <f>IF(M613="ПП",РПП*AA613*(U613/1.5),IF(M613="ВП",ВПр*AA613*(U613/1.5),IF(M613="РПА",РПА*AA613*(U613/1.5),IF(M613="КПА",КПА*AA613*(U613/1.5),0))))</f>
        <v>0</v>
      </c>
      <c r="AW613" s="42">
        <f t="shared" si="1340"/>
        <v>13</v>
      </c>
      <c r="AX613" s="42">
        <f t="shared" si="1275"/>
        <v>0</v>
      </c>
      <c r="AY613" s="42">
        <f t="shared" si="1276"/>
        <v>0</v>
      </c>
      <c r="AZ613" s="42">
        <f t="shared" si="1341"/>
        <v>0</v>
      </c>
      <c r="BA613" s="42">
        <f t="shared" si="1277"/>
        <v>0</v>
      </c>
      <c r="BB613" s="42">
        <f t="shared" si="1278"/>
        <v>0</v>
      </c>
      <c r="BC613" s="42">
        <f t="shared" si="1279"/>
        <v>0</v>
      </c>
      <c r="BD613" s="42">
        <f t="shared" si="1342"/>
        <v>0</v>
      </c>
      <c r="BE613" s="43">
        <f t="shared" si="1343"/>
        <v>13</v>
      </c>
      <c r="BF613" s="44"/>
      <c r="BG613" s="45">
        <f t="shared" si="1344"/>
        <v>0</v>
      </c>
      <c r="BH613" s="45">
        <f t="shared" si="1345"/>
        <v>0</v>
      </c>
      <c r="BI613" s="45">
        <f t="shared" si="1346"/>
        <v>0</v>
      </c>
      <c r="BJ613" s="46">
        <f t="shared" si="1347"/>
        <v>0</v>
      </c>
      <c r="BK613" s="46">
        <f t="shared" si="1348"/>
        <v>0</v>
      </c>
      <c r="BL613" s="46">
        <f t="shared" si="1349"/>
        <v>13</v>
      </c>
    </row>
    <row r="614" spans="1:64" ht="30" customHeight="1" x14ac:dyDescent="0.25">
      <c r="A614" s="84" t="str">
        <f t="shared" si="1270"/>
        <v>Д</v>
      </c>
      <c r="B614" s="84" t="str">
        <f t="shared" si="1328"/>
        <v>А</v>
      </c>
      <c r="C614" s="133" t="s">
        <v>2593</v>
      </c>
      <c r="D614" s="16" t="str">
        <f t="shared" si="1329"/>
        <v>'09.06.01</v>
      </c>
      <c r="E614" s="17" t="str">
        <f t="shared" si="1330"/>
        <v>Теоретические основы информатики</v>
      </c>
      <c r="F614" s="116"/>
      <c r="G614" s="116"/>
      <c r="H614" s="112" t="s">
        <v>3233</v>
      </c>
      <c r="I614" s="112"/>
      <c r="J614" s="115" t="s">
        <v>3358</v>
      </c>
      <c r="K614" s="109">
        <v>5</v>
      </c>
      <c r="L614" s="109"/>
      <c r="M614" s="113" t="s">
        <v>474</v>
      </c>
      <c r="N614" s="109"/>
      <c r="O614" s="109"/>
      <c r="P614" s="109"/>
      <c r="Q614" s="113"/>
      <c r="R614" s="109"/>
      <c r="S614" s="109"/>
      <c r="T614" s="109"/>
      <c r="U614" s="109">
        <v>4</v>
      </c>
      <c r="V614" s="109"/>
      <c r="W614" s="83" t="str">
        <f t="shared" si="1271"/>
        <v>НИВад</v>
      </c>
      <c r="X614" s="114" t="s">
        <v>3244</v>
      </c>
      <c r="Y614" s="109"/>
      <c r="Z614" s="109"/>
      <c r="AA614" s="83">
        <f t="shared" si="1331"/>
        <v>1</v>
      </c>
      <c r="AB614" s="109"/>
      <c r="AC614" s="109">
        <v>1</v>
      </c>
      <c r="AD614" s="81">
        <f t="shared" si="1272"/>
        <v>1</v>
      </c>
      <c r="AE614" s="82">
        <f t="shared" si="1332"/>
        <v>1</v>
      </c>
      <c r="AF614" s="82">
        <f t="shared" si="1333"/>
        <v>1</v>
      </c>
      <c r="AG614" s="102"/>
      <c r="AH614" s="113" t="s">
        <v>204</v>
      </c>
      <c r="AI614" s="113" t="s">
        <v>213</v>
      </c>
      <c r="AJ614" s="121" t="s">
        <v>3259</v>
      </c>
      <c r="AK614" s="8"/>
      <c r="AL614" s="42">
        <f t="shared" si="1273"/>
        <v>0</v>
      </c>
      <c r="AM614" s="42">
        <f t="shared" si="1334"/>
        <v>0</v>
      </c>
      <c r="AN614" s="42">
        <f t="shared" si="1335"/>
        <v>0</v>
      </c>
      <c r="AO614" s="42">
        <f t="shared" ref="AO614:AO635" si="1350">(IF((AND(OR(K614=1,K614=2,K614=3,K614=4,K614=5,K614=6,K614=7,K614=8,K614=9,K614=10,K614=11,K614=12),OR(Q614="Зач",Q614="Экз"))),ТКиРА*AA614,0)+IF(SUM(N614:P614)&lt;&gt;0,IF(Q614="ТК",ТКиРА*AA614,0),0))*(IF(F614="ФТД",0,1))</f>
        <v>0</v>
      </c>
      <c r="AP614" s="42">
        <f t="shared" si="1336"/>
        <v>0</v>
      </c>
      <c r="AQ614" s="42">
        <f t="shared" ref="AQ614:AQ635" si="1351">(IF(AP614&lt;&gt;0,ОфВед*(IF(OR(M614="лек",M614="лаб"),Z614,AE614)),0))*(IF(F614="ФТД",0,1))</f>
        <v>0</v>
      </c>
      <c r="AR614" s="42">
        <f t="shared" si="1274"/>
        <v>0</v>
      </c>
      <c r="AS614" s="42">
        <f t="shared" si="1337"/>
        <v>0</v>
      </c>
      <c r="AT614" s="42">
        <f t="shared" si="1338"/>
        <v>0</v>
      </c>
      <c r="AU614" s="42">
        <f t="shared" si="1339"/>
        <v>0</v>
      </c>
      <c r="AV614" s="42">
        <f>IF(M614="ПП",РПП*AA614*(U614/1.5),IF(M614="ВП",ВПр*AA614*(U614/1.5),IF(M614="РПА",РПА*AA614*(U614/1.5),IF(M614="КПА",КПА*AA614*(U614/1.5),0))))</f>
        <v>4</v>
      </c>
      <c r="AW614" s="42">
        <f t="shared" si="1340"/>
        <v>0</v>
      </c>
      <c r="AX614" s="42">
        <f t="shared" si="1275"/>
        <v>0</v>
      </c>
      <c r="AY614" s="42">
        <f t="shared" si="1276"/>
        <v>0</v>
      </c>
      <c r="AZ614" s="42">
        <f t="shared" si="1341"/>
        <v>0</v>
      </c>
      <c r="BA614" s="42">
        <f t="shared" si="1277"/>
        <v>0</v>
      </c>
      <c r="BB614" s="42">
        <f t="shared" si="1278"/>
        <v>0</v>
      </c>
      <c r="BC614" s="42">
        <f t="shared" si="1279"/>
        <v>0</v>
      </c>
      <c r="BD614" s="42">
        <f t="shared" si="1342"/>
        <v>0</v>
      </c>
      <c r="BE614" s="43">
        <f t="shared" si="1343"/>
        <v>4</v>
      </c>
      <c r="BF614" s="44"/>
      <c r="BG614" s="45">
        <f t="shared" si="1344"/>
        <v>0</v>
      </c>
      <c r="BH614" s="45">
        <f t="shared" si="1345"/>
        <v>0</v>
      </c>
      <c r="BI614" s="45">
        <f t="shared" si="1346"/>
        <v>4</v>
      </c>
      <c r="BJ614" s="46">
        <f t="shared" si="1347"/>
        <v>0</v>
      </c>
      <c r="BK614" s="46">
        <f t="shared" si="1348"/>
        <v>0</v>
      </c>
      <c r="BL614" s="46">
        <f t="shared" si="1349"/>
        <v>0</v>
      </c>
    </row>
    <row r="615" spans="1:64" ht="30" customHeight="1" x14ac:dyDescent="0.25">
      <c r="A615" s="84" t="str">
        <f t="shared" si="1270"/>
        <v>Д</v>
      </c>
      <c r="B615" s="84" t="str">
        <f t="shared" si="1328"/>
        <v>А</v>
      </c>
      <c r="C615" s="133" t="s">
        <v>2593</v>
      </c>
      <c r="D615" s="16" t="str">
        <f t="shared" si="1329"/>
        <v>'09.06.01</v>
      </c>
      <c r="E615" s="17" t="str">
        <f t="shared" si="1330"/>
        <v>Теоретические основы информатики</v>
      </c>
      <c r="F615" s="116"/>
      <c r="G615" s="116"/>
      <c r="H615" s="112" t="s">
        <v>3233</v>
      </c>
      <c r="I615" s="112"/>
      <c r="J615" s="115" t="s">
        <v>3358</v>
      </c>
      <c r="K615" s="109">
        <v>6</v>
      </c>
      <c r="L615" s="109"/>
      <c r="M615" s="113" t="s">
        <v>474</v>
      </c>
      <c r="N615" s="109"/>
      <c r="O615" s="109"/>
      <c r="P615" s="109"/>
      <c r="Q615" s="113"/>
      <c r="R615" s="109"/>
      <c r="S615" s="109"/>
      <c r="T615" s="109"/>
      <c r="U615" s="109">
        <v>4</v>
      </c>
      <c r="V615" s="109"/>
      <c r="W615" s="83" t="str">
        <f t="shared" si="1271"/>
        <v>НИВад</v>
      </c>
      <c r="X615" s="114" t="s">
        <v>3244</v>
      </c>
      <c r="Y615" s="109"/>
      <c r="Z615" s="109"/>
      <c r="AA615" s="83">
        <f t="shared" si="1331"/>
        <v>1</v>
      </c>
      <c r="AB615" s="109"/>
      <c r="AC615" s="109">
        <v>1</v>
      </c>
      <c r="AD615" s="81">
        <f t="shared" si="1272"/>
        <v>1</v>
      </c>
      <c r="AE615" s="82">
        <f t="shared" si="1332"/>
        <v>1</v>
      </c>
      <c r="AF615" s="82">
        <f t="shared" si="1333"/>
        <v>1</v>
      </c>
      <c r="AG615" s="102"/>
      <c r="AH615" s="113" t="s">
        <v>204</v>
      </c>
      <c r="AI615" s="113" t="s">
        <v>213</v>
      </c>
      <c r="AJ615" s="121" t="s">
        <v>3259</v>
      </c>
      <c r="AK615" s="8"/>
      <c r="AL615" s="42">
        <f t="shared" si="1273"/>
        <v>0</v>
      </c>
      <c r="AM615" s="42">
        <f t="shared" si="1334"/>
        <v>0</v>
      </c>
      <c r="AN615" s="42">
        <f t="shared" si="1335"/>
        <v>0</v>
      </c>
      <c r="AO615" s="42">
        <f t="shared" si="1350"/>
        <v>0</v>
      </c>
      <c r="AP615" s="42">
        <f t="shared" si="1336"/>
        <v>0</v>
      </c>
      <c r="AQ615" s="42">
        <f t="shared" si="1351"/>
        <v>0</v>
      </c>
      <c r="AR615" s="42">
        <f t="shared" si="1274"/>
        <v>0</v>
      </c>
      <c r="AS615" s="42">
        <f t="shared" si="1337"/>
        <v>0</v>
      </c>
      <c r="AT615" s="42">
        <f t="shared" si="1338"/>
        <v>0</v>
      </c>
      <c r="AU615" s="42">
        <f t="shared" si="1339"/>
        <v>0</v>
      </c>
      <c r="AV615" s="42">
        <f>IF(M615="ПП",РПП*AA615*(U615/1.5),IF(M615="ВП",ВПр*AA615*(U615/1.5),IF(M615="РПА",РПА*AA615*(U615/1.5),IF(M615="КПА",КПА*AA615*(U615/1.5),0))))</f>
        <v>4</v>
      </c>
      <c r="AW615" s="42">
        <f t="shared" si="1340"/>
        <v>0</v>
      </c>
      <c r="AX615" s="42">
        <f t="shared" si="1275"/>
        <v>0</v>
      </c>
      <c r="AY615" s="42">
        <f t="shared" si="1276"/>
        <v>0</v>
      </c>
      <c r="AZ615" s="42">
        <f t="shared" si="1341"/>
        <v>0</v>
      </c>
      <c r="BA615" s="42">
        <f t="shared" si="1277"/>
        <v>0</v>
      </c>
      <c r="BB615" s="42">
        <f t="shared" si="1278"/>
        <v>0</v>
      </c>
      <c r="BC615" s="42">
        <f t="shared" si="1279"/>
        <v>0</v>
      </c>
      <c r="BD615" s="42">
        <f t="shared" si="1342"/>
        <v>0</v>
      </c>
      <c r="BE615" s="43">
        <f t="shared" si="1343"/>
        <v>4</v>
      </c>
      <c r="BF615" s="44"/>
      <c r="BG615" s="45">
        <f t="shared" si="1344"/>
        <v>0</v>
      </c>
      <c r="BH615" s="45">
        <f t="shared" si="1345"/>
        <v>0</v>
      </c>
      <c r="BI615" s="45">
        <f t="shared" si="1346"/>
        <v>0</v>
      </c>
      <c r="BJ615" s="46">
        <f t="shared" si="1347"/>
        <v>0</v>
      </c>
      <c r="BK615" s="46">
        <f t="shared" si="1348"/>
        <v>0</v>
      </c>
      <c r="BL615" s="46">
        <f t="shared" si="1349"/>
        <v>4</v>
      </c>
    </row>
    <row r="616" spans="1:64" ht="30" customHeight="1" x14ac:dyDescent="0.25">
      <c r="A616" s="84" t="str">
        <f t="shared" si="1270"/>
        <v>Д</v>
      </c>
      <c r="B616" s="84" t="str">
        <f t="shared" si="1328"/>
        <v>А</v>
      </c>
      <c r="C616" s="133" t="s">
        <v>2593</v>
      </c>
      <c r="D616" s="16" t="str">
        <f t="shared" si="1329"/>
        <v>'09.06.01</v>
      </c>
      <c r="E616" s="17" t="str">
        <f t="shared" si="1330"/>
        <v>Теоретические основы информатики</v>
      </c>
      <c r="F616" s="116"/>
      <c r="G616" s="116"/>
      <c r="H616" s="112" t="s">
        <v>3233</v>
      </c>
      <c r="I616" s="112"/>
      <c r="J616" s="115" t="s">
        <v>3358</v>
      </c>
      <c r="K616" s="117">
        <v>7</v>
      </c>
      <c r="L616" s="109"/>
      <c r="M616" s="113" t="s">
        <v>474</v>
      </c>
      <c r="N616" s="117"/>
      <c r="O616" s="117"/>
      <c r="P616" s="117"/>
      <c r="Q616" s="113"/>
      <c r="R616" s="117"/>
      <c r="S616" s="117"/>
      <c r="T616" s="117"/>
      <c r="U616" s="117">
        <v>4</v>
      </c>
      <c r="V616" s="117"/>
      <c r="W616" s="83" t="str">
        <f t="shared" si="1271"/>
        <v>НИВад</v>
      </c>
      <c r="X616" s="114" t="s">
        <v>3368</v>
      </c>
      <c r="Y616" s="109"/>
      <c r="Z616" s="109"/>
      <c r="AA616" s="83">
        <f t="shared" si="1331"/>
        <v>1</v>
      </c>
      <c r="AB616" s="109"/>
      <c r="AC616" s="109">
        <v>1</v>
      </c>
      <c r="AD616" s="81">
        <f t="shared" si="1272"/>
        <v>1</v>
      </c>
      <c r="AE616" s="82">
        <f t="shared" si="1332"/>
        <v>1</v>
      </c>
      <c r="AF616" s="82">
        <f t="shared" si="1333"/>
        <v>1</v>
      </c>
      <c r="AG616" s="102"/>
      <c r="AH616" s="113" t="s">
        <v>204</v>
      </c>
      <c r="AI616" s="113" t="s">
        <v>212</v>
      </c>
      <c r="AJ616" s="121" t="s">
        <v>3257</v>
      </c>
      <c r="AK616" s="8" t="s">
        <v>949</v>
      </c>
      <c r="AL616" s="42">
        <f t="shared" si="1273"/>
        <v>0</v>
      </c>
      <c r="AM616" s="42">
        <f t="shared" si="1334"/>
        <v>0</v>
      </c>
      <c r="AN616" s="42">
        <f t="shared" si="1335"/>
        <v>0</v>
      </c>
      <c r="AO616" s="42">
        <f t="shared" si="1350"/>
        <v>0</v>
      </c>
      <c r="AP616" s="42">
        <f t="shared" si="1336"/>
        <v>0</v>
      </c>
      <c r="AQ616" s="42">
        <f t="shared" si="1351"/>
        <v>0</v>
      </c>
      <c r="AR616" s="42">
        <f t="shared" si="1274"/>
        <v>0</v>
      </c>
      <c r="AS616" s="42">
        <f t="shared" si="1337"/>
        <v>0</v>
      </c>
      <c r="AT616" s="42">
        <f t="shared" si="1338"/>
        <v>0</v>
      </c>
      <c r="AU616" s="42">
        <f t="shared" si="1339"/>
        <v>0</v>
      </c>
      <c r="AV616" s="42">
        <f>IF(M616="ПП",РПП*AA616*(U616/1.5),IF(M616="ВП",ВПр*AA616*(U616/1.5),IF(M616="РПА",РПА*AA616*(U616/1.5),IF(M616="КПА",КПА*AA616*(U616/1.5),0))))</f>
        <v>4</v>
      </c>
      <c r="AW616" s="42">
        <f t="shared" si="1340"/>
        <v>0</v>
      </c>
      <c r="AX616" s="42">
        <f t="shared" si="1275"/>
        <v>0</v>
      </c>
      <c r="AY616" s="42">
        <f t="shared" si="1276"/>
        <v>0</v>
      </c>
      <c r="AZ616" s="42">
        <f t="shared" si="1341"/>
        <v>0</v>
      </c>
      <c r="BA616" s="42">
        <f t="shared" si="1277"/>
        <v>0</v>
      </c>
      <c r="BB616" s="42">
        <f t="shared" si="1278"/>
        <v>0</v>
      </c>
      <c r="BC616" s="42">
        <f t="shared" si="1279"/>
        <v>0</v>
      </c>
      <c r="BD616" s="42">
        <f t="shared" si="1342"/>
        <v>0</v>
      </c>
      <c r="BE616" s="43">
        <f t="shared" si="1343"/>
        <v>4</v>
      </c>
      <c r="BF616" s="44"/>
      <c r="BG616" s="45">
        <f t="shared" si="1344"/>
        <v>0</v>
      </c>
      <c r="BH616" s="45">
        <f t="shared" si="1345"/>
        <v>0</v>
      </c>
      <c r="BI616" s="45">
        <f t="shared" si="1346"/>
        <v>4</v>
      </c>
      <c r="BJ616" s="46">
        <f t="shared" si="1347"/>
        <v>0</v>
      </c>
      <c r="BK616" s="46">
        <f t="shared" si="1348"/>
        <v>0</v>
      </c>
      <c r="BL616" s="46">
        <f t="shared" si="1349"/>
        <v>0</v>
      </c>
    </row>
    <row r="617" spans="1:64" ht="30" customHeight="1" x14ac:dyDescent="0.25">
      <c r="A617" s="84" t="str">
        <f t="shared" si="1270"/>
        <v>Д</v>
      </c>
      <c r="B617" s="84" t="str">
        <f t="shared" si="1328"/>
        <v>А</v>
      </c>
      <c r="C617" s="133" t="s">
        <v>2593</v>
      </c>
      <c r="D617" s="16" t="str">
        <f t="shared" si="1329"/>
        <v>'09.06.01</v>
      </c>
      <c r="E617" s="17" t="str">
        <f t="shared" si="1330"/>
        <v>Теоретические основы информатики</v>
      </c>
      <c r="F617" s="116"/>
      <c r="G617" s="116"/>
      <c r="H617" s="112" t="s">
        <v>3233</v>
      </c>
      <c r="I617" s="112"/>
      <c r="J617" s="115" t="s">
        <v>3358</v>
      </c>
      <c r="K617" s="109">
        <v>7</v>
      </c>
      <c r="L617" s="109"/>
      <c r="M617" s="113" t="s">
        <v>474</v>
      </c>
      <c r="N617" s="109"/>
      <c r="O617" s="109"/>
      <c r="P617" s="109"/>
      <c r="Q617" s="113"/>
      <c r="R617" s="109"/>
      <c r="S617" s="109"/>
      <c r="T617" s="109"/>
      <c r="U617" s="109">
        <v>4</v>
      </c>
      <c r="V617" s="109"/>
      <c r="W617" s="83" t="str">
        <f t="shared" si="1271"/>
        <v>НИВад</v>
      </c>
      <c r="X617" s="114" t="s">
        <v>3368</v>
      </c>
      <c r="Y617" s="109"/>
      <c r="Z617" s="109"/>
      <c r="AA617" s="83">
        <f t="shared" si="1331"/>
        <v>1</v>
      </c>
      <c r="AB617" s="109"/>
      <c r="AC617" s="109">
        <v>1</v>
      </c>
      <c r="AD617" s="81">
        <f t="shared" si="1272"/>
        <v>1</v>
      </c>
      <c r="AE617" s="82">
        <f t="shared" si="1332"/>
        <v>1</v>
      </c>
      <c r="AF617" s="82">
        <f t="shared" si="1333"/>
        <v>1</v>
      </c>
      <c r="AG617" s="102"/>
      <c r="AH617" s="113" t="s">
        <v>204</v>
      </c>
      <c r="AI617" s="113" t="s">
        <v>212</v>
      </c>
      <c r="AJ617" s="121" t="s">
        <v>3255</v>
      </c>
      <c r="AK617" s="8"/>
      <c r="AL617" s="42">
        <f t="shared" si="1273"/>
        <v>0</v>
      </c>
      <c r="AM617" s="42">
        <f t="shared" si="1334"/>
        <v>0</v>
      </c>
      <c r="AN617" s="42">
        <f t="shared" si="1335"/>
        <v>0</v>
      </c>
      <c r="AO617" s="42">
        <f t="shared" si="1350"/>
        <v>0</v>
      </c>
      <c r="AP617" s="42">
        <f t="shared" si="1336"/>
        <v>0</v>
      </c>
      <c r="AQ617" s="42">
        <f t="shared" si="1351"/>
        <v>0</v>
      </c>
      <c r="AR617" s="42">
        <f t="shared" si="1274"/>
        <v>0</v>
      </c>
      <c r="AS617" s="42">
        <f t="shared" si="1337"/>
        <v>0</v>
      </c>
      <c r="AT617" s="42">
        <f t="shared" si="1338"/>
        <v>0</v>
      </c>
      <c r="AU617" s="42">
        <f t="shared" si="1339"/>
        <v>0</v>
      </c>
      <c r="AV617" s="42">
        <f>IF(M617="ПП",РПП*AA617*(U617/1.5),IF(M617="ВП",ВПр*AA617*(U617/1.5),IF(M617="РПА",РПА*AA617*(U617/1.5),IF(M617="КПА",КПА*AA617*(U617/1.5),0))))</f>
        <v>4</v>
      </c>
      <c r="AW617" s="42">
        <f t="shared" si="1340"/>
        <v>0</v>
      </c>
      <c r="AX617" s="42">
        <f t="shared" si="1275"/>
        <v>0</v>
      </c>
      <c r="AY617" s="42">
        <f t="shared" si="1276"/>
        <v>0</v>
      </c>
      <c r="AZ617" s="42">
        <f t="shared" si="1341"/>
        <v>0</v>
      </c>
      <c r="BA617" s="42">
        <f t="shared" si="1277"/>
        <v>0</v>
      </c>
      <c r="BB617" s="42">
        <f t="shared" si="1278"/>
        <v>0</v>
      </c>
      <c r="BC617" s="42">
        <f t="shared" si="1279"/>
        <v>0</v>
      </c>
      <c r="BD617" s="42">
        <f t="shared" si="1342"/>
        <v>0</v>
      </c>
      <c r="BE617" s="43">
        <f t="shared" si="1343"/>
        <v>4</v>
      </c>
      <c r="BF617" s="44"/>
      <c r="BG617" s="45">
        <f t="shared" si="1344"/>
        <v>0</v>
      </c>
      <c r="BH617" s="45">
        <f t="shared" si="1345"/>
        <v>0</v>
      </c>
      <c r="BI617" s="45">
        <f t="shared" si="1346"/>
        <v>4</v>
      </c>
      <c r="BJ617" s="46">
        <f t="shared" si="1347"/>
        <v>0</v>
      </c>
      <c r="BK617" s="46">
        <f t="shared" si="1348"/>
        <v>0</v>
      </c>
      <c r="BL617" s="46">
        <f t="shared" si="1349"/>
        <v>0</v>
      </c>
    </row>
    <row r="618" spans="1:64" ht="30" customHeight="1" x14ac:dyDescent="0.25">
      <c r="A618" s="84" t="str">
        <f t="shared" si="1270"/>
        <v>Д</v>
      </c>
      <c r="B618" s="84" t="str">
        <f t="shared" si="1328"/>
        <v>А</v>
      </c>
      <c r="C618" s="133" t="s">
        <v>2593</v>
      </c>
      <c r="D618" s="16" t="str">
        <f t="shared" si="1329"/>
        <v>'09.06.01</v>
      </c>
      <c r="E618" s="17" t="str">
        <f t="shared" si="1330"/>
        <v>Теоретические основы информатики</v>
      </c>
      <c r="F618" s="116"/>
      <c r="G618" s="116"/>
      <c r="H618" s="112" t="s">
        <v>3233</v>
      </c>
      <c r="I618" s="112"/>
      <c r="J618" s="115" t="s">
        <v>3358</v>
      </c>
      <c r="K618" s="109">
        <v>7</v>
      </c>
      <c r="L618" s="109"/>
      <c r="M618" s="113" t="s">
        <v>474</v>
      </c>
      <c r="N618" s="109"/>
      <c r="O618" s="109"/>
      <c r="P618" s="109"/>
      <c r="Q618" s="113"/>
      <c r="R618" s="109"/>
      <c r="S618" s="109"/>
      <c r="T618" s="109"/>
      <c r="U618" s="109">
        <v>4</v>
      </c>
      <c r="V618" s="109"/>
      <c r="W618" s="83" t="str">
        <f t="shared" si="1271"/>
        <v>НИВад</v>
      </c>
      <c r="X618" s="114" t="s">
        <v>3368</v>
      </c>
      <c r="Y618" s="109"/>
      <c r="Z618" s="109"/>
      <c r="AA618" s="83">
        <f t="shared" si="1331"/>
        <v>2</v>
      </c>
      <c r="AB618" s="109"/>
      <c r="AC618" s="109">
        <v>2</v>
      </c>
      <c r="AD618" s="81">
        <f t="shared" si="1272"/>
        <v>1</v>
      </c>
      <c r="AE618" s="82">
        <f t="shared" si="1332"/>
        <v>1</v>
      </c>
      <c r="AF618" s="82">
        <f t="shared" si="1333"/>
        <v>2</v>
      </c>
      <c r="AG618" s="102"/>
      <c r="AH618" s="113" t="s">
        <v>204</v>
      </c>
      <c r="AI618" s="113" t="s">
        <v>213</v>
      </c>
      <c r="AJ618" s="121" t="s">
        <v>3259</v>
      </c>
      <c r="AK618" s="8"/>
      <c r="AL618" s="42">
        <f t="shared" si="1273"/>
        <v>0</v>
      </c>
      <c r="AM618" s="42">
        <f t="shared" si="1334"/>
        <v>0</v>
      </c>
      <c r="AN618" s="42">
        <f t="shared" si="1335"/>
        <v>0</v>
      </c>
      <c r="AO618" s="42">
        <f t="shared" si="1350"/>
        <v>0</v>
      </c>
      <c r="AP618" s="42">
        <f t="shared" si="1336"/>
        <v>0</v>
      </c>
      <c r="AQ618" s="42">
        <f t="shared" si="1351"/>
        <v>0</v>
      </c>
      <c r="AR618" s="42">
        <f t="shared" si="1274"/>
        <v>0</v>
      </c>
      <c r="AS618" s="42">
        <f t="shared" si="1337"/>
        <v>0</v>
      </c>
      <c r="AT618" s="42">
        <f t="shared" si="1338"/>
        <v>0</v>
      </c>
      <c r="AU618" s="42">
        <f t="shared" si="1339"/>
        <v>0</v>
      </c>
      <c r="AV618" s="42">
        <f>IF(M618="ПП",РПП*AA618*(U618/1.5),IF(M618="ВП",ВПр*AA618*(U618/1.5),IF(M618="РПА",РПА*AA618*(U618/1.5),IF(M618="КПА",КПА*AA618*(U618/1.5),0))))</f>
        <v>8</v>
      </c>
      <c r="AW618" s="42">
        <f t="shared" si="1340"/>
        <v>0</v>
      </c>
      <c r="AX618" s="42">
        <f t="shared" si="1275"/>
        <v>0</v>
      </c>
      <c r="AY618" s="42">
        <f t="shared" si="1276"/>
        <v>0</v>
      </c>
      <c r="AZ618" s="42">
        <f t="shared" si="1341"/>
        <v>0</v>
      </c>
      <c r="BA618" s="42">
        <f t="shared" si="1277"/>
        <v>0</v>
      </c>
      <c r="BB618" s="42">
        <f t="shared" si="1278"/>
        <v>0</v>
      </c>
      <c r="BC618" s="42">
        <f t="shared" si="1279"/>
        <v>0</v>
      </c>
      <c r="BD618" s="42">
        <f t="shared" si="1342"/>
        <v>0</v>
      </c>
      <c r="BE618" s="43">
        <f t="shared" si="1343"/>
        <v>8</v>
      </c>
      <c r="BF618" s="44"/>
      <c r="BG618" s="45">
        <f t="shared" si="1344"/>
        <v>0</v>
      </c>
      <c r="BH618" s="45">
        <f t="shared" si="1345"/>
        <v>0</v>
      </c>
      <c r="BI618" s="45">
        <f t="shared" si="1346"/>
        <v>8</v>
      </c>
      <c r="BJ618" s="46">
        <f t="shared" si="1347"/>
        <v>0</v>
      </c>
      <c r="BK618" s="46">
        <f t="shared" si="1348"/>
        <v>0</v>
      </c>
      <c r="BL618" s="46">
        <f t="shared" si="1349"/>
        <v>0</v>
      </c>
    </row>
    <row r="619" spans="1:64" ht="30" customHeight="1" x14ac:dyDescent="0.25">
      <c r="A619" s="84" t="str">
        <f t="shared" si="1270"/>
        <v>Д</v>
      </c>
      <c r="B619" s="84" t="str">
        <f t="shared" si="1328"/>
        <v>А</v>
      </c>
      <c r="C619" s="133" t="s">
        <v>2593</v>
      </c>
      <c r="D619" s="16" t="str">
        <f t="shared" si="1329"/>
        <v>'09.06.01</v>
      </c>
      <c r="E619" s="17" t="str">
        <f t="shared" si="1330"/>
        <v>Теоретические основы информатики</v>
      </c>
      <c r="F619" s="116"/>
      <c r="G619" s="116"/>
      <c r="H619" s="112" t="s">
        <v>3233</v>
      </c>
      <c r="I619" s="112"/>
      <c r="J619" s="115" t="s">
        <v>3358</v>
      </c>
      <c r="K619" s="109">
        <v>7</v>
      </c>
      <c r="L619" s="109"/>
      <c r="M619" s="113" t="s">
        <v>474</v>
      </c>
      <c r="N619" s="109"/>
      <c r="O619" s="109"/>
      <c r="P619" s="109"/>
      <c r="Q619" s="113"/>
      <c r="R619" s="109"/>
      <c r="S619" s="109"/>
      <c r="T619" s="109"/>
      <c r="U619" s="109">
        <v>4</v>
      </c>
      <c r="V619" s="109"/>
      <c r="W619" s="83" t="str">
        <f t="shared" si="1271"/>
        <v>НИВад</v>
      </c>
      <c r="X619" s="114" t="s">
        <v>3368</v>
      </c>
      <c r="Y619" s="109"/>
      <c r="Z619" s="109"/>
      <c r="AA619" s="83">
        <f t="shared" si="1331"/>
        <v>1</v>
      </c>
      <c r="AB619" s="109">
        <v>1</v>
      </c>
      <c r="AC619" s="109"/>
      <c r="AD619" s="81">
        <f t="shared" si="1272"/>
        <v>1</v>
      </c>
      <c r="AE619" s="82">
        <f t="shared" si="1332"/>
        <v>1</v>
      </c>
      <c r="AF619" s="82">
        <f t="shared" si="1333"/>
        <v>1</v>
      </c>
      <c r="AG619" s="102"/>
      <c r="AH619" s="113" t="s">
        <v>447</v>
      </c>
      <c r="AI619" s="113"/>
      <c r="AJ619" s="121" t="s">
        <v>412</v>
      </c>
      <c r="AK619" s="8"/>
      <c r="AL619" s="42">
        <f t="shared" si="1273"/>
        <v>0</v>
      </c>
      <c r="AM619" s="42">
        <f t="shared" si="1334"/>
        <v>0</v>
      </c>
      <c r="AN619" s="42">
        <f t="shared" si="1335"/>
        <v>0</v>
      </c>
      <c r="AO619" s="42">
        <f t="shared" si="1350"/>
        <v>0</v>
      </c>
      <c r="AP619" s="42">
        <f t="shared" si="1336"/>
        <v>0</v>
      </c>
      <c r="AQ619" s="42">
        <f t="shared" si="1351"/>
        <v>0</v>
      </c>
      <c r="AR619" s="42">
        <f t="shared" si="1274"/>
        <v>0</v>
      </c>
      <c r="AS619" s="42">
        <f t="shared" si="1337"/>
        <v>0</v>
      </c>
      <c r="AT619" s="42">
        <f t="shared" si="1338"/>
        <v>0</v>
      </c>
      <c r="AU619" s="42">
        <f t="shared" si="1339"/>
        <v>0</v>
      </c>
      <c r="AV619" s="42">
        <f>IF(M619="ПП",РПП*AA619*(U619/1.5),IF(M619="ВП",ВПр*AA619*(U619/1.5),IF(M619="РПА",РПА*AA619*(U619/1.5),IF(M619="КПА",КПА*AA619*(U619/1.5),0))))</f>
        <v>4</v>
      </c>
      <c r="AW619" s="42">
        <f t="shared" si="1340"/>
        <v>0</v>
      </c>
      <c r="AX619" s="42">
        <f t="shared" si="1275"/>
        <v>0</v>
      </c>
      <c r="AY619" s="42">
        <f t="shared" si="1276"/>
        <v>0</v>
      </c>
      <c r="AZ619" s="42">
        <f t="shared" si="1341"/>
        <v>0</v>
      </c>
      <c r="BA619" s="42">
        <f t="shared" si="1277"/>
        <v>0</v>
      </c>
      <c r="BB619" s="42">
        <f t="shared" si="1278"/>
        <v>0</v>
      </c>
      <c r="BC619" s="42">
        <f t="shared" si="1279"/>
        <v>0</v>
      </c>
      <c r="BD619" s="42">
        <f t="shared" si="1342"/>
        <v>0</v>
      </c>
      <c r="BE619" s="43">
        <f t="shared" si="1343"/>
        <v>4</v>
      </c>
      <c r="BF619" s="44"/>
      <c r="BG619" s="45">
        <f t="shared" si="1344"/>
        <v>0</v>
      </c>
      <c r="BH619" s="45">
        <f t="shared" si="1345"/>
        <v>0</v>
      </c>
      <c r="BI619" s="45">
        <f t="shared" si="1346"/>
        <v>4</v>
      </c>
      <c r="BJ619" s="46">
        <f t="shared" si="1347"/>
        <v>0</v>
      </c>
      <c r="BK619" s="46">
        <f t="shared" si="1348"/>
        <v>0</v>
      </c>
      <c r="BL619" s="46">
        <f t="shared" si="1349"/>
        <v>0</v>
      </c>
    </row>
    <row r="620" spans="1:64" ht="30" customHeight="1" x14ac:dyDescent="0.25">
      <c r="A620" s="84" t="str">
        <f t="shared" si="1270"/>
        <v>Д</v>
      </c>
      <c r="B620" s="84" t="str">
        <f t="shared" si="1328"/>
        <v>А</v>
      </c>
      <c r="C620" s="133" t="s">
        <v>2593</v>
      </c>
      <c r="D620" s="16" t="str">
        <f t="shared" si="1329"/>
        <v>'09.06.01</v>
      </c>
      <c r="E620" s="17" t="str">
        <f t="shared" si="1330"/>
        <v>Теоретические основы информатики</v>
      </c>
      <c r="F620" s="116"/>
      <c r="G620" s="116"/>
      <c r="H620" s="112" t="s">
        <v>3233</v>
      </c>
      <c r="I620" s="112"/>
      <c r="J620" s="115" t="s">
        <v>3361</v>
      </c>
      <c r="K620" s="109">
        <v>8</v>
      </c>
      <c r="L620" s="109"/>
      <c r="M620" s="113" t="s">
        <v>187</v>
      </c>
      <c r="N620" s="109"/>
      <c r="O620" s="109"/>
      <c r="P620" s="109"/>
      <c r="Q620" s="113"/>
      <c r="R620" s="109"/>
      <c r="S620" s="109"/>
      <c r="T620" s="109"/>
      <c r="U620" s="109">
        <v>21</v>
      </c>
      <c r="V620" s="109"/>
      <c r="W620" s="83" t="str">
        <f t="shared" si="1271"/>
        <v>НИВад</v>
      </c>
      <c r="X620" s="114" t="s">
        <v>3368</v>
      </c>
      <c r="Y620" s="109"/>
      <c r="Z620" s="109"/>
      <c r="AA620" s="83">
        <f t="shared" si="1331"/>
        <v>1</v>
      </c>
      <c r="AB620" s="109"/>
      <c r="AC620" s="109">
        <v>1</v>
      </c>
      <c r="AD620" s="81">
        <f t="shared" si="1272"/>
        <v>1</v>
      </c>
      <c r="AE620" s="82">
        <f t="shared" si="1332"/>
        <v>1</v>
      </c>
      <c r="AF620" s="82">
        <f t="shared" si="1333"/>
        <v>1</v>
      </c>
      <c r="AG620" s="102"/>
      <c r="AH620" s="113" t="s">
        <v>204</v>
      </c>
      <c r="AI620" s="113" t="s">
        <v>212</v>
      </c>
      <c r="AJ620" s="121" t="s">
        <v>3252</v>
      </c>
      <c r="AK620" s="8"/>
      <c r="AL620" s="42">
        <f t="shared" si="1273"/>
        <v>0</v>
      </c>
      <c r="AM620" s="42">
        <f t="shared" si="1334"/>
        <v>0</v>
      </c>
      <c r="AN620" s="42">
        <f t="shared" si="1335"/>
        <v>0</v>
      </c>
      <c r="AO620" s="42">
        <f t="shared" si="1350"/>
        <v>0</v>
      </c>
      <c r="AP620" s="42">
        <f t="shared" si="1336"/>
        <v>0</v>
      </c>
      <c r="AQ620" s="42">
        <f t="shared" si="1351"/>
        <v>0</v>
      </c>
      <c r="AR620" s="42">
        <f t="shared" si="1274"/>
        <v>0</v>
      </c>
      <c r="AS620" s="42">
        <f t="shared" si="1337"/>
        <v>0</v>
      </c>
      <c r="AT620" s="42">
        <f t="shared" si="1338"/>
        <v>0</v>
      </c>
      <c r="AU620" s="42">
        <f t="shared" si="1339"/>
        <v>0</v>
      </c>
      <c r="AV620" s="42">
        <f>IF(M620="ПП",РПП*AA620*(U620/1.5),IF(M620="ВП",ВПр*AA620*(U620/1.5),IF(M620="РПА",РПА*AA620*(U620/1.5),IF(M620="КПА",КПА*AA620*(U620/1.5),0))))</f>
        <v>21</v>
      </c>
      <c r="AW620" s="42">
        <f t="shared" si="1340"/>
        <v>0</v>
      </c>
      <c r="AX620" s="42">
        <f t="shared" si="1275"/>
        <v>0</v>
      </c>
      <c r="AY620" s="42">
        <f t="shared" si="1276"/>
        <v>0</v>
      </c>
      <c r="AZ620" s="42">
        <f t="shared" si="1341"/>
        <v>0</v>
      </c>
      <c r="BA620" s="42">
        <f t="shared" si="1277"/>
        <v>0</v>
      </c>
      <c r="BB620" s="42">
        <f t="shared" si="1278"/>
        <v>0</v>
      </c>
      <c r="BC620" s="42">
        <f t="shared" si="1279"/>
        <v>0</v>
      </c>
      <c r="BD620" s="42">
        <f t="shared" si="1342"/>
        <v>0</v>
      </c>
      <c r="BE620" s="43">
        <f t="shared" si="1343"/>
        <v>21</v>
      </c>
      <c r="BF620" s="44"/>
      <c r="BG620" s="45">
        <f t="shared" si="1344"/>
        <v>0</v>
      </c>
      <c r="BH620" s="45">
        <f t="shared" si="1345"/>
        <v>0</v>
      </c>
      <c r="BI620" s="45">
        <f t="shared" si="1346"/>
        <v>0</v>
      </c>
      <c r="BJ620" s="46">
        <f t="shared" si="1347"/>
        <v>0</v>
      </c>
      <c r="BK620" s="46">
        <f t="shared" si="1348"/>
        <v>0</v>
      </c>
      <c r="BL620" s="46">
        <f t="shared" si="1349"/>
        <v>21</v>
      </c>
    </row>
    <row r="621" spans="1:64" ht="30" customHeight="1" x14ac:dyDescent="0.25">
      <c r="A621" s="84" t="str">
        <f t="shared" si="1270"/>
        <v>Д</v>
      </c>
      <c r="B621" s="84" t="str">
        <f t="shared" si="1328"/>
        <v>А</v>
      </c>
      <c r="C621" s="133" t="s">
        <v>2593</v>
      </c>
      <c r="D621" s="16" t="str">
        <f t="shared" si="1329"/>
        <v>'09.06.01</v>
      </c>
      <c r="E621" s="17" t="str">
        <f t="shared" si="1330"/>
        <v>Теоретические основы информатики</v>
      </c>
      <c r="F621" s="116"/>
      <c r="G621" s="116"/>
      <c r="H621" s="112" t="s">
        <v>3233</v>
      </c>
      <c r="I621" s="112"/>
      <c r="J621" s="115" t="s">
        <v>3361</v>
      </c>
      <c r="K621" s="109">
        <v>8</v>
      </c>
      <c r="L621" s="109"/>
      <c r="M621" s="113" t="s">
        <v>187</v>
      </c>
      <c r="N621" s="109"/>
      <c r="O621" s="109"/>
      <c r="P621" s="109"/>
      <c r="Q621" s="113"/>
      <c r="R621" s="109"/>
      <c r="S621" s="109"/>
      <c r="T621" s="109"/>
      <c r="U621" s="109">
        <v>21</v>
      </c>
      <c r="V621" s="109"/>
      <c r="W621" s="83" t="str">
        <f t="shared" si="1271"/>
        <v>НИВад</v>
      </c>
      <c r="X621" s="114" t="s">
        <v>3368</v>
      </c>
      <c r="Y621" s="109"/>
      <c r="Z621" s="109"/>
      <c r="AA621" s="83">
        <f t="shared" si="1331"/>
        <v>1</v>
      </c>
      <c r="AB621" s="109"/>
      <c r="AC621" s="109">
        <v>1</v>
      </c>
      <c r="AD621" s="81">
        <f t="shared" si="1272"/>
        <v>1</v>
      </c>
      <c r="AE621" s="82">
        <f t="shared" si="1332"/>
        <v>1</v>
      </c>
      <c r="AF621" s="82">
        <f t="shared" si="1333"/>
        <v>1</v>
      </c>
      <c r="AG621" s="102"/>
      <c r="AH621" s="113" t="s">
        <v>204</v>
      </c>
      <c r="AI621" s="113" t="s">
        <v>212</v>
      </c>
      <c r="AJ621" s="126" t="s">
        <v>3255</v>
      </c>
      <c r="AK621" s="8"/>
      <c r="AL621" s="42">
        <f t="shared" si="1273"/>
        <v>0</v>
      </c>
      <c r="AM621" s="42">
        <f t="shared" si="1334"/>
        <v>0</v>
      </c>
      <c r="AN621" s="42">
        <f t="shared" si="1335"/>
        <v>0</v>
      </c>
      <c r="AO621" s="42">
        <f t="shared" si="1350"/>
        <v>0</v>
      </c>
      <c r="AP621" s="42">
        <f t="shared" si="1336"/>
        <v>0</v>
      </c>
      <c r="AQ621" s="42">
        <f t="shared" si="1351"/>
        <v>0</v>
      </c>
      <c r="AR621" s="42">
        <f t="shared" si="1274"/>
        <v>0</v>
      </c>
      <c r="AS621" s="42">
        <f t="shared" si="1337"/>
        <v>0</v>
      </c>
      <c r="AT621" s="42">
        <f t="shared" si="1338"/>
        <v>0</v>
      </c>
      <c r="AU621" s="42">
        <f t="shared" si="1339"/>
        <v>0</v>
      </c>
      <c r="AV621" s="42">
        <f>IF(M621="ПП",РПП*AA621*(U621/1.5),IF(M621="ВП",ВПр*AA621*(U621/1.5),IF(M621="РПА",РПА*AA621*(U621/1.5),IF(M621="КПА",КПА*AA621*(U621/1.5),0))))</f>
        <v>21</v>
      </c>
      <c r="AW621" s="42">
        <f t="shared" si="1340"/>
        <v>0</v>
      </c>
      <c r="AX621" s="42">
        <f t="shared" si="1275"/>
        <v>0</v>
      </c>
      <c r="AY621" s="42">
        <f t="shared" si="1276"/>
        <v>0</v>
      </c>
      <c r="AZ621" s="42">
        <f t="shared" si="1341"/>
        <v>0</v>
      </c>
      <c r="BA621" s="42">
        <f t="shared" si="1277"/>
        <v>0</v>
      </c>
      <c r="BB621" s="42">
        <f t="shared" si="1278"/>
        <v>0</v>
      </c>
      <c r="BC621" s="42">
        <f t="shared" si="1279"/>
        <v>0</v>
      </c>
      <c r="BD621" s="42">
        <f t="shared" si="1342"/>
        <v>0</v>
      </c>
      <c r="BE621" s="43">
        <f t="shared" si="1343"/>
        <v>21</v>
      </c>
      <c r="BF621" s="44"/>
      <c r="BG621" s="45">
        <f t="shared" si="1344"/>
        <v>0</v>
      </c>
      <c r="BH621" s="45">
        <f t="shared" si="1345"/>
        <v>0</v>
      </c>
      <c r="BI621" s="45">
        <f t="shared" si="1346"/>
        <v>0</v>
      </c>
      <c r="BJ621" s="46">
        <f t="shared" si="1347"/>
        <v>0</v>
      </c>
      <c r="BK621" s="46">
        <f t="shared" si="1348"/>
        <v>0</v>
      </c>
      <c r="BL621" s="46">
        <f t="shared" si="1349"/>
        <v>21</v>
      </c>
    </row>
    <row r="622" spans="1:64" ht="30" customHeight="1" x14ac:dyDescent="0.25">
      <c r="A622" s="84" t="str">
        <f t="shared" si="1270"/>
        <v>Д</v>
      </c>
      <c r="B622" s="84" t="str">
        <f t="shared" si="1328"/>
        <v>А</v>
      </c>
      <c r="C622" s="133" t="s">
        <v>2593</v>
      </c>
      <c r="D622" s="16" t="str">
        <f t="shared" si="1329"/>
        <v>'09.06.01</v>
      </c>
      <c r="E622" s="17" t="str">
        <f t="shared" si="1330"/>
        <v>Теоретические основы информатики</v>
      </c>
      <c r="F622" s="116"/>
      <c r="G622" s="116"/>
      <c r="H622" s="112" t="s">
        <v>3233</v>
      </c>
      <c r="I622" s="112"/>
      <c r="J622" s="115" t="s">
        <v>3361</v>
      </c>
      <c r="K622" s="109">
        <v>8</v>
      </c>
      <c r="L622" s="109"/>
      <c r="M622" s="113" t="s">
        <v>187</v>
      </c>
      <c r="N622" s="109"/>
      <c r="O622" s="109"/>
      <c r="P622" s="109"/>
      <c r="Q622" s="113"/>
      <c r="R622" s="109"/>
      <c r="S622" s="109"/>
      <c r="T622" s="109"/>
      <c r="U622" s="109">
        <v>21</v>
      </c>
      <c r="V622" s="109"/>
      <c r="W622" s="83" t="str">
        <f t="shared" si="1271"/>
        <v>НИВад</v>
      </c>
      <c r="X622" s="114" t="s">
        <v>3368</v>
      </c>
      <c r="Y622" s="109"/>
      <c r="Z622" s="109"/>
      <c r="AA622" s="83">
        <f t="shared" si="1331"/>
        <v>2</v>
      </c>
      <c r="AB622" s="109"/>
      <c r="AC622" s="109">
        <v>2</v>
      </c>
      <c r="AD622" s="81">
        <f t="shared" si="1272"/>
        <v>1</v>
      </c>
      <c r="AE622" s="82">
        <f t="shared" si="1332"/>
        <v>1</v>
      </c>
      <c r="AF622" s="82">
        <f t="shared" si="1333"/>
        <v>2</v>
      </c>
      <c r="AG622" s="102"/>
      <c r="AH622" s="113" t="s">
        <v>204</v>
      </c>
      <c r="AI622" s="113" t="s">
        <v>213</v>
      </c>
      <c r="AJ622" s="121" t="s">
        <v>3259</v>
      </c>
      <c r="AK622" s="8"/>
      <c r="AL622" s="42">
        <f t="shared" si="1273"/>
        <v>0</v>
      </c>
      <c r="AM622" s="42">
        <f t="shared" si="1334"/>
        <v>0</v>
      </c>
      <c r="AN622" s="42">
        <f t="shared" si="1335"/>
        <v>0</v>
      </c>
      <c r="AO622" s="42">
        <f t="shared" si="1350"/>
        <v>0</v>
      </c>
      <c r="AP622" s="42">
        <f t="shared" si="1336"/>
        <v>0</v>
      </c>
      <c r="AQ622" s="42">
        <f t="shared" si="1351"/>
        <v>0</v>
      </c>
      <c r="AR622" s="42">
        <f t="shared" si="1274"/>
        <v>0</v>
      </c>
      <c r="AS622" s="42">
        <f t="shared" si="1337"/>
        <v>0</v>
      </c>
      <c r="AT622" s="42">
        <f t="shared" si="1338"/>
        <v>0</v>
      </c>
      <c r="AU622" s="42">
        <f t="shared" si="1339"/>
        <v>0</v>
      </c>
      <c r="AV622" s="42">
        <f>IF(M622="ПП",РПП*AA622*(U622/1.5),IF(M622="ВП",ВПр*AA622*(U622/1.5),IF(M622="РПА",РПА*AA622*(U622/1.5),IF(M622="КПА",КПА*AA622*(U622/1.5),0))))</f>
        <v>42</v>
      </c>
      <c r="AW622" s="42">
        <f t="shared" si="1340"/>
        <v>0</v>
      </c>
      <c r="AX622" s="42">
        <f t="shared" si="1275"/>
        <v>0</v>
      </c>
      <c r="AY622" s="42">
        <f t="shared" si="1276"/>
        <v>0</v>
      </c>
      <c r="AZ622" s="42">
        <f t="shared" si="1341"/>
        <v>0</v>
      </c>
      <c r="BA622" s="42">
        <f t="shared" si="1277"/>
        <v>0</v>
      </c>
      <c r="BB622" s="42">
        <f t="shared" si="1278"/>
        <v>0</v>
      </c>
      <c r="BC622" s="42">
        <f t="shared" si="1279"/>
        <v>0</v>
      </c>
      <c r="BD622" s="42">
        <f t="shared" si="1342"/>
        <v>0</v>
      </c>
      <c r="BE622" s="43">
        <f t="shared" si="1343"/>
        <v>42</v>
      </c>
      <c r="BF622" s="44"/>
      <c r="BG622" s="45">
        <f t="shared" si="1344"/>
        <v>0</v>
      </c>
      <c r="BH622" s="45">
        <f t="shared" si="1345"/>
        <v>0</v>
      </c>
      <c r="BI622" s="45">
        <f t="shared" si="1346"/>
        <v>0</v>
      </c>
      <c r="BJ622" s="46">
        <f t="shared" si="1347"/>
        <v>0</v>
      </c>
      <c r="BK622" s="46">
        <f t="shared" si="1348"/>
        <v>0</v>
      </c>
      <c r="BL622" s="46">
        <f t="shared" si="1349"/>
        <v>42</v>
      </c>
    </row>
    <row r="623" spans="1:64" ht="30" customHeight="1" x14ac:dyDescent="0.25">
      <c r="A623" s="84" t="str">
        <f t="shared" si="1270"/>
        <v>Д</v>
      </c>
      <c r="B623" s="84" t="str">
        <f t="shared" si="1328"/>
        <v>А</v>
      </c>
      <c r="C623" s="133" t="s">
        <v>2593</v>
      </c>
      <c r="D623" s="16" t="str">
        <f t="shared" si="1329"/>
        <v>'09.06.01</v>
      </c>
      <c r="E623" s="17" t="str">
        <f t="shared" si="1330"/>
        <v>Теоретические основы информатики</v>
      </c>
      <c r="F623" s="116"/>
      <c r="G623" s="116"/>
      <c r="H623" s="112" t="s">
        <v>3233</v>
      </c>
      <c r="I623" s="112"/>
      <c r="J623" s="115" t="s">
        <v>3361</v>
      </c>
      <c r="K623" s="109">
        <v>8</v>
      </c>
      <c r="L623" s="109"/>
      <c r="M623" s="113" t="s">
        <v>187</v>
      </c>
      <c r="N623" s="109"/>
      <c r="O623" s="109"/>
      <c r="P623" s="109"/>
      <c r="Q623" s="113"/>
      <c r="R623" s="109"/>
      <c r="S623" s="109"/>
      <c r="T623" s="109"/>
      <c r="U623" s="109">
        <v>21</v>
      </c>
      <c r="V623" s="109"/>
      <c r="W623" s="83" t="str">
        <f t="shared" si="1271"/>
        <v>НИВад</v>
      </c>
      <c r="X623" s="114" t="s">
        <v>3368</v>
      </c>
      <c r="Y623" s="109"/>
      <c r="Z623" s="109"/>
      <c r="AA623" s="83">
        <f t="shared" si="1331"/>
        <v>1</v>
      </c>
      <c r="AB623" s="109">
        <v>1</v>
      </c>
      <c r="AC623" s="109"/>
      <c r="AD623" s="81">
        <f t="shared" si="1272"/>
        <v>1</v>
      </c>
      <c r="AE623" s="82">
        <f t="shared" si="1332"/>
        <v>1</v>
      </c>
      <c r="AF623" s="82">
        <f t="shared" si="1333"/>
        <v>1</v>
      </c>
      <c r="AG623" s="102"/>
      <c r="AH623" s="113" t="s">
        <v>204</v>
      </c>
      <c r="AI623" s="113" t="s">
        <v>212</v>
      </c>
      <c r="AJ623" s="121" t="s">
        <v>3261</v>
      </c>
      <c r="AK623" s="8"/>
      <c r="AL623" s="42">
        <f t="shared" si="1273"/>
        <v>0</v>
      </c>
      <c r="AM623" s="42">
        <f t="shared" si="1334"/>
        <v>0</v>
      </c>
      <c r="AN623" s="42">
        <f t="shared" si="1335"/>
        <v>0</v>
      </c>
      <c r="AO623" s="42">
        <f t="shared" si="1350"/>
        <v>0</v>
      </c>
      <c r="AP623" s="42">
        <f t="shared" si="1336"/>
        <v>0</v>
      </c>
      <c r="AQ623" s="42">
        <f t="shared" si="1351"/>
        <v>0</v>
      </c>
      <c r="AR623" s="42">
        <f t="shared" si="1274"/>
        <v>0</v>
      </c>
      <c r="AS623" s="42">
        <f t="shared" si="1337"/>
        <v>0</v>
      </c>
      <c r="AT623" s="42">
        <f t="shared" si="1338"/>
        <v>0</v>
      </c>
      <c r="AU623" s="42">
        <f t="shared" si="1339"/>
        <v>0</v>
      </c>
      <c r="AV623" s="42">
        <f>IF(M623="ПП",РПП*AA623*(U623/1.5),IF(M623="ВП",ВПр*AA623*(U623/1.5),IF(M623="РПА",РПА*AA623*(U623/1.5),IF(M623="КПА",КПА*AA623*(U623/1.5),0))))</f>
        <v>21</v>
      </c>
      <c r="AW623" s="42">
        <f t="shared" si="1340"/>
        <v>0</v>
      </c>
      <c r="AX623" s="42">
        <f t="shared" si="1275"/>
        <v>0</v>
      </c>
      <c r="AY623" s="42">
        <f t="shared" si="1276"/>
        <v>0</v>
      </c>
      <c r="AZ623" s="42">
        <f t="shared" si="1341"/>
        <v>0</v>
      </c>
      <c r="BA623" s="42">
        <f t="shared" si="1277"/>
        <v>0</v>
      </c>
      <c r="BB623" s="42">
        <f t="shared" si="1278"/>
        <v>0</v>
      </c>
      <c r="BC623" s="42">
        <f t="shared" si="1279"/>
        <v>0</v>
      </c>
      <c r="BD623" s="42">
        <f t="shared" si="1342"/>
        <v>0</v>
      </c>
      <c r="BE623" s="43">
        <f t="shared" si="1343"/>
        <v>21</v>
      </c>
      <c r="BF623" s="44"/>
      <c r="BG623" s="45">
        <f t="shared" si="1344"/>
        <v>0</v>
      </c>
      <c r="BH623" s="45">
        <f t="shared" si="1345"/>
        <v>0</v>
      </c>
      <c r="BI623" s="45">
        <f t="shared" si="1346"/>
        <v>0</v>
      </c>
      <c r="BJ623" s="46">
        <f t="shared" si="1347"/>
        <v>0</v>
      </c>
      <c r="BK623" s="46">
        <f t="shared" si="1348"/>
        <v>0</v>
      </c>
      <c r="BL623" s="46">
        <f t="shared" si="1349"/>
        <v>21</v>
      </c>
    </row>
    <row r="624" spans="1:64" ht="30" customHeight="1" x14ac:dyDescent="0.25">
      <c r="A624" s="84" t="str">
        <f t="shared" si="1270"/>
        <v>Д</v>
      </c>
      <c r="B624" s="84" t="str">
        <f t="shared" si="1328"/>
        <v>А</v>
      </c>
      <c r="C624" s="133" t="s">
        <v>2593</v>
      </c>
      <c r="D624" s="16" t="str">
        <f t="shared" si="1329"/>
        <v>'09.06.01</v>
      </c>
      <c r="E624" s="17" t="str">
        <f t="shared" si="1330"/>
        <v>Теоретические основы информатики</v>
      </c>
      <c r="F624" s="116"/>
      <c r="G624" s="116"/>
      <c r="H624" s="112" t="s">
        <v>3233</v>
      </c>
      <c r="I624" s="112"/>
      <c r="J624" s="115" t="s">
        <v>3360</v>
      </c>
      <c r="K624" s="117">
        <v>1</v>
      </c>
      <c r="L624" s="109"/>
      <c r="M624" s="113" t="s">
        <v>510</v>
      </c>
      <c r="N624" s="117"/>
      <c r="O624" s="117"/>
      <c r="P624" s="117"/>
      <c r="Q624" s="113"/>
      <c r="R624" s="117"/>
      <c r="S624" s="117"/>
      <c r="T624" s="117"/>
      <c r="U624" s="117"/>
      <c r="V624" s="117">
        <v>19</v>
      </c>
      <c r="W624" s="83" t="str">
        <f t="shared" si="1271"/>
        <v>НИВад</v>
      </c>
      <c r="X624" s="114" t="s">
        <v>3244</v>
      </c>
      <c r="Y624" s="109"/>
      <c r="Z624" s="109"/>
      <c r="AA624" s="83">
        <f t="shared" si="1331"/>
        <v>1</v>
      </c>
      <c r="AB624" s="109"/>
      <c r="AC624" s="109">
        <v>1</v>
      </c>
      <c r="AD624" s="81">
        <f t="shared" si="1272"/>
        <v>1</v>
      </c>
      <c r="AE624" s="82">
        <f t="shared" si="1332"/>
        <v>1</v>
      </c>
      <c r="AF624" s="82">
        <f t="shared" si="1333"/>
        <v>1</v>
      </c>
      <c r="AG624" s="102"/>
      <c r="AH624" s="113" t="s">
        <v>204</v>
      </c>
      <c r="AI624" s="113" t="s">
        <v>213</v>
      </c>
      <c r="AJ624" s="121" t="s">
        <v>3259</v>
      </c>
      <c r="AK624" s="8"/>
      <c r="AL624" s="42">
        <f t="shared" si="1273"/>
        <v>0</v>
      </c>
      <c r="AM624" s="42">
        <f t="shared" si="1334"/>
        <v>0</v>
      </c>
      <c r="AN624" s="42">
        <f t="shared" si="1335"/>
        <v>0</v>
      </c>
      <c r="AO624" s="42">
        <f t="shared" si="1350"/>
        <v>0</v>
      </c>
      <c r="AP624" s="42">
        <f t="shared" si="1336"/>
        <v>0</v>
      </c>
      <c r="AQ624" s="42">
        <f t="shared" si="1351"/>
        <v>0</v>
      </c>
      <c r="AR624" s="42">
        <f t="shared" si="1274"/>
        <v>0</v>
      </c>
      <c r="AS624" s="42">
        <f t="shared" si="1337"/>
        <v>0</v>
      </c>
      <c r="AT624" s="42">
        <f t="shared" si="1338"/>
        <v>0</v>
      </c>
      <c r="AU624" s="42">
        <f t="shared" si="1339"/>
        <v>0</v>
      </c>
      <c r="AV624" s="42">
        <f>IF(M624="ПП",РПП*AA624*(U624/1.5),IF(M624="ВП",ВПр*AA624*(U624/1.5),IF(M624="РПА",РПА*AA624*(U624/1.5),IF(M624="КПА",КПА*AA624*(U624/1.5),0))))</f>
        <v>0</v>
      </c>
      <c r="AW624" s="42">
        <f t="shared" si="1340"/>
        <v>9.5</v>
      </c>
      <c r="AX624" s="42">
        <f t="shared" si="1275"/>
        <v>0</v>
      </c>
      <c r="AY624" s="42">
        <f t="shared" si="1276"/>
        <v>0</v>
      </c>
      <c r="AZ624" s="42">
        <f t="shared" si="1341"/>
        <v>0</v>
      </c>
      <c r="BA624" s="42">
        <f t="shared" si="1277"/>
        <v>0</v>
      </c>
      <c r="BB624" s="42">
        <f t="shared" si="1278"/>
        <v>0</v>
      </c>
      <c r="BC624" s="42">
        <f t="shared" si="1279"/>
        <v>0</v>
      </c>
      <c r="BD624" s="42">
        <f t="shared" si="1342"/>
        <v>0</v>
      </c>
      <c r="BE624" s="43">
        <f t="shared" si="1343"/>
        <v>9.5</v>
      </c>
      <c r="BF624" s="44"/>
      <c r="BG624" s="45">
        <f t="shared" si="1344"/>
        <v>0</v>
      </c>
      <c r="BH624" s="45">
        <f t="shared" si="1345"/>
        <v>0</v>
      </c>
      <c r="BI624" s="45">
        <f t="shared" si="1346"/>
        <v>9.5</v>
      </c>
      <c r="BJ624" s="46">
        <f t="shared" si="1347"/>
        <v>0</v>
      </c>
      <c r="BK624" s="46">
        <f t="shared" si="1348"/>
        <v>0</v>
      </c>
      <c r="BL624" s="46">
        <f t="shared" si="1349"/>
        <v>0</v>
      </c>
    </row>
    <row r="625" spans="1:64" ht="30" customHeight="1" x14ac:dyDescent="0.25">
      <c r="A625" s="84" t="str">
        <f t="shared" si="1270"/>
        <v>Д</v>
      </c>
      <c r="B625" s="84" t="str">
        <f t="shared" si="1328"/>
        <v>А</v>
      </c>
      <c r="C625" s="133" t="s">
        <v>2593</v>
      </c>
      <c r="D625" s="16" t="str">
        <f t="shared" si="1329"/>
        <v>'09.06.01</v>
      </c>
      <c r="E625" s="17" t="str">
        <f t="shared" si="1330"/>
        <v>Теоретические основы информатики</v>
      </c>
      <c r="F625" s="116"/>
      <c r="G625" s="116"/>
      <c r="H625" s="112" t="s">
        <v>3233</v>
      </c>
      <c r="I625" s="112"/>
      <c r="J625" s="115" t="s">
        <v>3360</v>
      </c>
      <c r="K625" s="109">
        <v>2</v>
      </c>
      <c r="L625" s="109"/>
      <c r="M625" s="113" t="s">
        <v>510</v>
      </c>
      <c r="N625" s="109"/>
      <c r="O625" s="109"/>
      <c r="P625" s="109"/>
      <c r="Q625" s="113"/>
      <c r="R625" s="109"/>
      <c r="S625" s="109"/>
      <c r="T625" s="109"/>
      <c r="U625" s="109"/>
      <c r="V625" s="109">
        <v>19</v>
      </c>
      <c r="W625" s="83" t="str">
        <f t="shared" si="1271"/>
        <v>НИВад</v>
      </c>
      <c r="X625" s="114" t="s">
        <v>3244</v>
      </c>
      <c r="Y625" s="109"/>
      <c r="Z625" s="109"/>
      <c r="AA625" s="83">
        <f t="shared" si="1331"/>
        <v>1</v>
      </c>
      <c r="AB625" s="109"/>
      <c r="AC625" s="109">
        <v>1</v>
      </c>
      <c r="AD625" s="81">
        <f t="shared" si="1272"/>
        <v>1</v>
      </c>
      <c r="AE625" s="82">
        <f t="shared" si="1332"/>
        <v>1</v>
      </c>
      <c r="AF625" s="82">
        <f t="shared" si="1333"/>
        <v>1</v>
      </c>
      <c r="AG625" s="102"/>
      <c r="AH625" s="113" t="s">
        <v>204</v>
      </c>
      <c r="AI625" s="113" t="s">
        <v>213</v>
      </c>
      <c r="AJ625" s="121" t="s">
        <v>3259</v>
      </c>
      <c r="AK625" s="8"/>
      <c r="AL625" s="42">
        <f t="shared" si="1273"/>
        <v>0</v>
      </c>
      <c r="AM625" s="42">
        <f t="shared" si="1334"/>
        <v>0</v>
      </c>
      <c r="AN625" s="42">
        <f t="shared" si="1335"/>
        <v>0</v>
      </c>
      <c r="AO625" s="42">
        <f t="shared" si="1350"/>
        <v>0</v>
      </c>
      <c r="AP625" s="42">
        <f t="shared" si="1336"/>
        <v>0</v>
      </c>
      <c r="AQ625" s="42">
        <f t="shared" si="1351"/>
        <v>0</v>
      </c>
      <c r="AR625" s="42">
        <f t="shared" si="1274"/>
        <v>0</v>
      </c>
      <c r="AS625" s="42">
        <f t="shared" si="1337"/>
        <v>0</v>
      </c>
      <c r="AT625" s="42">
        <f t="shared" si="1338"/>
        <v>0</v>
      </c>
      <c r="AU625" s="42">
        <f t="shared" si="1339"/>
        <v>0</v>
      </c>
      <c r="AV625" s="42">
        <f>IF(M625="ПП",РПП*AA625*(U625/1.5),IF(M625="ВП",ВПр*AA625*(U625/1.5),IF(M625="РПА",РПА*AA625*(U625/1.5),IF(M625="КПА",КПА*AA625*(U625/1.5),0))))</f>
        <v>0</v>
      </c>
      <c r="AW625" s="42">
        <f t="shared" si="1340"/>
        <v>9.5</v>
      </c>
      <c r="AX625" s="42">
        <f t="shared" si="1275"/>
        <v>0</v>
      </c>
      <c r="AY625" s="42">
        <f t="shared" si="1276"/>
        <v>0</v>
      </c>
      <c r="AZ625" s="42">
        <f t="shared" si="1341"/>
        <v>0</v>
      </c>
      <c r="BA625" s="42">
        <f t="shared" si="1277"/>
        <v>0</v>
      </c>
      <c r="BB625" s="42">
        <f t="shared" si="1278"/>
        <v>0</v>
      </c>
      <c r="BC625" s="42">
        <f t="shared" si="1279"/>
        <v>0</v>
      </c>
      <c r="BD625" s="42">
        <f t="shared" si="1342"/>
        <v>0</v>
      </c>
      <c r="BE625" s="43">
        <f t="shared" si="1343"/>
        <v>9.5</v>
      </c>
      <c r="BF625" s="44"/>
      <c r="BG625" s="45">
        <f t="shared" si="1344"/>
        <v>0</v>
      </c>
      <c r="BH625" s="45">
        <f t="shared" si="1345"/>
        <v>0</v>
      </c>
      <c r="BI625" s="45">
        <f t="shared" si="1346"/>
        <v>0</v>
      </c>
      <c r="BJ625" s="46">
        <f t="shared" si="1347"/>
        <v>0</v>
      </c>
      <c r="BK625" s="46">
        <f t="shared" si="1348"/>
        <v>0</v>
      </c>
      <c r="BL625" s="46">
        <f t="shared" si="1349"/>
        <v>9.5</v>
      </c>
    </row>
    <row r="626" spans="1:64" ht="30" customHeight="1" x14ac:dyDescent="0.25">
      <c r="A626" s="84" t="str">
        <f t="shared" si="1270"/>
        <v>Д</v>
      </c>
      <c r="B626" s="84" t="str">
        <f t="shared" si="1328"/>
        <v>А</v>
      </c>
      <c r="C626" s="133" t="s">
        <v>2593</v>
      </c>
      <c r="D626" s="16" t="str">
        <f t="shared" si="1329"/>
        <v>'09.06.01</v>
      </c>
      <c r="E626" s="17" t="str">
        <f t="shared" si="1330"/>
        <v>Теоретические основы информатики</v>
      </c>
      <c r="F626" s="116"/>
      <c r="G626" s="116"/>
      <c r="H626" s="112" t="s">
        <v>3233</v>
      </c>
      <c r="I626" s="112"/>
      <c r="J626" s="115" t="s">
        <v>3360</v>
      </c>
      <c r="K626" s="109">
        <v>3</v>
      </c>
      <c r="L626" s="109"/>
      <c r="M626" s="113" t="s">
        <v>510</v>
      </c>
      <c r="N626" s="109"/>
      <c r="O626" s="109"/>
      <c r="P626" s="109"/>
      <c r="Q626" s="113"/>
      <c r="R626" s="109"/>
      <c r="S626" s="109"/>
      <c r="T626" s="109"/>
      <c r="U626" s="109"/>
      <c r="V626" s="109">
        <v>18</v>
      </c>
      <c r="W626" s="83" t="str">
        <f t="shared" si="1271"/>
        <v>НИВад</v>
      </c>
      <c r="X626" s="114" t="s">
        <v>3368</v>
      </c>
      <c r="Y626" s="109"/>
      <c r="Z626" s="109"/>
      <c r="AA626" s="83">
        <f t="shared" si="1331"/>
        <v>1</v>
      </c>
      <c r="AB626" s="109"/>
      <c r="AC626" s="109">
        <v>1</v>
      </c>
      <c r="AD626" s="81">
        <f t="shared" si="1272"/>
        <v>1</v>
      </c>
      <c r="AE626" s="82">
        <f t="shared" si="1332"/>
        <v>1</v>
      </c>
      <c r="AF626" s="82">
        <f t="shared" si="1333"/>
        <v>1</v>
      </c>
      <c r="AG626" s="102"/>
      <c r="AH626" s="113" t="s">
        <v>447</v>
      </c>
      <c r="AI626" s="113"/>
      <c r="AJ626" s="121" t="s">
        <v>412</v>
      </c>
      <c r="AK626" s="8"/>
      <c r="AL626" s="42">
        <f t="shared" si="1273"/>
        <v>0</v>
      </c>
      <c r="AM626" s="42">
        <f t="shared" si="1334"/>
        <v>0</v>
      </c>
      <c r="AN626" s="42">
        <f t="shared" si="1335"/>
        <v>0</v>
      </c>
      <c r="AO626" s="42">
        <f t="shared" si="1350"/>
        <v>0</v>
      </c>
      <c r="AP626" s="42">
        <f t="shared" si="1336"/>
        <v>0</v>
      </c>
      <c r="AQ626" s="42">
        <f t="shared" si="1351"/>
        <v>0</v>
      </c>
      <c r="AR626" s="42">
        <f t="shared" si="1274"/>
        <v>0</v>
      </c>
      <c r="AS626" s="42">
        <f t="shared" si="1337"/>
        <v>0</v>
      </c>
      <c r="AT626" s="42">
        <f t="shared" si="1338"/>
        <v>0</v>
      </c>
      <c r="AU626" s="42">
        <f t="shared" si="1339"/>
        <v>0</v>
      </c>
      <c r="AV626" s="42">
        <f>IF(M626="ПП",РПП*AA626*(U626/1.5),IF(M626="ВП",ВПр*AA626*(U626/1.5),IF(M626="РПА",РПА*AA626*(U626/1.5),IF(M626="КПА",КПА*AA626*(U626/1.5),0))))</f>
        <v>0</v>
      </c>
      <c r="AW626" s="42">
        <f t="shared" si="1340"/>
        <v>9</v>
      </c>
      <c r="AX626" s="42">
        <f t="shared" si="1275"/>
        <v>0</v>
      </c>
      <c r="AY626" s="42">
        <f t="shared" si="1276"/>
        <v>0</v>
      </c>
      <c r="AZ626" s="42">
        <f t="shared" si="1341"/>
        <v>0</v>
      </c>
      <c r="BA626" s="42">
        <f t="shared" si="1277"/>
        <v>0</v>
      </c>
      <c r="BB626" s="42">
        <f t="shared" si="1278"/>
        <v>0</v>
      </c>
      <c r="BC626" s="42">
        <f t="shared" si="1279"/>
        <v>0</v>
      </c>
      <c r="BD626" s="42">
        <f t="shared" si="1342"/>
        <v>0</v>
      </c>
      <c r="BE626" s="43">
        <f t="shared" si="1343"/>
        <v>9</v>
      </c>
      <c r="BF626" s="44"/>
      <c r="BG626" s="45">
        <f t="shared" si="1344"/>
        <v>0</v>
      </c>
      <c r="BH626" s="45">
        <f t="shared" si="1345"/>
        <v>0</v>
      </c>
      <c r="BI626" s="45">
        <f t="shared" si="1346"/>
        <v>9</v>
      </c>
      <c r="BJ626" s="46">
        <f t="shared" si="1347"/>
        <v>0</v>
      </c>
      <c r="BK626" s="46">
        <f t="shared" si="1348"/>
        <v>0</v>
      </c>
      <c r="BL626" s="46">
        <f t="shared" si="1349"/>
        <v>0</v>
      </c>
    </row>
    <row r="627" spans="1:64" ht="30" customHeight="1" x14ac:dyDescent="0.25">
      <c r="A627" s="84" t="str">
        <f t="shared" si="1270"/>
        <v>Д</v>
      </c>
      <c r="B627" s="84" t="str">
        <f t="shared" si="1328"/>
        <v>А</v>
      </c>
      <c r="C627" s="133" t="s">
        <v>2593</v>
      </c>
      <c r="D627" s="16" t="str">
        <f t="shared" si="1329"/>
        <v>'09.06.01</v>
      </c>
      <c r="E627" s="17" t="str">
        <f t="shared" si="1330"/>
        <v>Теоретические основы информатики</v>
      </c>
      <c r="F627" s="116"/>
      <c r="G627" s="116"/>
      <c r="H627" s="112" t="s">
        <v>3233</v>
      </c>
      <c r="I627" s="112"/>
      <c r="J627" s="115" t="s">
        <v>3360</v>
      </c>
      <c r="K627" s="109">
        <v>4</v>
      </c>
      <c r="L627" s="109"/>
      <c r="M627" s="113" t="s">
        <v>510</v>
      </c>
      <c r="N627" s="109"/>
      <c r="O627" s="109"/>
      <c r="P627" s="109"/>
      <c r="Q627" s="113"/>
      <c r="R627" s="109"/>
      <c r="S627" s="109"/>
      <c r="T627" s="109"/>
      <c r="U627" s="109"/>
      <c r="V627" s="109">
        <v>22</v>
      </c>
      <c r="W627" s="83" t="str">
        <f t="shared" si="1271"/>
        <v>НИВад</v>
      </c>
      <c r="X627" s="114" t="s">
        <v>3368</v>
      </c>
      <c r="Y627" s="109"/>
      <c r="Z627" s="109"/>
      <c r="AA627" s="83">
        <f t="shared" si="1331"/>
        <v>1</v>
      </c>
      <c r="AB627" s="109"/>
      <c r="AC627" s="109">
        <v>1</v>
      </c>
      <c r="AD627" s="81">
        <f t="shared" si="1272"/>
        <v>1</v>
      </c>
      <c r="AE627" s="82">
        <f t="shared" si="1332"/>
        <v>1</v>
      </c>
      <c r="AF627" s="82">
        <f t="shared" si="1333"/>
        <v>1</v>
      </c>
      <c r="AG627" s="102"/>
      <c r="AH627" s="113" t="s">
        <v>204</v>
      </c>
      <c r="AI627" s="113" t="s">
        <v>212</v>
      </c>
      <c r="AJ627" s="121" t="s">
        <v>3255</v>
      </c>
      <c r="AK627" s="8"/>
      <c r="AL627" s="42">
        <f t="shared" si="1273"/>
        <v>0</v>
      </c>
      <c r="AM627" s="42">
        <f t="shared" si="1334"/>
        <v>0</v>
      </c>
      <c r="AN627" s="42">
        <f t="shared" si="1335"/>
        <v>0</v>
      </c>
      <c r="AO627" s="42">
        <f t="shared" si="1350"/>
        <v>0</v>
      </c>
      <c r="AP627" s="42">
        <f t="shared" si="1336"/>
        <v>0</v>
      </c>
      <c r="AQ627" s="42">
        <f t="shared" si="1351"/>
        <v>0</v>
      </c>
      <c r="AR627" s="42">
        <f t="shared" si="1274"/>
        <v>0</v>
      </c>
      <c r="AS627" s="42">
        <f t="shared" si="1337"/>
        <v>0</v>
      </c>
      <c r="AT627" s="42">
        <f t="shared" si="1338"/>
        <v>0</v>
      </c>
      <c r="AU627" s="42">
        <f t="shared" si="1339"/>
        <v>0</v>
      </c>
      <c r="AV627" s="42">
        <f>IF(M627="ПП",РПП*AA627*(U627/1.5),IF(M627="ВП",ВПр*AA627*(U627/1.5),IF(M627="РПА",РПА*AA627*(U627/1.5),IF(M627="КПА",КПА*AA627*(U627/1.5),0))))</f>
        <v>0</v>
      </c>
      <c r="AW627" s="42">
        <f t="shared" si="1340"/>
        <v>11</v>
      </c>
      <c r="AX627" s="42">
        <f t="shared" si="1275"/>
        <v>0</v>
      </c>
      <c r="AY627" s="42">
        <f t="shared" si="1276"/>
        <v>0</v>
      </c>
      <c r="AZ627" s="42">
        <f t="shared" si="1341"/>
        <v>0</v>
      </c>
      <c r="BA627" s="42">
        <f t="shared" si="1277"/>
        <v>0</v>
      </c>
      <c r="BB627" s="42">
        <f t="shared" si="1278"/>
        <v>0</v>
      </c>
      <c r="BC627" s="42">
        <f t="shared" si="1279"/>
        <v>0</v>
      </c>
      <c r="BD627" s="42">
        <f t="shared" si="1342"/>
        <v>0</v>
      </c>
      <c r="BE627" s="43">
        <f t="shared" si="1343"/>
        <v>11</v>
      </c>
      <c r="BF627" s="44"/>
      <c r="BG627" s="45">
        <f t="shared" si="1344"/>
        <v>0</v>
      </c>
      <c r="BH627" s="45">
        <f t="shared" si="1345"/>
        <v>0</v>
      </c>
      <c r="BI627" s="45">
        <f t="shared" si="1346"/>
        <v>0</v>
      </c>
      <c r="BJ627" s="46">
        <f t="shared" si="1347"/>
        <v>0</v>
      </c>
      <c r="BK627" s="46">
        <f t="shared" si="1348"/>
        <v>0</v>
      </c>
      <c r="BL627" s="46">
        <f t="shared" si="1349"/>
        <v>11</v>
      </c>
    </row>
    <row r="628" spans="1:64" ht="30" customHeight="1" x14ac:dyDescent="0.25">
      <c r="A628" s="84" t="str">
        <f t="shared" si="1270"/>
        <v>Д</v>
      </c>
      <c r="B628" s="84" t="str">
        <f t="shared" si="1328"/>
        <v>А</v>
      </c>
      <c r="C628" s="133" t="s">
        <v>2593</v>
      </c>
      <c r="D628" s="16" t="str">
        <f t="shared" si="1329"/>
        <v>'09.06.01</v>
      </c>
      <c r="E628" s="17" t="str">
        <f t="shared" si="1330"/>
        <v>Теоретические основы информатики</v>
      </c>
      <c r="F628" s="116"/>
      <c r="G628" s="116"/>
      <c r="H628" s="112" t="s">
        <v>3233</v>
      </c>
      <c r="I628" s="112"/>
      <c r="J628" s="115" t="s">
        <v>3360</v>
      </c>
      <c r="K628" s="109">
        <v>5</v>
      </c>
      <c r="L628" s="109"/>
      <c r="M628" s="113" t="s">
        <v>510</v>
      </c>
      <c r="N628" s="109"/>
      <c r="O628" s="109"/>
      <c r="P628" s="109"/>
      <c r="Q628" s="113"/>
      <c r="R628" s="109"/>
      <c r="S628" s="109"/>
      <c r="T628" s="109"/>
      <c r="U628" s="109"/>
      <c r="V628" s="109">
        <v>26</v>
      </c>
      <c r="W628" s="83" t="str">
        <f t="shared" si="1271"/>
        <v>НИВад</v>
      </c>
      <c r="X628" s="114" t="s">
        <v>3368</v>
      </c>
      <c r="Y628" s="109"/>
      <c r="Z628" s="109"/>
      <c r="AA628" s="83">
        <f t="shared" si="1331"/>
        <v>2</v>
      </c>
      <c r="AB628" s="109"/>
      <c r="AC628" s="109">
        <v>2</v>
      </c>
      <c r="AD628" s="81">
        <f t="shared" si="1272"/>
        <v>1</v>
      </c>
      <c r="AE628" s="82">
        <f t="shared" si="1332"/>
        <v>1</v>
      </c>
      <c r="AF628" s="82">
        <f t="shared" si="1333"/>
        <v>2</v>
      </c>
      <c r="AG628" s="102"/>
      <c r="AH628" s="113" t="s">
        <v>204</v>
      </c>
      <c r="AI628" s="113" t="s">
        <v>213</v>
      </c>
      <c r="AJ628" s="121" t="s">
        <v>3259</v>
      </c>
      <c r="AK628" s="8"/>
      <c r="AL628" s="42">
        <f t="shared" si="1273"/>
        <v>0</v>
      </c>
      <c r="AM628" s="42">
        <f t="shared" si="1334"/>
        <v>0</v>
      </c>
      <c r="AN628" s="42">
        <f t="shared" si="1335"/>
        <v>0</v>
      </c>
      <c r="AO628" s="42">
        <f t="shared" si="1350"/>
        <v>0</v>
      </c>
      <c r="AP628" s="42">
        <f t="shared" si="1336"/>
        <v>0</v>
      </c>
      <c r="AQ628" s="42">
        <f t="shared" si="1351"/>
        <v>0</v>
      </c>
      <c r="AR628" s="42">
        <f t="shared" si="1274"/>
        <v>0</v>
      </c>
      <c r="AS628" s="42">
        <f t="shared" si="1337"/>
        <v>0</v>
      </c>
      <c r="AT628" s="42">
        <f t="shared" si="1338"/>
        <v>0</v>
      </c>
      <c r="AU628" s="42">
        <f t="shared" si="1339"/>
        <v>0</v>
      </c>
      <c r="AV628" s="42">
        <f>IF(M628="ПП",РПП*AA628*(U628/1.5),IF(M628="ВП",ВПр*AA628*(U628/1.5),IF(M628="РПА",РПА*AA628*(U628/1.5),IF(M628="КПА",КПА*AA628*(U628/1.5),0))))</f>
        <v>0</v>
      </c>
      <c r="AW628" s="42">
        <f t="shared" si="1340"/>
        <v>26</v>
      </c>
      <c r="AX628" s="42">
        <f t="shared" si="1275"/>
        <v>0</v>
      </c>
      <c r="AY628" s="42">
        <f t="shared" si="1276"/>
        <v>0</v>
      </c>
      <c r="AZ628" s="42">
        <f t="shared" si="1341"/>
        <v>0</v>
      </c>
      <c r="BA628" s="42">
        <f t="shared" si="1277"/>
        <v>0</v>
      </c>
      <c r="BB628" s="42">
        <f t="shared" si="1278"/>
        <v>0</v>
      </c>
      <c r="BC628" s="42">
        <f t="shared" si="1279"/>
        <v>0</v>
      </c>
      <c r="BD628" s="42">
        <f t="shared" si="1342"/>
        <v>0</v>
      </c>
      <c r="BE628" s="43">
        <f t="shared" si="1343"/>
        <v>26</v>
      </c>
      <c r="BF628" s="44"/>
      <c r="BG628" s="45">
        <f t="shared" si="1344"/>
        <v>0</v>
      </c>
      <c r="BH628" s="45">
        <f t="shared" si="1345"/>
        <v>0</v>
      </c>
      <c r="BI628" s="45">
        <f t="shared" si="1346"/>
        <v>26</v>
      </c>
      <c r="BJ628" s="46">
        <f t="shared" si="1347"/>
        <v>0</v>
      </c>
      <c r="BK628" s="46">
        <f t="shared" si="1348"/>
        <v>0</v>
      </c>
      <c r="BL628" s="46">
        <f t="shared" si="1349"/>
        <v>0</v>
      </c>
    </row>
    <row r="629" spans="1:64" ht="30" customHeight="1" x14ac:dyDescent="0.25">
      <c r="A629" s="84" t="str">
        <f t="shared" si="1270"/>
        <v>Д</v>
      </c>
      <c r="B629" s="84" t="str">
        <f t="shared" ref="B629" si="1352">IF(C629&gt;0, VLOOKUP(C629,Код_ООП,11,FALSE),0)</f>
        <v>А</v>
      </c>
      <c r="C629" s="133" t="s">
        <v>2593</v>
      </c>
      <c r="D629" s="16" t="str">
        <f t="shared" ref="D629" si="1353">IF(C629&gt;0, VLOOKUP(C629,Код_ООП,2,FALSE),0)</f>
        <v>'09.06.01</v>
      </c>
      <c r="E629" s="17" t="str">
        <f t="shared" ref="E629" si="1354">IF(C629&gt;0, VLOOKUP(C629,Код_ООП,13,FALSE),0)</f>
        <v>Теоретические основы информатики</v>
      </c>
      <c r="F629" s="116"/>
      <c r="G629" s="116"/>
      <c r="H629" s="112" t="s">
        <v>3233</v>
      </c>
      <c r="I629" s="112"/>
      <c r="J629" s="115" t="s">
        <v>3360</v>
      </c>
      <c r="K629" s="109">
        <v>6</v>
      </c>
      <c r="L629" s="109"/>
      <c r="M629" s="113" t="s">
        <v>510</v>
      </c>
      <c r="N629" s="109"/>
      <c r="O629" s="109"/>
      <c r="P629" s="109"/>
      <c r="Q629" s="113"/>
      <c r="R629" s="109"/>
      <c r="S629" s="109"/>
      <c r="T629" s="109"/>
      <c r="U629" s="109"/>
      <c r="V629" s="109">
        <v>26</v>
      </c>
      <c r="W629" s="83" t="str">
        <f t="shared" si="1271"/>
        <v>НИВад</v>
      </c>
      <c r="X629" s="114" t="s">
        <v>3368</v>
      </c>
      <c r="Y629" s="109"/>
      <c r="Z629" s="109"/>
      <c r="AA629" s="83">
        <f t="shared" ref="AA629" si="1355">AB629+AC629</f>
        <v>1</v>
      </c>
      <c r="AB629" s="109">
        <v>1</v>
      </c>
      <c r="AC629" s="109"/>
      <c r="AD629" s="81">
        <f t="shared" si="1272"/>
        <v>1</v>
      </c>
      <c r="AE629" s="82">
        <f t="shared" ref="AE629" si="1356">IF(AF629&gt;1,1,AF629)</f>
        <v>1</v>
      </c>
      <c r="AF629" s="82">
        <f t="shared" ref="AF629" si="1357">AA629/AD629</f>
        <v>1</v>
      </c>
      <c r="AG629" s="102"/>
      <c r="AH629" s="113" t="s">
        <v>447</v>
      </c>
      <c r="AI629" s="113"/>
      <c r="AJ629" s="121" t="s">
        <v>412</v>
      </c>
      <c r="AK629" s="8"/>
      <c r="AL629" s="42">
        <f t="shared" si="1273"/>
        <v>0</v>
      </c>
      <c r="AM629" s="42">
        <f t="shared" ref="AM629" si="1358">IF(OR(M629="пр",M629="ия",M629="сп"),P629*AE629*L629,0)</f>
        <v>0</v>
      </c>
      <c r="AN629" s="42">
        <f t="shared" ref="AN629" si="1359">IF(OR(M629="лаб",M629="клн"),O629*AE629*L629,0)</f>
        <v>0</v>
      </c>
      <c r="AO629" s="42">
        <f t="shared" ref="AO629" si="1360">(IF((AND(OR(K629=1,K629=2,K629=3,K629=4,K629=5,K629=6,K629=7,K629=8,K629=9,K629=10,K629=11,K629=12),OR(Q629="Зач",Q629="Экз"))),ТКиРА*AA629,0)+IF(SUM(N629:P629)&lt;&gt;0,IF(Q629="ТК",ТКиРА*AA629,0),0))*(IF(F629="ФТД",0,1))</f>
        <v>0</v>
      </c>
      <c r="AP629" s="42">
        <f t="shared" ref="AP629" si="1361">IF(SUM(O629:P629)&lt;&gt;0,IF(Q629="Зач",ПАБРС*AA629,0),0)+IF(N629&lt;&gt;0,IF(Q629="Экз",ПАБРС*AA629,0),0)</f>
        <v>0</v>
      </c>
      <c r="AQ629" s="42">
        <f t="shared" ref="AQ629" si="1362">(IF(AP629&lt;&gt;0,ОфВед*(IF(OR(M629="лек",M629="лаб"),Z629,AE629)),0))*(IF(F629="ФТД",0,1))</f>
        <v>0</v>
      </c>
      <c r="AR629" s="42">
        <f t="shared" si="1274"/>
        <v>0</v>
      </c>
      <c r="AS629" s="42">
        <f t="shared" ref="AS629" si="1363">IF(OR(M629="лаб",M629="пр"),IF(R629="К",AA629*ВПКР,IF(R629="М",AA629*ВПИБ,0)),0)</f>
        <v>0</v>
      </c>
      <c r="AT629" s="42">
        <f t="shared" ref="AT629" si="1364">IF(OR(M629="лаб",M629="пр"),IF(S629="К",AA629*ВПКП,0),0)</f>
        <v>0</v>
      </c>
      <c r="AU629" s="42">
        <f t="shared" ref="AU629" si="1365">IF(M629="УП",T629/1.5*AA629*РУП,IF(M629="УПМ",T629/1.5*AA629*РУПЛеч,0))</f>
        <v>0</v>
      </c>
      <c r="AV629" s="42">
        <f>IF(M629="ПП",РПП*AA629*(U629/1.5),IF(M629="ВП",ВПр*AA629*(U629/1.5),IF(M629="РПА",РПА*AA629*(U629/1.5),IF(M629="КПА",КПА*AA629*(U629/1.5),0))))</f>
        <v>0</v>
      </c>
      <c r="AW629" s="42">
        <f t="shared" ref="AW629" si="1366">IF(M629="НР",(AB629*НИРМ+AC629*НИРМИн)*(V629/1.5),IF(M629="НИ",(AB629*НИРА+AC629*НИРАИ)*(V629/1.5),0))</f>
        <v>8.6666666666666661</v>
      </c>
      <c r="AX629" s="42">
        <f t="shared" si="1275"/>
        <v>0</v>
      </c>
      <c r="AY629" s="42">
        <f t="shared" si="1276"/>
        <v>0</v>
      </c>
      <c r="AZ629" s="42">
        <f t="shared" ref="AZ629" si="1367">IF(AND(Q629="КЭ",M629="ЧК"),AA629*КдЭк,0)</f>
        <v>0</v>
      </c>
      <c r="BA629" s="42">
        <f t="shared" si="1277"/>
        <v>0</v>
      </c>
      <c r="BB629" s="42">
        <f t="shared" si="1278"/>
        <v>0</v>
      </c>
      <c r="BC629" s="42">
        <f t="shared" si="1279"/>
        <v>0</v>
      </c>
      <c r="BD629" s="42">
        <f t="shared" ref="BD629" si="1368">IF(M629="ЧГ",AA629*ЧГ,IF(M629="ПГ",AA629*ПГ,IF(M629="ТЕСТ",ТГИЭ*AE629,IF(M629="СГ",AA629*СГ,0))))</f>
        <v>0</v>
      </c>
      <c r="BE629" s="43">
        <f t="shared" ref="BE629" si="1369">SUM(AL629:BD629)</f>
        <v>8.6666666666666661</v>
      </c>
      <c r="BF629" s="44"/>
      <c r="BG629" s="45">
        <f t="shared" ref="BG629" si="1370">IF(OR(K629="1;1",K629="1;2",K629=1,K629="3;1",K629="3;2",K629=3,K629="5;1",K629="5;2",K629=5,K629="7;1",K629="7;2",K629=7,K629="9;1",K629="9;2",K629=9,K629=11),SUM(AL629:AN629),0)</f>
        <v>0</v>
      </c>
      <c r="BH629" s="45">
        <f t="shared" ref="BH629" si="1371">IF(BG629&lt;&gt;0,SUM(N629:P629)/2,0)</f>
        <v>0</v>
      </c>
      <c r="BI629" s="45">
        <f t="shared" ref="BI629" si="1372">IF(OR(K629="1;1",K629="1;2",K629=1,K629="3;1",K629="3;2",K629=3,K629="5;1",K629="5;2",K629=5,K629="7;1",K629="7;2",K629=7,K629="9;1",K629="9;2",K629=9,K629=11),SUM(AO629:BD629),0)</f>
        <v>0</v>
      </c>
      <c r="BJ629" s="46">
        <f t="shared" ref="BJ629" si="1373">IF(OR(K629="2;3",K629="2;4",K629=2,K629="4;3",K629="4;4",K629=4,K629="6;3",K629="6;4",K629=6,K629="8;3",K629="8;4",K629=8,K629="10;3",K629="10;4",K629=10,K629=12),SUM(AL629:AN629),0)</f>
        <v>0</v>
      </c>
      <c r="BK629" s="46">
        <f t="shared" ref="BK629" si="1374">IF(BJ629&lt;&gt;0,SUM(N629:P629)/2,0)</f>
        <v>0</v>
      </c>
      <c r="BL629" s="46">
        <f t="shared" ref="BL629" si="1375">IF(OR(K629="2;3",K629="2;4",K629=2,K629="4;3",K629="4;4",K629=4,K629="6;3",K629="6;4",K629=6,K629="8;3",K629="8;4",K629=8,K629="10;3",K629="10;4",K629=10,K629=12),SUM(AO629:BD629),0)</f>
        <v>8.6666666666666661</v>
      </c>
    </row>
    <row r="630" spans="1:64" ht="30" customHeight="1" x14ac:dyDescent="0.25">
      <c r="A630" s="84" t="str">
        <f t="shared" si="1270"/>
        <v>Д</v>
      </c>
      <c r="B630" s="84" t="str">
        <f t="shared" si="1328"/>
        <v>А</v>
      </c>
      <c r="C630" s="133" t="s">
        <v>2593</v>
      </c>
      <c r="D630" s="16" t="str">
        <f t="shared" si="1329"/>
        <v>'09.06.01</v>
      </c>
      <c r="E630" s="17" t="str">
        <f t="shared" si="1330"/>
        <v>Теоретические основы информатики</v>
      </c>
      <c r="F630" s="116"/>
      <c r="G630" s="116"/>
      <c r="H630" s="112" t="s">
        <v>3233</v>
      </c>
      <c r="I630" s="112"/>
      <c r="J630" s="115" t="s">
        <v>3360</v>
      </c>
      <c r="K630" s="109">
        <v>7</v>
      </c>
      <c r="L630" s="109"/>
      <c r="M630" s="113" t="s">
        <v>510</v>
      </c>
      <c r="N630" s="109"/>
      <c r="O630" s="109"/>
      <c r="P630" s="109"/>
      <c r="Q630" s="113"/>
      <c r="R630" s="109"/>
      <c r="S630" s="109"/>
      <c r="T630" s="109"/>
      <c r="U630" s="109"/>
      <c r="V630" s="109">
        <v>26</v>
      </c>
      <c r="W630" s="83" t="str">
        <f t="shared" si="1271"/>
        <v>НИВад</v>
      </c>
      <c r="X630" s="114" t="s">
        <v>3368</v>
      </c>
      <c r="Y630" s="109"/>
      <c r="Z630" s="109"/>
      <c r="AA630" s="83">
        <f t="shared" si="1331"/>
        <v>1</v>
      </c>
      <c r="AB630" s="109">
        <v>1</v>
      </c>
      <c r="AC630" s="109"/>
      <c r="AD630" s="81">
        <f t="shared" si="1272"/>
        <v>1</v>
      </c>
      <c r="AE630" s="82">
        <f t="shared" si="1332"/>
        <v>1</v>
      </c>
      <c r="AF630" s="82">
        <f t="shared" si="1333"/>
        <v>1</v>
      </c>
      <c r="AG630" s="102"/>
      <c r="AH630" s="113" t="s">
        <v>447</v>
      </c>
      <c r="AI630" s="113"/>
      <c r="AJ630" s="121" t="s">
        <v>412</v>
      </c>
      <c r="AK630" s="8"/>
      <c r="AL630" s="42">
        <f t="shared" si="1273"/>
        <v>0</v>
      </c>
      <c r="AM630" s="42">
        <f t="shared" si="1334"/>
        <v>0</v>
      </c>
      <c r="AN630" s="42">
        <f t="shared" si="1335"/>
        <v>0</v>
      </c>
      <c r="AO630" s="42">
        <f t="shared" si="1350"/>
        <v>0</v>
      </c>
      <c r="AP630" s="42">
        <f t="shared" si="1336"/>
        <v>0</v>
      </c>
      <c r="AQ630" s="42">
        <f t="shared" si="1351"/>
        <v>0</v>
      </c>
      <c r="AR630" s="42">
        <f t="shared" si="1274"/>
        <v>0</v>
      </c>
      <c r="AS630" s="42">
        <f t="shared" si="1337"/>
        <v>0</v>
      </c>
      <c r="AT630" s="42">
        <f t="shared" si="1338"/>
        <v>0</v>
      </c>
      <c r="AU630" s="42">
        <f t="shared" si="1339"/>
        <v>0</v>
      </c>
      <c r="AV630" s="42">
        <f>IF(M630="ПП",РПП*AA630*(U630/1.5),IF(M630="ВП",ВПр*AA630*(U630/1.5),IF(M630="РПА",РПА*AA630*(U630/1.5),IF(M630="КПА",КПА*AA630*(U630/1.5),0))))</f>
        <v>0</v>
      </c>
      <c r="AW630" s="42">
        <f t="shared" si="1340"/>
        <v>8.6666666666666661</v>
      </c>
      <c r="AX630" s="42">
        <f t="shared" si="1275"/>
        <v>0</v>
      </c>
      <c r="AY630" s="42">
        <f t="shared" si="1276"/>
        <v>0</v>
      </c>
      <c r="AZ630" s="42">
        <f t="shared" si="1341"/>
        <v>0</v>
      </c>
      <c r="BA630" s="42">
        <f t="shared" si="1277"/>
        <v>0</v>
      </c>
      <c r="BB630" s="42">
        <f t="shared" si="1278"/>
        <v>0</v>
      </c>
      <c r="BC630" s="42">
        <f t="shared" si="1279"/>
        <v>0</v>
      </c>
      <c r="BD630" s="42">
        <f t="shared" si="1342"/>
        <v>0</v>
      </c>
      <c r="BE630" s="43">
        <f t="shared" si="1343"/>
        <v>8.6666666666666661</v>
      </c>
      <c r="BF630" s="44"/>
      <c r="BG630" s="45">
        <f t="shared" si="1344"/>
        <v>0</v>
      </c>
      <c r="BH630" s="45">
        <f t="shared" si="1345"/>
        <v>0</v>
      </c>
      <c r="BI630" s="45">
        <f t="shared" si="1346"/>
        <v>8.6666666666666661</v>
      </c>
      <c r="BJ630" s="46">
        <f t="shared" si="1347"/>
        <v>0</v>
      </c>
      <c r="BK630" s="46">
        <f t="shared" si="1348"/>
        <v>0</v>
      </c>
      <c r="BL630" s="46">
        <f t="shared" si="1349"/>
        <v>0</v>
      </c>
    </row>
    <row r="631" spans="1:64" ht="30" customHeight="1" x14ac:dyDescent="0.25">
      <c r="A631" s="84" t="str">
        <f t="shared" si="1270"/>
        <v>Д</v>
      </c>
      <c r="B631" s="84" t="str">
        <f t="shared" si="1328"/>
        <v>А</v>
      </c>
      <c r="C631" s="133" t="s">
        <v>2593</v>
      </c>
      <c r="D631" s="16" t="str">
        <f t="shared" si="1329"/>
        <v>'09.06.01</v>
      </c>
      <c r="E631" s="17" t="str">
        <f t="shared" si="1330"/>
        <v>Теоретические основы информатики</v>
      </c>
      <c r="F631" s="116"/>
      <c r="G631" s="116"/>
      <c r="H631" s="112" t="s">
        <v>3233</v>
      </c>
      <c r="I631" s="112"/>
      <c r="J631" s="115" t="s">
        <v>3364</v>
      </c>
      <c r="K631" s="109">
        <v>8</v>
      </c>
      <c r="L631" s="109"/>
      <c r="M631" s="113" t="s">
        <v>96</v>
      </c>
      <c r="N631" s="109"/>
      <c r="O631" s="109"/>
      <c r="P631" s="109"/>
      <c r="Q631" s="113"/>
      <c r="R631" s="109"/>
      <c r="S631" s="109"/>
      <c r="T631" s="109"/>
      <c r="U631" s="109"/>
      <c r="V631" s="109"/>
      <c r="W631" s="83" t="str">
        <f t="shared" si="1271"/>
        <v>НИВад</v>
      </c>
      <c r="X631" s="114" t="s">
        <v>3368</v>
      </c>
      <c r="Y631" s="109"/>
      <c r="Z631" s="109"/>
      <c r="AA631" s="83">
        <f t="shared" si="1331"/>
        <v>1</v>
      </c>
      <c r="AB631" s="109"/>
      <c r="AC631" s="109">
        <v>1</v>
      </c>
      <c r="AD631" s="81">
        <f t="shared" si="1272"/>
        <v>1</v>
      </c>
      <c r="AE631" s="82">
        <f t="shared" si="1332"/>
        <v>1</v>
      </c>
      <c r="AF631" s="82">
        <f t="shared" si="1333"/>
        <v>1</v>
      </c>
      <c r="AG631" s="102"/>
      <c r="AH631" s="113" t="s">
        <v>204</v>
      </c>
      <c r="AI631" s="113" t="s">
        <v>212</v>
      </c>
      <c r="AJ631" s="121" t="s">
        <v>3252</v>
      </c>
      <c r="AK631" s="8"/>
      <c r="AL631" s="42">
        <f t="shared" si="1273"/>
        <v>0</v>
      </c>
      <c r="AM631" s="42">
        <f t="shared" si="1334"/>
        <v>0</v>
      </c>
      <c r="AN631" s="42">
        <f t="shared" si="1335"/>
        <v>0</v>
      </c>
      <c r="AO631" s="42">
        <f t="shared" si="1350"/>
        <v>0</v>
      </c>
      <c r="AP631" s="42">
        <f t="shared" si="1336"/>
        <v>0</v>
      </c>
      <c r="AQ631" s="42">
        <f t="shared" si="1351"/>
        <v>0</v>
      </c>
      <c r="AR631" s="42">
        <f t="shared" si="1274"/>
        <v>0</v>
      </c>
      <c r="AS631" s="42">
        <f t="shared" si="1337"/>
        <v>0</v>
      </c>
      <c r="AT631" s="42">
        <f t="shared" si="1338"/>
        <v>0</v>
      </c>
      <c r="AU631" s="42">
        <f t="shared" si="1339"/>
        <v>0</v>
      </c>
      <c r="AV631" s="42">
        <f>IF(M631="ПП",РПП*AA631*(U631/1.5),IF(M631="ВП",ВПр*AA631*(U631/1.5),IF(M631="РПА",РПА*AA631*(U631/1.5),IF(M631="КПА",КПА*AA631*(U631/1.5),0))))</f>
        <v>0</v>
      </c>
      <c r="AW631" s="42">
        <f t="shared" si="1340"/>
        <v>0</v>
      </c>
      <c r="AX631" s="42">
        <f t="shared" si="1275"/>
        <v>0</v>
      </c>
      <c r="AY631" s="42">
        <f t="shared" si="1276"/>
        <v>0</v>
      </c>
      <c r="AZ631" s="42">
        <f t="shared" si="1341"/>
        <v>0</v>
      </c>
      <c r="BA631" s="42">
        <f t="shared" si="1277"/>
        <v>0</v>
      </c>
      <c r="BB631" s="42">
        <f t="shared" si="1278"/>
        <v>40</v>
      </c>
      <c r="BC631" s="42">
        <f t="shared" si="1279"/>
        <v>0</v>
      </c>
      <c r="BD631" s="42">
        <f t="shared" si="1342"/>
        <v>0</v>
      </c>
      <c r="BE631" s="43">
        <f t="shared" si="1343"/>
        <v>40</v>
      </c>
      <c r="BF631" s="44"/>
      <c r="BG631" s="45">
        <f t="shared" si="1344"/>
        <v>0</v>
      </c>
      <c r="BH631" s="45">
        <f t="shared" si="1345"/>
        <v>0</v>
      </c>
      <c r="BI631" s="45">
        <f t="shared" si="1346"/>
        <v>0</v>
      </c>
      <c r="BJ631" s="46">
        <f t="shared" si="1347"/>
        <v>0</v>
      </c>
      <c r="BK631" s="46">
        <f t="shared" si="1348"/>
        <v>0</v>
      </c>
      <c r="BL631" s="46">
        <f t="shared" si="1349"/>
        <v>40</v>
      </c>
    </row>
    <row r="632" spans="1:64" ht="30" customHeight="1" x14ac:dyDescent="0.25">
      <c r="A632" s="84" t="str">
        <f t="shared" si="1270"/>
        <v>Д</v>
      </c>
      <c r="B632" s="84" t="str">
        <f t="shared" si="1328"/>
        <v>А</v>
      </c>
      <c r="C632" s="133" t="s">
        <v>2593</v>
      </c>
      <c r="D632" s="16" t="str">
        <f t="shared" si="1329"/>
        <v>'09.06.01</v>
      </c>
      <c r="E632" s="17" t="str">
        <f t="shared" si="1330"/>
        <v>Теоретические основы информатики</v>
      </c>
      <c r="F632" s="116"/>
      <c r="G632" s="116"/>
      <c r="H632" s="112" t="s">
        <v>3233</v>
      </c>
      <c r="I632" s="112"/>
      <c r="J632" s="115" t="s">
        <v>3364</v>
      </c>
      <c r="K632" s="109">
        <v>8</v>
      </c>
      <c r="L632" s="109"/>
      <c r="M632" s="113" t="s">
        <v>96</v>
      </c>
      <c r="N632" s="109"/>
      <c r="O632" s="109"/>
      <c r="P632" s="109"/>
      <c r="Q632" s="113"/>
      <c r="R632" s="109"/>
      <c r="S632" s="109"/>
      <c r="T632" s="109"/>
      <c r="U632" s="109"/>
      <c r="V632" s="109"/>
      <c r="W632" s="83" t="str">
        <f t="shared" si="1271"/>
        <v>НИВад</v>
      </c>
      <c r="X632" s="114" t="s">
        <v>3368</v>
      </c>
      <c r="Y632" s="109"/>
      <c r="Z632" s="109"/>
      <c r="AA632" s="83">
        <f t="shared" si="1331"/>
        <v>1</v>
      </c>
      <c r="AB632" s="109"/>
      <c r="AC632" s="109">
        <v>1</v>
      </c>
      <c r="AD632" s="81">
        <f t="shared" si="1272"/>
        <v>1</v>
      </c>
      <c r="AE632" s="82">
        <f t="shared" si="1332"/>
        <v>1</v>
      </c>
      <c r="AF632" s="82">
        <f t="shared" si="1333"/>
        <v>1</v>
      </c>
      <c r="AG632" s="102"/>
      <c r="AH632" s="113" t="s">
        <v>204</v>
      </c>
      <c r="AI632" s="113" t="s">
        <v>212</v>
      </c>
      <c r="AJ632" s="126" t="s">
        <v>3255</v>
      </c>
      <c r="AK632" s="8"/>
      <c r="AL632" s="42">
        <f t="shared" si="1273"/>
        <v>0</v>
      </c>
      <c r="AM632" s="42">
        <f t="shared" si="1334"/>
        <v>0</v>
      </c>
      <c r="AN632" s="42">
        <f t="shared" si="1335"/>
        <v>0</v>
      </c>
      <c r="AO632" s="42">
        <f t="shared" si="1350"/>
        <v>0</v>
      </c>
      <c r="AP632" s="42">
        <f t="shared" si="1336"/>
        <v>0</v>
      </c>
      <c r="AQ632" s="42">
        <f t="shared" si="1351"/>
        <v>0</v>
      </c>
      <c r="AR632" s="42">
        <f t="shared" si="1274"/>
        <v>0</v>
      </c>
      <c r="AS632" s="42">
        <f t="shared" si="1337"/>
        <v>0</v>
      </c>
      <c r="AT632" s="42">
        <f t="shared" si="1338"/>
        <v>0</v>
      </c>
      <c r="AU632" s="42">
        <f t="shared" si="1339"/>
        <v>0</v>
      </c>
      <c r="AV632" s="42">
        <f>IF(M632="ПП",РПП*AA632*(U632/1.5),IF(M632="ВП",ВПр*AA632*(U632/1.5),IF(M632="РПА",РПА*AA632*(U632/1.5),IF(M632="КПА",КПА*AA632*(U632/1.5),0))))</f>
        <v>0</v>
      </c>
      <c r="AW632" s="42">
        <f t="shared" si="1340"/>
        <v>0</v>
      </c>
      <c r="AX632" s="42">
        <f t="shared" si="1275"/>
        <v>0</v>
      </c>
      <c r="AY632" s="42">
        <f t="shared" si="1276"/>
        <v>0</v>
      </c>
      <c r="AZ632" s="42">
        <f t="shared" si="1341"/>
        <v>0</v>
      </c>
      <c r="BA632" s="42">
        <f t="shared" si="1277"/>
        <v>0</v>
      </c>
      <c r="BB632" s="42">
        <f t="shared" si="1278"/>
        <v>40</v>
      </c>
      <c r="BC632" s="42">
        <f t="shared" si="1279"/>
        <v>0</v>
      </c>
      <c r="BD632" s="42">
        <f t="shared" si="1342"/>
        <v>0</v>
      </c>
      <c r="BE632" s="43">
        <f t="shared" si="1343"/>
        <v>40</v>
      </c>
      <c r="BF632" s="44"/>
      <c r="BG632" s="45">
        <f t="shared" si="1344"/>
        <v>0</v>
      </c>
      <c r="BH632" s="45">
        <f t="shared" si="1345"/>
        <v>0</v>
      </c>
      <c r="BI632" s="45">
        <f t="shared" si="1346"/>
        <v>0</v>
      </c>
      <c r="BJ632" s="46">
        <f t="shared" si="1347"/>
        <v>0</v>
      </c>
      <c r="BK632" s="46">
        <f t="shared" si="1348"/>
        <v>0</v>
      </c>
      <c r="BL632" s="46">
        <f t="shared" si="1349"/>
        <v>40</v>
      </c>
    </row>
    <row r="633" spans="1:64" ht="30" customHeight="1" x14ac:dyDescent="0.25">
      <c r="A633" s="84" t="str">
        <f t="shared" si="1270"/>
        <v>Д</v>
      </c>
      <c r="B633" s="84" t="str">
        <f t="shared" si="1328"/>
        <v>А</v>
      </c>
      <c r="C633" s="133" t="s">
        <v>2593</v>
      </c>
      <c r="D633" s="16" t="str">
        <f t="shared" si="1329"/>
        <v>'09.06.01</v>
      </c>
      <c r="E633" s="17" t="str">
        <f t="shared" si="1330"/>
        <v>Теоретические основы информатики</v>
      </c>
      <c r="F633" s="116"/>
      <c r="G633" s="116"/>
      <c r="H633" s="112" t="s">
        <v>3233</v>
      </c>
      <c r="I633" s="112"/>
      <c r="J633" s="115" t="s">
        <v>3364</v>
      </c>
      <c r="K633" s="109">
        <v>8</v>
      </c>
      <c r="L633" s="109"/>
      <c r="M633" s="113" t="s">
        <v>96</v>
      </c>
      <c r="N633" s="109"/>
      <c r="O633" s="109"/>
      <c r="P633" s="109"/>
      <c r="Q633" s="113"/>
      <c r="R633" s="109"/>
      <c r="S633" s="109"/>
      <c r="T633" s="109"/>
      <c r="U633" s="109"/>
      <c r="V633" s="109"/>
      <c r="W633" s="83" t="str">
        <f t="shared" si="1271"/>
        <v>НИВад</v>
      </c>
      <c r="X633" s="114" t="s">
        <v>3368</v>
      </c>
      <c r="Y633" s="109"/>
      <c r="Z633" s="109"/>
      <c r="AA633" s="83">
        <f t="shared" si="1331"/>
        <v>2</v>
      </c>
      <c r="AB633" s="109"/>
      <c r="AC633" s="109">
        <v>2</v>
      </c>
      <c r="AD633" s="81">
        <f t="shared" si="1272"/>
        <v>1</v>
      </c>
      <c r="AE633" s="82">
        <f t="shared" si="1332"/>
        <v>1</v>
      </c>
      <c r="AF633" s="82">
        <f t="shared" si="1333"/>
        <v>2</v>
      </c>
      <c r="AG633" s="102"/>
      <c r="AH633" s="113" t="s">
        <v>204</v>
      </c>
      <c r="AI633" s="113" t="s">
        <v>213</v>
      </c>
      <c r="AJ633" s="121" t="s">
        <v>3259</v>
      </c>
      <c r="AK633" s="8"/>
      <c r="AL633" s="42">
        <f t="shared" si="1273"/>
        <v>0</v>
      </c>
      <c r="AM633" s="42">
        <f t="shared" si="1334"/>
        <v>0</v>
      </c>
      <c r="AN633" s="42">
        <f t="shared" si="1335"/>
        <v>0</v>
      </c>
      <c r="AO633" s="42">
        <f t="shared" si="1350"/>
        <v>0</v>
      </c>
      <c r="AP633" s="42">
        <f t="shared" si="1336"/>
        <v>0</v>
      </c>
      <c r="AQ633" s="42">
        <f t="shared" si="1351"/>
        <v>0</v>
      </c>
      <c r="AR633" s="42">
        <f t="shared" si="1274"/>
        <v>0</v>
      </c>
      <c r="AS633" s="42">
        <f t="shared" si="1337"/>
        <v>0</v>
      </c>
      <c r="AT633" s="42">
        <f t="shared" si="1338"/>
        <v>0</v>
      </c>
      <c r="AU633" s="42">
        <f t="shared" si="1339"/>
        <v>0</v>
      </c>
      <c r="AV633" s="42">
        <f>IF(M633="ПП",РПП*AA633*(U633/1.5),IF(M633="ВП",ВПр*AA633*(U633/1.5),IF(M633="РПА",РПА*AA633*(U633/1.5),IF(M633="КПА",КПА*AA633*(U633/1.5),0))))</f>
        <v>0</v>
      </c>
      <c r="AW633" s="42">
        <f t="shared" si="1340"/>
        <v>0</v>
      </c>
      <c r="AX633" s="42">
        <f t="shared" si="1275"/>
        <v>0</v>
      </c>
      <c r="AY633" s="42">
        <f t="shared" si="1276"/>
        <v>0</v>
      </c>
      <c r="AZ633" s="42">
        <f t="shared" si="1341"/>
        <v>0</v>
      </c>
      <c r="BA633" s="42">
        <f t="shared" si="1277"/>
        <v>0</v>
      </c>
      <c r="BB633" s="42">
        <f t="shared" si="1278"/>
        <v>80</v>
      </c>
      <c r="BC633" s="42">
        <f t="shared" si="1279"/>
        <v>0</v>
      </c>
      <c r="BD633" s="42">
        <f t="shared" si="1342"/>
        <v>0</v>
      </c>
      <c r="BE633" s="43">
        <f t="shared" si="1343"/>
        <v>80</v>
      </c>
      <c r="BF633" s="44"/>
      <c r="BG633" s="45">
        <f t="shared" si="1344"/>
        <v>0</v>
      </c>
      <c r="BH633" s="45">
        <f t="shared" si="1345"/>
        <v>0</v>
      </c>
      <c r="BI633" s="45">
        <f t="shared" si="1346"/>
        <v>0</v>
      </c>
      <c r="BJ633" s="46">
        <f t="shared" si="1347"/>
        <v>0</v>
      </c>
      <c r="BK633" s="46">
        <f t="shared" si="1348"/>
        <v>0</v>
      </c>
      <c r="BL633" s="46">
        <f t="shared" si="1349"/>
        <v>80</v>
      </c>
    </row>
    <row r="634" spans="1:64" ht="30" customHeight="1" x14ac:dyDescent="0.25">
      <c r="A634" s="84" t="str">
        <f t="shared" si="1270"/>
        <v>Д</v>
      </c>
      <c r="B634" s="84" t="str">
        <f t="shared" si="1328"/>
        <v>А</v>
      </c>
      <c r="C634" s="133" t="s">
        <v>2593</v>
      </c>
      <c r="D634" s="16" t="str">
        <f t="shared" si="1329"/>
        <v>'09.06.01</v>
      </c>
      <c r="E634" s="17" t="str">
        <f t="shared" si="1330"/>
        <v>Теоретические основы информатики</v>
      </c>
      <c r="F634" s="116"/>
      <c r="G634" s="116"/>
      <c r="H634" s="112" t="s">
        <v>3233</v>
      </c>
      <c r="I634" s="112"/>
      <c r="J634" s="115" t="s">
        <v>3364</v>
      </c>
      <c r="K634" s="109">
        <v>8</v>
      </c>
      <c r="L634" s="109"/>
      <c r="M634" s="113" t="s">
        <v>96</v>
      </c>
      <c r="N634" s="109"/>
      <c r="O634" s="109"/>
      <c r="P634" s="109"/>
      <c r="Q634" s="113"/>
      <c r="R634" s="109"/>
      <c r="S634" s="109"/>
      <c r="T634" s="109"/>
      <c r="U634" s="109"/>
      <c r="V634" s="109"/>
      <c r="W634" s="83" t="str">
        <f t="shared" si="1271"/>
        <v>НИВад</v>
      </c>
      <c r="X634" s="114" t="s">
        <v>3368</v>
      </c>
      <c r="Y634" s="109"/>
      <c r="Z634" s="109"/>
      <c r="AA634" s="83">
        <f t="shared" si="1331"/>
        <v>1</v>
      </c>
      <c r="AB634" s="109">
        <v>1</v>
      </c>
      <c r="AC634" s="109"/>
      <c r="AD634" s="81">
        <f t="shared" si="1272"/>
        <v>1</v>
      </c>
      <c r="AE634" s="82">
        <f t="shared" si="1332"/>
        <v>1</v>
      </c>
      <c r="AF634" s="82">
        <f t="shared" si="1333"/>
        <v>1</v>
      </c>
      <c r="AG634" s="102"/>
      <c r="AH634" s="113" t="s">
        <v>204</v>
      </c>
      <c r="AI634" s="113" t="s">
        <v>212</v>
      </c>
      <c r="AJ634" s="121" t="s">
        <v>3261</v>
      </c>
      <c r="AK634" s="8"/>
      <c r="AL634" s="42">
        <f t="shared" si="1273"/>
        <v>0</v>
      </c>
      <c r="AM634" s="42">
        <f t="shared" si="1334"/>
        <v>0</v>
      </c>
      <c r="AN634" s="42">
        <f t="shared" si="1335"/>
        <v>0</v>
      </c>
      <c r="AO634" s="42">
        <f t="shared" si="1350"/>
        <v>0</v>
      </c>
      <c r="AP634" s="42">
        <f t="shared" si="1336"/>
        <v>0</v>
      </c>
      <c r="AQ634" s="42">
        <f t="shared" si="1351"/>
        <v>0</v>
      </c>
      <c r="AR634" s="42">
        <f t="shared" si="1274"/>
        <v>0</v>
      </c>
      <c r="AS634" s="42">
        <f t="shared" si="1337"/>
        <v>0</v>
      </c>
      <c r="AT634" s="42">
        <f t="shared" si="1338"/>
        <v>0</v>
      </c>
      <c r="AU634" s="42">
        <f t="shared" si="1339"/>
        <v>0</v>
      </c>
      <c r="AV634" s="42">
        <f>IF(M634="ПП",РПП*AA634*(U634/1.5),IF(M634="ВП",ВПр*AA634*(U634/1.5),IF(M634="РПА",РПА*AA634*(U634/1.5),IF(M634="КПА",КПА*AA634*(U634/1.5),0))))</f>
        <v>0</v>
      </c>
      <c r="AW634" s="42">
        <f t="shared" si="1340"/>
        <v>0</v>
      </c>
      <c r="AX634" s="42">
        <f t="shared" si="1275"/>
        <v>0</v>
      </c>
      <c r="AY634" s="42">
        <f t="shared" si="1276"/>
        <v>0</v>
      </c>
      <c r="AZ634" s="42">
        <f t="shared" si="1341"/>
        <v>0</v>
      </c>
      <c r="BA634" s="42">
        <f t="shared" si="1277"/>
        <v>0</v>
      </c>
      <c r="BB634" s="42">
        <f t="shared" si="1278"/>
        <v>30</v>
      </c>
      <c r="BC634" s="42">
        <f t="shared" si="1279"/>
        <v>0</v>
      </c>
      <c r="BD634" s="42">
        <f t="shared" si="1342"/>
        <v>0</v>
      </c>
      <c r="BE634" s="43">
        <f t="shared" si="1343"/>
        <v>30</v>
      </c>
      <c r="BF634" s="44"/>
      <c r="BG634" s="45">
        <f t="shared" si="1344"/>
        <v>0</v>
      </c>
      <c r="BH634" s="45">
        <f t="shared" si="1345"/>
        <v>0</v>
      </c>
      <c r="BI634" s="45">
        <f t="shared" si="1346"/>
        <v>0</v>
      </c>
      <c r="BJ634" s="46">
        <f t="shared" si="1347"/>
        <v>0</v>
      </c>
      <c r="BK634" s="46">
        <f t="shared" si="1348"/>
        <v>0</v>
      </c>
      <c r="BL634" s="46">
        <f t="shared" si="1349"/>
        <v>30</v>
      </c>
    </row>
    <row r="635" spans="1:64" ht="30" customHeight="1" x14ac:dyDescent="0.25">
      <c r="A635" s="84" t="str">
        <f t="shared" si="1270"/>
        <v>Д</v>
      </c>
      <c r="B635" s="84" t="str">
        <f t="shared" si="1328"/>
        <v>А</v>
      </c>
      <c r="C635" s="133" t="s">
        <v>2593</v>
      </c>
      <c r="D635" s="16" t="str">
        <f t="shared" si="1329"/>
        <v>'09.06.01</v>
      </c>
      <c r="E635" s="17" t="str">
        <f t="shared" si="1330"/>
        <v>Теоретические основы информатики</v>
      </c>
      <c r="F635" s="116"/>
      <c r="G635" s="116"/>
      <c r="H635" s="112" t="s">
        <v>3233</v>
      </c>
      <c r="I635" s="112"/>
      <c r="J635" s="115" t="s">
        <v>3365</v>
      </c>
      <c r="K635" s="117">
        <v>8</v>
      </c>
      <c r="L635" s="109"/>
      <c r="M635" s="113" t="s">
        <v>185</v>
      </c>
      <c r="N635" s="117"/>
      <c r="O635" s="117"/>
      <c r="P635" s="117"/>
      <c r="Q635" s="113"/>
      <c r="R635" s="117"/>
      <c r="S635" s="117"/>
      <c r="T635" s="117"/>
      <c r="U635" s="117"/>
      <c r="V635" s="117"/>
      <c r="W635" s="83" t="str">
        <f t="shared" si="1271"/>
        <v>НИВад</v>
      </c>
      <c r="X635" s="114" t="s">
        <v>3368</v>
      </c>
      <c r="Y635" s="109"/>
      <c r="Z635" s="109"/>
      <c r="AA635" s="83">
        <f t="shared" si="1331"/>
        <v>1</v>
      </c>
      <c r="AB635" s="109"/>
      <c r="AC635" s="109">
        <v>1</v>
      </c>
      <c r="AD635" s="81">
        <f t="shared" si="1272"/>
        <v>1</v>
      </c>
      <c r="AE635" s="82">
        <f t="shared" si="1332"/>
        <v>1</v>
      </c>
      <c r="AF635" s="82">
        <f t="shared" si="1333"/>
        <v>1</v>
      </c>
      <c r="AG635" s="102"/>
      <c r="AH635" s="113" t="s">
        <v>447</v>
      </c>
      <c r="AI635" s="113"/>
      <c r="AJ635" s="121" t="s">
        <v>412</v>
      </c>
      <c r="AK635" s="8"/>
      <c r="AL635" s="42">
        <f t="shared" si="1273"/>
        <v>0</v>
      </c>
      <c r="AM635" s="42">
        <f t="shared" si="1334"/>
        <v>0</v>
      </c>
      <c r="AN635" s="42">
        <f t="shared" si="1335"/>
        <v>0</v>
      </c>
      <c r="AO635" s="42">
        <f t="shared" si="1350"/>
        <v>0</v>
      </c>
      <c r="AP635" s="42">
        <f t="shared" si="1336"/>
        <v>0</v>
      </c>
      <c r="AQ635" s="42">
        <f t="shared" si="1351"/>
        <v>0</v>
      </c>
      <c r="AR635" s="42">
        <f t="shared" si="1274"/>
        <v>0</v>
      </c>
      <c r="AS635" s="42">
        <f t="shared" si="1337"/>
        <v>0</v>
      </c>
      <c r="AT635" s="42">
        <f t="shared" si="1338"/>
        <v>0</v>
      </c>
      <c r="AU635" s="42">
        <f t="shared" si="1339"/>
        <v>0</v>
      </c>
      <c r="AV635" s="42">
        <f>IF(M635="ПП",РПП*AA635*(U635/1.5),IF(M635="ВП",ВПр*AA635*(U635/1.5),IF(M635="РПА",РПА*AA635*(U635/1.5),IF(M635="КПА",КПА*AA635*(U635/1.5),0))))</f>
        <v>0</v>
      </c>
      <c r="AW635" s="42">
        <f t="shared" si="1340"/>
        <v>0</v>
      </c>
      <c r="AX635" s="42">
        <f t="shared" si="1275"/>
        <v>0</v>
      </c>
      <c r="AY635" s="42">
        <f t="shared" si="1276"/>
        <v>2</v>
      </c>
      <c r="AZ635" s="42">
        <f t="shared" si="1341"/>
        <v>0</v>
      </c>
      <c r="BA635" s="42">
        <f t="shared" si="1277"/>
        <v>0</v>
      </c>
      <c r="BB635" s="42">
        <f t="shared" si="1278"/>
        <v>0</v>
      </c>
      <c r="BC635" s="42">
        <f t="shared" si="1279"/>
        <v>0</v>
      </c>
      <c r="BD635" s="42">
        <f t="shared" si="1342"/>
        <v>0</v>
      </c>
      <c r="BE635" s="43">
        <f t="shared" si="1343"/>
        <v>2</v>
      </c>
      <c r="BF635" s="44"/>
      <c r="BG635" s="45">
        <f t="shared" si="1344"/>
        <v>0</v>
      </c>
      <c r="BH635" s="45">
        <f t="shared" si="1345"/>
        <v>0</v>
      </c>
      <c r="BI635" s="45">
        <f t="shared" si="1346"/>
        <v>0</v>
      </c>
      <c r="BJ635" s="46">
        <f t="shared" si="1347"/>
        <v>0</v>
      </c>
      <c r="BK635" s="46">
        <f t="shared" si="1348"/>
        <v>0</v>
      </c>
      <c r="BL635" s="46">
        <f t="shared" si="1349"/>
        <v>2</v>
      </c>
    </row>
    <row r="636" spans="1:64" ht="30" customHeight="1" x14ac:dyDescent="0.25">
      <c r="A636" s="84" t="str">
        <f t="shared" si="1270"/>
        <v>Д</v>
      </c>
      <c r="B636" s="84" t="str">
        <f t="shared" ref="B636:B662" si="1376">IF(C636&gt;0, VLOOKUP(C636,Код_ООП,11,FALSE),0)</f>
        <v>А</v>
      </c>
      <c r="C636" s="133" t="s">
        <v>2593</v>
      </c>
      <c r="D636" s="16" t="str">
        <f t="shared" ref="D636:D662" si="1377">IF(C636&gt;0, VLOOKUP(C636,Код_ООП,2,FALSE),0)</f>
        <v>'09.06.01</v>
      </c>
      <c r="E636" s="17" t="str">
        <f t="shared" ref="E636:E662" si="1378">IF(C636&gt;0, VLOOKUP(C636,Код_ООП,13,FALSE),0)</f>
        <v>Теоретические основы информатики</v>
      </c>
      <c r="F636" s="116"/>
      <c r="G636" s="116"/>
      <c r="H636" s="112" t="s">
        <v>3233</v>
      </c>
      <c r="I636" s="112"/>
      <c r="J636" s="115" t="s">
        <v>3365</v>
      </c>
      <c r="K636" s="118">
        <v>8</v>
      </c>
      <c r="L636" s="109"/>
      <c r="M636" s="113" t="s">
        <v>185</v>
      </c>
      <c r="N636" s="118"/>
      <c r="O636" s="118"/>
      <c r="P636" s="118"/>
      <c r="Q636" s="113"/>
      <c r="R636" s="118"/>
      <c r="S636" s="118"/>
      <c r="T636" s="118"/>
      <c r="U636" s="118"/>
      <c r="V636" s="118"/>
      <c r="W636" s="83" t="str">
        <f t="shared" si="1271"/>
        <v>НИВад</v>
      </c>
      <c r="X636" s="114" t="s">
        <v>3368</v>
      </c>
      <c r="Y636" s="109"/>
      <c r="Z636" s="109"/>
      <c r="AA636" s="83">
        <f t="shared" ref="AA636:AA662" si="1379">AB636+AC636</f>
        <v>1</v>
      </c>
      <c r="AB636" s="109"/>
      <c r="AC636" s="109">
        <v>1</v>
      </c>
      <c r="AD636" s="81">
        <f t="shared" si="1272"/>
        <v>1</v>
      </c>
      <c r="AE636" s="82">
        <f t="shared" ref="AE636:AE662" si="1380">IF(AF636&gt;1,1,AF636)</f>
        <v>1</v>
      </c>
      <c r="AF636" s="82">
        <f t="shared" ref="AF636:AF662" si="1381">AA636/AD636</f>
        <v>1</v>
      </c>
      <c r="AG636" s="102"/>
      <c r="AH636" s="113" t="s">
        <v>204</v>
      </c>
      <c r="AI636" s="113" t="s">
        <v>212</v>
      </c>
      <c r="AJ636" s="121" t="s">
        <v>3255</v>
      </c>
      <c r="AK636" s="8"/>
      <c r="AL636" s="42">
        <f t="shared" si="1273"/>
        <v>0</v>
      </c>
      <c r="AM636" s="42">
        <f t="shared" ref="AM636:AM662" si="1382">IF(OR(M636="пр",M636="ия",M636="сп"),P636*AE636*L636,0)</f>
        <v>0</v>
      </c>
      <c r="AN636" s="42">
        <f t="shared" ref="AN636:AN662" si="1383">IF(OR(M636="лаб",M636="клн"),O636*AE636*L636,0)</f>
        <v>0</v>
      </c>
      <c r="AO636" s="42">
        <f t="shared" ref="AO636:AO662" si="1384">(IF((AND(OR(K636=1,K636=2,K636=3,K636=4,K636=5,K636=6,K636=7,K636=8,K636=9,K636=10,K636=11,K636=12),OR(Q636="Зач",Q636="Экз"))),ТКиРА*AA636,0)+IF(SUM(N636:P636)&lt;&gt;0,IF(Q636="ТК",ТКиРА*AA636,0),0))*(IF(F636="ФТД",0,1))</f>
        <v>0</v>
      </c>
      <c r="AP636" s="42">
        <f t="shared" ref="AP636:AP662" si="1385">IF(SUM(O636:P636)&lt;&gt;0,IF(Q636="Зач",ПАБРС*AA636,0),0)+IF(N636&lt;&gt;0,IF(Q636="Экз",ПАБРС*AA636,0),0)</f>
        <v>0</v>
      </c>
      <c r="AQ636" s="42">
        <f t="shared" ref="AQ636:AQ662" si="1386">(IF(AP636&lt;&gt;0,ОфВед*(IF(OR(M636="лек",M636="лаб"),Z636,AE636)),0))*(IF(F636="ФТД",0,1))</f>
        <v>0</v>
      </c>
      <c r="AR636" s="42">
        <f t="shared" si="1274"/>
        <v>0</v>
      </c>
      <c r="AS636" s="42">
        <f t="shared" ref="AS636:AS662" si="1387">IF(OR(M636="лаб",M636="пр"),IF(R636="К",AA636*ВПКР,IF(R636="М",AA636*ВПИБ,0)),0)</f>
        <v>0</v>
      </c>
      <c r="AT636" s="42">
        <f t="shared" ref="AT636:AT662" si="1388">IF(OR(M636="лаб",M636="пр"),IF(S636="К",AA636*ВПКП,0),0)</f>
        <v>0</v>
      </c>
      <c r="AU636" s="42">
        <f t="shared" ref="AU636:AU662" si="1389">IF(M636="УП",T636/1.5*AA636*РУП,IF(M636="УПМ",T636/1.5*AA636*РУПЛеч,0))</f>
        <v>0</v>
      </c>
      <c r="AV636" s="42">
        <f>IF(M636="ПП",РПП*AA636*(U636/1.5),IF(M636="ВП",ВПр*AA636*(U636/1.5),IF(M636="РПА",РПА*AA636*(U636/1.5),IF(M636="КПА",КПА*AA636*(U636/1.5),0))))</f>
        <v>0</v>
      </c>
      <c r="AW636" s="42">
        <f t="shared" ref="AW636:AW662" si="1390">IF(M636="НР",(AB636*НИРМ+AC636*НИРМИн)*(V636/1.5),IF(M636="НИ",(AB636*НИРА+AC636*НИРАИ)*(V636/1.5),0))</f>
        <v>0</v>
      </c>
      <c r="AX636" s="42">
        <f t="shared" si="1275"/>
        <v>0</v>
      </c>
      <c r="AY636" s="42">
        <f t="shared" si="1276"/>
        <v>2</v>
      </c>
      <c r="AZ636" s="42">
        <f t="shared" ref="AZ636:AZ662" si="1391">IF(AND(Q636="КЭ",M636="ЧК"),AA636*КдЭк,0)</f>
        <v>0</v>
      </c>
      <c r="BA636" s="42">
        <f t="shared" si="1277"/>
        <v>0</v>
      </c>
      <c r="BB636" s="42">
        <f t="shared" si="1278"/>
        <v>0</v>
      </c>
      <c r="BC636" s="42">
        <f t="shared" si="1279"/>
        <v>0</v>
      </c>
      <c r="BD636" s="42">
        <f t="shared" ref="BD636:BD662" si="1392">IF(M636="ЧГ",AA636*ЧГ,IF(M636="ПГ",AA636*ПГ,IF(M636="ТЕСТ",ТГИЭ*AE636,IF(M636="СГ",AA636*СГ,0))))</f>
        <v>0</v>
      </c>
      <c r="BE636" s="43">
        <f t="shared" ref="BE636:BE662" si="1393">SUM(AL636:BD636)</f>
        <v>2</v>
      </c>
      <c r="BF636" s="44"/>
      <c r="BG636" s="45">
        <f t="shared" ref="BG636:BG662" si="1394">IF(OR(K636="1;1",K636="1;2",K636=1,K636="3;1",K636="3;2",K636=3,K636="5;1",K636="5;2",K636=5,K636="7;1",K636="7;2",K636=7,K636="9;1",K636="9;2",K636=9,K636=11),SUM(AL636:AN636),0)</f>
        <v>0</v>
      </c>
      <c r="BH636" s="45">
        <f t="shared" ref="BH636:BH662" si="1395">IF(BG636&lt;&gt;0,SUM(N636:P636)/2,0)</f>
        <v>0</v>
      </c>
      <c r="BI636" s="45">
        <f t="shared" ref="BI636:BI662" si="1396">IF(OR(K636="1;1",K636="1;2",K636=1,K636="3;1",K636="3;2",K636=3,K636="5;1",K636="5;2",K636=5,K636="7;1",K636="7;2",K636=7,K636="9;1",K636="9;2",K636=9,K636=11),SUM(AO636:BD636),0)</f>
        <v>0</v>
      </c>
      <c r="BJ636" s="46">
        <f t="shared" ref="BJ636:BJ662" si="1397">IF(OR(K636="2;3",K636="2;4",K636=2,K636="4;3",K636="4;4",K636=4,K636="6;3",K636="6;4",K636=6,K636="8;3",K636="8;4",K636=8,K636="10;3",K636="10;4",K636=10,K636=12),SUM(AL636:AN636),0)</f>
        <v>0</v>
      </c>
      <c r="BK636" s="46">
        <f t="shared" ref="BK636:BK662" si="1398">IF(BJ636&lt;&gt;0,SUM(N636:P636)/2,0)</f>
        <v>0</v>
      </c>
      <c r="BL636" s="46">
        <f t="shared" ref="BL636:BL662" si="1399">IF(OR(K636="2;3",K636="2;4",K636=2,K636="4;3",K636="4;4",K636=4,K636="6;3",K636="6;4",K636=6,K636="8;3",K636="8;4",K636=8,K636="10;3",K636="10;4",K636=10,K636=12),SUM(AO636:BD636),0)</f>
        <v>2</v>
      </c>
    </row>
    <row r="637" spans="1:64" ht="30" customHeight="1" x14ac:dyDescent="0.25">
      <c r="A637" s="84" t="str">
        <f t="shared" si="1270"/>
        <v>Д</v>
      </c>
      <c r="B637" s="84" t="str">
        <f t="shared" si="1376"/>
        <v>А</v>
      </c>
      <c r="C637" s="133" t="s">
        <v>2593</v>
      </c>
      <c r="D637" s="16" t="str">
        <f t="shared" si="1377"/>
        <v>'09.06.01</v>
      </c>
      <c r="E637" s="17" t="str">
        <f t="shared" si="1378"/>
        <v>Теоретические основы информатики</v>
      </c>
      <c r="F637" s="116"/>
      <c r="G637" s="116"/>
      <c r="H637" s="112" t="s">
        <v>3233</v>
      </c>
      <c r="I637" s="112"/>
      <c r="J637" s="115" t="s">
        <v>3365</v>
      </c>
      <c r="K637" s="109">
        <v>8</v>
      </c>
      <c r="L637" s="109"/>
      <c r="M637" s="113" t="s">
        <v>185</v>
      </c>
      <c r="N637" s="109"/>
      <c r="O637" s="109"/>
      <c r="P637" s="109"/>
      <c r="Q637" s="113"/>
      <c r="R637" s="117"/>
      <c r="S637" s="117"/>
      <c r="T637" s="117"/>
      <c r="U637" s="117"/>
      <c r="V637" s="117"/>
      <c r="W637" s="83" t="str">
        <f t="shared" si="1271"/>
        <v>НИВад</v>
      </c>
      <c r="X637" s="114" t="s">
        <v>3368</v>
      </c>
      <c r="Y637" s="109"/>
      <c r="Z637" s="109"/>
      <c r="AA637" s="83">
        <f t="shared" si="1379"/>
        <v>2</v>
      </c>
      <c r="AB637" s="109"/>
      <c r="AC637" s="109">
        <v>2</v>
      </c>
      <c r="AD637" s="81">
        <f t="shared" si="1272"/>
        <v>1</v>
      </c>
      <c r="AE637" s="82">
        <f t="shared" si="1380"/>
        <v>1</v>
      </c>
      <c r="AF637" s="82">
        <f t="shared" si="1381"/>
        <v>2</v>
      </c>
      <c r="AG637" s="102"/>
      <c r="AH637" s="113" t="s">
        <v>204</v>
      </c>
      <c r="AI637" s="113" t="s">
        <v>213</v>
      </c>
      <c r="AJ637" s="121" t="s">
        <v>3259</v>
      </c>
      <c r="AK637" s="8"/>
      <c r="AL637" s="42">
        <f t="shared" si="1273"/>
        <v>0</v>
      </c>
      <c r="AM637" s="42">
        <f t="shared" si="1382"/>
        <v>0</v>
      </c>
      <c r="AN637" s="42">
        <f t="shared" si="1383"/>
        <v>0</v>
      </c>
      <c r="AO637" s="42">
        <f t="shared" si="1384"/>
        <v>0</v>
      </c>
      <c r="AP637" s="42">
        <f t="shared" si="1385"/>
        <v>0</v>
      </c>
      <c r="AQ637" s="42">
        <f t="shared" si="1386"/>
        <v>0</v>
      </c>
      <c r="AR637" s="42">
        <f t="shared" si="1274"/>
        <v>0</v>
      </c>
      <c r="AS637" s="42">
        <f t="shared" si="1387"/>
        <v>0</v>
      </c>
      <c r="AT637" s="42">
        <f t="shared" si="1388"/>
        <v>0</v>
      </c>
      <c r="AU637" s="42">
        <f t="shared" si="1389"/>
        <v>0</v>
      </c>
      <c r="AV637" s="42">
        <f>IF(M637="ПП",РПП*AA637*(U637/1.5),IF(M637="ВП",ВПр*AA637*(U637/1.5),IF(M637="РПА",РПА*AA637*(U637/1.5),IF(M637="КПА",КПА*AA637*(U637/1.5),0))))</f>
        <v>0</v>
      </c>
      <c r="AW637" s="42">
        <f t="shared" si="1390"/>
        <v>0</v>
      </c>
      <c r="AX637" s="42">
        <f t="shared" si="1275"/>
        <v>0</v>
      </c>
      <c r="AY637" s="42">
        <f t="shared" si="1276"/>
        <v>4</v>
      </c>
      <c r="AZ637" s="42">
        <f t="shared" si="1391"/>
        <v>0</v>
      </c>
      <c r="BA637" s="42">
        <f t="shared" si="1277"/>
        <v>0</v>
      </c>
      <c r="BB637" s="42">
        <f t="shared" si="1278"/>
        <v>0</v>
      </c>
      <c r="BC637" s="42">
        <f t="shared" si="1279"/>
        <v>0</v>
      </c>
      <c r="BD637" s="42">
        <f t="shared" si="1392"/>
        <v>0</v>
      </c>
      <c r="BE637" s="43">
        <f t="shared" si="1393"/>
        <v>4</v>
      </c>
      <c r="BF637" s="44"/>
      <c r="BG637" s="45">
        <f t="shared" si="1394"/>
        <v>0</v>
      </c>
      <c r="BH637" s="45">
        <f t="shared" si="1395"/>
        <v>0</v>
      </c>
      <c r="BI637" s="45">
        <f t="shared" si="1396"/>
        <v>0</v>
      </c>
      <c r="BJ637" s="46">
        <f t="shared" si="1397"/>
        <v>0</v>
      </c>
      <c r="BK637" s="46">
        <f t="shared" si="1398"/>
        <v>0</v>
      </c>
      <c r="BL637" s="46">
        <f t="shared" si="1399"/>
        <v>4</v>
      </c>
    </row>
    <row r="638" spans="1:64" ht="30" customHeight="1" x14ac:dyDescent="0.25">
      <c r="A638" s="84" t="str">
        <f t="shared" si="1270"/>
        <v>Д</v>
      </c>
      <c r="B638" s="84" t="str">
        <f t="shared" si="1376"/>
        <v>А</v>
      </c>
      <c r="C638" s="133" t="s">
        <v>2593</v>
      </c>
      <c r="D638" s="16" t="str">
        <f t="shared" si="1377"/>
        <v>'09.06.01</v>
      </c>
      <c r="E638" s="17" t="str">
        <f t="shared" si="1378"/>
        <v>Теоретические основы информатики</v>
      </c>
      <c r="F638" s="116"/>
      <c r="G638" s="116"/>
      <c r="H638" s="112" t="s">
        <v>3233</v>
      </c>
      <c r="I638" s="112"/>
      <c r="J638" s="115" t="s">
        <v>3365</v>
      </c>
      <c r="K638" s="109">
        <v>8</v>
      </c>
      <c r="L638" s="109"/>
      <c r="M638" s="113" t="s">
        <v>185</v>
      </c>
      <c r="N638" s="109"/>
      <c r="O638" s="109"/>
      <c r="P638" s="109"/>
      <c r="Q638" s="113"/>
      <c r="R638" s="117"/>
      <c r="S638" s="117"/>
      <c r="T638" s="117"/>
      <c r="U638" s="117"/>
      <c r="V638" s="117"/>
      <c r="W638" s="83" t="str">
        <f t="shared" si="1271"/>
        <v>НИВад</v>
      </c>
      <c r="X638" s="114" t="s">
        <v>3368</v>
      </c>
      <c r="Y638" s="109"/>
      <c r="Z638" s="109"/>
      <c r="AA638" s="83">
        <f t="shared" si="1379"/>
        <v>1</v>
      </c>
      <c r="AB638" s="109">
        <v>1</v>
      </c>
      <c r="AC638" s="109"/>
      <c r="AD638" s="81">
        <f t="shared" si="1272"/>
        <v>1</v>
      </c>
      <c r="AE638" s="82">
        <f t="shared" si="1380"/>
        <v>1</v>
      </c>
      <c r="AF638" s="82">
        <f t="shared" si="1381"/>
        <v>1</v>
      </c>
      <c r="AG638" s="102"/>
      <c r="AH638" s="113" t="s">
        <v>204</v>
      </c>
      <c r="AI638" s="113" t="s">
        <v>212</v>
      </c>
      <c r="AJ638" s="121" t="s">
        <v>3261</v>
      </c>
      <c r="AK638" s="8"/>
      <c r="AL638" s="42">
        <f t="shared" si="1273"/>
        <v>0</v>
      </c>
      <c r="AM638" s="42">
        <f t="shared" si="1382"/>
        <v>0</v>
      </c>
      <c r="AN638" s="42">
        <f t="shared" si="1383"/>
        <v>0</v>
      </c>
      <c r="AO638" s="42">
        <f t="shared" si="1384"/>
        <v>0</v>
      </c>
      <c r="AP638" s="42">
        <f t="shared" si="1385"/>
        <v>0</v>
      </c>
      <c r="AQ638" s="42">
        <f t="shared" si="1386"/>
        <v>0</v>
      </c>
      <c r="AR638" s="42">
        <f t="shared" si="1274"/>
        <v>0</v>
      </c>
      <c r="AS638" s="42">
        <f t="shared" si="1387"/>
        <v>0</v>
      </c>
      <c r="AT638" s="42">
        <f t="shared" si="1388"/>
        <v>0</v>
      </c>
      <c r="AU638" s="42">
        <f t="shared" si="1389"/>
        <v>0</v>
      </c>
      <c r="AV638" s="42">
        <f>IF(M638="ПП",РПП*AA638*(U638/1.5),IF(M638="ВП",ВПр*AA638*(U638/1.5),IF(M638="РПА",РПА*AA638*(U638/1.5),IF(M638="КПА",КПА*AA638*(U638/1.5),0))))</f>
        <v>0</v>
      </c>
      <c r="AW638" s="42">
        <f t="shared" si="1390"/>
        <v>0</v>
      </c>
      <c r="AX638" s="42">
        <f t="shared" si="1275"/>
        <v>0</v>
      </c>
      <c r="AY638" s="42">
        <f t="shared" si="1276"/>
        <v>2</v>
      </c>
      <c r="AZ638" s="42">
        <f t="shared" si="1391"/>
        <v>0</v>
      </c>
      <c r="BA638" s="42">
        <f t="shared" si="1277"/>
        <v>0</v>
      </c>
      <c r="BB638" s="42">
        <f t="shared" si="1278"/>
        <v>0</v>
      </c>
      <c r="BC638" s="42">
        <f t="shared" si="1279"/>
        <v>0</v>
      </c>
      <c r="BD638" s="42">
        <f t="shared" si="1392"/>
        <v>0</v>
      </c>
      <c r="BE638" s="43">
        <f t="shared" si="1393"/>
        <v>2</v>
      </c>
      <c r="BF638" s="44"/>
      <c r="BG638" s="45">
        <f t="shared" si="1394"/>
        <v>0</v>
      </c>
      <c r="BH638" s="45">
        <f t="shared" si="1395"/>
        <v>0</v>
      </c>
      <c r="BI638" s="45">
        <f t="shared" si="1396"/>
        <v>0</v>
      </c>
      <c r="BJ638" s="46">
        <f t="shared" si="1397"/>
        <v>0</v>
      </c>
      <c r="BK638" s="46">
        <f t="shared" si="1398"/>
        <v>0</v>
      </c>
      <c r="BL638" s="46">
        <f t="shared" si="1399"/>
        <v>2</v>
      </c>
    </row>
    <row r="639" spans="1:64" ht="30" customHeight="1" x14ac:dyDescent="0.25">
      <c r="A639" s="84" t="str">
        <f t="shared" si="1270"/>
        <v>Д</v>
      </c>
      <c r="B639" s="84" t="str">
        <f t="shared" si="1376"/>
        <v>А</v>
      </c>
      <c r="C639" s="133" t="s">
        <v>2593</v>
      </c>
      <c r="D639" s="16" t="str">
        <f t="shared" si="1377"/>
        <v>'09.06.01</v>
      </c>
      <c r="E639" s="17" t="str">
        <f t="shared" si="1378"/>
        <v>Теоретические основы информатики</v>
      </c>
      <c r="F639" s="116"/>
      <c r="G639" s="116"/>
      <c r="H639" s="112" t="s">
        <v>3233</v>
      </c>
      <c r="I639" s="112"/>
      <c r="J639" s="115" t="s">
        <v>3363</v>
      </c>
      <c r="K639" s="109">
        <v>8</v>
      </c>
      <c r="L639" s="109"/>
      <c r="M639" s="113" t="s">
        <v>27</v>
      </c>
      <c r="N639" s="109"/>
      <c r="O639" s="109"/>
      <c r="P639" s="109"/>
      <c r="Q639" s="113"/>
      <c r="R639" s="117"/>
      <c r="S639" s="117"/>
      <c r="T639" s="117"/>
      <c r="U639" s="117"/>
      <c r="V639" s="117"/>
      <c r="W639" s="83" t="str">
        <f t="shared" si="1271"/>
        <v>НИВад</v>
      </c>
      <c r="X639" s="114" t="s">
        <v>3368</v>
      </c>
      <c r="Y639" s="109"/>
      <c r="Z639" s="109"/>
      <c r="AA639" s="83">
        <f t="shared" si="1379"/>
        <v>1</v>
      </c>
      <c r="AB639" s="109"/>
      <c r="AC639" s="109">
        <v>1</v>
      </c>
      <c r="AD639" s="81">
        <f t="shared" si="1272"/>
        <v>1</v>
      </c>
      <c r="AE639" s="82">
        <f t="shared" si="1380"/>
        <v>1</v>
      </c>
      <c r="AF639" s="82">
        <f t="shared" si="1381"/>
        <v>1</v>
      </c>
      <c r="AG639" s="102"/>
      <c r="AH639" s="113" t="s">
        <v>204</v>
      </c>
      <c r="AI639" s="113" t="s">
        <v>212</v>
      </c>
      <c r="AJ639" s="121" t="s">
        <v>3252</v>
      </c>
      <c r="AK639" s="8"/>
      <c r="AL639" s="42">
        <f t="shared" si="1273"/>
        <v>0</v>
      </c>
      <c r="AM639" s="42">
        <f t="shared" si="1382"/>
        <v>0</v>
      </c>
      <c r="AN639" s="42">
        <f t="shared" si="1383"/>
        <v>0</v>
      </c>
      <c r="AO639" s="42">
        <f t="shared" si="1384"/>
        <v>0</v>
      </c>
      <c r="AP639" s="42">
        <f t="shared" si="1385"/>
        <v>0</v>
      </c>
      <c r="AQ639" s="42">
        <f t="shared" si="1386"/>
        <v>0</v>
      </c>
      <c r="AR639" s="42">
        <f t="shared" si="1274"/>
        <v>0</v>
      </c>
      <c r="AS639" s="42">
        <f t="shared" si="1387"/>
        <v>0</v>
      </c>
      <c r="AT639" s="42">
        <f t="shared" si="1388"/>
        <v>0</v>
      </c>
      <c r="AU639" s="42">
        <f t="shared" si="1389"/>
        <v>0</v>
      </c>
      <c r="AV639" s="42">
        <f>IF(M639="ПП",РПП*AA639*(U639/1.5),IF(M639="ВП",ВПр*AA639*(U639/1.5),IF(M639="РПА",РПА*AA639*(U639/1.5),IF(M639="КПА",КПА*AA639*(U639/1.5),0))))</f>
        <v>0</v>
      </c>
      <c r="AW639" s="42">
        <f t="shared" si="1390"/>
        <v>0</v>
      </c>
      <c r="AX639" s="42">
        <f t="shared" si="1275"/>
        <v>0</v>
      </c>
      <c r="AY639" s="42">
        <f t="shared" si="1276"/>
        <v>0</v>
      </c>
      <c r="AZ639" s="42">
        <f t="shared" si="1391"/>
        <v>0</v>
      </c>
      <c r="BA639" s="42">
        <f t="shared" si="1277"/>
        <v>0</v>
      </c>
      <c r="BB639" s="42">
        <f t="shared" si="1278"/>
        <v>0</v>
      </c>
      <c r="BC639" s="42">
        <f t="shared" si="1279"/>
        <v>6</v>
      </c>
      <c r="BD639" s="42">
        <f t="shared" si="1392"/>
        <v>0</v>
      </c>
      <c r="BE639" s="43">
        <f t="shared" si="1393"/>
        <v>6</v>
      </c>
      <c r="BF639" s="44"/>
      <c r="BG639" s="45">
        <f t="shared" si="1394"/>
        <v>0</v>
      </c>
      <c r="BH639" s="45">
        <f t="shared" si="1395"/>
        <v>0</v>
      </c>
      <c r="BI639" s="45">
        <f t="shared" si="1396"/>
        <v>0</v>
      </c>
      <c r="BJ639" s="46">
        <f t="shared" si="1397"/>
        <v>0</v>
      </c>
      <c r="BK639" s="46">
        <f t="shared" si="1398"/>
        <v>0</v>
      </c>
      <c r="BL639" s="46">
        <f t="shared" si="1399"/>
        <v>6</v>
      </c>
    </row>
    <row r="640" spans="1:64" ht="30" customHeight="1" x14ac:dyDescent="0.25">
      <c r="A640" s="84" t="str">
        <f t="shared" si="1270"/>
        <v>Д</v>
      </c>
      <c r="B640" s="84" t="str">
        <f t="shared" si="1376"/>
        <v>А</v>
      </c>
      <c r="C640" s="133" t="s">
        <v>2593</v>
      </c>
      <c r="D640" s="16" t="str">
        <f t="shared" si="1377"/>
        <v>'09.06.01</v>
      </c>
      <c r="E640" s="17" t="str">
        <f t="shared" si="1378"/>
        <v>Теоретические основы информатики</v>
      </c>
      <c r="F640" s="116"/>
      <c r="G640" s="116"/>
      <c r="H640" s="112" t="s">
        <v>3233</v>
      </c>
      <c r="I640" s="112"/>
      <c r="J640" s="115" t="s">
        <v>3363</v>
      </c>
      <c r="K640" s="109">
        <v>8</v>
      </c>
      <c r="L640" s="109"/>
      <c r="M640" s="113" t="s">
        <v>27</v>
      </c>
      <c r="N640" s="109"/>
      <c r="O640" s="109"/>
      <c r="P640" s="109"/>
      <c r="Q640" s="113"/>
      <c r="R640" s="117"/>
      <c r="S640" s="117"/>
      <c r="T640" s="117"/>
      <c r="U640" s="117"/>
      <c r="V640" s="117"/>
      <c r="W640" s="83" t="str">
        <f t="shared" si="1271"/>
        <v>НИВад</v>
      </c>
      <c r="X640" s="114" t="s">
        <v>3368</v>
      </c>
      <c r="Y640" s="109"/>
      <c r="Z640" s="109"/>
      <c r="AA640" s="83">
        <f t="shared" si="1379"/>
        <v>1</v>
      </c>
      <c r="AB640" s="109"/>
      <c r="AC640" s="109">
        <v>1</v>
      </c>
      <c r="AD640" s="81">
        <f t="shared" si="1272"/>
        <v>1</v>
      </c>
      <c r="AE640" s="82">
        <f t="shared" si="1380"/>
        <v>1</v>
      </c>
      <c r="AF640" s="82">
        <f t="shared" si="1381"/>
        <v>1</v>
      </c>
      <c r="AG640" s="102"/>
      <c r="AH640" s="113" t="s">
        <v>204</v>
      </c>
      <c r="AI640" s="113" t="s">
        <v>212</v>
      </c>
      <c r="AJ640" s="121" t="s">
        <v>3255</v>
      </c>
      <c r="AK640" s="8"/>
      <c r="AL640" s="42">
        <f t="shared" si="1273"/>
        <v>0</v>
      </c>
      <c r="AM640" s="42">
        <f t="shared" si="1382"/>
        <v>0</v>
      </c>
      <c r="AN640" s="42">
        <f t="shared" si="1383"/>
        <v>0</v>
      </c>
      <c r="AO640" s="42">
        <f t="shared" si="1384"/>
        <v>0</v>
      </c>
      <c r="AP640" s="42">
        <f t="shared" si="1385"/>
        <v>0</v>
      </c>
      <c r="AQ640" s="42">
        <f t="shared" si="1386"/>
        <v>0</v>
      </c>
      <c r="AR640" s="42">
        <f t="shared" si="1274"/>
        <v>0</v>
      </c>
      <c r="AS640" s="42">
        <f t="shared" si="1387"/>
        <v>0</v>
      </c>
      <c r="AT640" s="42">
        <f t="shared" si="1388"/>
        <v>0</v>
      </c>
      <c r="AU640" s="42">
        <f t="shared" si="1389"/>
        <v>0</v>
      </c>
      <c r="AV640" s="42">
        <f>IF(M640="ПП",РПП*AA640*(U640/1.5),IF(M640="ВП",ВПр*AA640*(U640/1.5),IF(M640="РПА",РПА*AA640*(U640/1.5),IF(M640="КПА",КПА*AA640*(U640/1.5),0))))</f>
        <v>0</v>
      </c>
      <c r="AW640" s="42">
        <f t="shared" si="1390"/>
        <v>0</v>
      </c>
      <c r="AX640" s="42">
        <f t="shared" si="1275"/>
        <v>0</v>
      </c>
      <c r="AY640" s="42">
        <f t="shared" si="1276"/>
        <v>0</v>
      </c>
      <c r="AZ640" s="42">
        <f t="shared" si="1391"/>
        <v>0</v>
      </c>
      <c r="BA640" s="42">
        <f t="shared" si="1277"/>
        <v>0</v>
      </c>
      <c r="BB640" s="42">
        <f t="shared" si="1278"/>
        <v>0</v>
      </c>
      <c r="BC640" s="42">
        <f t="shared" si="1279"/>
        <v>6</v>
      </c>
      <c r="BD640" s="42">
        <f t="shared" si="1392"/>
        <v>0</v>
      </c>
      <c r="BE640" s="43">
        <f t="shared" si="1393"/>
        <v>6</v>
      </c>
      <c r="BF640" s="44"/>
      <c r="BG640" s="45">
        <f t="shared" si="1394"/>
        <v>0</v>
      </c>
      <c r="BH640" s="45">
        <f t="shared" si="1395"/>
        <v>0</v>
      </c>
      <c r="BI640" s="45">
        <f t="shared" si="1396"/>
        <v>0</v>
      </c>
      <c r="BJ640" s="46">
        <f t="shared" si="1397"/>
        <v>0</v>
      </c>
      <c r="BK640" s="46">
        <f t="shared" si="1398"/>
        <v>0</v>
      </c>
      <c r="BL640" s="46">
        <f t="shared" si="1399"/>
        <v>6</v>
      </c>
    </row>
    <row r="641" spans="1:64" ht="30" customHeight="1" x14ac:dyDescent="0.25">
      <c r="A641" s="84" t="str">
        <f t="shared" si="1270"/>
        <v>Д</v>
      </c>
      <c r="B641" s="84" t="str">
        <f t="shared" si="1376"/>
        <v>А</v>
      </c>
      <c r="C641" s="133" t="s">
        <v>2593</v>
      </c>
      <c r="D641" s="16" t="str">
        <f t="shared" si="1377"/>
        <v>'09.06.01</v>
      </c>
      <c r="E641" s="17" t="str">
        <f t="shared" si="1378"/>
        <v>Теоретические основы информатики</v>
      </c>
      <c r="F641" s="116"/>
      <c r="G641" s="116"/>
      <c r="H641" s="112" t="s">
        <v>3233</v>
      </c>
      <c r="I641" s="112"/>
      <c r="J641" s="115" t="s">
        <v>3363</v>
      </c>
      <c r="K641" s="109">
        <v>8</v>
      </c>
      <c r="L641" s="109"/>
      <c r="M641" s="113" t="s">
        <v>27</v>
      </c>
      <c r="N641" s="109"/>
      <c r="O641" s="109"/>
      <c r="P641" s="109"/>
      <c r="Q641" s="113"/>
      <c r="R641" s="117"/>
      <c r="S641" s="117"/>
      <c r="T641" s="117"/>
      <c r="U641" s="117"/>
      <c r="V641" s="117"/>
      <c r="W641" s="83" t="str">
        <f t="shared" si="1271"/>
        <v>НИВад</v>
      </c>
      <c r="X641" s="114" t="s">
        <v>3368</v>
      </c>
      <c r="Y641" s="109"/>
      <c r="Z641" s="109"/>
      <c r="AA641" s="83">
        <f t="shared" si="1379"/>
        <v>2</v>
      </c>
      <c r="AB641" s="109"/>
      <c r="AC641" s="109">
        <v>2</v>
      </c>
      <c r="AD641" s="81">
        <f t="shared" si="1272"/>
        <v>1</v>
      </c>
      <c r="AE641" s="82">
        <f t="shared" si="1380"/>
        <v>1</v>
      </c>
      <c r="AF641" s="82">
        <f t="shared" si="1381"/>
        <v>2</v>
      </c>
      <c r="AG641" s="102"/>
      <c r="AH641" s="113" t="s">
        <v>204</v>
      </c>
      <c r="AI641" s="113" t="s">
        <v>213</v>
      </c>
      <c r="AJ641" s="121" t="s">
        <v>3259</v>
      </c>
      <c r="AK641" s="8"/>
      <c r="AL641" s="42">
        <f t="shared" si="1273"/>
        <v>0</v>
      </c>
      <c r="AM641" s="42">
        <f t="shared" si="1382"/>
        <v>0</v>
      </c>
      <c r="AN641" s="42">
        <f t="shared" si="1383"/>
        <v>0</v>
      </c>
      <c r="AO641" s="42">
        <f t="shared" si="1384"/>
        <v>0</v>
      </c>
      <c r="AP641" s="42">
        <f t="shared" si="1385"/>
        <v>0</v>
      </c>
      <c r="AQ641" s="42">
        <f t="shared" si="1386"/>
        <v>0</v>
      </c>
      <c r="AR641" s="42">
        <f t="shared" si="1274"/>
        <v>0</v>
      </c>
      <c r="AS641" s="42">
        <f t="shared" si="1387"/>
        <v>0</v>
      </c>
      <c r="AT641" s="42">
        <f t="shared" si="1388"/>
        <v>0</v>
      </c>
      <c r="AU641" s="42">
        <f t="shared" si="1389"/>
        <v>0</v>
      </c>
      <c r="AV641" s="42">
        <f>IF(M641="ПП",РПП*AA641*(U641/1.5),IF(M641="ВП",ВПр*AA641*(U641/1.5),IF(M641="РПА",РПА*AA641*(U641/1.5),IF(M641="КПА",КПА*AA641*(U641/1.5),0))))</f>
        <v>0</v>
      </c>
      <c r="AW641" s="42">
        <f t="shared" si="1390"/>
        <v>0</v>
      </c>
      <c r="AX641" s="42">
        <f t="shared" si="1275"/>
        <v>0</v>
      </c>
      <c r="AY641" s="42">
        <f t="shared" si="1276"/>
        <v>0</v>
      </c>
      <c r="AZ641" s="42">
        <f t="shared" si="1391"/>
        <v>0</v>
      </c>
      <c r="BA641" s="42">
        <f t="shared" si="1277"/>
        <v>0</v>
      </c>
      <c r="BB641" s="42">
        <f t="shared" si="1278"/>
        <v>0</v>
      </c>
      <c r="BC641" s="42">
        <f t="shared" si="1279"/>
        <v>12</v>
      </c>
      <c r="BD641" s="42">
        <f t="shared" si="1392"/>
        <v>0</v>
      </c>
      <c r="BE641" s="43">
        <f t="shared" si="1393"/>
        <v>12</v>
      </c>
      <c r="BF641" s="44"/>
      <c r="BG641" s="45">
        <f t="shared" si="1394"/>
        <v>0</v>
      </c>
      <c r="BH641" s="45">
        <f t="shared" si="1395"/>
        <v>0</v>
      </c>
      <c r="BI641" s="45">
        <f t="shared" si="1396"/>
        <v>0</v>
      </c>
      <c r="BJ641" s="46">
        <f t="shared" si="1397"/>
        <v>0</v>
      </c>
      <c r="BK641" s="46">
        <f t="shared" si="1398"/>
        <v>0</v>
      </c>
      <c r="BL641" s="46">
        <f t="shared" si="1399"/>
        <v>12</v>
      </c>
    </row>
    <row r="642" spans="1:64" ht="30" customHeight="1" x14ac:dyDescent="0.25">
      <c r="A642" s="84" t="str">
        <f t="shared" si="1270"/>
        <v>Д</v>
      </c>
      <c r="B642" s="84" t="str">
        <f t="shared" si="1376"/>
        <v>А</v>
      </c>
      <c r="C642" s="133" t="s">
        <v>2593</v>
      </c>
      <c r="D642" s="16" t="str">
        <f t="shared" si="1377"/>
        <v>'09.06.01</v>
      </c>
      <c r="E642" s="17" t="str">
        <f t="shared" si="1378"/>
        <v>Теоретические основы информатики</v>
      </c>
      <c r="F642" s="116"/>
      <c r="G642" s="116"/>
      <c r="H642" s="112" t="s">
        <v>3233</v>
      </c>
      <c r="I642" s="112"/>
      <c r="J642" s="115" t="s">
        <v>3363</v>
      </c>
      <c r="K642" s="109">
        <v>8</v>
      </c>
      <c r="L642" s="109"/>
      <c r="M642" s="113" t="s">
        <v>27</v>
      </c>
      <c r="N642" s="109"/>
      <c r="O642" s="109"/>
      <c r="P642" s="109"/>
      <c r="Q642" s="113"/>
      <c r="R642" s="109"/>
      <c r="S642" s="109"/>
      <c r="T642" s="109"/>
      <c r="U642" s="109"/>
      <c r="V642" s="109"/>
      <c r="W642" s="83" t="str">
        <f t="shared" si="1271"/>
        <v>НИВад</v>
      </c>
      <c r="X642" s="114" t="s">
        <v>3368</v>
      </c>
      <c r="Y642" s="109"/>
      <c r="Z642" s="109"/>
      <c r="AA642" s="83">
        <f t="shared" si="1379"/>
        <v>1</v>
      </c>
      <c r="AB642" s="109">
        <v>1</v>
      </c>
      <c r="AC642" s="109"/>
      <c r="AD642" s="81">
        <f t="shared" si="1272"/>
        <v>1</v>
      </c>
      <c r="AE642" s="82">
        <f t="shared" si="1380"/>
        <v>1</v>
      </c>
      <c r="AF642" s="82">
        <f t="shared" si="1381"/>
        <v>1</v>
      </c>
      <c r="AG642" s="102"/>
      <c r="AH642" s="113" t="s">
        <v>204</v>
      </c>
      <c r="AI642" s="113" t="s">
        <v>212</v>
      </c>
      <c r="AJ642" s="121" t="s">
        <v>3261</v>
      </c>
      <c r="AK642" s="8"/>
      <c r="AL642" s="42">
        <f t="shared" si="1273"/>
        <v>0</v>
      </c>
      <c r="AM642" s="42">
        <f t="shared" si="1382"/>
        <v>0</v>
      </c>
      <c r="AN642" s="42">
        <f t="shared" si="1383"/>
        <v>0</v>
      </c>
      <c r="AO642" s="42">
        <f t="shared" si="1384"/>
        <v>0</v>
      </c>
      <c r="AP642" s="42">
        <f t="shared" si="1385"/>
        <v>0</v>
      </c>
      <c r="AQ642" s="42">
        <f t="shared" si="1386"/>
        <v>0</v>
      </c>
      <c r="AR642" s="42">
        <f t="shared" si="1274"/>
        <v>0</v>
      </c>
      <c r="AS642" s="42">
        <f t="shared" si="1387"/>
        <v>0</v>
      </c>
      <c r="AT642" s="42">
        <f t="shared" si="1388"/>
        <v>0</v>
      </c>
      <c r="AU642" s="42">
        <f t="shared" si="1389"/>
        <v>0</v>
      </c>
      <c r="AV642" s="42">
        <f>IF(M642="ПП",РПП*AA642*(U642/1.5),IF(M642="ВП",ВПр*AA642*(U642/1.5),IF(M642="РПА",РПА*AA642*(U642/1.5),IF(M642="КПА",КПА*AA642*(U642/1.5),0))))</f>
        <v>0</v>
      </c>
      <c r="AW642" s="42">
        <f t="shared" si="1390"/>
        <v>0</v>
      </c>
      <c r="AX642" s="42">
        <f t="shared" si="1275"/>
        <v>0</v>
      </c>
      <c r="AY642" s="42">
        <f t="shared" si="1276"/>
        <v>0</v>
      </c>
      <c r="AZ642" s="42">
        <f t="shared" si="1391"/>
        <v>0</v>
      </c>
      <c r="BA642" s="42">
        <f t="shared" si="1277"/>
        <v>0</v>
      </c>
      <c r="BB642" s="42">
        <f t="shared" si="1278"/>
        <v>0</v>
      </c>
      <c r="BC642" s="42">
        <f t="shared" si="1279"/>
        <v>6</v>
      </c>
      <c r="BD642" s="42">
        <f t="shared" si="1392"/>
        <v>0</v>
      </c>
      <c r="BE642" s="43">
        <f t="shared" si="1393"/>
        <v>6</v>
      </c>
      <c r="BF642" s="44"/>
      <c r="BG642" s="45">
        <f t="shared" si="1394"/>
        <v>0</v>
      </c>
      <c r="BH642" s="45">
        <f t="shared" si="1395"/>
        <v>0</v>
      </c>
      <c r="BI642" s="45">
        <f t="shared" si="1396"/>
        <v>0</v>
      </c>
      <c r="BJ642" s="46">
        <f t="shared" si="1397"/>
        <v>0</v>
      </c>
      <c r="BK642" s="46">
        <f t="shared" si="1398"/>
        <v>0</v>
      </c>
      <c r="BL642" s="46">
        <f t="shared" si="1399"/>
        <v>6</v>
      </c>
    </row>
    <row r="643" spans="1:64" ht="30" customHeight="1" x14ac:dyDescent="0.25">
      <c r="A643" s="84" t="str">
        <f t="shared" si="1270"/>
        <v>Д</v>
      </c>
      <c r="B643" s="84" t="str">
        <f t="shared" si="1376"/>
        <v>А</v>
      </c>
      <c r="C643" s="133" t="s">
        <v>2593</v>
      </c>
      <c r="D643" s="16" t="str">
        <f t="shared" si="1377"/>
        <v>'09.06.01</v>
      </c>
      <c r="E643" s="17" t="str">
        <f t="shared" si="1378"/>
        <v>Теоретические основы информатики</v>
      </c>
      <c r="F643" s="116"/>
      <c r="G643" s="116"/>
      <c r="H643" s="112" t="s">
        <v>3233</v>
      </c>
      <c r="I643" s="112"/>
      <c r="J643" s="115" t="s">
        <v>3366</v>
      </c>
      <c r="K643" s="109">
        <v>8</v>
      </c>
      <c r="L643" s="109"/>
      <c r="M643" s="113" t="s">
        <v>12</v>
      </c>
      <c r="N643" s="109"/>
      <c r="O643" s="109"/>
      <c r="P643" s="109"/>
      <c r="Q643" s="113" t="s">
        <v>97</v>
      </c>
      <c r="R643" s="109"/>
      <c r="S643" s="109"/>
      <c r="T643" s="109"/>
      <c r="U643" s="109"/>
      <c r="V643" s="109"/>
      <c r="W643" s="83" t="str">
        <f t="shared" si="1271"/>
        <v>НИВад</v>
      </c>
      <c r="X643" s="114" t="s">
        <v>3368</v>
      </c>
      <c r="Y643" s="109"/>
      <c r="Z643" s="109">
        <v>1</v>
      </c>
      <c r="AA643" s="83">
        <f t="shared" si="1379"/>
        <v>5</v>
      </c>
      <c r="AB643" s="109">
        <v>1</v>
      </c>
      <c r="AC643" s="109">
        <v>4</v>
      </c>
      <c r="AD643" s="81">
        <f t="shared" si="1272"/>
        <v>1</v>
      </c>
      <c r="AE643" s="82">
        <f t="shared" si="1380"/>
        <v>1</v>
      </c>
      <c r="AF643" s="82">
        <f t="shared" si="1381"/>
        <v>5</v>
      </c>
      <c r="AG643" s="102"/>
      <c r="AH643" s="113" t="s">
        <v>205</v>
      </c>
      <c r="AI643" s="113" t="s">
        <v>212</v>
      </c>
      <c r="AJ643" s="123" t="s">
        <v>3295</v>
      </c>
      <c r="AK643" s="8"/>
      <c r="AL643" s="42">
        <f t="shared" si="1273"/>
        <v>0</v>
      </c>
      <c r="AM643" s="42">
        <f t="shared" si="1382"/>
        <v>0</v>
      </c>
      <c r="AN643" s="42">
        <f t="shared" si="1383"/>
        <v>0</v>
      </c>
      <c r="AO643" s="42">
        <f t="shared" si="1384"/>
        <v>0</v>
      </c>
      <c r="AP643" s="42">
        <f t="shared" si="1385"/>
        <v>0</v>
      </c>
      <c r="AQ643" s="42">
        <f t="shared" si="1386"/>
        <v>0</v>
      </c>
      <c r="AR643" s="42">
        <f t="shared" si="1274"/>
        <v>0</v>
      </c>
      <c r="AS643" s="42">
        <f t="shared" si="1387"/>
        <v>0</v>
      </c>
      <c r="AT643" s="42">
        <f t="shared" si="1388"/>
        <v>0</v>
      </c>
      <c r="AU643" s="42">
        <f t="shared" si="1389"/>
        <v>0</v>
      </c>
      <c r="AV643" s="42">
        <f>IF(M643="ПП",РПП*AA643*(U643/1.5),IF(M643="ВП",ВПр*AA643*(U643/1.5),IF(M643="РПА",РПА*AA643*(U643/1.5),IF(M643="КПА",КПА*AA643*(U643/1.5),0))))</f>
        <v>0</v>
      </c>
      <c r="AW643" s="42">
        <f t="shared" si="1390"/>
        <v>0</v>
      </c>
      <c r="AX643" s="42">
        <f t="shared" si="1275"/>
        <v>0</v>
      </c>
      <c r="AY643" s="42">
        <f t="shared" si="1276"/>
        <v>0</v>
      </c>
      <c r="AZ643" s="42">
        <f t="shared" si="1391"/>
        <v>0</v>
      </c>
      <c r="BA643" s="42">
        <f t="shared" si="1277"/>
        <v>0</v>
      </c>
      <c r="BB643" s="42">
        <f t="shared" si="1278"/>
        <v>0</v>
      </c>
      <c r="BC643" s="42">
        <f t="shared" si="1279"/>
        <v>0</v>
      </c>
      <c r="BD643" s="42">
        <f t="shared" si="1392"/>
        <v>2.5</v>
      </c>
      <c r="BE643" s="43">
        <f t="shared" si="1393"/>
        <v>2.5</v>
      </c>
      <c r="BF643" s="44"/>
      <c r="BG643" s="45">
        <f t="shared" si="1394"/>
        <v>0</v>
      </c>
      <c r="BH643" s="45">
        <f t="shared" si="1395"/>
        <v>0</v>
      </c>
      <c r="BI643" s="45">
        <f t="shared" si="1396"/>
        <v>0</v>
      </c>
      <c r="BJ643" s="46">
        <f t="shared" si="1397"/>
        <v>0</v>
      </c>
      <c r="BK643" s="46">
        <f t="shared" si="1398"/>
        <v>0</v>
      </c>
      <c r="BL643" s="46">
        <f t="shared" si="1399"/>
        <v>2.5</v>
      </c>
    </row>
    <row r="644" spans="1:64" ht="30" customHeight="1" x14ac:dyDescent="0.25">
      <c r="A644" s="84" t="str">
        <f t="shared" si="1270"/>
        <v>Д</v>
      </c>
      <c r="B644" s="84" t="str">
        <f t="shared" si="1376"/>
        <v>А</v>
      </c>
      <c r="C644" s="133" t="s">
        <v>2593</v>
      </c>
      <c r="D644" s="16" t="str">
        <f t="shared" si="1377"/>
        <v>'09.06.01</v>
      </c>
      <c r="E644" s="17" t="str">
        <f t="shared" si="1378"/>
        <v>Теоретические основы информатики</v>
      </c>
      <c r="F644" s="116"/>
      <c r="G644" s="116"/>
      <c r="H644" s="112" t="s">
        <v>3233</v>
      </c>
      <c r="I644" s="112"/>
      <c r="J644" s="115" t="s">
        <v>3366</v>
      </c>
      <c r="K644" s="109">
        <v>8</v>
      </c>
      <c r="L644" s="109"/>
      <c r="M644" s="113" t="s">
        <v>11</v>
      </c>
      <c r="N644" s="109"/>
      <c r="O644" s="109"/>
      <c r="P644" s="109"/>
      <c r="Q644" s="113" t="s">
        <v>97</v>
      </c>
      <c r="R644" s="109"/>
      <c r="S644" s="109"/>
      <c r="T644" s="109"/>
      <c r="U644" s="109"/>
      <c r="V644" s="109"/>
      <c r="W644" s="83" t="str">
        <f t="shared" si="1271"/>
        <v>НИВад</v>
      </c>
      <c r="X644" s="114" t="s">
        <v>3368</v>
      </c>
      <c r="Y644" s="109"/>
      <c r="Z644" s="109">
        <v>1</v>
      </c>
      <c r="AA644" s="83">
        <f t="shared" si="1379"/>
        <v>5</v>
      </c>
      <c r="AB644" s="109">
        <v>1</v>
      </c>
      <c r="AC644" s="109">
        <v>4</v>
      </c>
      <c r="AD644" s="81">
        <f t="shared" si="1272"/>
        <v>1</v>
      </c>
      <c r="AE644" s="82">
        <f t="shared" si="1380"/>
        <v>1</v>
      </c>
      <c r="AF644" s="82">
        <f t="shared" si="1381"/>
        <v>5</v>
      </c>
      <c r="AG644" s="102"/>
      <c r="AH644" s="113" t="s">
        <v>205</v>
      </c>
      <c r="AI644" s="113" t="s">
        <v>212</v>
      </c>
      <c r="AJ644" s="123" t="s">
        <v>3295</v>
      </c>
      <c r="AK644" s="8"/>
      <c r="AL644" s="42">
        <f t="shared" si="1273"/>
        <v>0</v>
      </c>
      <c r="AM644" s="42">
        <f t="shared" si="1382"/>
        <v>0</v>
      </c>
      <c r="AN644" s="42">
        <f t="shared" si="1383"/>
        <v>0</v>
      </c>
      <c r="AO644" s="42">
        <f t="shared" si="1384"/>
        <v>0</v>
      </c>
      <c r="AP644" s="42">
        <f t="shared" si="1385"/>
        <v>0</v>
      </c>
      <c r="AQ644" s="42">
        <f t="shared" si="1386"/>
        <v>0</v>
      </c>
      <c r="AR644" s="42">
        <f t="shared" si="1274"/>
        <v>0</v>
      </c>
      <c r="AS644" s="42">
        <f t="shared" si="1387"/>
        <v>0</v>
      </c>
      <c r="AT644" s="42">
        <f t="shared" si="1388"/>
        <v>0</v>
      </c>
      <c r="AU644" s="42">
        <f t="shared" si="1389"/>
        <v>0</v>
      </c>
      <c r="AV644" s="42">
        <f>IF(M644="ПП",РПП*AA644*(U644/1.5),IF(M644="ВП",ВПр*AA644*(U644/1.5),IF(M644="РПА",РПА*AA644*(U644/1.5),IF(M644="КПА",КПА*AA644*(U644/1.5),0))))</f>
        <v>0</v>
      </c>
      <c r="AW644" s="42">
        <f t="shared" si="1390"/>
        <v>0</v>
      </c>
      <c r="AX644" s="42">
        <f t="shared" si="1275"/>
        <v>0</v>
      </c>
      <c r="AY644" s="42">
        <f t="shared" si="1276"/>
        <v>0</v>
      </c>
      <c r="AZ644" s="42">
        <f t="shared" si="1391"/>
        <v>0</v>
      </c>
      <c r="BA644" s="42">
        <f t="shared" si="1277"/>
        <v>0</v>
      </c>
      <c r="BB644" s="42">
        <f t="shared" si="1278"/>
        <v>0</v>
      </c>
      <c r="BC644" s="42">
        <f t="shared" si="1279"/>
        <v>0</v>
      </c>
      <c r="BD644" s="42">
        <f t="shared" si="1392"/>
        <v>1.25</v>
      </c>
      <c r="BE644" s="43">
        <f t="shared" si="1393"/>
        <v>1.25</v>
      </c>
      <c r="BF644" s="44"/>
      <c r="BG644" s="45">
        <f t="shared" si="1394"/>
        <v>0</v>
      </c>
      <c r="BH644" s="45">
        <f t="shared" si="1395"/>
        <v>0</v>
      </c>
      <c r="BI644" s="45">
        <f t="shared" si="1396"/>
        <v>0</v>
      </c>
      <c r="BJ644" s="46">
        <f t="shared" si="1397"/>
        <v>0</v>
      </c>
      <c r="BK644" s="46">
        <f t="shared" si="1398"/>
        <v>0</v>
      </c>
      <c r="BL644" s="46">
        <f t="shared" si="1399"/>
        <v>1.25</v>
      </c>
    </row>
    <row r="645" spans="1:64" ht="30" customHeight="1" x14ac:dyDescent="0.25">
      <c r="A645" s="84" t="str">
        <f t="shared" si="1270"/>
        <v>Д</v>
      </c>
      <c r="B645" s="84" t="str">
        <f t="shared" si="1376"/>
        <v>А</v>
      </c>
      <c r="C645" s="133" t="s">
        <v>2593</v>
      </c>
      <c r="D645" s="16" t="str">
        <f t="shared" si="1377"/>
        <v>'09.06.01</v>
      </c>
      <c r="E645" s="17" t="str">
        <f t="shared" si="1378"/>
        <v>Теоретические основы информатики</v>
      </c>
      <c r="F645" s="116"/>
      <c r="G645" s="116"/>
      <c r="H645" s="112" t="s">
        <v>3233</v>
      </c>
      <c r="I645" s="112"/>
      <c r="J645" s="115" t="s">
        <v>3366</v>
      </c>
      <c r="K645" s="109">
        <v>8</v>
      </c>
      <c r="L645" s="109"/>
      <c r="M645" s="113" t="s">
        <v>11</v>
      </c>
      <c r="N645" s="109"/>
      <c r="O645" s="109"/>
      <c r="P645" s="109"/>
      <c r="Q645" s="113" t="s">
        <v>97</v>
      </c>
      <c r="R645" s="109"/>
      <c r="S645" s="109"/>
      <c r="T645" s="109"/>
      <c r="U645" s="109"/>
      <c r="V645" s="109"/>
      <c r="W645" s="83" t="str">
        <f t="shared" si="1271"/>
        <v>НИВад</v>
      </c>
      <c r="X645" s="114" t="s">
        <v>3368</v>
      </c>
      <c r="Y645" s="109"/>
      <c r="Z645" s="109">
        <v>1</v>
      </c>
      <c r="AA645" s="83">
        <f t="shared" si="1379"/>
        <v>5</v>
      </c>
      <c r="AB645" s="109">
        <v>1</v>
      </c>
      <c r="AC645" s="109">
        <v>4</v>
      </c>
      <c r="AD645" s="81">
        <f t="shared" si="1272"/>
        <v>1</v>
      </c>
      <c r="AE645" s="82">
        <f t="shared" si="1380"/>
        <v>1</v>
      </c>
      <c r="AF645" s="82">
        <f t="shared" si="1381"/>
        <v>5</v>
      </c>
      <c r="AG645" s="102"/>
      <c r="AH645" s="113" t="s">
        <v>205</v>
      </c>
      <c r="AI645" s="113" t="s">
        <v>212</v>
      </c>
      <c r="AJ645" s="123" t="s">
        <v>3295</v>
      </c>
      <c r="AK645" s="8"/>
      <c r="AL645" s="42">
        <f t="shared" si="1273"/>
        <v>0</v>
      </c>
      <c r="AM645" s="42">
        <f t="shared" si="1382"/>
        <v>0</v>
      </c>
      <c r="AN645" s="42">
        <f t="shared" si="1383"/>
        <v>0</v>
      </c>
      <c r="AO645" s="42">
        <f t="shared" si="1384"/>
        <v>0</v>
      </c>
      <c r="AP645" s="42">
        <f t="shared" si="1385"/>
        <v>0</v>
      </c>
      <c r="AQ645" s="42">
        <f t="shared" si="1386"/>
        <v>0</v>
      </c>
      <c r="AR645" s="42">
        <f t="shared" si="1274"/>
        <v>0</v>
      </c>
      <c r="AS645" s="42">
        <f t="shared" si="1387"/>
        <v>0</v>
      </c>
      <c r="AT645" s="42">
        <f t="shared" si="1388"/>
        <v>0</v>
      </c>
      <c r="AU645" s="42">
        <f t="shared" si="1389"/>
        <v>0</v>
      </c>
      <c r="AV645" s="42">
        <f>IF(M645="ПП",РПП*AA645*(U645/1.5),IF(M645="ВП",ВПр*AA645*(U645/1.5),IF(M645="РПА",РПА*AA645*(U645/1.5),IF(M645="КПА",КПА*AA645*(U645/1.5),0))))</f>
        <v>0</v>
      </c>
      <c r="AW645" s="42">
        <f t="shared" si="1390"/>
        <v>0</v>
      </c>
      <c r="AX645" s="42">
        <f t="shared" si="1275"/>
        <v>0</v>
      </c>
      <c r="AY645" s="42">
        <f t="shared" si="1276"/>
        <v>0</v>
      </c>
      <c r="AZ645" s="42">
        <f t="shared" si="1391"/>
        <v>0</v>
      </c>
      <c r="BA645" s="42">
        <f t="shared" si="1277"/>
        <v>0</v>
      </c>
      <c r="BB645" s="42">
        <f t="shared" si="1278"/>
        <v>0</v>
      </c>
      <c r="BC645" s="42">
        <f t="shared" si="1279"/>
        <v>0</v>
      </c>
      <c r="BD645" s="42">
        <f t="shared" si="1392"/>
        <v>1.25</v>
      </c>
      <c r="BE645" s="43">
        <f t="shared" si="1393"/>
        <v>1.25</v>
      </c>
      <c r="BF645" s="44"/>
      <c r="BG645" s="45">
        <f t="shared" si="1394"/>
        <v>0</v>
      </c>
      <c r="BH645" s="45">
        <f t="shared" si="1395"/>
        <v>0</v>
      </c>
      <c r="BI645" s="45">
        <f t="shared" si="1396"/>
        <v>0</v>
      </c>
      <c r="BJ645" s="46">
        <f t="shared" si="1397"/>
        <v>0</v>
      </c>
      <c r="BK645" s="46">
        <f t="shared" si="1398"/>
        <v>0</v>
      </c>
      <c r="BL645" s="46">
        <f t="shared" si="1399"/>
        <v>1.25</v>
      </c>
    </row>
    <row r="646" spans="1:64" ht="30" customHeight="1" x14ac:dyDescent="0.25">
      <c r="A646" s="84" t="str">
        <f t="shared" ref="A646:A663" si="1400">IF(C646&gt;0, VLOOKUP(C646,Код_ООП,12,FALSE),0)</f>
        <v>Д</v>
      </c>
      <c r="B646" s="84" t="str">
        <f t="shared" si="1376"/>
        <v>А</v>
      </c>
      <c r="C646" s="133" t="s">
        <v>2593</v>
      </c>
      <c r="D646" s="16" t="str">
        <f t="shared" si="1377"/>
        <v>'09.06.01</v>
      </c>
      <c r="E646" s="17" t="str">
        <f t="shared" si="1378"/>
        <v>Теоретические основы информатики</v>
      </c>
      <c r="F646" s="116"/>
      <c r="G646" s="116"/>
      <c r="H646" s="112" t="s">
        <v>3233</v>
      </c>
      <c r="I646" s="112"/>
      <c r="J646" s="115" t="s">
        <v>3366</v>
      </c>
      <c r="K646" s="109">
        <v>8</v>
      </c>
      <c r="L646" s="109"/>
      <c r="M646" s="113" t="s">
        <v>11</v>
      </c>
      <c r="N646" s="109"/>
      <c r="O646" s="109"/>
      <c r="P646" s="109"/>
      <c r="Q646" s="113" t="s">
        <v>97</v>
      </c>
      <c r="R646" s="109"/>
      <c r="S646" s="109"/>
      <c r="T646" s="109"/>
      <c r="U646" s="109"/>
      <c r="V646" s="109"/>
      <c r="W646" s="83" t="str">
        <f t="shared" ref="W646:W663" si="1401">MID(C646,1,5)</f>
        <v>НИВад</v>
      </c>
      <c r="X646" s="114" t="s">
        <v>3368</v>
      </c>
      <c r="Y646" s="109"/>
      <c r="Z646" s="109">
        <v>1</v>
      </c>
      <c r="AA646" s="83">
        <f t="shared" si="1379"/>
        <v>5</v>
      </c>
      <c r="AB646" s="109">
        <v>1</v>
      </c>
      <c r="AC646" s="109">
        <v>4</v>
      </c>
      <c r="AD646" s="81">
        <f t="shared" ref="AD646:AD663" si="1402">IF(M646="сп",6,IF(M646="клн",8,IF(OR(M646="лаб",M646="ия"),12,IF(OR(M646="пр",M646="ТЕСТ"),IF(OR(B646="Б",B646="С"),24,12),IF(M646="лек",AA646,1)))))</f>
        <v>1</v>
      </c>
      <c r="AE646" s="82">
        <f t="shared" si="1380"/>
        <v>1</v>
      </c>
      <c r="AF646" s="82">
        <f t="shared" si="1381"/>
        <v>5</v>
      </c>
      <c r="AG646" s="102"/>
      <c r="AH646" s="113" t="s">
        <v>205</v>
      </c>
      <c r="AI646" s="113" t="s">
        <v>212</v>
      </c>
      <c r="AJ646" s="123" t="s">
        <v>3295</v>
      </c>
      <c r="AK646" s="8"/>
      <c r="AL646" s="42">
        <f t="shared" ref="AL646:AL663" si="1403">IF(OR(M646="лек",M646="ТУИС"),(IF(NOT(B646="ЦМ"),N646*L646,0)),0)</f>
        <v>0</v>
      </c>
      <c r="AM646" s="42">
        <f t="shared" si="1382"/>
        <v>0</v>
      </c>
      <c r="AN646" s="42">
        <f t="shared" si="1383"/>
        <v>0</v>
      </c>
      <c r="AO646" s="42">
        <f t="shared" si="1384"/>
        <v>0</v>
      </c>
      <c r="AP646" s="42">
        <f t="shared" si="1385"/>
        <v>0</v>
      </c>
      <c r="AQ646" s="42">
        <f t="shared" si="1386"/>
        <v>0</v>
      </c>
      <c r="AR646" s="42">
        <f t="shared" ref="AR646:AR663" si="1404">(IF(A646="Д",ТКЛД,IF(A646="В",ТКЛВ,IF(A646="З",ТКЛЗ,0))))*(IF(F646="ФТД",0,AL646))*Z646</f>
        <v>0</v>
      </c>
      <c r="AS646" s="42">
        <f t="shared" si="1387"/>
        <v>0</v>
      </c>
      <c r="AT646" s="42">
        <f t="shared" si="1388"/>
        <v>0</v>
      </c>
      <c r="AU646" s="42">
        <f t="shared" si="1389"/>
        <v>0</v>
      </c>
      <c r="AV646" s="42">
        <f>IF(M646="ПП",РПП*AA646*(U646/1.5),IF(M646="ВП",ВПр*AA646*(U646/1.5),IF(M646="РПА",РПА*AA646*(U646/1.5),IF(M646="КПА",КПА*AA646*(U646/1.5),0))))</f>
        <v>0</v>
      </c>
      <c r="AW646" s="42">
        <f t="shared" si="1390"/>
        <v>0</v>
      </c>
      <c r="AX646" s="42">
        <f t="shared" ref="AX646:AX663" si="1405">IF(AND(M646="ЦП",B646="ЦМ"),AA646*ЦП,0)</f>
        <v>0</v>
      </c>
      <c r="AY646" s="42">
        <f t="shared" ref="AY646:AY663" si="1406">IF(B646="А",IF(M646="РР",AA646*РефАсп,IF(M646="РРФ",AA646*РефФил,0)),0)</f>
        <v>0</v>
      </c>
      <c r="AZ646" s="42">
        <f t="shared" si="1391"/>
        <v>0</v>
      </c>
      <c r="BA646" s="42">
        <f t="shared" ref="BA646:BA663" si="1407">IF(AND(M646="НКД",B646="Д"),AA646*НКД,0)+IF(AND(M646="РПЛ",B646="А"),AA646*РукПЛ,0)+IF(AND(M646="РСтж",B646="А"),AB646*РукСт+AC646*РукИСт,0)+IF(M646="ФГТ",AB646*РукРФа+AC646*РукИна,0)</f>
        <v>0</v>
      </c>
      <c r="BB646" s="42">
        <f t="shared" ref="BB646:BB663" si="1408">IF(M646="РК",IF(OR(B646="С",B646="М",B646="ЦМ"),(AB646*РСМ+AC646*РСМИ),0),0)+IF(M646="РК",IF(B646="Б",(AB646*РБ+AC646*РБИ),0),0)+IF(M646="РК",IF(B646="А",(AB646*РНКР+AC646*РНКРИн),0),0)+IF(AND(Q646="ПАкр"),AA646*0.3)</f>
        <v>0</v>
      </c>
      <c r="BC646" s="42">
        <f t="shared" ref="BC646:BC663" si="1409">IF(M646="РДП",IF(B646="А",AA646*РРА,IF(OR(B646="С",B646="М",B646="ЦМ"),AA646*РРСМ,IF(B646="Б",AA646*РРБ,0))),IF(M646="РДИ",AA646*РДП,0))</f>
        <v>0</v>
      </c>
      <c r="BD646" s="42">
        <f t="shared" si="1392"/>
        <v>1.25</v>
      </c>
      <c r="BE646" s="43">
        <f t="shared" si="1393"/>
        <v>1.25</v>
      </c>
      <c r="BF646" s="44"/>
      <c r="BG646" s="45">
        <f t="shared" si="1394"/>
        <v>0</v>
      </c>
      <c r="BH646" s="45">
        <f t="shared" si="1395"/>
        <v>0</v>
      </c>
      <c r="BI646" s="45">
        <f t="shared" si="1396"/>
        <v>0</v>
      </c>
      <c r="BJ646" s="46">
        <f t="shared" si="1397"/>
        <v>0</v>
      </c>
      <c r="BK646" s="46">
        <f t="shared" si="1398"/>
        <v>0</v>
      </c>
      <c r="BL646" s="46">
        <f t="shared" si="1399"/>
        <v>1.25</v>
      </c>
    </row>
    <row r="647" spans="1:64" ht="30" customHeight="1" x14ac:dyDescent="0.25">
      <c r="A647" s="84" t="str">
        <f t="shared" si="1400"/>
        <v>Д</v>
      </c>
      <c r="B647" s="84" t="str">
        <f t="shared" si="1376"/>
        <v>А</v>
      </c>
      <c r="C647" s="133" t="s">
        <v>2593</v>
      </c>
      <c r="D647" s="16" t="str">
        <f t="shared" si="1377"/>
        <v>'09.06.01</v>
      </c>
      <c r="E647" s="17" t="str">
        <f t="shared" si="1378"/>
        <v>Теоретические основы информатики</v>
      </c>
      <c r="F647" s="116"/>
      <c r="G647" s="116"/>
      <c r="H647" s="112" t="s">
        <v>3233</v>
      </c>
      <c r="I647" s="112"/>
      <c r="J647" s="115" t="s">
        <v>3367</v>
      </c>
      <c r="K647" s="109">
        <v>8</v>
      </c>
      <c r="L647" s="109"/>
      <c r="M647" s="113" t="s">
        <v>12</v>
      </c>
      <c r="N647" s="109"/>
      <c r="O647" s="109"/>
      <c r="P647" s="109"/>
      <c r="Q647" s="113" t="s">
        <v>99</v>
      </c>
      <c r="R647" s="109"/>
      <c r="S647" s="109"/>
      <c r="T647" s="109"/>
      <c r="U647" s="109"/>
      <c r="V647" s="109"/>
      <c r="W647" s="83" t="str">
        <f t="shared" si="1401"/>
        <v>НИВад</v>
      </c>
      <c r="X647" s="114" t="s">
        <v>3368</v>
      </c>
      <c r="Y647" s="109"/>
      <c r="Z647" s="109">
        <v>1</v>
      </c>
      <c r="AA647" s="83">
        <f t="shared" si="1379"/>
        <v>5</v>
      </c>
      <c r="AB647" s="109">
        <v>1</v>
      </c>
      <c r="AC647" s="109">
        <v>4</v>
      </c>
      <c r="AD647" s="81">
        <f t="shared" si="1402"/>
        <v>1</v>
      </c>
      <c r="AE647" s="82">
        <f t="shared" si="1380"/>
        <v>1</v>
      </c>
      <c r="AF647" s="82">
        <f t="shared" si="1381"/>
        <v>5</v>
      </c>
      <c r="AG647" s="102"/>
      <c r="AH647" s="113" t="s">
        <v>205</v>
      </c>
      <c r="AI647" s="113" t="s">
        <v>212</v>
      </c>
      <c r="AJ647" s="123" t="s">
        <v>3295</v>
      </c>
      <c r="AK647" s="8"/>
      <c r="AL647" s="42">
        <f t="shared" si="1403"/>
        <v>0</v>
      </c>
      <c r="AM647" s="42">
        <f t="shared" si="1382"/>
        <v>0</v>
      </c>
      <c r="AN647" s="42">
        <f t="shared" si="1383"/>
        <v>0</v>
      </c>
      <c r="AO647" s="42">
        <f t="shared" si="1384"/>
        <v>0</v>
      </c>
      <c r="AP647" s="42">
        <f t="shared" si="1385"/>
        <v>0</v>
      </c>
      <c r="AQ647" s="42">
        <f t="shared" si="1386"/>
        <v>0</v>
      </c>
      <c r="AR647" s="42">
        <f t="shared" si="1404"/>
        <v>0</v>
      </c>
      <c r="AS647" s="42">
        <f t="shared" si="1387"/>
        <v>0</v>
      </c>
      <c r="AT647" s="42">
        <f t="shared" si="1388"/>
        <v>0</v>
      </c>
      <c r="AU647" s="42">
        <f t="shared" si="1389"/>
        <v>0</v>
      </c>
      <c r="AV647" s="42">
        <f>IF(M647="ПП",РПП*AA647*(U647/1.5),IF(M647="ВП",ВПр*AA647*(U647/1.5),IF(M647="РПА",РПА*AA647*(U647/1.5),IF(M647="КПА",КПА*AA647*(U647/1.5),0))))</f>
        <v>0</v>
      </c>
      <c r="AW647" s="42">
        <f t="shared" si="1390"/>
        <v>0</v>
      </c>
      <c r="AX647" s="42">
        <f t="shared" si="1405"/>
        <v>0</v>
      </c>
      <c r="AY647" s="42">
        <f t="shared" si="1406"/>
        <v>0</v>
      </c>
      <c r="AZ647" s="42">
        <f t="shared" si="1391"/>
        <v>0</v>
      </c>
      <c r="BA647" s="42">
        <f t="shared" si="1407"/>
        <v>0</v>
      </c>
      <c r="BB647" s="42">
        <f t="shared" si="1408"/>
        <v>0</v>
      </c>
      <c r="BC647" s="42">
        <f t="shared" si="1409"/>
        <v>0</v>
      </c>
      <c r="BD647" s="42">
        <f t="shared" si="1392"/>
        <v>2.5</v>
      </c>
      <c r="BE647" s="43">
        <f t="shared" si="1393"/>
        <v>2.5</v>
      </c>
      <c r="BF647" s="44"/>
      <c r="BG647" s="45">
        <f t="shared" si="1394"/>
        <v>0</v>
      </c>
      <c r="BH647" s="45">
        <f t="shared" si="1395"/>
        <v>0</v>
      </c>
      <c r="BI647" s="45">
        <f t="shared" si="1396"/>
        <v>0</v>
      </c>
      <c r="BJ647" s="46">
        <f t="shared" si="1397"/>
        <v>0</v>
      </c>
      <c r="BK647" s="46">
        <f t="shared" si="1398"/>
        <v>0</v>
      </c>
      <c r="BL647" s="46">
        <f t="shared" si="1399"/>
        <v>2.5</v>
      </c>
    </row>
    <row r="648" spans="1:64" ht="30" customHeight="1" x14ac:dyDescent="0.25">
      <c r="A648" s="84" t="str">
        <f t="shared" si="1400"/>
        <v>Д</v>
      </c>
      <c r="B648" s="84" t="str">
        <f t="shared" si="1376"/>
        <v>А</v>
      </c>
      <c r="C648" s="133" t="s">
        <v>2593</v>
      </c>
      <c r="D648" s="16" t="str">
        <f t="shared" si="1377"/>
        <v>'09.06.01</v>
      </c>
      <c r="E648" s="17" t="str">
        <f t="shared" si="1378"/>
        <v>Теоретические основы информатики</v>
      </c>
      <c r="F648" s="116"/>
      <c r="G648" s="116"/>
      <c r="H648" s="112" t="s">
        <v>3233</v>
      </c>
      <c r="I648" s="112"/>
      <c r="J648" s="115" t="s">
        <v>3367</v>
      </c>
      <c r="K648" s="109">
        <v>8</v>
      </c>
      <c r="L648" s="109"/>
      <c r="M648" s="113" t="s">
        <v>11</v>
      </c>
      <c r="N648" s="109"/>
      <c r="O648" s="109"/>
      <c r="P648" s="109"/>
      <c r="Q648" s="113" t="s">
        <v>99</v>
      </c>
      <c r="R648" s="109"/>
      <c r="S648" s="109"/>
      <c r="T648" s="109"/>
      <c r="U648" s="109"/>
      <c r="V648" s="109"/>
      <c r="W648" s="83" t="str">
        <f t="shared" si="1401"/>
        <v>НИВад</v>
      </c>
      <c r="X648" s="114" t="s">
        <v>3368</v>
      </c>
      <c r="Y648" s="109"/>
      <c r="Z648" s="109">
        <v>1</v>
      </c>
      <c r="AA648" s="83">
        <f t="shared" si="1379"/>
        <v>5</v>
      </c>
      <c r="AB648" s="109">
        <v>1</v>
      </c>
      <c r="AC648" s="109">
        <v>4</v>
      </c>
      <c r="AD648" s="81">
        <f t="shared" si="1402"/>
        <v>1</v>
      </c>
      <c r="AE648" s="82">
        <f t="shared" si="1380"/>
        <v>1</v>
      </c>
      <c r="AF648" s="82">
        <f t="shared" si="1381"/>
        <v>5</v>
      </c>
      <c r="AG648" s="102"/>
      <c r="AH648" s="113" t="s">
        <v>205</v>
      </c>
      <c r="AI648" s="113" t="s">
        <v>212</v>
      </c>
      <c r="AJ648" s="123" t="s">
        <v>3295</v>
      </c>
      <c r="AK648" s="8"/>
      <c r="AL648" s="42">
        <f t="shared" si="1403"/>
        <v>0</v>
      </c>
      <c r="AM648" s="42">
        <f t="shared" si="1382"/>
        <v>0</v>
      </c>
      <c r="AN648" s="42">
        <f t="shared" si="1383"/>
        <v>0</v>
      </c>
      <c r="AO648" s="42">
        <f t="shared" si="1384"/>
        <v>0</v>
      </c>
      <c r="AP648" s="42">
        <f t="shared" si="1385"/>
        <v>0</v>
      </c>
      <c r="AQ648" s="42">
        <f t="shared" si="1386"/>
        <v>0</v>
      </c>
      <c r="AR648" s="42">
        <f t="shared" si="1404"/>
        <v>0</v>
      </c>
      <c r="AS648" s="42">
        <f t="shared" si="1387"/>
        <v>0</v>
      </c>
      <c r="AT648" s="42">
        <f t="shared" si="1388"/>
        <v>0</v>
      </c>
      <c r="AU648" s="42">
        <f t="shared" si="1389"/>
        <v>0</v>
      </c>
      <c r="AV648" s="42">
        <f>IF(M648="ПП",РПП*AA648*(U648/1.5),IF(M648="ВП",ВПр*AA648*(U648/1.5),IF(M648="РПА",РПА*AA648*(U648/1.5),IF(M648="КПА",КПА*AA648*(U648/1.5),0))))</f>
        <v>0</v>
      </c>
      <c r="AW648" s="42">
        <f t="shared" si="1390"/>
        <v>0</v>
      </c>
      <c r="AX648" s="42">
        <f t="shared" si="1405"/>
        <v>0</v>
      </c>
      <c r="AY648" s="42">
        <f t="shared" si="1406"/>
        <v>0</v>
      </c>
      <c r="AZ648" s="42">
        <f t="shared" si="1391"/>
        <v>0</v>
      </c>
      <c r="BA648" s="42">
        <f t="shared" si="1407"/>
        <v>0</v>
      </c>
      <c r="BB648" s="42">
        <f t="shared" si="1408"/>
        <v>0</v>
      </c>
      <c r="BC648" s="42">
        <f t="shared" si="1409"/>
        <v>0</v>
      </c>
      <c r="BD648" s="42">
        <f t="shared" si="1392"/>
        <v>1.25</v>
      </c>
      <c r="BE648" s="43">
        <f t="shared" si="1393"/>
        <v>1.25</v>
      </c>
      <c r="BF648" s="44"/>
      <c r="BG648" s="45">
        <f t="shared" si="1394"/>
        <v>0</v>
      </c>
      <c r="BH648" s="45">
        <f t="shared" si="1395"/>
        <v>0</v>
      </c>
      <c r="BI648" s="45">
        <f t="shared" si="1396"/>
        <v>0</v>
      </c>
      <c r="BJ648" s="46">
        <f t="shared" si="1397"/>
        <v>0</v>
      </c>
      <c r="BK648" s="46">
        <f t="shared" si="1398"/>
        <v>0</v>
      </c>
      <c r="BL648" s="46">
        <f t="shared" si="1399"/>
        <v>1.25</v>
      </c>
    </row>
    <row r="649" spans="1:64" ht="30" customHeight="1" x14ac:dyDescent="0.25">
      <c r="A649" s="84" t="str">
        <f t="shared" si="1400"/>
        <v>Д</v>
      </c>
      <c r="B649" s="84" t="str">
        <f t="shared" si="1376"/>
        <v>А</v>
      </c>
      <c r="C649" s="133" t="s">
        <v>2593</v>
      </c>
      <c r="D649" s="16" t="str">
        <f t="shared" si="1377"/>
        <v>'09.06.01</v>
      </c>
      <c r="E649" s="17" t="str">
        <f t="shared" si="1378"/>
        <v>Теоретические основы информатики</v>
      </c>
      <c r="F649" s="116"/>
      <c r="G649" s="116"/>
      <c r="H649" s="112" t="s">
        <v>3233</v>
      </c>
      <c r="I649" s="112"/>
      <c r="J649" s="115" t="s">
        <v>3367</v>
      </c>
      <c r="K649" s="109">
        <v>8</v>
      </c>
      <c r="L649" s="109"/>
      <c r="M649" s="113" t="s">
        <v>11</v>
      </c>
      <c r="N649" s="109"/>
      <c r="O649" s="109"/>
      <c r="P649" s="109"/>
      <c r="Q649" s="113" t="s">
        <v>99</v>
      </c>
      <c r="R649" s="109"/>
      <c r="S649" s="109"/>
      <c r="T649" s="109"/>
      <c r="U649" s="109"/>
      <c r="V649" s="109"/>
      <c r="W649" s="83" t="str">
        <f t="shared" si="1401"/>
        <v>НИВад</v>
      </c>
      <c r="X649" s="114" t="s">
        <v>3368</v>
      </c>
      <c r="Y649" s="109"/>
      <c r="Z649" s="109">
        <v>1</v>
      </c>
      <c r="AA649" s="83">
        <f t="shared" si="1379"/>
        <v>5</v>
      </c>
      <c r="AB649" s="109">
        <v>1</v>
      </c>
      <c r="AC649" s="109">
        <v>4</v>
      </c>
      <c r="AD649" s="81">
        <f t="shared" si="1402"/>
        <v>1</v>
      </c>
      <c r="AE649" s="82">
        <f t="shared" si="1380"/>
        <v>1</v>
      </c>
      <c r="AF649" s="82">
        <f t="shared" si="1381"/>
        <v>5</v>
      </c>
      <c r="AG649" s="102"/>
      <c r="AH649" s="113" t="s">
        <v>205</v>
      </c>
      <c r="AI649" s="113" t="s">
        <v>212</v>
      </c>
      <c r="AJ649" s="123" t="s">
        <v>3295</v>
      </c>
      <c r="AK649" s="8"/>
      <c r="AL649" s="42">
        <f t="shared" si="1403"/>
        <v>0</v>
      </c>
      <c r="AM649" s="42">
        <f t="shared" si="1382"/>
        <v>0</v>
      </c>
      <c r="AN649" s="42">
        <f t="shared" si="1383"/>
        <v>0</v>
      </c>
      <c r="AO649" s="42">
        <f t="shared" si="1384"/>
        <v>0</v>
      </c>
      <c r="AP649" s="42">
        <f t="shared" si="1385"/>
        <v>0</v>
      </c>
      <c r="AQ649" s="42">
        <f t="shared" si="1386"/>
        <v>0</v>
      </c>
      <c r="AR649" s="42">
        <f t="shared" si="1404"/>
        <v>0</v>
      </c>
      <c r="AS649" s="42">
        <f t="shared" si="1387"/>
        <v>0</v>
      </c>
      <c r="AT649" s="42">
        <f t="shared" si="1388"/>
        <v>0</v>
      </c>
      <c r="AU649" s="42">
        <f t="shared" si="1389"/>
        <v>0</v>
      </c>
      <c r="AV649" s="42">
        <f>IF(M649="ПП",РПП*AA649*(U649/1.5),IF(M649="ВП",ВПр*AA649*(U649/1.5),IF(M649="РПА",РПА*AA649*(U649/1.5),IF(M649="КПА",КПА*AA649*(U649/1.5),0))))</f>
        <v>0</v>
      </c>
      <c r="AW649" s="42">
        <f t="shared" si="1390"/>
        <v>0</v>
      </c>
      <c r="AX649" s="42">
        <f t="shared" si="1405"/>
        <v>0</v>
      </c>
      <c r="AY649" s="42">
        <f t="shared" si="1406"/>
        <v>0</v>
      </c>
      <c r="AZ649" s="42">
        <f t="shared" si="1391"/>
        <v>0</v>
      </c>
      <c r="BA649" s="42">
        <f t="shared" si="1407"/>
        <v>0</v>
      </c>
      <c r="BB649" s="42">
        <f t="shared" si="1408"/>
        <v>0</v>
      </c>
      <c r="BC649" s="42">
        <f t="shared" si="1409"/>
        <v>0</v>
      </c>
      <c r="BD649" s="42">
        <f t="shared" si="1392"/>
        <v>1.25</v>
      </c>
      <c r="BE649" s="43">
        <f t="shared" si="1393"/>
        <v>1.25</v>
      </c>
      <c r="BF649" s="44"/>
      <c r="BG649" s="45">
        <f t="shared" si="1394"/>
        <v>0</v>
      </c>
      <c r="BH649" s="45">
        <f t="shared" si="1395"/>
        <v>0</v>
      </c>
      <c r="BI649" s="45">
        <f t="shared" si="1396"/>
        <v>0</v>
      </c>
      <c r="BJ649" s="46">
        <f t="shared" si="1397"/>
        <v>0</v>
      </c>
      <c r="BK649" s="46">
        <f t="shared" si="1398"/>
        <v>0</v>
      </c>
      <c r="BL649" s="46">
        <f t="shared" si="1399"/>
        <v>1.25</v>
      </c>
    </row>
    <row r="650" spans="1:64" ht="30" customHeight="1" x14ac:dyDescent="0.25">
      <c r="A650" s="84" t="str">
        <f t="shared" si="1400"/>
        <v>Д</v>
      </c>
      <c r="B650" s="84" t="str">
        <f t="shared" si="1376"/>
        <v>А</v>
      </c>
      <c r="C650" s="133" t="s">
        <v>2593</v>
      </c>
      <c r="D650" s="16" t="str">
        <f t="shared" si="1377"/>
        <v>'09.06.01</v>
      </c>
      <c r="E650" s="17" t="str">
        <f t="shared" si="1378"/>
        <v>Теоретические основы информатики</v>
      </c>
      <c r="F650" s="116"/>
      <c r="G650" s="116"/>
      <c r="H650" s="112" t="s">
        <v>3233</v>
      </c>
      <c r="I650" s="112"/>
      <c r="J650" s="115" t="s">
        <v>3367</v>
      </c>
      <c r="K650" s="109">
        <v>8</v>
      </c>
      <c r="L650" s="109"/>
      <c r="M650" s="113" t="s">
        <v>11</v>
      </c>
      <c r="N650" s="109"/>
      <c r="O650" s="109"/>
      <c r="P650" s="109"/>
      <c r="Q650" s="113" t="s">
        <v>99</v>
      </c>
      <c r="R650" s="109"/>
      <c r="S650" s="109"/>
      <c r="T650" s="109"/>
      <c r="U650" s="109"/>
      <c r="V650" s="109"/>
      <c r="W650" s="83" t="str">
        <f t="shared" si="1401"/>
        <v>НИВад</v>
      </c>
      <c r="X650" s="114" t="s">
        <v>3368</v>
      </c>
      <c r="Y650" s="109"/>
      <c r="Z650" s="109">
        <v>1</v>
      </c>
      <c r="AA650" s="83">
        <f t="shared" si="1379"/>
        <v>5</v>
      </c>
      <c r="AB650" s="109">
        <v>1</v>
      </c>
      <c r="AC650" s="109">
        <v>4</v>
      </c>
      <c r="AD650" s="81">
        <f t="shared" si="1402"/>
        <v>1</v>
      </c>
      <c r="AE650" s="82">
        <f t="shared" si="1380"/>
        <v>1</v>
      </c>
      <c r="AF650" s="82">
        <f t="shared" si="1381"/>
        <v>5</v>
      </c>
      <c r="AG650" s="102"/>
      <c r="AH650" s="113" t="s">
        <v>205</v>
      </c>
      <c r="AI650" s="113" t="s">
        <v>212</v>
      </c>
      <c r="AJ650" s="123" t="s">
        <v>3295</v>
      </c>
      <c r="AK650" s="8"/>
      <c r="AL650" s="42">
        <f t="shared" si="1403"/>
        <v>0</v>
      </c>
      <c r="AM650" s="42">
        <f t="shared" si="1382"/>
        <v>0</v>
      </c>
      <c r="AN650" s="42">
        <f t="shared" si="1383"/>
        <v>0</v>
      </c>
      <c r="AO650" s="42">
        <f t="shared" si="1384"/>
        <v>0</v>
      </c>
      <c r="AP650" s="42">
        <f t="shared" si="1385"/>
        <v>0</v>
      </c>
      <c r="AQ650" s="42">
        <f t="shared" si="1386"/>
        <v>0</v>
      </c>
      <c r="AR650" s="42">
        <f t="shared" si="1404"/>
        <v>0</v>
      </c>
      <c r="AS650" s="42">
        <f t="shared" si="1387"/>
        <v>0</v>
      </c>
      <c r="AT650" s="42">
        <f t="shared" si="1388"/>
        <v>0</v>
      </c>
      <c r="AU650" s="42">
        <f t="shared" si="1389"/>
        <v>0</v>
      </c>
      <c r="AV650" s="42">
        <f>IF(M650="ПП",РПП*AA650*(U650/1.5),IF(M650="ВП",ВПр*AA650*(U650/1.5),IF(M650="РПА",РПА*AA650*(U650/1.5),IF(M650="КПА",КПА*AA650*(U650/1.5),0))))</f>
        <v>0</v>
      </c>
      <c r="AW650" s="42">
        <f t="shared" si="1390"/>
        <v>0</v>
      </c>
      <c r="AX650" s="42">
        <f t="shared" si="1405"/>
        <v>0</v>
      </c>
      <c r="AY650" s="42">
        <f t="shared" si="1406"/>
        <v>0</v>
      </c>
      <c r="AZ650" s="42">
        <f t="shared" si="1391"/>
        <v>0</v>
      </c>
      <c r="BA650" s="42">
        <f t="shared" si="1407"/>
        <v>0</v>
      </c>
      <c r="BB650" s="42">
        <f t="shared" si="1408"/>
        <v>0</v>
      </c>
      <c r="BC650" s="42">
        <f t="shared" si="1409"/>
        <v>0</v>
      </c>
      <c r="BD650" s="42">
        <f t="shared" si="1392"/>
        <v>1.25</v>
      </c>
      <c r="BE650" s="43">
        <f t="shared" si="1393"/>
        <v>1.25</v>
      </c>
      <c r="BF650" s="44"/>
      <c r="BG650" s="45">
        <f t="shared" si="1394"/>
        <v>0</v>
      </c>
      <c r="BH650" s="45">
        <f t="shared" si="1395"/>
        <v>0</v>
      </c>
      <c r="BI650" s="45">
        <f t="shared" si="1396"/>
        <v>0</v>
      </c>
      <c r="BJ650" s="46">
        <f t="shared" si="1397"/>
        <v>0</v>
      </c>
      <c r="BK650" s="46">
        <f t="shared" si="1398"/>
        <v>0</v>
      </c>
      <c r="BL650" s="46">
        <f t="shared" si="1399"/>
        <v>1.25</v>
      </c>
    </row>
    <row r="651" spans="1:64" ht="30" customHeight="1" x14ac:dyDescent="0.25">
      <c r="A651" s="84" t="str">
        <f t="shared" si="1400"/>
        <v>Д</v>
      </c>
      <c r="B651" s="84" t="str">
        <f t="shared" ref="B651" si="1410">IF(C651&gt;0, VLOOKUP(C651,Код_ООП,11,FALSE),0)</f>
        <v>А</v>
      </c>
      <c r="C651" s="41" t="s">
        <v>2931</v>
      </c>
      <c r="D651" s="16" t="str">
        <f t="shared" ref="D651" si="1411">IF(C651&gt;0, VLOOKUP(C651,Код_ООП,2,FALSE),0)</f>
        <v>'2.3.1.</v>
      </c>
      <c r="E651" s="17" t="str">
        <f t="shared" ref="E651" si="1412">IF(C651&gt;0, VLOOKUP(C651,Код_ООП,13,FALSE),0)</f>
        <v>Системный анализ, управление и обработка информации, статистика</v>
      </c>
      <c r="F651" s="9"/>
      <c r="G651" s="9"/>
      <c r="H651" s="10"/>
      <c r="I651" s="10"/>
      <c r="J651" s="115" t="s">
        <v>3358</v>
      </c>
      <c r="K651" s="12">
        <v>3</v>
      </c>
      <c r="L651" s="11"/>
      <c r="M651" s="113" t="s">
        <v>474</v>
      </c>
      <c r="N651" s="12"/>
      <c r="O651" s="12"/>
      <c r="P651" s="12"/>
      <c r="Q651" s="8"/>
      <c r="R651" s="13"/>
      <c r="S651" s="13"/>
      <c r="T651" s="13"/>
      <c r="U651" s="13">
        <v>2</v>
      </c>
      <c r="V651" s="13"/>
      <c r="W651" s="83" t="str">
        <f t="shared" si="1401"/>
        <v>НСАад</v>
      </c>
      <c r="X651" s="110" t="s">
        <v>3246</v>
      </c>
      <c r="Y651" s="11">
        <v>1</v>
      </c>
      <c r="Z651" s="11">
        <v>1</v>
      </c>
      <c r="AA651" s="83">
        <f t="shared" ref="AA651" si="1413">AB651+AC651</f>
        <v>3</v>
      </c>
      <c r="AB651" s="11">
        <v>3</v>
      </c>
      <c r="AC651" s="13"/>
      <c r="AD651" s="81">
        <f t="shared" si="1402"/>
        <v>1</v>
      </c>
      <c r="AE651" s="82">
        <f t="shared" ref="AE651" si="1414">IF(AF651&gt;1,1,AF651)</f>
        <v>1</v>
      </c>
      <c r="AF651" s="82">
        <f t="shared" ref="AF651" si="1415">AA651/AD651</f>
        <v>3</v>
      </c>
      <c r="AG651" s="102"/>
      <c r="AH651" s="8" t="s">
        <v>204</v>
      </c>
      <c r="AI651" s="8" t="s">
        <v>212</v>
      </c>
      <c r="AJ651" s="35" t="s">
        <v>3257</v>
      </c>
      <c r="AK651" s="8" t="s">
        <v>949</v>
      </c>
      <c r="AL651" s="42">
        <f t="shared" si="1403"/>
        <v>0</v>
      </c>
      <c r="AM651" s="42">
        <f t="shared" ref="AM651" si="1416">IF(OR(M651="пр",M651="ия",M651="сп"),P651*AE651*L651,0)</f>
        <v>0</v>
      </c>
      <c r="AN651" s="42">
        <f t="shared" ref="AN651" si="1417">IF(OR(M651="лаб",M651="клн"),O651*AE651*L651,0)</f>
        <v>0</v>
      </c>
      <c r="AO651" s="42">
        <f t="shared" ref="AO651" si="1418">(IF((AND(OR(K651=1,K651=2,K651=3,K651=4,K651=5,K651=6,K651=7,K651=8,K651=9,K651=10,K651=11,K651=12),OR(Q651="Зач",Q651="Экз"))),ТКиРА*AA651,0)+IF(SUM(N651:P651)&lt;&gt;0,IF(Q651="ТК",ТКиРА*AA651,0),0))*(IF(F651="ФТД",0,1))</f>
        <v>0</v>
      </c>
      <c r="AP651" s="42">
        <f t="shared" ref="AP651" si="1419">IF(SUM(O651:P651)&lt;&gt;0,IF(Q651="Зач",ПАБРС*AA651,0),0)+IF(N651&lt;&gt;0,IF(Q651="Экз",ПАБРС*AA651,0),0)</f>
        <v>0</v>
      </c>
      <c r="AQ651" s="42">
        <f t="shared" ref="AQ651" si="1420">(IF(AP651&lt;&gt;0,ОфВед*(IF(OR(M651="лек",M651="лаб"),Z651,AE651)),0))*(IF(F651="ФТД",0,1))</f>
        <v>0</v>
      </c>
      <c r="AR651" s="42">
        <f t="shared" si="1404"/>
        <v>0</v>
      </c>
      <c r="AS651" s="42">
        <f t="shared" ref="AS651" si="1421">IF(OR(M651="лаб",M651="пр"),IF(R651="К",AA651*ВПКР,IF(R651="М",AA651*ВПИБ,0)),0)</f>
        <v>0</v>
      </c>
      <c r="AT651" s="42">
        <f t="shared" ref="AT651" si="1422">IF(OR(M651="лаб",M651="пр"),IF(S651="К",AA651*ВПКП,0),0)</f>
        <v>0</v>
      </c>
      <c r="AU651" s="42">
        <f t="shared" ref="AU651" si="1423">IF(M651="УП",T651/1.5*AA651*РУП,IF(M651="УПМ",T651/1.5*AA651*РУПЛеч,0))</f>
        <v>0</v>
      </c>
      <c r="AV651" s="42">
        <f>IF(M651="ПП",РПП*AA651*(U651/1.5),IF(M651="ВП",ВПр*AA651*(U651/1.5),IF(M651="РПА",РПА*AA651*(U651/1.5),IF(M651="КПА",КПА*AA651*(U651/1.5),0))))</f>
        <v>6</v>
      </c>
      <c r="AW651" s="42">
        <f t="shared" ref="AW651" si="1424">IF(M651="НР",(AB651*НИРМ+AC651*НИРМИн)*(V651/1.5),IF(M651="НИ",(AB651*НИРА+AC651*НИРАИ)*(V651/1.5),0))</f>
        <v>0</v>
      </c>
      <c r="AX651" s="42">
        <f t="shared" si="1405"/>
        <v>0</v>
      </c>
      <c r="AY651" s="42">
        <f t="shared" si="1406"/>
        <v>0</v>
      </c>
      <c r="AZ651" s="42">
        <f t="shared" ref="AZ651" si="1425">IF(AND(Q651="КЭ",M651="ЧК"),AA651*КдЭк,0)</f>
        <v>0</v>
      </c>
      <c r="BA651" s="42">
        <f t="shared" si="1407"/>
        <v>0</v>
      </c>
      <c r="BB651" s="42">
        <f t="shared" si="1408"/>
        <v>0</v>
      </c>
      <c r="BC651" s="42">
        <f t="shared" si="1409"/>
        <v>0</v>
      </c>
      <c r="BD651" s="42">
        <f t="shared" ref="BD651" si="1426">IF(M651="ЧГ",AA651*ЧГ,IF(M651="ПГ",AA651*ПГ,IF(M651="ТЕСТ",ТГИЭ*AE651,IF(M651="СГ",AA651*СГ,0))))</f>
        <v>0</v>
      </c>
      <c r="BE651" s="43">
        <f t="shared" ref="BE651" si="1427">SUM(AL651:BD651)</f>
        <v>6</v>
      </c>
      <c r="BF651" s="44"/>
      <c r="BG651" s="45">
        <f t="shared" ref="BG651" si="1428">IF(OR(K651="1;1",K651="1;2",K651=1,K651="3;1",K651="3;2",K651=3,K651="5;1",K651="5;2",K651=5,K651="7;1",K651="7;2",K651=7,K651="9;1",K651="9;2",K651=9,K651=11),SUM(AL651:AN651),0)</f>
        <v>0</v>
      </c>
      <c r="BH651" s="45">
        <f t="shared" ref="BH651" si="1429">IF(BG651&lt;&gt;0,SUM(N651:P651)/2,0)</f>
        <v>0</v>
      </c>
      <c r="BI651" s="45">
        <f t="shared" ref="BI651" si="1430">IF(OR(K651="1;1",K651="1;2",K651=1,K651="3;1",K651="3;2",K651=3,K651="5;1",K651="5;2",K651=5,K651="7;1",K651="7;2",K651=7,K651="9;1",K651="9;2",K651=9,K651=11),SUM(AO651:BD651),0)</f>
        <v>6</v>
      </c>
      <c r="BJ651" s="46">
        <f t="shared" ref="BJ651" si="1431">IF(OR(K651="2;3",K651="2;4",K651=2,K651="4;3",K651="4;4",K651=4,K651="6;3",K651="6;4",K651=6,K651="8;3",K651="8;4",K651=8,K651="10;3",K651="10;4",K651=10,K651=12),SUM(AL651:AN651),0)</f>
        <v>0</v>
      </c>
      <c r="BK651" s="46">
        <f t="shared" ref="BK651" si="1432">IF(BJ651&lt;&gt;0,SUM(N651:P651)/2,0)</f>
        <v>0</v>
      </c>
      <c r="BL651" s="46">
        <f t="shared" ref="BL651" si="1433">IF(OR(K651="2;3",K651="2;4",K651=2,K651="4;3",K651="4;4",K651=4,K651="6;3",K651="6;4",K651=6,K651="8;3",K651="8;4",K651=8,K651="10;3",K651="10;4",K651=10,K651=12),SUM(AO651:BD651),0)</f>
        <v>0</v>
      </c>
    </row>
    <row r="652" spans="1:64" ht="30" customHeight="1" x14ac:dyDescent="0.25">
      <c r="A652" s="84" t="str">
        <f t="shared" si="1400"/>
        <v>Д</v>
      </c>
      <c r="B652" s="84" t="str">
        <f t="shared" si="1376"/>
        <v>А</v>
      </c>
      <c r="C652" s="41" t="s">
        <v>2931</v>
      </c>
      <c r="D652" s="16" t="str">
        <f t="shared" si="1377"/>
        <v>'2.3.1.</v>
      </c>
      <c r="E652" s="17" t="str">
        <f t="shared" si="1378"/>
        <v>Системный анализ, управление и обработка информации, статистика</v>
      </c>
      <c r="F652" s="9"/>
      <c r="G652" s="9"/>
      <c r="H652" s="10"/>
      <c r="I652" s="10"/>
      <c r="J652" s="115" t="s">
        <v>3358</v>
      </c>
      <c r="K652" s="12">
        <v>4</v>
      </c>
      <c r="L652" s="11"/>
      <c r="M652" s="113" t="s">
        <v>474</v>
      </c>
      <c r="N652" s="12"/>
      <c r="O652" s="12"/>
      <c r="P652" s="12"/>
      <c r="Q652" s="8"/>
      <c r="R652" s="13"/>
      <c r="S652" s="13"/>
      <c r="T652" s="13"/>
      <c r="U652" s="13">
        <v>3</v>
      </c>
      <c r="V652" s="13"/>
      <c r="W652" s="83" t="str">
        <f t="shared" si="1401"/>
        <v>НСАад</v>
      </c>
      <c r="X652" s="110" t="s">
        <v>3246</v>
      </c>
      <c r="Y652" s="11">
        <v>1</v>
      </c>
      <c r="Z652" s="11">
        <v>1</v>
      </c>
      <c r="AA652" s="83">
        <f t="shared" si="1379"/>
        <v>3</v>
      </c>
      <c r="AB652" s="11">
        <v>3</v>
      </c>
      <c r="AC652" s="13"/>
      <c r="AD652" s="81">
        <f t="shared" si="1402"/>
        <v>1</v>
      </c>
      <c r="AE652" s="82">
        <f t="shared" si="1380"/>
        <v>1</v>
      </c>
      <c r="AF652" s="82">
        <f t="shared" si="1381"/>
        <v>3</v>
      </c>
      <c r="AG652" s="102"/>
      <c r="AH652" s="8" t="s">
        <v>204</v>
      </c>
      <c r="AI652" s="8" t="s">
        <v>212</v>
      </c>
      <c r="AJ652" s="35" t="s">
        <v>3257</v>
      </c>
      <c r="AK652" s="8" t="s">
        <v>949</v>
      </c>
      <c r="AL652" s="42">
        <f t="shared" si="1403"/>
        <v>0</v>
      </c>
      <c r="AM652" s="42">
        <f t="shared" si="1382"/>
        <v>0</v>
      </c>
      <c r="AN652" s="42">
        <f t="shared" si="1383"/>
        <v>0</v>
      </c>
      <c r="AO652" s="42">
        <f t="shared" si="1384"/>
        <v>0</v>
      </c>
      <c r="AP652" s="42">
        <f t="shared" si="1385"/>
        <v>0</v>
      </c>
      <c r="AQ652" s="42">
        <f t="shared" si="1386"/>
        <v>0</v>
      </c>
      <c r="AR652" s="42">
        <f t="shared" si="1404"/>
        <v>0</v>
      </c>
      <c r="AS652" s="42">
        <f t="shared" si="1387"/>
        <v>0</v>
      </c>
      <c r="AT652" s="42">
        <f t="shared" si="1388"/>
        <v>0</v>
      </c>
      <c r="AU652" s="42">
        <f t="shared" si="1389"/>
        <v>0</v>
      </c>
      <c r="AV652" s="42">
        <f>IF(M652="ПП",РПП*AA652*(U652/1.5),IF(M652="ВП",ВПр*AA652*(U652/1.5),IF(M652="РПА",РПА*AA652*(U652/1.5),IF(M652="КПА",КПА*AA652*(U652/1.5),0))))</f>
        <v>9</v>
      </c>
      <c r="AW652" s="42">
        <f t="shared" si="1390"/>
        <v>0</v>
      </c>
      <c r="AX652" s="42">
        <f t="shared" si="1405"/>
        <v>0</v>
      </c>
      <c r="AY652" s="42">
        <f t="shared" si="1406"/>
        <v>0</v>
      </c>
      <c r="AZ652" s="42">
        <f t="shared" si="1391"/>
        <v>0</v>
      </c>
      <c r="BA652" s="42">
        <f t="shared" si="1407"/>
        <v>0</v>
      </c>
      <c r="BB652" s="42">
        <f t="shared" si="1408"/>
        <v>0</v>
      </c>
      <c r="BC652" s="42">
        <f t="shared" si="1409"/>
        <v>0</v>
      </c>
      <c r="BD652" s="42">
        <f t="shared" si="1392"/>
        <v>0</v>
      </c>
      <c r="BE652" s="43">
        <f t="shared" si="1393"/>
        <v>9</v>
      </c>
      <c r="BF652" s="44"/>
      <c r="BG652" s="45">
        <f t="shared" si="1394"/>
        <v>0</v>
      </c>
      <c r="BH652" s="45">
        <f t="shared" si="1395"/>
        <v>0</v>
      </c>
      <c r="BI652" s="45">
        <f t="shared" si="1396"/>
        <v>0</v>
      </c>
      <c r="BJ652" s="46">
        <f t="shared" si="1397"/>
        <v>0</v>
      </c>
      <c r="BK652" s="46">
        <f t="shared" si="1398"/>
        <v>0</v>
      </c>
      <c r="BL652" s="46">
        <f t="shared" si="1399"/>
        <v>9</v>
      </c>
    </row>
    <row r="653" spans="1:64" ht="30" customHeight="1" x14ac:dyDescent="0.25">
      <c r="A653" s="84" t="str">
        <f t="shared" si="1400"/>
        <v>Д</v>
      </c>
      <c r="B653" s="84" t="str">
        <f t="shared" ref="B653:B655" si="1434">IF(C653&gt;0, VLOOKUP(C653,Код_ООП,11,FALSE),0)</f>
        <v>А</v>
      </c>
      <c r="C653" s="41" t="s">
        <v>2931</v>
      </c>
      <c r="D653" s="16" t="str">
        <f t="shared" ref="D653:D655" si="1435">IF(C653&gt;0, VLOOKUP(C653,Код_ООП,2,FALSE),0)</f>
        <v>'2.3.1.</v>
      </c>
      <c r="E653" s="17" t="str">
        <f t="shared" ref="E653:E655" si="1436">IF(C653&gt;0, VLOOKUP(C653,Код_ООП,13,FALSE),0)</f>
        <v>Системный анализ, управление и обработка информации, статистика</v>
      </c>
      <c r="F653" s="9"/>
      <c r="G653" s="9"/>
      <c r="H653" s="10"/>
      <c r="I653" s="10"/>
      <c r="J653" s="115" t="s">
        <v>3360</v>
      </c>
      <c r="K653" s="13">
        <v>1</v>
      </c>
      <c r="L653" s="11"/>
      <c r="M653" s="113" t="s">
        <v>510</v>
      </c>
      <c r="N653" s="13"/>
      <c r="O653" s="13"/>
      <c r="P653" s="13"/>
      <c r="Q653" s="8" t="s">
        <v>99</v>
      </c>
      <c r="R653" s="11"/>
      <c r="S653" s="11"/>
      <c r="T653" s="23"/>
      <c r="U653" s="11">
        <v>29</v>
      </c>
      <c r="V653" s="11"/>
      <c r="W653" s="83" t="str">
        <f t="shared" si="1401"/>
        <v>НСАад</v>
      </c>
      <c r="X653" s="110" t="s">
        <v>3246</v>
      </c>
      <c r="Y653" s="11">
        <v>1</v>
      </c>
      <c r="Z653" s="11">
        <v>1</v>
      </c>
      <c r="AA653" s="83">
        <f t="shared" ref="AA653:AA655" si="1437">AB653+AC653</f>
        <v>3</v>
      </c>
      <c r="AB653" s="11">
        <v>3</v>
      </c>
      <c r="AC653" s="11"/>
      <c r="AD653" s="81">
        <f t="shared" si="1402"/>
        <v>1</v>
      </c>
      <c r="AE653" s="82">
        <f t="shared" ref="AE653:AE655" si="1438">IF(AF653&gt;1,1,AF653)</f>
        <v>1</v>
      </c>
      <c r="AF653" s="82">
        <f t="shared" ref="AF653:AF655" si="1439">AA653/AD653</f>
        <v>3</v>
      </c>
      <c r="AG653" s="102"/>
      <c r="AH653" s="8" t="s">
        <v>205</v>
      </c>
      <c r="AI653" s="8" t="s">
        <v>212</v>
      </c>
      <c r="AJ653" s="35" t="s">
        <v>3295</v>
      </c>
      <c r="AK653" s="8"/>
      <c r="AL653" s="42">
        <f t="shared" si="1403"/>
        <v>0</v>
      </c>
      <c r="AM653" s="42">
        <f t="shared" ref="AM653:AM655" si="1440">IF(OR(M653="пр",M653="ия",M653="сп"),P653*AE653*L653,0)</f>
        <v>0</v>
      </c>
      <c r="AN653" s="42">
        <f t="shared" ref="AN653:AN655" si="1441">IF(OR(M653="лаб",M653="клн"),O653*AE653*L653,0)</f>
        <v>0</v>
      </c>
      <c r="AO653" s="42">
        <f t="shared" ref="AO653:AO655" si="1442">(IF((AND(OR(K653=1,K653=2,K653=3,K653=4,K653=5,K653=6,K653=7,K653=8,K653=9,K653=10,K653=11,K653=12),OR(Q653="Зач",Q653="Экз"))),ТКиРА*AA653,0)+IF(SUM(N653:P653)&lt;&gt;0,IF(Q653="ТК",ТКиРА*AA653,0),0))*(IF(F653="ФТД",0,1))</f>
        <v>0</v>
      </c>
      <c r="AP653" s="42">
        <f t="shared" ref="AP653:AP655" si="1443">IF(SUM(O653:P653)&lt;&gt;0,IF(Q653="Зач",ПАБРС*AA653,0),0)+IF(N653&lt;&gt;0,IF(Q653="Экз",ПАБРС*AA653,0),0)</f>
        <v>0</v>
      </c>
      <c r="AQ653" s="42">
        <f t="shared" ref="AQ653:AQ655" si="1444">(IF(AP653&lt;&gt;0,ОфВед*(IF(OR(M653="лек",M653="лаб"),Z653,AE653)),0))*(IF(F653="ФТД",0,1))</f>
        <v>0</v>
      </c>
      <c r="AR653" s="42">
        <f t="shared" si="1404"/>
        <v>0</v>
      </c>
      <c r="AS653" s="42">
        <f t="shared" ref="AS653:AS655" si="1445">IF(OR(M653="лаб",M653="пр"),IF(R653="К",AA653*ВПКР,IF(R653="М",AA653*ВПИБ,0)),0)</f>
        <v>0</v>
      </c>
      <c r="AT653" s="42">
        <f t="shared" ref="AT653:AT655" si="1446">IF(OR(M653="лаб",M653="пр"),IF(S653="К",AA653*ВПКП,0),0)</f>
        <v>0</v>
      </c>
      <c r="AU653" s="42">
        <f t="shared" ref="AU653:AU655" si="1447">IF(M653="УП",T653/1.5*AA653*РУП,IF(M653="УПМ",T653/1.5*AA653*РУПЛеч,0))</f>
        <v>0</v>
      </c>
      <c r="AV653" s="42">
        <f>IF(M653="ПП",РПП*AA653*(U653/1.5),IF(M653="ВП",ВПр*AA653*(U653/1.5),IF(M653="РПА",РПА*AA653*(U653/1.5),IF(M653="КПА",КПА*AA653*(U653/1.5),0))))</f>
        <v>0</v>
      </c>
      <c r="AW653" s="42">
        <f t="shared" ref="AW653:AW655" si="1448">IF(M653="НР",(AB653*НИРМ+AC653*НИРМИн)*(V653/1.5),IF(M653="НИ",(AB653*НИРА+AC653*НИРАИ)*(V653/1.5),0))</f>
        <v>0</v>
      </c>
      <c r="AX653" s="42">
        <f t="shared" si="1405"/>
        <v>0</v>
      </c>
      <c r="AY653" s="42">
        <f t="shared" si="1406"/>
        <v>0</v>
      </c>
      <c r="AZ653" s="42">
        <f t="shared" ref="AZ653:AZ655" si="1449">IF(AND(Q653="КЭ",M653="ЧК"),AA653*КдЭк,0)</f>
        <v>0</v>
      </c>
      <c r="BA653" s="42">
        <f t="shared" si="1407"/>
        <v>0</v>
      </c>
      <c r="BB653" s="42">
        <f t="shared" si="1408"/>
        <v>0</v>
      </c>
      <c r="BC653" s="42">
        <f t="shared" si="1409"/>
        <v>0</v>
      </c>
      <c r="BD653" s="42">
        <f t="shared" ref="BD653:BD655" si="1450">IF(M653="ЧГ",AA653*ЧГ,IF(M653="ПГ",AA653*ПГ,IF(M653="ТЕСТ",ТГИЭ*AE653,IF(M653="СГ",AA653*СГ,0))))</f>
        <v>0</v>
      </c>
      <c r="BE653" s="43">
        <f t="shared" ref="BE653:BE655" si="1451">SUM(AL653:BD653)</f>
        <v>0</v>
      </c>
      <c r="BF653" s="44"/>
      <c r="BG653" s="45">
        <f t="shared" ref="BG653:BG655" si="1452">IF(OR(K653="1;1",K653="1;2",K653=1,K653="3;1",K653="3;2",K653=3,K653="5;1",K653="5;2",K653=5,K653="7;1",K653="7;2",K653=7,K653="9;1",K653="9;2",K653=9,K653=11),SUM(AL653:AN653),0)</f>
        <v>0</v>
      </c>
      <c r="BH653" s="45">
        <f t="shared" ref="BH653:BH655" si="1453">IF(BG653&lt;&gt;0,SUM(N653:P653)/2,0)</f>
        <v>0</v>
      </c>
      <c r="BI653" s="45">
        <f t="shared" ref="BI653:BI655" si="1454">IF(OR(K653="1;1",K653="1;2",K653=1,K653="3;1",K653="3;2",K653=3,K653="5;1",K653="5;2",K653=5,K653="7;1",K653="7;2",K653=7,K653="9;1",K653="9;2",K653=9,K653=11),SUM(AO653:BD653),0)</f>
        <v>0</v>
      </c>
      <c r="BJ653" s="46">
        <f t="shared" ref="BJ653:BJ655" si="1455">IF(OR(K653="2;3",K653="2;4",K653=2,K653="4;3",K653="4;4",K653=4,K653="6;3",K653="6;4",K653=6,K653="8;3",K653="8;4",K653=8,K653="10;3",K653="10;4",K653=10,K653=12),SUM(AL653:AN653),0)</f>
        <v>0</v>
      </c>
      <c r="BK653" s="46">
        <f t="shared" ref="BK653:BK655" si="1456">IF(BJ653&lt;&gt;0,SUM(N653:P653)/2,0)</f>
        <v>0</v>
      </c>
      <c r="BL653" s="46">
        <f t="shared" ref="BL653:BL655" si="1457">IF(OR(K653="2;3",K653="2;4",K653=2,K653="4;3",K653="4;4",K653=4,K653="6;3",K653="6;4",K653=6,K653="8;3",K653="8;4",K653=8,K653="10;3",K653="10;4",K653=10,K653=12),SUM(AO653:BD653),0)</f>
        <v>0</v>
      </c>
    </row>
    <row r="654" spans="1:64" ht="30" customHeight="1" x14ac:dyDescent="0.25">
      <c r="A654" s="84" t="str">
        <f t="shared" si="1400"/>
        <v>Д</v>
      </c>
      <c r="B654" s="84" t="str">
        <f t="shared" si="1434"/>
        <v>А</v>
      </c>
      <c r="C654" s="41" t="s">
        <v>2931</v>
      </c>
      <c r="D654" s="16" t="str">
        <f t="shared" si="1435"/>
        <v>'2.3.1.</v>
      </c>
      <c r="E654" s="17" t="str">
        <f t="shared" si="1436"/>
        <v>Системный анализ, управление и обработка информации, статистика</v>
      </c>
      <c r="F654" s="9"/>
      <c r="G654" s="9"/>
      <c r="H654" s="10"/>
      <c r="I654" s="10"/>
      <c r="J654" s="115" t="s">
        <v>3360</v>
      </c>
      <c r="K654" s="13">
        <v>2</v>
      </c>
      <c r="L654" s="11"/>
      <c r="M654" s="113" t="s">
        <v>510</v>
      </c>
      <c r="N654" s="13"/>
      <c r="O654" s="13"/>
      <c r="P654" s="13"/>
      <c r="Q654" s="8" t="s">
        <v>99</v>
      </c>
      <c r="R654" s="11"/>
      <c r="S654" s="11"/>
      <c r="T654" s="23"/>
      <c r="U654" s="11">
        <v>12</v>
      </c>
      <c r="V654" s="11"/>
      <c r="W654" s="83" t="str">
        <f t="shared" si="1401"/>
        <v>НСАад</v>
      </c>
      <c r="X654" s="110" t="s">
        <v>3246</v>
      </c>
      <c r="Y654" s="11">
        <v>1</v>
      </c>
      <c r="Z654" s="11">
        <v>1</v>
      </c>
      <c r="AA654" s="83">
        <f t="shared" si="1437"/>
        <v>3</v>
      </c>
      <c r="AB654" s="11">
        <v>3</v>
      </c>
      <c r="AC654" s="11"/>
      <c r="AD654" s="81">
        <f t="shared" si="1402"/>
        <v>1</v>
      </c>
      <c r="AE654" s="82">
        <f t="shared" si="1438"/>
        <v>1</v>
      </c>
      <c r="AF654" s="82">
        <f t="shared" si="1439"/>
        <v>3</v>
      </c>
      <c r="AG654" s="102"/>
      <c r="AH654" s="113" t="s">
        <v>205</v>
      </c>
      <c r="AI654" s="8" t="s">
        <v>212</v>
      </c>
      <c r="AJ654" s="119" t="s">
        <v>3295</v>
      </c>
      <c r="AK654" s="8"/>
      <c r="AL654" s="42">
        <f t="shared" si="1403"/>
        <v>0</v>
      </c>
      <c r="AM654" s="42">
        <f t="shared" si="1440"/>
        <v>0</v>
      </c>
      <c r="AN654" s="42">
        <f t="shared" si="1441"/>
        <v>0</v>
      </c>
      <c r="AO654" s="42">
        <f t="shared" si="1442"/>
        <v>0</v>
      </c>
      <c r="AP654" s="42">
        <f t="shared" si="1443"/>
        <v>0</v>
      </c>
      <c r="AQ654" s="42">
        <f t="shared" si="1444"/>
        <v>0</v>
      </c>
      <c r="AR654" s="42">
        <f t="shared" si="1404"/>
        <v>0</v>
      </c>
      <c r="AS654" s="42">
        <f t="shared" si="1445"/>
        <v>0</v>
      </c>
      <c r="AT654" s="42">
        <f t="shared" si="1446"/>
        <v>0</v>
      </c>
      <c r="AU654" s="42">
        <f t="shared" si="1447"/>
        <v>0</v>
      </c>
      <c r="AV654" s="42">
        <f>IF(M654="ПП",РПП*AA654*(U654/1.5),IF(M654="ВП",ВПр*AA654*(U654/1.5),IF(M654="РПА",РПА*AA654*(U654/1.5),IF(M654="КПА",КПА*AA654*(U654/1.5),0))))</f>
        <v>0</v>
      </c>
      <c r="AW654" s="42">
        <f t="shared" si="1448"/>
        <v>0</v>
      </c>
      <c r="AX654" s="42">
        <f t="shared" si="1405"/>
        <v>0</v>
      </c>
      <c r="AY654" s="42">
        <f t="shared" si="1406"/>
        <v>0</v>
      </c>
      <c r="AZ654" s="42">
        <f t="shared" si="1449"/>
        <v>0</v>
      </c>
      <c r="BA654" s="42">
        <f t="shared" si="1407"/>
        <v>0</v>
      </c>
      <c r="BB654" s="42">
        <f t="shared" si="1408"/>
        <v>0</v>
      </c>
      <c r="BC654" s="42">
        <f t="shared" si="1409"/>
        <v>0</v>
      </c>
      <c r="BD654" s="42">
        <f t="shared" si="1450"/>
        <v>0</v>
      </c>
      <c r="BE654" s="43">
        <f t="shared" si="1451"/>
        <v>0</v>
      </c>
      <c r="BF654" s="44"/>
      <c r="BG654" s="45">
        <f t="shared" si="1452"/>
        <v>0</v>
      </c>
      <c r="BH654" s="45">
        <f t="shared" si="1453"/>
        <v>0</v>
      </c>
      <c r="BI654" s="45">
        <f t="shared" si="1454"/>
        <v>0</v>
      </c>
      <c r="BJ654" s="46">
        <f t="shared" si="1455"/>
        <v>0</v>
      </c>
      <c r="BK654" s="46">
        <f t="shared" si="1456"/>
        <v>0</v>
      </c>
      <c r="BL654" s="46">
        <f t="shared" si="1457"/>
        <v>0</v>
      </c>
    </row>
    <row r="655" spans="1:64" ht="30" customHeight="1" x14ac:dyDescent="0.25">
      <c r="A655" s="84" t="str">
        <f t="shared" si="1400"/>
        <v>Д</v>
      </c>
      <c r="B655" s="84" t="str">
        <f t="shared" si="1434"/>
        <v>А</v>
      </c>
      <c r="C655" s="41" t="s">
        <v>2931</v>
      </c>
      <c r="D655" s="16" t="str">
        <f t="shared" si="1435"/>
        <v>'2.3.1.</v>
      </c>
      <c r="E655" s="17" t="str">
        <f t="shared" si="1436"/>
        <v>Системный анализ, управление и обработка информации, статистика</v>
      </c>
      <c r="F655" s="9"/>
      <c r="G655" s="9"/>
      <c r="H655" s="10"/>
      <c r="I655" s="10"/>
      <c r="J655" s="115" t="s">
        <v>3360</v>
      </c>
      <c r="K655" s="13">
        <v>3</v>
      </c>
      <c r="L655" s="11"/>
      <c r="M655" s="113" t="s">
        <v>510</v>
      </c>
      <c r="N655" s="13"/>
      <c r="O655" s="13"/>
      <c r="P655" s="13"/>
      <c r="Q655" s="8" t="s">
        <v>99</v>
      </c>
      <c r="R655" s="11"/>
      <c r="S655" s="11"/>
      <c r="T655" s="23"/>
      <c r="U655" s="11">
        <v>20</v>
      </c>
      <c r="V655" s="11"/>
      <c r="W655" s="83" t="str">
        <f t="shared" si="1401"/>
        <v>НСАад</v>
      </c>
      <c r="X655" s="110" t="s">
        <v>3246</v>
      </c>
      <c r="Y655" s="11">
        <v>1</v>
      </c>
      <c r="Z655" s="11">
        <v>1</v>
      </c>
      <c r="AA655" s="83">
        <f t="shared" si="1437"/>
        <v>3</v>
      </c>
      <c r="AB655" s="11">
        <v>3</v>
      </c>
      <c r="AC655" s="11"/>
      <c r="AD655" s="81">
        <f t="shared" si="1402"/>
        <v>1</v>
      </c>
      <c r="AE655" s="82">
        <f t="shared" si="1438"/>
        <v>1</v>
      </c>
      <c r="AF655" s="82">
        <f t="shared" si="1439"/>
        <v>3</v>
      </c>
      <c r="AG655" s="102"/>
      <c r="AH655" s="113" t="s">
        <v>205</v>
      </c>
      <c r="AI655" s="8" t="s">
        <v>212</v>
      </c>
      <c r="AJ655" s="119" t="s">
        <v>3295</v>
      </c>
      <c r="AK655" s="8"/>
      <c r="AL655" s="42">
        <f t="shared" si="1403"/>
        <v>0</v>
      </c>
      <c r="AM655" s="42">
        <f t="shared" si="1440"/>
        <v>0</v>
      </c>
      <c r="AN655" s="42">
        <f t="shared" si="1441"/>
        <v>0</v>
      </c>
      <c r="AO655" s="42">
        <f t="shared" si="1442"/>
        <v>0</v>
      </c>
      <c r="AP655" s="42">
        <f t="shared" si="1443"/>
        <v>0</v>
      </c>
      <c r="AQ655" s="42">
        <f t="shared" si="1444"/>
        <v>0</v>
      </c>
      <c r="AR655" s="42">
        <f t="shared" si="1404"/>
        <v>0</v>
      </c>
      <c r="AS655" s="42">
        <f t="shared" si="1445"/>
        <v>0</v>
      </c>
      <c r="AT655" s="42">
        <f t="shared" si="1446"/>
        <v>0</v>
      </c>
      <c r="AU655" s="42">
        <f t="shared" si="1447"/>
        <v>0</v>
      </c>
      <c r="AV655" s="42">
        <f>IF(M655="ПП",РПП*AA655*(U655/1.5),IF(M655="ВП",ВПр*AA655*(U655/1.5),IF(M655="РПА",РПА*AA655*(U655/1.5),IF(M655="КПА",КПА*AA655*(U655/1.5),0))))</f>
        <v>0</v>
      </c>
      <c r="AW655" s="42">
        <f t="shared" si="1448"/>
        <v>0</v>
      </c>
      <c r="AX655" s="42">
        <f t="shared" si="1405"/>
        <v>0</v>
      </c>
      <c r="AY655" s="42">
        <f t="shared" si="1406"/>
        <v>0</v>
      </c>
      <c r="AZ655" s="42">
        <f t="shared" si="1449"/>
        <v>0</v>
      </c>
      <c r="BA655" s="42">
        <f t="shared" si="1407"/>
        <v>0</v>
      </c>
      <c r="BB655" s="42">
        <f t="shared" si="1408"/>
        <v>0</v>
      </c>
      <c r="BC655" s="42">
        <f t="shared" si="1409"/>
        <v>0</v>
      </c>
      <c r="BD655" s="42">
        <f t="shared" si="1450"/>
        <v>0</v>
      </c>
      <c r="BE655" s="43">
        <f t="shared" si="1451"/>
        <v>0</v>
      </c>
      <c r="BF655" s="44"/>
      <c r="BG655" s="45">
        <f t="shared" si="1452"/>
        <v>0</v>
      </c>
      <c r="BH655" s="45">
        <f t="shared" si="1453"/>
        <v>0</v>
      </c>
      <c r="BI655" s="45">
        <f t="shared" si="1454"/>
        <v>0</v>
      </c>
      <c r="BJ655" s="46">
        <f t="shared" si="1455"/>
        <v>0</v>
      </c>
      <c r="BK655" s="46">
        <f t="shared" si="1456"/>
        <v>0</v>
      </c>
      <c r="BL655" s="46">
        <f t="shared" si="1457"/>
        <v>0</v>
      </c>
    </row>
    <row r="656" spans="1:64" ht="30" customHeight="1" x14ac:dyDescent="0.25">
      <c r="A656" s="84" t="str">
        <f t="shared" si="1400"/>
        <v>Д</v>
      </c>
      <c r="B656" s="84" t="str">
        <f t="shared" si="1376"/>
        <v>А</v>
      </c>
      <c r="C656" s="41" t="s">
        <v>2931</v>
      </c>
      <c r="D656" s="16" t="str">
        <f t="shared" si="1377"/>
        <v>'2.3.1.</v>
      </c>
      <c r="E656" s="17" t="str">
        <f t="shared" si="1378"/>
        <v>Системный анализ, управление и обработка информации, статистика</v>
      </c>
      <c r="F656" s="9"/>
      <c r="G656" s="9"/>
      <c r="H656" s="10"/>
      <c r="I656" s="10"/>
      <c r="J656" s="115" t="s">
        <v>3360</v>
      </c>
      <c r="K656" s="13">
        <v>4</v>
      </c>
      <c r="L656" s="11"/>
      <c r="M656" s="113" t="s">
        <v>510</v>
      </c>
      <c r="N656" s="13"/>
      <c r="O656" s="13"/>
      <c r="P656" s="13"/>
      <c r="Q656" s="8" t="s">
        <v>99</v>
      </c>
      <c r="R656" s="11"/>
      <c r="S656" s="11"/>
      <c r="T656" s="23"/>
      <c r="U656" s="11">
        <v>19</v>
      </c>
      <c r="V656" s="11"/>
      <c r="W656" s="83" t="str">
        <f t="shared" si="1401"/>
        <v>НСАад</v>
      </c>
      <c r="X656" s="110" t="s">
        <v>3246</v>
      </c>
      <c r="Y656" s="11">
        <v>1</v>
      </c>
      <c r="Z656" s="11">
        <v>1</v>
      </c>
      <c r="AA656" s="83">
        <f t="shared" si="1379"/>
        <v>3</v>
      </c>
      <c r="AB656" s="11">
        <v>3</v>
      </c>
      <c r="AC656" s="11"/>
      <c r="AD656" s="81">
        <f t="shared" si="1402"/>
        <v>1</v>
      </c>
      <c r="AE656" s="82">
        <f t="shared" si="1380"/>
        <v>1</v>
      </c>
      <c r="AF656" s="82">
        <f t="shared" si="1381"/>
        <v>3</v>
      </c>
      <c r="AG656" s="102"/>
      <c r="AH656" s="113" t="s">
        <v>205</v>
      </c>
      <c r="AI656" s="8" t="s">
        <v>212</v>
      </c>
      <c r="AJ656" s="119" t="s">
        <v>3295</v>
      </c>
      <c r="AK656" s="8"/>
      <c r="AL656" s="42">
        <f t="shared" si="1403"/>
        <v>0</v>
      </c>
      <c r="AM656" s="42">
        <f t="shared" si="1382"/>
        <v>0</v>
      </c>
      <c r="AN656" s="42">
        <f t="shared" si="1383"/>
        <v>0</v>
      </c>
      <c r="AO656" s="42">
        <f t="shared" si="1384"/>
        <v>0</v>
      </c>
      <c r="AP656" s="42">
        <f t="shared" si="1385"/>
        <v>0</v>
      </c>
      <c r="AQ656" s="42">
        <f t="shared" si="1386"/>
        <v>0</v>
      </c>
      <c r="AR656" s="42">
        <f t="shared" si="1404"/>
        <v>0</v>
      </c>
      <c r="AS656" s="42">
        <f t="shared" si="1387"/>
        <v>0</v>
      </c>
      <c r="AT656" s="42">
        <f t="shared" si="1388"/>
        <v>0</v>
      </c>
      <c r="AU656" s="42">
        <f t="shared" si="1389"/>
        <v>0</v>
      </c>
      <c r="AV656" s="42">
        <f>IF(M656="ПП",РПП*AA656*(U656/1.5),IF(M656="ВП",ВПр*AA656*(U656/1.5),IF(M656="РПА",РПА*AA656*(U656/1.5),IF(M656="КПА",КПА*AA656*(U656/1.5),0))))</f>
        <v>0</v>
      </c>
      <c r="AW656" s="42">
        <f t="shared" si="1390"/>
        <v>0</v>
      </c>
      <c r="AX656" s="42">
        <f t="shared" si="1405"/>
        <v>0</v>
      </c>
      <c r="AY656" s="42">
        <f t="shared" si="1406"/>
        <v>0</v>
      </c>
      <c r="AZ656" s="42">
        <f t="shared" si="1391"/>
        <v>0</v>
      </c>
      <c r="BA656" s="42">
        <f t="shared" si="1407"/>
        <v>0</v>
      </c>
      <c r="BB656" s="42">
        <f t="shared" si="1408"/>
        <v>0</v>
      </c>
      <c r="BC656" s="42">
        <f t="shared" si="1409"/>
        <v>0</v>
      </c>
      <c r="BD656" s="42">
        <f t="shared" si="1392"/>
        <v>0</v>
      </c>
      <c r="BE656" s="43">
        <f t="shared" si="1393"/>
        <v>0</v>
      </c>
      <c r="BF656" s="44"/>
      <c r="BG656" s="45">
        <f t="shared" si="1394"/>
        <v>0</v>
      </c>
      <c r="BH656" s="45">
        <f t="shared" si="1395"/>
        <v>0</v>
      </c>
      <c r="BI656" s="45">
        <f t="shared" si="1396"/>
        <v>0</v>
      </c>
      <c r="BJ656" s="46">
        <f t="shared" si="1397"/>
        <v>0</v>
      </c>
      <c r="BK656" s="46">
        <f t="shared" si="1398"/>
        <v>0</v>
      </c>
      <c r="BL656" s="46">
        <f t="shared" si="1399"/>
        <v>0</v>
      </c>
    </row>
    <row r="657" spans="1:65" ht="30" customHeight="1" x14ac:dyDescent="0.25">
      <c r="A657" s="84" t="str">
        <f t="shared" si="1400"/>
        <v>Д</v>
      </c>
      <c r="B657" s="84" t="str">
        <f t="shared" ref="B657" si="1458">IF(C657&gt;0, VLOOKUP(C657,Код_ООП,11,FALSE),0)</f>
        <v>А</v>
      </c>
      <c r="C657" s="41" t="s">
        <v>2931</v>
      </c>
      <c r="D657" s="16" t="str">
        <f t="shared" ref="D657" si="1459">IF(C657&gt;0, VLOOKUP(C657,Код_ООП,2,FALSE),0)</f>
        <v>'2.3.1.</v>
      </c>
      <c r="E657" s="17" t="str">
        <f t="shared" ref="E657" si="1460">IF(C657&gt;0, VLOOKUP(C657,Код_ООП,13,FALSE),0)</f>
        <v>Системный анализ, управление и обработка информации, статистика</v>
      </c>
      <c r="F657" s="9"/>
      <c r="G657" s="9"/>
      <c r="H657" s="10"/>
      <c r="I657" s="10"/>
      <c r="J657" s="115" t="s">
        <v>3360</v>
      </c>
      <c r="K657" s="13">
        <v>5</v>
      </c>
      <c r="L657" s="11"/>
      <c r="M657" s="113" t="s">
        <v>510</v>
      </c>
      <c r="N657" s="13"/>
      <c r="O657" s="13"/>
      <c r="P657" s="13"/>
      <c r="Q657" s="8" t="s">
        <v>99</v>
      </c>
      <c r="R657" s="11"/>
      <c r="S657" s="11"/>
      <c r="T657" s="23"/>
      <c r="U657" s="11">
        <v>29</v>
      </c>
      <c r="V657" s="11"/>
      <c r="W657" s="83" t="str">
        <f t="shared" si="1401"/>
        <v>НСАад</v>
      </c>
      <c r="X657" s="110" t="s">
        <v>3246</v>
      </c>
      <c r="Y657" s="11">
        <v>1</v>
      </c>
      <c r="Z657" s="11">
        <v>1</v>
      </c>
      <c r="AA657" s="83">
        <f t="shared" ref="AA657" si="1461">AB657+AC657</f>
        <v>3</v>
      </c>
      <c r="AB657" s="11">
        <v>3</v>
      </c>
      <c r="AC657" s="11"/>
      <c r="AD657" s="81">
        <f t="shared" si="1402"/>
        <v>1</v>
      </c>
      <c r="AE657" s="82">
        <f t="shared" ref="AE657" si="1462">IF(AF657&gt;1,1,AF657)</f>
        <v>1</v>
      </c>
      <c r="AF657" s="82">
        <f t="shared" ref="AF657" si="1463">AA657/AD657</f>
        <v>3</v>
      </c>
      <c r="AG657" s="102"/>
      <c r="AH657" s="113" t="s">
        <v>205</v>
      </c>
      <c r="AI657" s="8" t="s">
        <v>212</v>
      </c>
      <c r="AJ657" s="119" t="s">
        <v>3295</v>
      </c>
      <c r="AK657" s="8"/>
      <c r="AL657" s="42">
        <f t="shared" si="1403"/>
        <v>0</v>
      </c>
      <c r="AM657" s="42">
        <f t="shared" ref="AM657" si="1464">IF(OR(M657="пр",M657="ия",M657="сп"),P657*AE657*L657,0)</f>
        <v>0</v>
      </c>
      <c r="AN657" s="42">
        <f t="shared" ref="AN657" si="1465">IF(OR(M657="лаб",M657="клн"),O657*AE657*L657,0)</f>
        <v>0</v>
      </c>
      <c r="AO657" s="42">
        <f t="shared" ref="AO657" si="1466">(IF((AND(OR(K657=1,K657=2,K657=3,K657=4,K657=5,K657=6,K657=7,K657=8,K657=9,K657=10,K657=11,K657=12),OR(Q657="Зач",Q657="Экз"))),ТКиРА*AA657,0)+IF(SUM(N657:P657)&lt;&gt;0,IF(Q657="ТК",ТКиРА*AA657,0),0))*(IF(F657="ФТД",0,1))</f>
        <v>0</v>
      </c>
      <c r="AP657" s="42">
        <f t="shared" ref="AP657" si="1467">IF(SUM(O657:P657)&lt;&gt;0,IF(Q657="Зач",ПАБРС*AA657,0),0)+IF(N657&lt;&gt;0,IF(Q657="Экз",ПАБРС*AA657,0),0)</f>
        <v>0</v>
      </c>
      <c r="AQ657" s="42">
        <f t="shared" ref="AQ657" si="1468">(IF(AP657&lt;&gt;0,ОфВед*(IF(OR(M657="лек",M657="лаб"),Z657,AE657)),0))*(IF(F657="ФТД",0,1))</f>
        <v>0</v>
      </c>
      <c r="AR657" s="42">
        <f t="shared" si="1404"/>
        <v>0</v>
      </c>
      <c r="AS657" s="42">
        <f t="shared" ref="AS657" si="1469">IF(OR(M657="лаб",M657="пр"),IF(R657="К",AA657*ВПКР,IF(R657="М",AA657*ВПИБ,0)),0)</f>
        <v>0</v>
      </c>
      <c r="AT657" s="42">
        <f t="shared" ref="AT657" si="1470">IF(OR(M657="лаб",M657="пр"),IF(S657="К",AA657*ВПКП,0),0)</f>
        <v>0</v>
      </c>
      <c r="AU657" s="42">
        <f t="shared" ref="AU657" si="1471">IF(M657="УП",T657/1.5*AA657*РУП,IF(M657="УПМ",T657/1.5*AA657*РУПЛеч,0))</f>
        <v>0</v>
      </c>
      <c r="AV657" s="42">
        <f>IF(M657="ПП",РПП*AA657*(U657/1.5),IF(M657="ВП",ВПр*AA657*(U657/1.5),IF(M657="РПА",РПА*AA657*(U657/1.5),IF(M657="КПА",КПА*AA657*(U657/1.5),0))))</f>
        <v>0</v>
      </c>
      <c r="AW657" s="42">
        <f t="shared" ref="AW657" si="1472">IF(M657="НР",(AB657*НИРМ+AC657*НИРМИн)*(V657/1.5),IF(M657="НИ",(AB657*НИРА+AC657*НИРАИ)*(V657/1.5),0))</f>
        <v>0</v>
      </c>
      <c r="AX657" s="42">
        <f t="shared" si="1405"/>
        <v>0</v>
      </c>
      <c r="AY657" s="42">
        <f t="shared" si="1406"/>
        <v>0</v>
      </c>
      <c r="AZ657" s="42">
        <f t="shared" ref="AZ657" si="1473">IF(AND(Q657="КЭ",M657="ЧК"),AA657*КдЭк,0)</f>
        <v>0</v>
      </c>
      <c r="BA657" s="42">
        <f t="shared" si="1407"/>
        <v>0</v>
      </c>
      <c r="BB657" s="42">
        <f t="shared" si="1408"/>
        <v>0</v>
      </c>
      <c r="BC657" s="42">
        <f t="shared" si="1409"/>
        <v>0</v>
      </c>
      <c r="BD657" s="42">
        <f t="shared" ref="BD657" si="1474">IF(M657="ЧГ",AA657*ЧГ,IF(M657="ПГ",AA657*ПГ,IF(M657="ТЕСТ",ТГИЭ*AE657,IF(M657="СГ",AA657*СГ,0))))</f>
        <v>0</v>
      </c>
      <c r="BE657" s="43">
        <f t="shared" ref="BE657" si="1475">SUM(AL657:BD657)</f>
        <v>0</v>
      </c>
      <c r="BF657" s="44"/>
      <c r="BG657" s="45">
        <f t="shared" ref="BG657" si="1476">IF(OR(K657="1;1",K657="1;2",K657=1,K657="3;1",K657="3;2",K657=3,K657="5;1",K657="5;2",K657=5,K657="7;1",K657="7;2",K657=7,K657="9;1",K657="9;2",K657=9,K657=11),SUM(AL657:AN657),0)</f>
        <v>0</v>
      </c>
      <c r="BH657" s="45">
        <f t="shared" ref="BH657" si="1477">IF(BG657&lt;&gt;0,SUM(N657:P657)/2,0)</f>
        <v>0</v>
      </c>
      <c r="BI657" s="45">
        <f t="shared" ref="BI657" si="1478">IF(OR(K657="1;1",K657="1;2",K657=1,K657="3;1",K657="3;2",K657=3,K657="5;1",K657="5;2",K657=5,K657="7;1",K657="7;2",K657=7,K657="9;1",K657="9;2",K657=9,K657=11),SUM(AO657:BD657),0)</f>
        <v>0</v>
      </c>
      <c r="BJ657" s="46">
        <f t="shared" ref="BJ657" si="1479">IF(OR(K657="2;3",K657="2;4",K657=2,K657="4;3",K657="4;4",K657=4,K657="6;3",K657="6;4",K657=6,K657="8;3",K657="8;4",K657=8,K657="10;3",K657="10;4",K657=10,K657=12),SUM(AL657:AN657),0)</f>
        <v>0</v>
      </c>
      <c r="BK657" s="46">
        <f t="shared" ref="BK657" si="1480">IF(BJ657&lt;&gt;0,SUM(N657:P657)/2,0)</f>
        <v>0</v>
      </c>
      <c r="BL657" s="46">
        <f t="shared" ref="BL657" si="1481">IF(OR(K657="2;3",K657="2;4",K657=2,K657="4;3",K657="4;4",K657=4,K657="6;3",K657="6;4",K657=6,K657="8;3",K657="8;4",K657=8,K657="10;3",K657="10;4",K657=10,K657=12),SUM(AO657:BD657),0)</f>
        <v>0</v>
      </c>
    </row>
    <row r="658" spans="1:65" ht="30" customHeight="1" x14ac:dyDescent="0.25">
      <c r="A658" s="84" t="str">
        <f t="shared" si="1400"/>
        <v>Д</v>
      </c>
      <c r="B658" s="84" t="str">
        <f t="shared" si="1376"/>
        <v>А</v>
      </c>
      <c r="C658" s="41" t="s">
        <v>2931</v>
      </c>
      <c r="D658" s="16" t="str">
        <f t="shared" si="1377"/>
        <v>'2.3.1.</v>
      </c>
      <c r="E658" s="17" t="str">
        <f t="shared" si="1378"/>
        <v>Системный анализ, управление и обработка информации, статистика</v>
      </c>
      <c r="F658" s="9"/>
      <c r="G658" s="9"/>
      <c r="H658" s="10"/>
      <c r="I658" s="10"/>
      <c r="J658" s="115" t="s">
        <v>3360</v>
      </c>
      <c r="K658" s="13">
        <v>6</v>
      </c>
      <c r="L658" s="11"/>
      <c r="M658" s="113" t="s">
        <v>510</v>
      </c>
      <c r="N658" s="13"/>
      <c r="O658" s="13"/>
      <c r="P658" s="13"/>
      <c r="Q658" s="8" t="s">
        <v>99</v>
      </c>
      <c r="R658" s="11"/>
      <c r="S658" s="11"/>
      <c r="T658" s="23"/>
      <c r="U658" s="11">
        <v>17</v>
      </c>
      <c r="V658" s="11"/>
      <c r="W658" s="83" t="str">
        <f t="shared" si="1401"/>
        <v>НСАад</v>
      </c>
      <c r="X658" s="110" t="s">
        <v>3246</v>
      </c>
      <c r="Y658" s="11">
        <v>1</v>
      </c>
      <c r="Z658" s="11">
        <v>1</v>
      </c>
      <c r="AA658" s="83">
        <f t="shared" si="1379"/>
        <v>3</v>
      </c>
      <c r="AB658" s="11">
        <v>3</v>
      </c>
      <c r="AC658" s="11"/>
      <c r="AD658" s="81">
        <f t="shared" si="1402"/>
        <v>1</v>
      </c>
      <c r="AE658" s="82">
        <f t="shared" si="1380"/>
        <v>1</v>
      </c>
      <c r="AF658" s="82">
        <f t="shared" si="1381"/>
        <v>3</v>
      </c>
      <c r="AG658" s="102"/>
      <c r="AH658" s="113" t="s">
        <v>205</v>
      </c>
      <c r="AI658" s="8" t="s">
        <v>212</v>
      </c>
      <c r="AJ658" s="119" t="s">
        <v>3295</v>
      </c>
      <c r="AK658" s="8"/>
      <c r="AL658" s="42">
        <f t="shared" si="1403"/>
        <v>0</v>
      </c>
      <c r="AM658" s="42">
        <f t="shared" si="1382"/>
        <v>0</v>
      </c>
      <c r="AN658" s="42">
        <f t="shared" si="1383"/>
        <v>0</v>
      </c>
      <c r="AO658" s="42">
        <f t="shared" si="1384"/>
        <v>0</v>
      </c>
      <c r="AP658" s="42">
        <f t="shared" si="1385"/>
        <v>0</v>
      </c>
      <c r="AQ658" s="42">
        <f t="shared" si="1386"/>
        <v>0</v>
      </c>
      <c r="AR658" s="42">
        <f t="shared" si="1404"/>
        <v>0</v>
      </c>
      <c r="AS658" s="42">
        <f t="shared" si="1387"/>
        <v>0</v>
      </c>
      <c r="AT658" s="42">
        <f t="shared" si="1388"/>
        <v>0</v>
      </c>
      <c r="AU658" s="42">
        <f t="shared" si="1389"/>
        <v>0</v>
      </c>
      <c r="AV658" s="42">
        <f>IF(M658="ПП",РПП*AA658*(U658/1.5),IF(M658="ВП",ВПр*AA658*(U658/1.5),IF(M658="РПА",РПА*AA658*(U658/1.5),IF(M658="КПА",КПА*AA658*(U658/1.5),0))))</f>
        <v>0</v>
      </c>
      <c r="AW658" s="42">
        <f t="shared" si="1390"/>
        <v>0</v>
      </c>
      <c r="AX658" s="42">
        <f t="shared" si="1405"/>
        <v>0</v>
      </c>
      <c r="AY658" s="42">
        <f t="shared" si="1406"/>
        <v>0</v>
      </c>
      <c r="AZ658" s="42">
        <f t="shared" si="1391"/>
        <v>0</v>
      </c>
      <c r="BA658" s="42">
        <f t="shared" si="1407"/>
        <v>0</v>
      </c>
      <c r="BB658" s="42">
        <f t="shared" si="1408"/>
        <v>0</v>
      </c>
      <c r="BC658" s="42">
        <f t="shared" si="1409"/>
        <v>0</v>
      </c>
      <c r="BD658" s="42">
        <f t="shared" si="1392"/>
        <v>0</v>
      </c>
      <c r="BE658" s="43">
        <f t="shared" si="1393"/>
        <v>0</v>
      </c>
      <c r="BF658" s="44"/>
      <c r="BG658" s="45">
        <f t="shared" si="1394"/>
        <v>0</v>
      </c>
      <c r="BH658" s="45">
        <f t="shared" si="1395"/>
        <v>0</v>
      </c>
      <c r="BI658" s="45">
        <f t="shared" si="1396"/>
        <v>0</v>
      </c>
      <c r="BJ658" s="46">
        <f t="shared" si="1397"/>
        <v>0</v>
      </c>
      <c r="BK658" s="46">
        <f t="shared" si="1398"/>
        <v>0</v>
      </c>
      <c r="BL658" s="46">
        <f t="shared" si="1399"/>
        <v>0</v>
      </c>
    </row>
    <row r="659" spans="1:65" ht="30" customHeight="1" x14ac:dyDescent="0.25">
      <c r="A659" s="84" t="str">
        <f t="shared" si="1400"/>
        <v>Д</v>
      </c>
      <c r="B659" s="84" t="str">
        <f t="shared" si="1376"/>
        <v>А</v>
      </c>
      <c r="C659" s="41" t="s">
        <v>2931</v>
      </c>
      <c r="D659" s="16" t="str">
        <f t="shared" si="1377"/>
        <v>'2.3.1.</v>
      </c>
      <c r="E659" s="17" t="str">
        <f t="shared" si="1378"/>
        <v>Системный анализ, управление и обработка информации, статистика</v>
      </c>
      <c r="F659" s="9"/>
      <c r="G659" s="9"/>
      <c r="H659" s="10"/>
      <c r="I659" s="10"/>
      <c r="J659" s="115" t="s">
        <v>3362</v>
      </c>
      <c r="K659" s="11">
        <v>6</v>
      </c>
      <c r="L659" s="11"/>
      <c r="M659" s="113" t="s">
        <v>96</v>
      </c>
      <c r="N659" s="11"/>
      <c r="O659" s="11"/>
      <c r="P659" s="11"/>
      <c r="Q659" s="8"/>
      <c r="R659" s="11"/>
      <c r="S659" s="11"/>
      <c r="T659" s="23"/>
      <c r="U659" s="11"/>
      <c r="V659" s="11"/>
      <c r="W659" s="83" t="str">
        <f t="shared" si="1401"/>
        <v>НСАад</v>
      </c>
      <c r="X659" s="110" t="s">
        <v>3246</v>
      </c>
      <c r="Y659" s="11">
        <v>1</v>
      </c>
      <c r="Z659" s="11">
        <v>1</v>
      </c>
      <c r="AA659" s="83">
        <f t="shared" si="1379"/>
        <v>3</v>
      </c>
      <c r="AB659" s="11">
        <v>3</v>
      </c>
      <c r="AC659" s="11"/>
      <c r="AD659" s="81">
        <f t="shared" si="1402"/>
        <v>1</v>
      </c>
      <c r="AE659" s="82">
        <f t="shared" si="1380"/>
        <v>1</v>
      </c>
      <c r="AF659" s="82">
        <f t="shared" si="1381"/>
        <v>3</v>
      </c>
      <c r="AG659" s="102"/>
      <c r="AH659" s="113" t="s">
        <v>205</v>
      </c>
      <c r="AI659" s="8" t="s">
        <v>212</v>
      </c>
      <c r="AJ659" s="119" t="s">
        <v>3295</v>
      </c>
      <c r="AK659" s="8"/>
      <c r="AL659" s="42">
        <f t="shared" si="1403"/>
        <v>0</v>
      </c>
      <c r="AM659" s="42">
        <f t="shared" si="1382"/>
        <v>0</v>
      </c>
      <c r="AN659" s="42">
        <f t="shared" si="1383"/>
        <v>0</v>
      </c>
      <c r="AO659" s="42">
        <f t="shared" si="1384"/>
        <v>0</v>
      </c>
      <c r="AP659" s="42">
        <f t="shared" si="1385"/>
        <v>0</v>
      </c>
      <c r="AQ659" s="42">
        <f t="shared" si="1386"/>
        <v>0</v>
      </c>
      <c r="AR659" s="42">
        <f t="shared" si="1404"/>
        <v>0</v>
      </c>
      <c r="AS659" s="42">
        <f t="shared" si="1387"/>
        <v>0</v>
      </c>
      <c r="AT659" s="42">
        <f t="shared" si="1388"/>
        <v>0</v>
      </c>
      <c r="AU659" s="42">
        <f t="shared" si="1389"/>
        <v>0</v>
      </c>
      <c r="AV659" s="42">
        <f>IF(M659="ПП",РПП*AA659*(U659/1.5),IF(M659="ВП",ВПр*AA659*(U659/1.5),IF(M659="РПА",РПА*AA659*(U659/1.5),IF(M659="КПА",КПА*AA659*(U659/1.5),0))))</f>
        <v>0</v>
      </c>
      <c r="AW659" s="42">
        <f t="shared" si="1390"/>
        <v>0</v>
      </c>
      <c r="AX659" s="42">
        <f t="shared" si="1405"/>
        <v>0</v>
      </c>
      <c r="AY659" s="42">
        <f t="shared" si="1406"/>
        <v>0</v>
      </c>
      <c r="AZ659" s="42">
        <f t="shared" si="1391"/>
        <v>0</v>
      </c>
      <c r="BA659" s="42">
        <f t="shared" si="1407"/>
        <v>0</v>
      </c>
      <c r="BB659" s="42">
        <f t="shared" si="1408"/>
        <v>90</v>
      </c>
      <c r="BC659" s="42">
        <f t="shared" si="1409"/>
        <v>0</v>
      </c>
      <c r="BD659" s="42">
        <f t="shared" si="1392"/>
        <v>0</v>
      </c>
      <c r="BE659" s="43">
        <f t="shared" si="1393"/>
        <v>90</v>
      </c>
      <c r="BF659" s="44"/>
      <c r="BG659" s="45">
        <f t="shared" si="1394"/>
        <v>0</v>
      </c>
      <c r="BH659" s="45">
        <f t="shared" si="1395"/>
        <v>0</v>
      </c>
      <c r="BI659" s="45">
        <f t="shared" si="1396"/>
        <v>0</v>
      </c>
      <c r="BJ659" s="46">
        <f t="shared" si="1397"/>
        <v>0</v>
      </c>
      <c r="BK659" s="46">
        <f t="shared" si="1398"/>
        <v>0</v>
      </c>
      <c r="BL659" s="46">
        <f t="shared" si="1399"/>
        <v>90</v>
      </c>
    </row>
    <row r="660" spans="1:65" ht="30" customHeight="1" x14ac:dyDescent="0.25">
      <c r="A660" s="84" t="str">
        <f t="shared" si="1400"/>
        <v>Д</v>
      </c>
      <c r="B660" s="84" t="str">
        <f t="shared" si="1376"/>
        <v>А</v>
      </c>
      <c r="C660" s="41" t="s">
        <v>2931</v>
      </c>
      <c r="D660" s="16" t="str">
        <f t="shared" si="1377"/>
        <v>'2.3.1.</v>
      </c>
      <c r="E660" s="17" t="str">
        <f t="shared" si="1378"/>
        <v>Системный анализ, управление и обработка информации, статистика</v>
      </c>
      <c r="F660" s="9"/>
      <c r="G660" s="9"/>
      <c r="H660" s="10"/>
      <c r="I660" s="10"/>
      <c r="J660" s="115" t="s">
        <v>3363</v>
      </c>
      <c r="K660" s="11">
        <v>6</v>
      </c>
      <c r="L660" s="11"/>
      <c r="M660" s="113" t="s">
        <v>27</v>
      </c>
      <c r="N660" s="11"/>
      <c r="O660" s="11"/>
      <c r="P660" s="11"/>
      <c r="Q660" s="8"/>
      <c r="R660" s="11"/>
      <c r="S660" s="11"/>
      <c r="T660" s="23"/>
      <c r="U660" s="11"/>
      <c r="V660" s="11"/>
      <c r="W660" s="83" t="str">
        <f t="shared" si="1401"/>
        <v>НСАад</v>
      </c>
      <c r="X660" s="110" t="s">
        <v>3246</v>
      </c>
      <c r="Y660" s="11">
        <v>1</v>
      </c>
      <c r="Z660" s="11">
        <v>1</v>
      </c>
      <c r="AA660" s="83">
        <f t="shared" si="1379"/>
        <v>3</v>
      </c>
      <c r="AB660" s="11">
        <v>3</v>
      </c>
      <c r="AC660" s="11"/>
      <c r="AD660" s="81">
        <f t="shared" si="1402"/>
        <v>1</v>
      </c>
      <c r="AE660" s="82">
        <f t="shared" si="1380"/>
        <v>1</v>
      </c>
      <c r="AF660" s="82">
        <f t="shared" si="1381"/>
        <v>3</v>
      </c>
      <c r="AG660" s="102"/>
      <c r="AH660" s="113" t="s">
        <v>205</v>
      </c>
      <c r="AI660" s="8" t="s">
        <v>212</v>
      </c>
      <c r="AJ660" s="119" t="s">
        <v>3295</v>
      </c>
      <c r="AK660" s="8"/>
      <c r="AL660" s="42">
        <f t="shared" si="1403"/>
        <v>0</v>
      </c>
      <c r="AM660" s="42">
        <f t="shared" si="1382"/>
        <v>0</v>
      </c>
      <c r="AN660" s="42">
        <f t="shared" si="1383"/>
        <v>0</v>
      </c>
      <c r="AO660" s="42">
        <f t="shared" si="1384"/>
        <v>0</v>
      </c>
      <c r="AP660" s="42">
        <f t="shared" si="1385"/>
        <v>0</v>
      </c>
      <c r="AQ660" s="42">
        <f t="shared" si="1386"/>
        <v>0</v>
      </c>
      <c r="AR660" s="42">
        <f t="shared" si="1404"/>
        <v>0</v>
      </c>
      <c r="AS660" s="42">
        <f t="shared" si="1387"/>
        <v>0</v>
      </c>
      <c r="AT660" s="42">
        <f t="shared" si="1388"/>
        <v>0</v>
      </c>
      <c r="AU660" s="42">
        <f t="shared" si="1389"/>
        <v>0</v>
      </c>
      <c r="AV660" s="42">
        <f>IF(M660="ПП",РПП*AA660*(U660/1.5),IF(M660="ВП",ВПр*AA660*(U660/1.5),IF(M660="РПА",РПА*AA660*(U660/1.5),IF(M660="КПА",КПА*AA660*(U660/1.5),0))))</f>
        <v>0</v>
      </c>
      <c r="AW660" s="42">
        <f t="shared" si="1390"/>
        <v>0</v>
      </c>
      <c r="AX660" s="42">
        <f t="shared" si="1405"/>
        <v>0</v>
      </c>
      <c r="AY660" s="42">
        <f t="shared" si="1406"/>
        <v>0</v>
      </c>
      <c r="AZ660" s="42">
        <f t="shared" si="1391"/>
        <v>0</v>
      </c>
      <c r="BA660" s="42">
        <f t="shared" si="1407"/>
        <v>0</v>
      </c>
      <c r="BB660" s="42">
        <f t="shared" si="1408"/>
        <v>0</v>
      </c>
      <c r="BC660" s="42">
        <f t="shared" si="1409"/>
        <v>18</v>
      </c>
      <c r="BD660" s="42">
        <f t="shared" si="1392"/>
        <v>0</v>
      </c>
      <c r="BE660" s="43">
        <f t="shared" si="1393"/>
        <v>18</v>
      </c>
      <c r="BF660" s="44"/>
      <c r="BG660" s="45">
        <f t="shared" si="1394"/>
        <v>0</v>
      </c>
      <c r="BH660" s="45">
        <f t="shared" si="1395"/>
        <v>0</v>
      </c>
      <c r="BI660" s="45">
        <f t="shared" si="1396"/>
        <v>0</v>
      </c>
      <c r="BJ660" s="46">
        <f t="shared" si="1397"/>
        <v>0</v>
      </c>
      <c r="BK660" s="46">
        <f t="shared" si="1398"/>
        <v>0</v>
      </c>
      <c r="BL660" s="46">
        <f t="shared" si="1399"/>
        <v>18</v>
      </c>
    </row>
    <row r="661" spans="1:65" ht="30" customHeight="1" x14ac:dyDescent="0.25">
      <c r="A661" s="84" t="str">
        <f t="shared" si="1400"/>
        <v>Д</v>
      </c>
      <c r="B661" s="84" t="str">
        <f t="shared" ref="B661" si="1482">IF(C661&gt;0, VLOOKUP(C661,Код_ООП,11,FALSE),0)</f>
        <v>А</v>
      </c>
      <c r="C661" s="41" t="s">
        <v>2931</v>
      </c>
      <c r="D661" s="16" t="str">
        <f t="shared" ref="D661" si="1483">IF(C661&gt;0, VLOOKUP(C661,Код_ООП,2,FALSE),0)</f>
        <v>'2.3.1.</v>
      </c>
      <c r="E661" s="17" t="str">
        <f t="shared" ref="E661" si="1484">IF(C661&gt;0, VLOOKUP(C661,Код_ООП,13,FALSE),0)</f>
        <v>Системный анализ, управление и обработка информации, статистика</v>
      </c>
      <c r="F661" s="9"/>
      <c r="G661" s="9"/>
      <c r="H661" s="10"/>
      <c r="I661" s="10"/>
      <c r="J661" s="24" t="s">
        <v>3359</v>
      </c>
      <c r="K661" s="11">
        <v>2</v>
      </c>
      <c r="L661" s="11">
        <v>1</v>
      </c>
      <c r="M661" s="113" t="s">
        <v>23</v>
      </c>
      <c r="N661" s="11">
        <v>22</v>
      </c>
      <c r="O661" s="11"/>
      <c r="P661" s="11"/>
      <c r="Q661" s="8"/>
      <c r="R661" s="11"/>
      <c r="S661" s="11"/>
      <c r="T661" s="23"/>
      <c r="U661" s="11"/>
      <c r="V661" s="11"/>
      <c r="W661" s="83" t="str">
        <f t="shared" si="1401"/>
        <v>НСАад</v>
      </c>
      <c r="X661" s="110" t="s">
        <v>3246</v>
      </c>
      <c r="Y661" s="11">
        <v>1</v>
      </c>
      <c r="Z661" s="11">
        <v>1</v>
      </c>
      <c r="AA661" s="83">
        <f t="shared" ref="AA661" si="1485">AB661+AC661</f>
        <v>5</v>
      </c>
      <c r="AB661" s="11">
        <v>5</v>
      </c>
      <c r="AC661" s="11"/>
      <c r="AD661" s="81">
        <f t="shared" si="1402"/>
        <v>5</v>
      </c>
      <c r="AE661" s="82">
        <f t="shared" ref="AE661" si="1486">IF(AF661&gt;1,1,AF661)</f>
        <v>1</v>
      </c>
      <c r="AF661" s="82">
        <f t="shared" ref="AF661" si="1487">AA661/AD661</f>
        <v>1</v>
      </c>
      <c r="AG661" s="102"/>
      <c r="AH661" s="113" t="s">
        <v>205</v>
      </c>
      <c r="AI661" s="113" t="s">
        <v>212</v>
      </c>
      <c r="AJ661" s="119" t="s">
        <v>3295</v>
      </c>
      <c r="AK661" s="8"/>
      <c r="AL661" s="42">
        <f t="shared" si="1403"/>
        <v>22</v>
      </c>
      <c r="AM661" s="42">
        <f t="shared" ref="AM661" si="1488">IF(OR(M661="пр",M661="ия",M661="сп"),P661*AE661*L661,0)</f>
        <v>0</v>
      </c>
      <c r="AN661" s="42">
        <f t="shared" ref="AN661" si="1489">IF(OR(M661="лаб",M661="клн"),O661*AE661*L661,0)</f>
        <v>0</v>
      </c>
      <c r="AO661" s="42">
        <f t="shared" ref="AO661" si="1490">(IF((AND(OR(K661=1,K661=2,K661=3,K661=4,K661=5,K661=6,K661=7,K661=8,K661=9,K661=10,K661=11,K661=12),OR(Q661="Зач",Q661="Экз"))),ТКиРА*AA661,0)+IF(SUM(N661:P661)&lt;&gt;0,IF(Q661="ТК",ТКиРА*AA661,0),0))*(IF(F661="ФТД",0,1))</f>
        <v>0</v>
      </c>
      <c r="AP661" s="42">
        <f t="shared" ref="AP661" si="1491">IF(SUM(O661:P661)&lt;&gt;0,IF(Q661="Зач",ПАБРС*AA661,0),0)+IF(N661&lt;&gt;0,IF(Q661="Экз",ПАБРС*AA661,0),0)</f>
        <v>0</v>
      </c>
      <c r="AQ661" s="42">
        <f t="shared" ref="AQ661" si="1492">(IF(AP661&lt;&gt;0,ОфВед*(IF(OR(M661="лек",M661="лаб"),Z661,AE661)),0))*(IF(F661="ФТД",0,1))</f>
        <v>0</v>
      </c>
      <c r="AR661" s="42">
        <f t="shared" si="1404"/>
        <v>1.1000000000000001</v>
      </c>
      <c r="AS661" s="42">
        <f t="shared" ref="AS661" si="1493">IF(OR(M661="лаб",M661="пр"),IF(R661="К",AA661*ВПКР,IF(R661="М",AA661*ВПИБ,0)),0)</f>
        <v>0</v>
      </c>
      <c r="AT661" s="42">
        <f t="shared" ref="AT661" si="1494">IF(OR(M661="лаб",M661="пр"),IF(S661="К",AA661*ВПКП,0),0)</f>
        <v>0</v>
      </c>
      <c r="AU661" s="42">
        <f t="shared" ref="AU661" si="1495">IF(M661="УП",T661/1.5*AA661*РУП,IF(M661="УПМ",T661/1.5*AA661*РУПЛеч,0))</f>
        <v>0</v>
      </c>
      <c r="AV661" s="42">
        <f>IF(M661="ПП",РПП*AA661*(U661/1.5),IF(M661="ВП",ВПр*AA661*(U661/1.5),IF(M661="РПА",РПА*AA661*(U661/1.5),IF(M661="КПА",КПА*AA661*(U661/1.5),0))))</f>
        <v>0</v>
      </c>
      <c r="AW661" s="42">
        <f t="shared" ref="AW661" si="1496">IF(M661="НР",(AB661*НИРМ+AC661*НИРМИн)*(V661/1.5),IF(M661="НИ",(AB661*НИРА+AC661*НИРАИ)*(V661/1.5),0))</f>
        <v>0</v>
      </c>
      <c r="AX661" s="42">
        <f t="shared" si="1405"/>
        <v>0</v>
      </c>
      <c r="AY661" s="42">
        <f t="shared" si="1406"/>
        <v>0</v>
      </c>
      <c r="AZ661" s="42">
        <f t="shared" ref="AZ661" si="1497">IF(AND(Q661="КЭ",M661="ЧК"),AA661*КдЭк,0)</f>
        <v>0</v>
      </c>
      <c r="BA661" s="42">
        <f t="shared" si="1407"/>
        <v>0</v>
      </c>
      <c r="BB661" s="42">
        <f t="shared" si="1408"/>
        <v>0</v>
      </c>
      <c r="BC661" s="42">
        <f t="shared" si="1409"/>
        <v>0</v>
      </c>
      <c r="BD661" s="42">
        <f t="shared" ref="BD661" si="1498">IF(M661="ЧГ",AA661*ЧГ,IF(M661="ПГ",AA661*ПГ,IF(M661="ТЕСТ",ТГИЭ*AE661,IF(M661="СГ",AA661*СГ,0))))</f>
        <v>0</v>
      </c>
      <c r="BE661" s="43">
        <f t="shared" ref="BE661" si="1499">SUM(AL661:BD661)</f>
        <v>23.1</v>
      </c>
      <c r="BF661" s="44"/>
      <c r="BG661" s="45">
        <f t="shared" ref="BG661" si="1500">IF(OR(K661="1;1",K661="1;2",K661=1,K661="3;1",K661="3;2",K661=3,K661="5;1",K661="5;2",K661=5,K661="7;1",K661="7;2",K661=7,K661="9;1",K661="9;2",K661=9,K661=11),SUM(AL661:AN661),0)</f>
        <v>0</v>
      </c>
      <c r="BH661" s="45">
        <f t="shared" ref="BH661" si="1501">IF(BG661&lt;&gt;0,SUM(N661:P661)/2,0)</f>
        <v>0</v>
      </c>
      <c r="BI661" s="45">
        <f t="shared" ref="BI661" si="1502">IF(OR(K661="1;1",K661="1;2",K661=1,K661="3;1",K661="3;2",K661=3,K661="5;1",K661="5;2",K661=5,K661="7;1",K661="7;2",K661=7,K661="9;1",K661="9;2",K661=9,K661=11),SUM(AO661:BD661),0)</f>
        <v>0</v>
      </c>
      <c r="BJ661" s="46">
        <f t="shared" ref="BJ661" si="1503">IF(OR(K661="2;3",K661="2;4",K661=2,K661="4;3",K661="4;4",K661=4,K661="6;3",K661="6;4",K661=6,K661="8;3",K661="8;4",K661=8,K661="10;3",K661="10;4",K661=10,K661=12),SUM(AL661:AN661),0)</f>
        <v>22</v>
      </c>
      <c r="BK661" s="46">
        <f t="shared" ref="BK661" si="1504">IF(BJ661&lt;&gt;0,SUM(N661:P661)/2,0)</f>
        <v>11</v>
      </c>
      <c r="BL661" s="46">
        <f t="shared" ref="BL661" si="1505">IF(OR(K661="2;3",K661="2;4",K661=2,K661="4;3",K661="4;4",K661=4,K661="6;3",K661="6;4",K661=6,K661="8;3",K661="8;4",K661=8,K661="10;3",K661="10;4",K661=10,K661=12),SUM(AO661:BD661),0)</f>
        <v>1.1000000000000001</v>
      </c>
    </row>
    <row r="662" spans="1:65" ht="30" customHeight="1" x14ac:dyDescent="0.25">
      <c r="A662" s="84" t="str">
        <f t="shared" si="1400"/>
        <v>Д</v>
      </c>
      <c r="B662" s="84" t="str">
        <f t="shared" si="1376"/>
        <v>А</v>
      </c>
      <c r="C662" s="41" t="s">
        <v>2931</v>
      </c>
      <c r="D662" s="16" t="str">
        <f t="shared" si="1377"/>
        <v>'2.3.1.</v>
      </c>
      <c r="E662" s="17" t="str">
        <f t="shared" si="1378"/>
        <v>Системный анализ, управление и обработка информации, статистика</v>
      </c>
      <c r="F662" s="9"/>
      <c r="G662" s="9"/>
      <c r="H662" s="10"/>
      <c r="I662" s="10"/>
      <c r="J662" s="24" t="s">
        <v>3359</v>
      </c>
      <c r="K662" s="11">
        <v>2</v>
      </c>
      <c r="L662" s="11">
        <v>1</v>
      </c>
      <c r="M662" s="113" t="s">
        <v>24</v>
      </c>
      <c r="N662" s="11"/>
      <c r="O662" s="11"/>
      <c r="P662" s="11">
        <v>14</v>
      </c>
      <c r="Q662" s="8"/>
      <c r="R662" s="11"/>
      <c r="S662" s="11"/>
      <c r="T662" s="23"/>
      <c r="U662" s="11"/>
      <c r="V662" s="11"/>
      <c r="W662" s="83" t="str">
        <f t="shared" si="1401"/>
        <v>НСАад</v>
      </c>
      <c r="X662" s="110" t="s">
        <v>3246</v>
      </c>
      <c r="Y662" s="11">
        <v>1</v>
      </c>
      <c r="Z662" s="11">
        <v>1</v>
      </c>
      <c r="AA662" s="83">
        <f t="shared" si="1379"/>
        <v>5</v>
      </c>
      <c r="AB662" s="11">
        <v>5</v>
      </c>
      <c r="AC662" s="11"/>
      <c r="AD662" s="81">
        <f t="shared" si="1402"/>
        <v>12</v>
      </c>
      <c r="AE662" s="82">
        <f t="shared" si="1380"/>
        <v>0.41666666666666669</v>
      </c>
      <c r="AF662" s="82">
        <f t="shared" si="1381"/>
        <v>0.41666666666666669</v>
      </c>
      <c r="AG662" s="102"/>
      <c r="AH662" s="113" t="s">
        <v>205</v>
      </c>
      <c r="AI662" s="113" t="s">
        <v>212</v>
      </c>
      <c r="AJ662" s="119" t="s">
        <v>3295</v>
      </c>
      <c r="AK662" s="8"/>
      <c r="AL662" s="42">
        <f t="shared" si="1403"/>
        <v>0</v>
      </c>
      <c r="AM662" s="42">
        <f t="shared" si="1382"/>
        <v>5.8333333333333339</v>
      </c>
      <c r="AN662" s="42">
        <f t="shared" si="1383"/>
        <v>0</v>
      </c>
      <c r="AO662" s="42">
        <f t="shared" si="1384"/>
        <v>0</v>
      </c>
      <c r="AP662" s="42">
        <f t="shared" si="1385"/>
        <v>0</v>
      </c>
      <c r="AQ662" s="42">
        <f t="shared" si="1386"/>
        <v>0</v>
      </c>
      <c r="AR662" s="42">
        <f t="shared" si="1404"/>
        <v>0</v>
      </c>
      <c r="AS662" s="42">
        <f t="shared" si="1387"/>
        <v>0</v>
      </c>
      <c r="AT662" s="42">
        <f t="shared" si="1388"/>
        <v>0</v>
      </c>
      <c r="AU662" s="42">
        <f t="shared" si="1389"/>
        <v>0</v>
      </c>
      <c r="AV662" s="42">
        <f>IF(M662="ПП",РПП*AA662*(U662/1.5),IF(M662="ВП",ВПр*AA662*(U662/1.5),IF(M662="РПА",РПА*AA662*(U662/1.5),IF(M662="КПА",КПА*AA662*(U662/1.5),0))))</f>
        <v>0</v>
      </c>
      <c r="AW662" s="42">
        <f t="shared" si="1390"/>
        <v>0</v>
      </c>
      <c r="AX662" s="42">
        <f t="shared" si="1405"/>
        <v>0</v>
      </c>
      <c r="AY662" s="42">
        <f t="shared" si="1406"/>
        <v>0</v>
      </c>
      <c r="AZ662" s="42">
        <f t="shared" si="1391"/>
        <v>0</v>
      </c>
      <c r="BA662" s="42">
        <f t="shared" si="1407"/>
        <v>0</v>
      </c>
      <c r="BB662" s="42">
        <f t="shared" si="1408"/>
        <v>0</v>
      </c>
      <c r="BC662" s="42">
        <f t="shared" si="1409"/>
        <v>0</v>
      </c>
      <c r="BD662" s="42">
        <f t="shared" si="1392"/>
        <v>0</v>
      </c>
      <c r="BE662" s="43">
        <f t="shared" si="1393"/>
        <v>5.8333333333333339</v>
      </c>
      <c r="BF662" s="44"/>
      <c r="BG662" s="45">
        <f t="shared" si="1394"/>
        <v>0</v>
      </c>
      <c r="BH662" s="45">
        <f t="shared" si="1395"/>
        <v>0</v>
      </c>
      <c r="BI662" s="45">
        <f t="shared" si="1396"/>
        <v>0</v>
      </c>
      <c r="BJ662" s="46">
        <f t="shared" si="1397"/>
        <v>5.8333333333333339</v>
      </c>
      <c r="BK662" s="46">
        <f t="shared" si="1398"/>
        <v>7</v>
      </c>
      <c r="BL662" s="46">
        <f t="shared" si="1399"/>
        <v>0</v>
      </c>
    </row>
    <row r="663" spans="1:65" ht="30" customHeight="1" thickBot="1" x14ac:dyDescent="0.3">
      <c r="A663" s="84">
        <f t="shared" si="1400"/>
        <v>0</v>
      </c>
      <c r="B663" s="84">
        <f t="shared" ref="B663" si="1506">IF(C663&gt;0, VLOOKUP(C663,Код_ООП,11,FALSE),0)</f>
        <v>0</v>
      </c>
      <c r="C663" s="101"/>
      <c r="D663" s="16">
        <f t="shared" ref="D663" si="1507">IF(C663&gt;0, VLOOKUP(C663,Код_ООП,2,FALSE),0)</f>
        <v>0</v>
      </c>
      <c r="E663" s="17">
        <f t="shared" ref="E663" si="1508">IF(C663&gt;0, VLOOKUP(C663,Код_ООП,13,FALSE),0)</f>
        <v>0</v>
      </c>
      <c r="F663" s="9"/>
      <c r="G663" s="9"/>
      <c r="H663" s="10"/>
      <c r="I663" s="10"/>
      <c r="J663" s="24"/>
      <c r="K663" s="11"/>
      <c r="L663" s="11"/>
      <c r="M663" s="8"/>
      <c r="N663" s="11"/>
      <c r="O663" s="11"/>
      <c r="P663" s="11"/>
      <c r="Q663" s="8"/>
      <c r="R663" s="11"/>
      <c r="S663" s="11"/>
      <c r="T663" s="23"/>
      <c r="U663" s="11"/>
      <c r="V663" s="11"/>
      <c r="W663" s="83" t="str">
        <f t="shared" si="1401"/>
        <v/>
      </c>
      <c r="X663" s="110"/>
      <c r="Y663" s="11"/>
      <c r="Z663" s="11"/>
      <c r="AA663" s="83">
        <f t="shared" ref="AA663" si="1509">AB663+AC663</f>
        <v>0</v>
      </c>
      <c r="AB663" s="11"/>
      <c r="AC663" s="11"/>
      <c r="AD663" s="81">
        <f t="shared" si="1402"/>
        <v>1</v>
      </c>
      <c r="AE663" s="82">
        <f t="shared" ref="AE663" si="1510">IF(AF663&gt;1,1,AF663)</f>
        <v>0</v>
      </c>
      <c r="AF663" s="82">
        <f t="shared" ref="AF663" si="1511">AA663/AD663</f>
        <v>0</v>
      </c>
      <c r="AG663" s="102"/>
      <c r="AH663" s="8"/>
      <c r="AI663" s="8"/>
      <c r="AJ663" s="35"/>
      <c r="AK663" s="8"/>
      <c r="AL663" s="42">
        <f t="shared" si="1403"/>
        <v>0</v>
      </c>
      <c r="AM663" s="42">
        <f t="shared" si="1242"/>
        <v>0</v>
      </c>
      <c r="AN663" s="42">
        <f t="shared" si="1243"/>
        <v>0</v>
      </c>
      <c r="AO663" s="42">
        <f t="shared" si="1238"/>
        <v>0</v>
      </c>
      <c r="AP663" s="42">
        <f t="shared" si="1244"/>
        <v>0</v>
      </c>
      <c r="AQ663" s="42">
        <f t="shared" si="1245"/>
        <v>0</v>
      </c>
      <c r="AR663" s="42">
        <f t="shared" si="1404"/>
        <v>0</v>
      </c>
      <c r="AS663" s="42">
        <f t="shared" si="1246"/>
        <v>0</v>
      </c>
      <c r="AT663" s="42">
        <f t="shared" si="1247"/>
        <v>0</v>
      </c>
      <c r="AU663" s="42">
        <f t="shared" si="1248"/>
        <v>0</v>
      </c>
      <c r="AV663" s="42">
        <f>IF(M663="ПП",РПП*AA663*(U663/1.5),IF(M663="ВП",ВПр*AA663*(U663/1.5),IF(M663="РПА",РПА*AA663*(U663/1.5),IF(M663="КПА",КПА*AA663*(U663/1.5),0))))</f>
        <v>0</v>
      </c>
      <c r="AW663" s="42">
        <f t="shared" si="1249"/>
        <v>0</v>
      </c>
      <c r="AX663" s="42">
        <f t="shared" si="1405"/>
        <v>0</v>
      </c>
      <c r="AY663" s="42">
        <f t="shared" si="1406"/>
        <v>0</v>
      </c>
      <c r="AZ663" s="42">
        <f t="shared" si="1250"/>
        <v>0</v>
      </c>
      <c r="BA663" s="42">
        <f t="shared" si="1407"/>
        <v>0</v>
      </c>
      <c r="BB663" s="42">
        <f t="shared" si="1408"/>
        <v>0</v>
      </c>
      <c r="BC663" s="42">
        <f t="shared" si="1409"/>
        <v>0</v>
      </c>
      <c r="BD663" s="42">
        <f t="shared" si="1251"/>
        <v>0</v>
      </c>
      <c r="BE663" s="43">
        <f t="shared" si="1252"/>
        <v>0</v>
      </c>
      <c r="BF663" s="44"/>
      <c r="BG663" s="45">
        <f t="shared" si="1253"/>
        <v>0</v>
      </c>
      <c r="BH663" s="45">
        <f t="shared" si="1254"/>
        <v>0</v>
      </c>
      <c r="BI663" s="45">
        <f t="shared" si="1255"/>
        <v>0</v>
      </c>
      <c r="BJ663" s="46">
        <f t="shared" si="1239"/>
        <v>0</v>
      </c>
      <c r="BK663" s="46">
        <f t="shared" si="1240"/>
        <v>0</v>
      </c>
      <c r="BL663" s="46">
        <f t="shared" si="1241"/>
        <v>0</v>
      </c>
    </row>
    <row r="664" spans="1:65" ht="26.25" customHeight="1" thickBot="1" x14ac:dyDescent="0.3">
      <c r="AI664" s="77" t="s">
        <v>3371</v>
      </c>
      <c r="AL664" s="47">
        <f t="shared" ref="AL664:BE664" si="1512">SUBTOTAL(9,AL6:AL663)</f>
        <v>2681</v>
      </c>
      <c r="AM664" s="48">
        <f t="shared" si="1512"/>
        <v>2628.8333333333335</v>
      </c>
      <c r="AN664" s="48">
        <f t="shared" si="1512"/>
        <v>7309.5</v>
      </c>
      <c r="AO664" s="48">
        <f t="shared" si="1512"/>
        <v>1353.9900000000005</v>
      </c>
      <c r="AP664" s="48">
        <f t="shared" si="1512"/>
        <v>2299</v>
      </c>
      <c r="AQ664" s="48">
        <f t="shared" si="1512"/>
        <v>236.16666666666666</v>
      </c>
      <c r="AR664" s="48">
        <f t="shared" si="1512"/>
        <v>237.55000000000041</v>
      </c>
      <c r="AS664" s="48">
        <f t="shared" si="1512"/>
        <v>0</v>
      </c>
      <c r="AT664" s="48">
        <f t="shared" si="1512"/>
        <v>0</v>
      </c>
      <c r="AU664" s="48">
        <f t="shared" si="1512"/>
        <v>351</v>
      </c>
      <c r="AV664" s="48">
        <f t="shared" si="1512"/>
        <v>1190</v>
      </c>
      <c r="AW664" s="48">
        <f t="shared" si="1512"/>
        <v>1194.3333333333335</v>
      </c>
      <c r="AX664" s="48">
        <f t="shared" si="1512"/>
        <v>0</v>
      </c>
      <c r="AY664" s="48">
        <f t="shared" si="1512"/>
        <v>10</v>
      </c>
      <c r="AZ664" s="48">
        <f t="shared" si="1512"/>
        <v>0</v>
      </c>
      <c r="BA664" s="48">
        <f t="shared" si="1512"/>
        <v>1800</v>
      </c>
      <c r="BB664" s="48">
        <f t="shared" si="1512"/>
        <v>3522</v>
      </c>
      <c r="BC664" s="48">
        <f t="shared" si="1512"/>
        <v>314</v>
      </c>
      <c r="BD664" s="48">
        <f t="shared" si="1512"/>
        <v>87.916666666666657</v>
      </c>
      <c r="BE664" s="49">
        <f t="shared" si="1512"/>
        <v>25215.290000000008</v>
      </c>
      <c r="BF664" s="50">
        <f>SUBTOTAL(9,BE6:BE663)-BE664</f>
        <v>0</v>
      </c>
      <c r="BG664" s="51">
        <f t="shared" ref="BG664:BL664" si="1513">SUBTOTAL(9,BG6:BG663)</f>
        <v>8418.5</v>
      </c>
      <c r="BH664" s="52">
        <f t="shared" si="1513"/>
        <v>313</v>
      </c>
      <c r="BI664" s="52">
        <f t="shared" si="1513"/>
        <v>4805.5616666666692</v>
      </c>
      <c r="BJ664" s="53">
        <f t="shared" si="1513"/>
        <v>4200.833333333333</v>
      </c>
      <c r="BK664" s="53">
        <f t="shared" si="1513"/>
        <v>149.5</v>
      </c>
      <c r="BL664" s="54">
        <f t="shared" si="1513"/>
        <v>7790.3949999999959</v>
      </c>
      <c r="BM664" s="80">
        <f>BF664-BG664-BI664-BJ664-BL664</f>
        <v>-25215.289999999997</v>
      </c>
    </row>
  </sheetData>
  <sheetProtection formatCells="0" formatColumns="0" formatRows="0" insertRows="0" deleteRows="0" autoFilter="0"/>
  <protectedRanges>
    <protectedRange password="CF7A" sqref="S623:S630 S449 S416:S418 S375:S377 S270:S271 S451 S453:S458 S437:S439 S388:S392 S536:S541 S528:S533 S517:S519 S514:S515 S499:S502 S491:S496 S483:S488 S475:S480 S467:S472 S441:S446 S429:S434 S421:S426 S410:S413 S395:S402 S380:S385 S367:S372 S346:S351 S611:S617 S645:S652 S322:S327 S222:S223 S264:S267 S544:S552 S192:S197 S157:S162 S225:S226 S130:S135 S72:S77 S22 S111:S127 S18:S20 S505:S511 S25:S36 S40:S47 S50:S69 S89 S80:S87 S108:S109 S92:S94 S96:S104 S149:S154 S230 S217:S220 S208:S214 S234:S237 S240:S245 S308:S310 S313:S319 S301:S305 S286:S295 S262 S274:S281 S165:S170 S173:S183 S200:S205 S339 S329:S337 S355:S364 S594:S600 S581:S588 S555:S578 S636:S639 S254:S260" name="Диапазон1_2_6"/>
    <protectedRange password="CF7A" sqref="R623:R630 R449 R416:R418 R375:R377 R270:R271 R451 R453:R458 R437:R439 R388:R392 R536:R541 R528:R533 R517:R519 R514:R515 R499:R502 R491:R496 R483:R488 R475:R480 R467:R472 R441:R446 R429:R434 R421:R426 R410:R413 R395:R402 R380:R385 R367:R372 R346:R351 R611:R617 R645:R652 R322:R327 R222:R223 R264:R267 R544:R552 R192:R197 R157:R162 R225:R226 R130:R135 R72:R77 R22 R111:R127 R18:R20 R505:R511 R25:R36 R40:R47 R50:R69 R89 R80:R87 R108:R109 R92:R94 R96:R104 R149:R154 R230 R217:R220 R208:R214 R234:R237 R240:R245 R308:R310 R313:R319 R301:R305 R286:R295 R262 R274:R281 R165:R170 R173:R183 R200:R205 R339 R329:R337 R355:R364 R594:R600 R581:R588 R555:R578 R636:R639 R254:R260" name="Диапазон1_7_6"/>
    <protectedRange password="CF7A" sqref="T355:W357 T451:V451 T453:V458 T508:V511 T507:W507 T536:V541 T528:V533 T517:V519 T514:V515 T505:V506 T499:V502 T491:V496 T483:V488 T475:V480 T467:V472 T441:V446 T429:V434 T421:V426 T410:V413 T395:V402 T380:V385 T367:V372 T346:V351 W318:W354 T322:V327 T313:V314 T286:V288 T274:V274 T264:V267 T234:V234 T208:V211 T192:V197 T157:V162 T130:V135 T111:V116 T72:V77 T40:V42 T22:V22 T18:V20 T52:V69 W6:W31 T25:V31 T34:V36 T32:W33 W34:W42 T45:V47 W45:W49 T43:W44 T50:W51 T80:W81 T89:V89 T82:V87 T108:V109 W52:W79 T92:V94 W82:W100 T96:V100 T102:V104 T101:W101 W102:W116 T151:V154 T166:V170 T200:V201 T149:W150 T230:V230 T217:V220 T240:V241 W151:W164 T213:V214 T212:W212 T236:V237 W236:W241 T235:W235 T243:V245 T242:W242 T308:V310 T318:V319 T315:W317 T301:V305 T449:V449 T416:V418 T375:V377 T291:V295 T289:W290 T262:V262 T277:V281 W277:W288 T275:W276 W291:W314 T165:W165 T173:V183 W166:W201 T203:V205 W203:W211 T202:W202 T339:V339 T329:V337 T117:W127 T388:V392 T544:V552 T651:W651 T225:V226 W508:W628 T594:V600 T581:V588 T645:V650 T636:V639 T623:V628 T611:V617 T652:V652 T254:V260 T222:V223 W213:W234 T270:V271 W243:W274 T358:V364 T630:V630 W630:W650 T629:W629 W652:W663 W128:W148 W358:W506 T437:V439 T555:V578" name="Диапазон1_8_6"/>
    <protectedRange password="CF7A" sqref="AB623:AC630 AB418:AC419 AB421:AC434 AB531:AC540 AB528:AC528 AB442:AC446 AB358:AC362 AB368:AC372 AB323:AC323 AB456:AC515 AC176 AB226:AC248 AB26:AC28 AB33:AC35 AB18:AC21 AB154:AC154 AB210:AC221 AB377:AC377 AB257:AC305 AC365:AC367 AB395:AC396 AB375:AB376 AB385:AC385 AB380:AC382 AB416:AB417 AB74:AC76 AB44:AC46 AB81:AC83 AB51:AC69 AB88:AC98 AB100:AC102 AB104:AC106 AB177:AC177 AB307:AC320 AB326:AC340 AB110:AC128 AB409:AC413 AB399:AC403 AC406:AC408 AB517:AC518 AB520:AC525 AB130:AC131 AB594:AC600 AB581:AC588 AB547:AC578 AB636:AC639 AB611:AC617 AB645:AC652" name="Диапазон1_7_3_2_2_6"/>
    <protectedRange password="CF7A" sqref="X546 X535:Z535 Y652:Z662 X558:Z580 X547:Z548 X493:X504 X469:X474 X456:Z456 X443:Z448 X440:Z440 X377:Z379 X369:Z374 X271 X330:X331 Y329:Z331 X272:Z273 Y544:Z544 X194:X199 X167:X172 X164:Z164 X73:Z76 X22:Z22 Y72:Z72 Y25:Z28 X530:X534 X108:Z109 X92:X94 X96:X98 X99:Z106 X159:X163 X151:Z156 Y161:Z163 Y167:Z169 Y174:Z180 Y185:Z187 Y208:Z209 Y204:Z205 X210:Z265 X266:X269 X320:X321 Y320:Z325 X326:Z328 X348:X352 X353:Z353 Y266:Z271 X354 X397:Z402 X423 Y421:Z423 X418:Z420 X424:Z426 Y427:Z428 Y431:Z432 X427:X432 X433:Z434 X450:Z450 X452 X454:X455 Y451:Z455 Y449:Z449 X457:X460 X507:Z519 Y457:Z506 X520:X521 X541:X543 X278:Z285 X276:Z276 Y77:Z98 X175:X185 Z189 Y188:Y190 X202:X207 Y191:Z193 Y198:Z200 Z202 Y201:Y203 X286 X288:Z299 X303:Z319 X334:Z340 X18:Z20 Y21:Z21 X29:Z36 X40:Z69 X77:X90 X139:Z148 X111:Z129 Y354:Z357 X382:Z394 X403:X404 Y403:Z407 X410:Z415 Y520:Z525 X538:Z538 Y541:Z541 X595:Z602 X583:Z590 X636:Z641 X612:Z619 X359:Z366 X624:Z632 X646:Z651 X652:X663 X132:Z137 Z435:Z436 X435:Y439 Z439 Y550:Z555 X549:X555" name="Диапазон1_8_6_3_20"/>
    <protectedRange password="CF7A" sqref="S227:S229 S403:S409 S352:S354 S450 S452 S579:S580 S653:S663 S553:S554 S338 S516 S542:S543 S534:S535 S520:S527 S184:S191 S512:S513 S503:S504 S497:S498 S489:S490 S481:S482 S473:S474 S459:S466 S447:S448 S440 S136:S148 S435:S436 S427:S428 S419:S420 S414:S415 S340:S345 S393:S394 S386:S387 S378:S379 S373:S374 S365:S366 S221 S631:S635 S618:S622 S328 S320:S321 S311:S312 S306:S307 S272:S273 S268:S269 S263 S231:S233 S640:S644 S296:S300 S246:S253 S238:S239 S224 S589:S593 S215:S216 S206:S207 S198:S199 S171:S172 S163:S164 S155:S156 S128:S129 S90:S91 S70:S71 S78:S79 S88 S48:S49 S95 S23:S24 S21 S6:S17 S110 S37:S39 S105:S107 S261 S282:S285 S601:S610" name="Диапазон1_2_6_2"/>
    <protectedRange password="CF7A" sqref="R227:R229 R403:R409 R352:R354 R450 R452 R579:R580 R653:R663 R553:R554 R338 R516 R542:R543 R534:R535 R520:R527 R184:R191 R512:R513 R503:R504 R497:R498 R489:R490 R481:R482 R473:R474 R459:R466 R447:R448 R440 R136:R148 R435:R436 R427:R428 R419:R420 R414:R415 R340:R345 R393:R394 R386:R387 R378:R379 R373:R374 R365:R366 R221 R631:R635 R618:R622 R328 R320:R321 R311:R312 R306:R307 R272:R273 R268:R269 R263 R231:R233 R640:R644 R296:R300 R246:R253 R238:R239 R224 R589:R593 R215:R216 R206:R207 R198:R199 R171:R172 R163:R164 R155:R156 R128:R129 R90:R91 R70:R71 R78:R79 R88 R48:R49 R95 R23:R24 R21 R6:R17 R110 R37:R39 R105:R107 R261 R282:R285 R601:R610" name="Диапазон1_7_6_2"/>
    <protectedRange password="CF7A" sqref="T227:V229 T403:V409 T352:V354 T450:V450 T452:V452 T579:V580 T653:V663 T553:V554 T338:V338 T516:V516 T542:V543 T534:V535 T520:V527 T184:V191 T512:V513 T503:V504 T497:V498 T489:V490 T481:V482 T473:V474 T459:V466 T447:V448 T440:V440 T136:V148 T435:V436 T427:V428 T419:V420 T414:V415 T340:V345 T393:V394 T386:V387 T378:V379 T373:V374 T365:V366 T221:V221 T631:V635 T618:V622 T328:V328 T320:V321 T311:V312 T306:V307 T272:V273 T268:V269 T263:V263 T231:V233 T640:V644 T296:V300 T246:V253 T238:V239 T224:V224 T589:V593 T215:V216 T206:V207 T198:V199 T171:V172 T163:V164 T155:V156 T128:V129 T90:V91 T70:V71 T78:V79 T88:V88 T48:V49 T95:V95 T23:V24 T21:V21 T6:V17 T110:V110 T37:V39 T105:V107 T261:V261 T282:V285 T601:V610" name="Диапазон1_8_6_2"/>
    <protectedRange password="CF7A" sqref="AA6:AA663" name="Диапазон1_7_3_2_7_39_1"/>
    <protectedRange password="CF7A" sqref="X453 X522:X525 Y663:Z663 X556:Z557 Z437:Z438 Y545:Z546 Y549:Z549 X544:X545 X536:Z537 X526:Z528 Y542:Z543 X539:Z540 X505:X506 X475:X492 X461:X468 X332:Z333 X441:Z442 Y429:Z430 X421:X422 X416:Z417 X449 X395:Z396 X380:Z381 X375:Z376 X367:Z368 X270 X341:Z344 X620:Z623 X329 X300:Z302 X287:Z287 X642:Z645 X149:Z150 X633:Z635 Y529:Z534 Y206:Z207 X529 X208:X209 X200:X201 X173:X174 Y157:Z160 X157:X158 X603:Z611 Y408:Z409 X130:Z131 X91 X110:Z110 X23:Z23 X107:Z107 Y24:Z24 X24:X28 X70:Z71 X72 X37:Z39 Y170:Z173 X165:Z166 Y181:Z184 Z190 X322:X325 X405:X409 X345:X347 Y345:Z352 X358:Z358 X355:X357 X451 X277:Z277 X274:Z275 X6:Z17 X186:X193 Z188 Y194:Z197 Z203 Z201 Y286:Z286 X95 X21 X138:Z138 X591:Z594 X581:Z582" name="Диапазон1_8_6_3_20_2"/>
    <protectedRange password="CF7A" sqref="AB6:AC6 AB415 AC415:AC417 AB579:AC580 AB435:AC441 AB541:AC546 AB516:AC516 AB529:AC530 AB420:AC420 AB414:AC414 AB378:AC379 AB373:AC373 AB222:AC225 AB249:AC256 AB306:AC306 AB526:AC527 AB129:AC129 AB447:AC455 AB25:AC25 AB29:AC29 AB32:AC32 AB321:AC322 AB363:AC363 AC364 AB364:AB367 AB374 AC374:AC376 AB383:AC384 AB386:AC394 AB397:AC398 AB9:AC10 AB13:AC14 AB17:AC17 AB22:AC22 AB73:AC73 AB70:AC70 AB109:AC109 AB36:AC36 AB39:AC40 AB43:AC43 AB47:AC47 AB50:AC50 AB77:AC77 AB80:AC80 AB84:AC84 AB87:AC87 AB99:AC99 AB103:AC103 AB519:AC519 AB155:AC168 AB169:AB176 AC169:AC175 AB178:AC209 AB324:AC325 AB341:AC357 AB404:AC404 AC405 AB405:AB408 AB132:AC153 AB589:AC593 AB640:AC644 AB631:AC635 AB618:AC622 AB601:AC610 AB653:AC663" name="Диапазон1_7_3_2_2_6_2"/>
    <protectedRange password="CF7A" sqref="AB7:AC8 AB23:AC24 AB30:AC31 AB37:AC38 AB11:AC12 AB15:AC16 AB71:AC72 AB107:AC108 AB41:AC42 AB48:AC49 AB78:AC79 AB85:AC86" name="Диапазон1_7_3_2_2_6_2_3"/>
  </protectedRanges>
  <autoFilter ref="A5:BL663" xr:uid="{00000000-0009-0000-0000-000000000000}"/>
  <mergeCells count="57">
    <mergeCell ref="BJ3:BJ4"/>
    <mergeCell ref="AY3:AY4"/>
    <mergeCell ref="AZ3:AZ4"/>
    <mergeCell ref="BG3:BG4"/>
    <mergeCell ref="BH3:BH4"/>
    <mergeCell ref="BI3:BI4"/>
    <mergeCell ref="BA3:BA4"/>
    <mergeCell ref="BB3:BB4"/>
    <mergeCell ref="BC3:BC4"/>
    <mergeCell ref="R3:R4"/>
    <mergeCell ref="BK3:BK4"/>
    <mergeCell ref="BL3:BL4"/>
    <mergeCell ref="BJ2:BL2"/>
    <mergeCell ref="W3:Z3"/>
    <mergeCell ref="AA3:AC3"/>
    <mergeCell ref="AL2:BD2"/>
    <mergeCell ref="BE2:BE4"/>
    <mergeCell ref="BD3:BD4"/>
    <mergeCell ref="AR3:AR4"/>
    <mergeCell ref="AS3:AS4"/>
    <mergeCell ref="AT3:AT4"/>
    <mergeCell ref="AU3:AU4"/>
    <mergeCell ref="AV3:AV4"/>
    <mergeCell ref="AX3:AX4"/>
    <mergeCell ref="BG2:BI2"/>
    <mergeCell ref="K3:K4"/>
    <mergeCell ref="AQ3:AQ4"/>
    <mergeCell ref="AG3:AG4"/>
    <mergeCell ref="AH3:AH4"/>
    <mergeCell ref="AI3:AI4"/>
    <mergeCell ref="AJ3:AJ4"/>
    <mergeCell ref="AL3:AL4"/>
    <mergeCell ref="AM3:AM4"/>
    <mergeCell ref="AN3:AN4"/>
    <mergeCell ref="AO3:AO4"/>
    <mergeCell ref="AP3:AP4"/>
    <mergeCell ref="AK3:AK4"/>
    <mergeCell ref="L3:L4"/>
    <mergeCell ref="M3:M4"/>
    <mergeCell ref="N3:P3"/>
    <mergeCell ref="Q3:Q4"/>
    <mergeCell ref="AW3:AW4"/>
    <mergeCell ref="A1:B1"/>
    <mergeCell ref="C1:E1"/>
    <mergeCell ref="S3:S4"/>
    <mergeCell ref="T3:T4"/>
    <mergeCell ref="U3:U4"/>
    <mergeCell ref="A2:V2"/>
    <mergeCell ref="V3:V4"/>
    <mergeCell ref="F1:AK1"/>
    <mergeCell ref="AD3:AF3"/>
    <mergeCell ref="AG2:AK2"/>
    <mergeCell ref="W2:AF2"/>
    <mergeCell ref="A3:A4"/>
    <mergeCell ref="B3:B4"/>
    <mergeCell ref="C3:E3"/>
    <mergeCell ref="F3:J3"/>
  </mergeCells>
  <phoneticPr fontId="9" type="noConversion"/>
  <dataValidations count="6">
    <dataValidation type="list" allowBlank="1" showInputMessage="1" showErrorMessage="1" sqref="M6:M118 M595 M124:M555 M663" xr:uid="{00000000-0002-0000-0000-000002000000}">
      <formula1>Вид_УР</formula1>
    </dataValidation>
    <dataValidation type="list" allowBlank="1" showInputMessage="1" showErrorMessage="1" sqref="M119:M123 M556:M594 M596:M662" xr:uid="{BA37BE08-29EB-42D5-9735-9FE54EF9B228}">
      <formula1>Вид_УР</formula1>
      <formula2>0</formula2>
    </dataValidation>
    <dataValidation type="list" allowBlank="1" showInputMessage="1" showErrorMessage="1" sqref="AH651:AH653 AH6:AH555 AH663" xr:uid="{00000000-0002-0000-0000-000000000000}">
      <formula1>Должность</formula1>
    </dataValidation>
    <dataValidation type="list" allowBlank="1" showInputMessage="1" showErrorMessage="1" sqref="AI651:AI660 AI6:AI555 AI663" xr:uid="{00000000-0002-0000-0000-000001000000}">
      <formula1>Условия_привлечения</formula1>
    </dataValidation>
    <dataValidation type="list" allowBlank="1" showInputMessage="1" showErrorMessage="1" sqref="AI661:AI662 AI556:AI650" xr:uid="{160A7EBF-0926-4AA7-B4CA-FF598C9BED72}">
      <formula1>Условия_привлечения</formula1>
      <formula2>0</formula2>
    </dataValidation>
    <dataValidation type="list" allowBlank="1" showInputMessage="1" showErrorMessage="1" sqref="AH654:AH662 AH556:AH650" xr:uid="{85EFCB1B-9497-4AF0-8517-D05F8B2F85B0}">
      <formula1>Должность</formula1>
      <formula2>0</formula2>
    </dataValidation>
  </dataValidations>
  <pageMargins left="0.7" right="0.7" top="0.75" bottom="0.75" header="0.3" footer="0.3"/>
  <pageSetup paperSize="9" scale="20" fitToHeight="0" orientation="landscape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5000000}">
          <x14:formula1>
            <xm:f>Списки!$A$35:$A$42</xm:f>
          </x14:formula1>
          <xm:sqref>Q6:Q118 Q595 Q124:Q581 Q651:Q663</xm:sqref>
        </x14:dataValidation>
        <x14:dataValidation type="list" allowBlank="1" showInputMessage="1" showErrorMessage="1" xr:uid="{00000000-0002-0000-0000-000003000000}">
          <x14:formula1>
            <xm:f>Списки!$A$84:$A$86</xm:f>
          </x14:formula1>
          <xm:sqref>G610:G613 G6:G595 G651:G663</xm:sqref>
        </x14:dataValidation>
        <x14:dataValidation type="list" allowBlank="1" showInputMessage="1" showErrorMessage="1" xr:uid="{00000000-0002-0000-0000-000006000000}">
          <x14:formula1>
            <xm:f>Списки!$A$78:$A$81</xm:f>
          </x14:formula1>
          <xm:sqref>F595 F610:F613 F6:F581 F651:F663</xm:sqref>
        </x14:dataValidation>
        <x14:dataValidation type="list" allowBlank="1" showInputMessage="1" showErrorMessage="1" xr:uid="{00000000-0002-0000-0000-000004000000}">
          <x14:formula1>
            <xm:f>Списки!$A$30:$A$32</xm:f>
          </x14:formula1>
          <xm:sqref>AK6:AK663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A1:M1344"/>
  <sheetViews>
    <sheetView zoomScale="70" zoomScaleNormal="70" workbookViewId="0">
      <pane xSplit="12" ySplit="2" topLeftCell="M3" activePane="bottomRight" state="frozen"/>
      <selection pane="topRight" activeCell="O1" sqref="O1"/>
      <selection pane="bottomLeft" activeCell="A6" sqref="A6"/>
      <selection pane="bottomRight" activeCell="B934" sqref="B934"/>
    </sheetView>
  </sheetViews>
  <sheetFormatPr defaultColWidth="8.88671875" defaultRowHeight="13.2" x14ac:dyDescent="0.25"/>
  <cols>
    <col min="1" max="1" width="19.88671875" style="6" customWidth="1"/>
    <col min="2" max="2" width="12.6640625" style="5" customWidth="1"/>
    <col min="3" max="3" width="14.44140625" style="38" customWidth="1"/>
    <col min="4" max="4" width="10.6640625" style="38" customWidth="1"/>
    <col min="5" max="5" width="10.6640625" style="6" customWidth="1"/>
    <col min="6" max="6" width="14.6640625" style="38" customWidth="1"/>
    <col min="7" max="7" width="29.6640625" style="38" customWidth="1"/>
    <col min="8" max="8" width="51.88671875" style="38" customWidth="1"/>
    <col min="9" max="10" width="41.33203125" style="40" customWidth="1"/>
    <col min="11" max="12" width="7.6640625" style="75" customWidth="1"/>
    <col min="13" max="13" width="70.6640625" style="5" customWidth="1"/>
    <col min="14" max="193" width="8.88671875" style="5"/>
    <col min="194" max="194" width="18.109375" style="5" customWidth="1"/>
    <col min="195" max="195" width="18.33203125" style="5" customWidth="1"/>
    <col min="196" max="198" width="13" style="5" customWidth="1"/>
    <col min="199" max="200" width="18.88671875" style="5" customWidth="1"/>
    <col min="201" max="201" width="108.88671875" style="5" customWidth="1"/>
    <col min="202" max="202" width="14.44140625" style="5" customWidth="1"/>
    <col min="203" max="211" width="6.6640625" style="5" customWidth="1"/>
    <col min="212" max="218" width="8.88671875" style="5"/>
    <col min="219" max="220" width="6.33203125" style="5" customWidth="1"/>
    <col min="221" max="449" width="8.88671875" style="5"/>
    <col min="450" max="450" width="18.109375" style="5" customWidth="1"/>
    <col min="451" max="451" width="18.33203125" style="5" customWidth="1"/>
    <col min="452" max="454" width="13" style="5" customWidth="1"/>
    <col min="455" max="456" width="18.88671875" style="5" customWidth="1"/>
    <col min="457" max="457" width="108.88671875" style="5" customWidth="1"/>
    <col min="458" max="458" width="14.44140625" style="5" customWidth="1"/>
    <col min="459" max="467" width="6.6640625" style="5" customWidth="1"/>
    <col min="468" max="474" width="8.88671875" style="5"/>
    <col min="475" max="476" width="6.33203125" style="5" customWidth="1"/>
    <col min="477" max="705" width="8.88671875" style="5"/>
    <col min="706" max="706" width="18.109375" style="5" customWidth="1"/>
    <col min="707" max="707" width="18.33203125" style="5" customWidth="1"/>
    <col min="708" max="710" width="13" style="5" customWidth="1"/>
    <col min="711" max="712" width="18.88671875" style="5" customWidth="1"/>
    <col min="713" max="713" width="108.88671875" style="5" customWidth="1"/>
    <col min="714" max="714" width="14.44140625" style="5" customWidth="1"/>
    <col min="715" max="723" width="6.6640625" style="5" customWidth="1"/>
    <col min="724" max="730" width="8.88671875" style="5"/>
    <col min="731" max="732" width="6.33203125" style="5" customWidth="1"/>
    <col min="733" max="961" width="8.88671875" style="5"/>
    <col min="962" max="962" width="18.109375" style="5" customWidth="1"/>
    <col min="963" max="963" width="18.33203125" style="5" customWidth="1"/>
    <col min="964" max="966" width="13" style="5" customWidth="1"/>
    <col min="967" max="968" width="18.88671875" style="5" customWidth="1"/>
    <col min="969" max="969" width="108.88671875" style="5" customWidth="1"/>
    <col min="970" max="970" width="14.44140625" style="5" customWidth="1"/>
    <col min="971" max="979" width="6.6640625" style="5" customWidth="1"/>
    <col min="980" max="986" width="8.88671875" style="5"/>
    <col min="987" max="988" width="6.33203125" style="5" customWidth="1"/>
    <col min="989" max="1217" width="8.88671875" style="5"/>
    <col min="1218" max="1218" width="18.109375" style="5" customWidth="1"/>
    <col min="1219" max="1219" width="18.33203125" style="5" customWidth="1"/>
    <col min="1220" max="1222" width="13" style="5" customWidth="1"/>
    <col min="1223" max="1224" width="18.88671875" style="5" customWidth="1"/>
    <col min="1225" max="1225" width="108.88671875" style="5" customWidth="1"/>
    <col min="1226" max="1226" width="14.44140625" style="5" customWidth="1"/>
    <col min="1227" max="1235" width="6.6640625" style="5" customWidth="1"/>
    <col min="1236" max="1242" width="8.88671875" style="5"/>
    <col min="1243" max="1244" width="6.33203125" style="5" customWidth="1"/>
    <col min="1245" max="1473" width="8.88671875" style="5"/>
    <col min="1474" max="1474" width="18.109375" style="5" customWidth="1"/>
    <col min="1475" max="1475" width="18.33203125" style="5" customWidth="1"/>
    <col min="1476" max="1478" width="13" style="5" customWidth="1"/>
    <col min="1479" max="1480" width="18.88671875" style="5" customWidth="1"/>
    <col min="1481" max="1481" width="108.88671875" style="5" customWidth="1"/>
    <col min="1482" max="1482" width="14.44140625" style="5" customWidth="1"/>
    <col min="1483" max="1491" width="6.6640625" style="5" customWidth="1"/>
    <col min="1492" max="1498" width="8.88671875" style="5"/>
    <col min="1499" max="1500" width="6.33203125" style="5" customWidth="1"/>
    <col min="1501" max="1729" width="8.88671875" style="5"/>
    <col min="1730" max="1730" width="18.109375" style="5" customWidth="1"/>
    <col min="1731" max="1731" width="18.33203125" style="5" customWidth="1"/>
    <col min="1732" max="1734" width="13" style="5" customWidth="1"/>
    <col min="1735" max="1736" width="18.88671875" style="5" customWidth="1"/>
    <col min="1737" max="1737" width="108.88671875" style="5" customWidth="1"/>
    <col min="1738" max="1738" width="14.44140625" style="5" customWidth="1"/>
    <col min="1739" max="1747" width="6.6640625" style="5" customWidth="1"/>
    <col min="1748" max="1754" width="8.88671875" style="5"/>
    <col min="1755" max="1756" width="6.33203125" style="5" customWidth="1"/>
    <col min="1757" max="1985" width="8.88671875" style="5"/>
    <col min="1986" max="1986" width="18.109375" style="5" customWidth="1"/>
    <col min="1987" max="1987" width="18.33203125" style="5" customWidth="1"/>
    <col min="1988" max="1990" width="13" style="5" customWidth="1"/>
    <col min="1991" max="1992" width="18.88671875" style="5" customWidth="1"/>
    <col min="1993" max="1993" width="108.88671875" style="5" customWidth="1"/>
    <col min="1994" max="1994" width="14.44140625" style="5" customWidth="1"/>
    <col min="1995" max="2003" width="6.6640625" style="5" customWidth="1"/>
    <col min="2004" max="2010" width="8.88671875" style="5"/>
    <col min="2011" max="2012" width="6.33203125" style="5" customWidth="1"/>
    <col min="2013" max="2241" width="8.88671875" style="5"/>
    <col min="2242" max="2242" width="18.109375" style="5" customWidth="1"/>
    <col min="2243" max="2243" width="18.33203125" style="5" customWidth="1"/>
    <col min="2244" max="2246" width="13" style="5" customWidth="1"/>
    <col min="2247" max="2248" width="18.88671875" style="5" customWidth="1"/>
    <col min="2249" max="2249" width="108.88671875" style="5" customWidth="1"/>
    <col min="2250" max="2250" width="14.44140625" style="5" customWidth="1"/>
    <col min="2251" max="2259" width="6.6640625" style="5" customWidth="1"/>
    <col min="2260" max="2266" width="8.88671875" style="5"/>
    <col min="2267" max="2268" width="6.33203125" style="5" customWidth="1"/>
    <col min="2269" max="2497" width="8.88671875" style="5"/>
    <col min="2498" max="2498" width="18.109375" style="5" customWidth="1"/>
    <col min="2499" max="2499" width="18.33203125" style="5" customWidth="1"/>
    <col min="2500" max="2502" width="13" style="5" customWidth="1"/>
    <col min="2503" max="2504" width="18.88671875" style="5" customWidth="1"/>
    <col min="2505" max="2505" width="108.88671875" style="5" customWidth="1"/>
    <col min="2506" max="2506" width="14.44140625" style="5" customWidth="1"/>
    <col min="2507" max="2515" width="6.6640625" style="5" customWidth="1"/>
    <col min="2516" max="2522" width="8.88671875" style="5"/>
    <col min="2523" max="2524" width="6.33203125" style="5" customWidth="1"/>
    <col min="2525" max="2753" width="8.88671875" style="5"/>
    <col min="2754" max="2754" width="18.109375" style="5" customWidth="1"/>
    <col min="2755" max="2755" width="18.33203125" style="5" customWidth="1"/>
    <col min="2756" max="2758" width="13" style="5" customWidth="1"/>
    <col min="2759" max="2760" width="18.88671875" style="5" customWidth="1"/>
    <col min="2761" max="2761" width="108.88671875" style="5" customWidth="1"/>
    <col min="2762" max="2762" width="14.44140625" style="5" customWidth="1"/>
    <col min="2763" max="2771" width="6.6640625" style="5" customWidth="1"/>
    <col min="2772" max="2778" width="8.88671875" style="5"/>
    <col min="2779" max="2780" width="6.33203125" style="5" customWidth="1"/>
    <col min="2781" max="3009" width="8.88671875" style="5"/>
    <col min="3010" max="3010" width="18.109375" style="5" customWidth="1"/>
    <col min="3011" max="3011" width="18.33203125" style="5" customWidth="1"/>
    <col min="3012" max="3014" width="13" style="5" customWidth="1"/>
    <col min="3015" max="3016" width="18.88671875" style="5" customWidth="1"/>
    <col min="3017" max="3017" width="108.88671875" style="5" customWidth="1"/>
    <col min="3018" max="3018" width="14.44140625" style="5" customWidth="1"/>
    <col min="3019" max="3027" width="6.6640625" style="5" customWidth="1"/>
    <col min="3028" max="3034" width="8.88671875" style="5"/>
    <col min="3035" max="3036" width="6.33203125" style="5" customWidth="1"/>
    <col min="3037" max="3265" width="8.88671875" style="5"/>
    <col min="3266" max="3266" width="18.109375" style="5" customWidth="1"/>
    <col min="3267" max="3267" width="18.33203125" style="5" customWidth="1"/>
    <col min="3268" max="3270" width="13" style="5" customWidth="1"/>
    <col min="3271" max="3272" width="18.88671875" style="5" customWidth="1"/>
    <col min="3273" max="3273" width="108.88671875" style="5" customWidth="1"/>
    <col min="3274" max="3274" width="14.44140625" style="5" customWidth="1"/>
    <col min="3275" max="3283" width="6.6640625" style="5" customWidth="1"/>
    <col min="3284" max="3290" width="8.88671875" style="5"/>
    <col min="3291" max="3292" width="6.33203125" style="5" customWidth="1"/>
    <col min="3293" max="3521" width="8.88671875" style="5"/>
    <col min="3522" max="3522" width="18.109375" style="5" customWidth="1"/>
    <col min="3523" max="3523" width="18.33203125" style="5" customWidth="1"/>
    <col min="3524" max="3526" width="13" style="5" customWidth="1"/>
    <col min="3527" max="3528" width="18.88671875" style="5" customWidth="1"/>
    <col min="3529" max="3529" width="108.88671875" style="5" customWidth="1"/>
    <col min="3530" max="3530" width="14.44140625" style="5" customWidth="1"/>
    <col min="3531" max="3539" width="6.6640625" style="5" customWidth="1"/>
    <col min="3540" max="3546" width="8.88671875" style="5"/>
    <col min="3547" max="3548" width="6.33203125" style="5" customWidth="1"/>
    <col min="3549" max="3777" width="8.88671875" style="5"/>
    <col min="3778" max="3778" width="18.109375" style="5" customWidth="1"/>
    <col min="3779" max="3779" width="18.33203125" style="5" customWidth="1"/>
    <col min="3780" max="3782" width="13" style="5" customWidth="1"/>
    <col min="3783" max="3784" width="18.88671875" style="5" customWidth="1"/>
    <col min="3785" max="3785" width="108.88671875" style="5" customWidth="1"/>
    <col min="3786" max="3786" width="14.44140625" style="5" customWidth="1"/>
    <col min="3787" max="3795" width="6.6640625" style="5" customWidth="1"/>
    <col min="3796" max="3802" width="8.88671875" style="5"/>
    <col min="3803" max="3804" width="6.33203125" style="5" customWidth="1"/>
    <col min="3805" max="4033" width="8.88671875" style="5"/>
    <col min="4034" max="4034" width="18.109375" style="5" customWidth="1"/>
    <col min="4035" max="4035" width="18.33203125" style="5" customWidth="1"/>
    <col min="4036" max="4038" width="13" style="5" customWidth="1"/>
    <col min="4039" max="4040" width="18.88671875" style="5" customWidth="1"/>
    <col min="4041" max="4041" width="108.88671875" style="5" customWidth="1"/>
    <col min="4042" max="4042" width="14.44140625" style="5" customWidth="1"/>
    <col min="4043" max="4051" width="6.6640625" style="5" customWidth="1"/>
    <col min="4052" max="4058" width="8.88671875" style="5"/>
    <col min="4059" max="4060" width="6.33203125" style="5" customWidth="1"/>
    <col min="4061" max="4289" width="8.88671875" style="5"/>
    <col min="4290" max="4290" width="18.109375" style="5" customWidth="1"/>
    <col min="4291" max="4291" width="18.33203125" style="5" customWidth="1"/>
    <col min="4292" max="4294" width="13" style="5" customWidth="1"/>
    <col min="4295" max="4296" width="18.88671875" style="5" customWidth="1"/>
    <col min="4297" max="4297" width="108.88671875" style="5" customWidth="1"/>
    <col min="4298" max="4298" width="14.44140625" style="5" customWidth="1"/>
    <col min="4299" max="4307" width="6.6640625" style="5" customWidth="1"/>
    <col min="4308" max="4314" width="8.88671875" style="5"/>
    <col min="4315" max="4316" width="6.33203125" style="5" customWidth="1"/>
    <col min="4317" max="4545" width="8.88671875" style="5"/>
    <col min="4546" max="4546" width="18.109375" style="5" customWidth="1"/>
    <col min="4547" max="4547" width="18.33203125" style="5" customWidth="1"/>
    <col min="4548" max="4550" width="13" style="5" customWidth="1"/>
    <col min="4551" max="4552" width="18.88671875" style="5" customWidth="1"/>
    <col min="4553" max="4553" width="108.88671875" style="5" customWidth="1"/>
    <col min="4554" max="4554" width="14.44140625" style="5" customWidth="1"/>
    <col min="4555" max="4563" width="6.6640625" style="5" customWidth="1"/>
    <col min="4564" max="4570" width="8.88671875" style="5"/>
    <col min="4571" max="4572" width="6.33203125" style="5" customWidth="1"/>
    <col min="4573" max="4801" width="8.88671875" style="5"/>
    <col min="4802" max="4802" width="18.109375" style="5" customWidth="1"/>
    <col min="4803" max="4803" width="18.33203125" style="5" customWidth="1"/>
    <col min="4804" max="4806" width="13" style="5" customWidth="1"/>
    <col min="4807" max="4808" width="18.88671875" style="5" customWidth="1"/>
    <col min="4809" max="4809" width="108.88671875" style="5" customWidth="1"/>
    <col min="4810" max="4810" width="14.44140625" style="5" customWidth="1"/>
    <col min="4811" max="4819" width="6.6640625" style="5" customWidth="1"/>
    <col min="4820" max="4826" width="8.88671875" style="5"/>
    <col min="4827" max="4828" width="6.33203125" style="5" customWidth="1"/>
    <col min="4829" max="5057" width="8.88671875" style="5"/>
    <col min="5058" max="5058" width="18.109375" style="5" customWidth="1"/>
    <col min="5059" max="5059" width="18.33203125" style="5" customWidth="1"/>
    <col min="5060" max="5062" width="13" style="5" customWidth="1"/>
    <col min="5063" max="5064" width="18.88671875" style="5" customWidth="1"/>
    <col min="5065" max="5065" width="108.88671875" style="5" customWidth="1"/>
    <col min="5066" max="5066" width="14.44140625" style="5" customWidth="1"/>
    <col min="5067" max="5075" width="6.6640625" style="5" customWidth="1"/>
    <col min="5076" max="5082" width="8.88671875" style="5"/>
    <col min="5083" max="5084" width="6.33203125" style="5" customWidth="1"/>
    <col min="5085" max="5313" width="8.88671875" style="5"/>
    <col min="5314" max="5314" width="18.109375" style="5" customWidth="1"/>
    <col min="5315" max="5315" width="18.33203125" style="5" customWidth="1"/>
    <col min="5316" max="5318" width="13" style="5" customWidth="1"/>
    <col min="5319" max="5320" width="18.88671875" style="5" customWidth="1"/>
    <col min="5321" max="5321" width="108.88671875" style="5" customWidth="1"/>
    <col min="5322" max="5322" width="14.44140625" style="5" customWidth="1"/>
    <col min="5323" max="5331" width="6.6640625" style="5" customWidth="1"/>
    <col min="5332" max="5338" width="8.88671875" style="5"/>
    <col min="5339" max="5340" width="6.33203125" style="5" customWidth="1"/>
    <col min="5341" max="5569" width="8.88671875" style="5"/>
    <col min="5570" max="5570" width="18.109375" style="5" customWidth="1"/>
    <col min="5571" max="5571" width="18.33203125" style="5" customWidth="1"/>
    <col min="5572" max="5574" width="13" style="5" customWidth="1"/>
    <col min="5575" max="5576" width="18.88671875" style="5" customWidth="1"/>
    <col min="5577" max="5577" width="108.88671875" style="5" customWidth="1"/>
    <col min="5578" max="5578" width="14.44140625" style="5" customWidth="1"/>
    <col min="5579" max="5587" width="6.6640625" style="5" customWidth="1"/>
    <col min="5588" max="5594" width="8.88671875" style="5"/>
    <col min="5595" max="5596" width="6.33203125" style="5" customWidth="1"/>
    <col min="5597" max="5825" width="8.88671875" style="5"/>
    <col min="5826" max="5826" width="18.109375" style="5" customWidth="1"/>
    <col min="5827" max="5827" width="18.33203125" style="5" customWidth="1"/>
    <col min="5828" max="5830" width="13" style="5" customWidth="1"/>
    <col min="5831" max="5832" width="18.88671875" style="5" customWidth="1"/>
    <col min="5833" max="5833" width="108.88671875" style="5" customWidth="1"/>
    <col min="5834" max="5834" width="14.44140625" style="5" customWidth="1"/>
    <col min="5835" max="5843" width="6.6640625" style="5" customWidth="1"/>
    <col min="5844" max="5850" width="8.88671875" style="5"/>
    <col min="5851" max="5852" width="6.33203125" style="5" customWidth="1"/>
    <col min="5853" max="6081" width="8.88671875" style="5"/>
    <col min="6082" max="6082" width="18.109375" style="5" customWidth="1"/>
    <col min="6083" max="6083" width="18.33203125" style="5" customWidth="1"/>
    <col min="6084" max="6086" width="13" style="5" customWidth="1"/>
    <col min="6087" max="6088" width="18.88671875" style="5" customWidth="1"/>
    <col min="6089" max="6089" width="108.88671875" style="5" customWidth="1"/>
    <col min="6090" max="6090" width="14.44140625" style="5" customWidth="1"/>
    <col min="6091" max="6099" width="6.6640625" style="5" customWidth="1"/>
    <col min="6100" max="6106" width="8.88671875" style="5"/>
    <col min="6107" max="6108" width="6.33203125" style="5" customWidth="1"/>
    <col min="6109" max="6337" width="8.88671875" style="5"/>
    <col min="6338" max="6338" width="18.109375" style="5" customWidth="1"/>
    <col min="6339" max="6339" width="18.33203125" style="5" customWidth="1"/>
    <col min="6340" max="6342" width="13" style="5" customWidth="1"/>
    <col min="6343" max="6344" width="18.88671875" style="5" customWidth="1"/>
    <col min="6345" max="6345" width="108.88671875" style="5" customWidth="1"/>
    <col min="6346" max="6346" width="14.44140625" style="5" customWidth="1"/>
    <col min="6347" max="6355" width="6.6640625" style="5" customWidth="1"/>
    <col min="6356" max="6362" width="8.88671875" style="5"/>
    <col min="6363" max="6364" width="6.33203125" style="5" customWidth="1"/>
    <col min="6365" max="6593" width="8.88671875" style="5"/>
    <col min="6594" max="6594" width="18.109375" style="5" customWidth="1"/>
    <col min="6595" max="6595" width="18.33203125" style="5" customWidth="1"/>
    <col min="6596" max="6598" width="13" style="5" customWidth="1"/>
    <col min="6599" max="6600" width="18.88671875" style="5" customWidth="1"/>
    <col min="6601" max="6601" width="108.88671875" style="5" customWidth="1"/>
    <col min="6602" max="6602" width="14.44140625" style="5" customWidth="1"/>
    <col min="6603" max="6611" width="6.6640625" style="5" customWidth="1"/>
    <col min="6612" max="6618" width="8.88671875" style="5"/>
    <col min="6619" max="6620" width="6.33203125" style="5" customWidth="1"/>
    <col min="6621" max="6849" width="8.88671875" style="5"/>
    <col min="6850" max="6850" width="18.109375" style="5" customWidth="1"/>
    <col min="6851" max="6851" width="18.33203125" style="5" customWidth="1"/>
    <col min="6852" max="6854" width="13" style="5" customWidth="1"/>
    <col min="6855" max="6856" width="18.88671875" style="5" customWidth="1"/>
    <col min="6857" max="6857" width="108.88671875" style="5" customWidth="1"/>
    <col min="6858" max="6858" width="14.44140625" style="5" customWidth="1"/>
    <col min="6859" max="6867" width="6.6640625" style="5" customWidth="1"/>
    <col min="6868" max="6874" width="8.88671875" style="5"/>
    <col min="6875" max="6876" width="6.33203125" style="5" customWidth="1"/>
    <col min="6877" max="7105" width="8.88671875" style="5"/>
    <col min="7106" max="7106" width="18.109375" style="5" customWidth="1"/>
    <col min="7107" max="7107" width="18.33203125" style="5" customWidth="1"/>
    <col min="7108" max="7110" width="13" style="5" customWidth="1"/>
    <col min="7111" max="7112" width="18.88671875" style="5" customWidth="1"/>
    <col min="7113" max="7113" width="108.88671875" style="5" customWidth="1"/>
    <col min="7114" max="7114" width="14.44140625" style="5" customWidth="1"/>
    <col min="7115" max="7123" width="6.6640625" style="5" customWidth="1"/>
    <col min="7124" max="7130" width="8.88671875" style="5"/>
    <col min="7131" max="7132" width="6.33203125" style="5" customWidth="1"/>
    <col min="7133" max="7361" width="8.88671875" style="5"/>
    <col min="7362" max="7362" width="18.109375" style="5" customWidth="1"/>
    <col min="7363" max="7363" width="18.33203125" style="5" customWidth="1"/>
    <col min="7364" max="7366" width="13" style="5" customWidth="1"/>
    <col min="7367" max="7368" width="18.88671875" style="5" customWidth="1"/>
    <col min="7369" max="7369" width="108.88671875" style="5" customWidth="1"/>
    <col min="7370" max="7370" width="14.44140625" style="5" customWidth="1"/>
    <col min="7371" max="7379" width="6.6640625" style="5" customWidth="1"/>
    <col min="7380" max="7386" width="8.88671875" style="5"/>
    <col min="7387" max="7388" width="6.33203125" style="5" customWidth="1"/>
    <col min="7389" max="7617" width="8.88671875" style="5"/>
    <col min="7618" max="7618" width="18.109375" style="5" customWidth="1"/>
    <col min="7619" max="7619" width="18.33203125" style="5" customWidth="1"/>
    <col min="7620" max="7622" width="13" style="5" customWidth="1"/>
    <col min="7623" max="7624" width="18.88671875" style="5" customWidth="1"/>
    <col min="7625" max="7625" width="108.88671875" style="5" customWidth="1"/>
    <col min="7626" max="7626" width="14.44140625" style="5" customWidth="1"/>
    <col min="7627" max="7635" width="6.6640625" style="5" customWidth="1"/>
    <col min="7636" max="7642" width="8.88671875" style="5"/>
    <col min="7643" max="7644" width="6.33203125" style="5" customWidth="1"/>
    <col min="7645" max="7873" width="8.88671875" style="5"/>
    <col min="7874" max="7874" width="18.109375" style="5" customWidth="1"/>
    <col min="7875" max="7875" width="18.33203125" style="5" customWidth="1"/>
    <col min="7876" max="7878" width="13" style="5" customWidth="1"/>
    <col min="7879" max="7880" width="18.88671875" style="5" customWidth="1"/>
    <col min="7881" max="7881" width="108.88671875" style="5" customWidth="1"/>
    <col min="7882" max="7882" width="14.44140625" style="5" customWidth="1"/>
    <col min="7883" max="7891" width="6.6640625" style="5" customWidth="1"/>
    <col min="7892" max="7898" width="8.88671875" style="5"/>
    <col min="7899" max="7900" width="6.33203125" style="5" customWidth="1"/>
    <col min="7901" max="8129" width="8.88671875" style="5"/>
    <col min="8130" max="8130" width="18.109375" style="5" customWidth="1"/>
    <col min="8131" max="8131" width="18.33203125" style="5" customWidth="1"/>
    <col min="8132" max="8134" width="13" style="5" customWidth="1"/>
    <col min="8135" max="8136" width="18.88671875" style="5" customWidth="1"/>
    <col min="8137" max="8137" width="108.88671875" style="5" customWidth="1"/>
    <col min="8138" max="8138" width="14.44140625" style="5" customWidth="1"/>
    <col min="8139" max="8147" width="6.6640625" style="5" customWidth="1"/>
    <col min="8148" max="8154" width="8.88671875" style="5"/>
    <col min="8155" max="8156" width="6.33203125" style="5" customWidth="1"/>
    <col min="8157" max="8385" width="8.88671875" style="5"/>
    <col min="8386" max="8386" width="18.109375" style="5" customWidth="1"/>
    <col min="8387" max="8387" width="18.33203125" style="5" customWidth="1"/>
    <col min="8388" max="8390" width="13" style="5" customWidth="1"/>
    <col min="8391" max="8392" width="18.88671875" style="5" customWidth="1"/>
    <col min="8393" max="8393" width="108.88671875" style="5" customWidth="1"/>
    <col min="8394" max="8394" width="14.44140625" style="5" customWidth="1"/>
    <col min="8395" max="8403" width="6.6640625" style="5" customWidth="1"/>
    <col min="8404" max="8410" width="8.88671875" style="5"/>
    <col min="8411" max="8412" width="6.33203125" style="5" customWidth="1"/>
    <col min="8413" max="8641" width="8.88671875" style="5"/>
    <col min="8642" max="8642" width="18.109375" style="5" customWidth="1"/>
    <col min="8643" max="8643" width="18.33203125" style="5" customWidth="1"/>
    <col min="8644" max="8646" width="13" style="5" customWidth="1"/>
    <col min="8647" max="8648" width="18.88671875" style="5" customWidth="1"/>
    <col min="8649" max="8649" width="108.88671875" style="5" customWidth="1"/>
    <col min="8650" max="8650" width="14.44140625" style="5" customWidth="1"/>
    <col min="8651" max="8659" width="6.6640625" style="5" customWidth="1"/>
    <col min="8660" max="8666" width="8.88671875" style="5"/>
    <col min="8667" max="8668" width="6.33203125" style="5" customWidth="1"/>
    <col min="8669" max="8897" width="8.88671875" style="5"/>
    <col min="8898" max="8898" width="18.109375" style="5" customWidth="1"/>
    <col min="8899" max="8899" width="18.33203125" style="5" customWidth="1"/>
    <col min="8900" max="8902" width="13" style="5" customWidth="1"/>
    <col min="8903" max="8904" width="18.88671875" style="5" customWidth="1"/>
    <col min="8905" max="8905" width="108.88671875" style="5" customWidth="1"/>
    <col min="8906" max="8906" width="14.44140625" style="5" customWidth="1"/>
    <col min="8907" max="8915" width="6.6640625" style="5" customWidth="1"/>
    <col min="8916" max="8922" width="8.88671875" style="5"/>
    <col min="8923" max="8924" width="6.33203125" style="5" customWidth="1"/>
    <col min="8925" max="9153" width="8.88671875" style="5"/>
    <col min="9154" max="9154" width="18.109375" style="5" customWidth="1"/>
    <col min="9155" max="9155" width="18.33203125" style="5" customWidth="1"/>
    <col min="9156" max="9158" width="13" style="5" customWidth="1"/>
    <col min="9159" max="9160" width="18.88671875" style="5" customWidth="1"/>
    <col min="9161" max="9161" width="108.88671875" style="5" customWidth="1"/>
    <col min="9162" max="9162" width="14.44140625" style="5" customWidth="1"/>
    <col min="9163" max="9171" width="6.6640625" style="5" customWidth="1"/>
    <col min="9172" max="9178" width="8.88671875" style="5"/>
    <col min="9179" max="9180" width="6.33203125" style="5" customWidth="1"/>
    <col min="9181" max="9409" width="8.88671875" style="5"/>
    <col min="9410" max="9410" width="18.109375" style="5" customWidth="1"/>
    <col min="9411" max="9411" width="18.33203125" style="5" customWidth="1"/>
    <col min="9412" max="9414" width="13" style="5" customWidth="1"/>
    <col min="9415" max="9416" width="18.88671875" style="5" customWidth="1"/>
    <col min="9417" max="9417" width="108.88671875" style="5" customWidth="1"/>
    <col min="9418" max="9418" width="14.44140625" style="5" customWidth="1"/>
    <col min="9419" max="9427" width="6.6640625" style="5" customWidth="1"/>
    <col min="9428" max="9434" width="8.88671875" style="5"/>
    <col min="9435" max="9436" width="6.33203125" style="5" customWidth="1"/>
    <col min="9437" max="9665" width="8.88671875" style="5"/>
    <col min="9666" max="9666" width="18.109375" style="5" customWidth="1"/>
    <col min="9667" max="9667" width="18.33203125" style="5" customWidth="1"/>
    <col min="9668" max="9670" width="13" style="5" customWidth="1"/>
    <col min="9671" max="9672" width="18.88671875" style="5" customWidth="1"/>
    <col min="9673" max="9673" width="108.88671875" style="5" customWidth="1"/>
    <col min="9674" max="9674" width="14.44140625" style="5" customWidth="1"/>
    <col min="9675" max="9683" width="6.6640625" style="5" customWidth="1"/>
    <col min="9684" max="9690" width="8.88671875" style="5"/>
    <col min="9691" max="9692" width="6.33203125" style="5" customWidth="1"/>
    <col min="9693" max="9921" width="8.88671875" style="5"/>
    <col min="9922" max="9922" width="18.109375" style="5" customWidth="1"/>
    <col min="9923" max="9923" width="18.33203125" style="5" customWidth="1"/>
    <col min="9924" max="9926" width="13" style="5" customWidth="1"/>
    <col min="9927" max="9928" width="18.88671875" style="5" customWidth="1"/>
    <col min="9929" max="9929" width="108.88671875" style="5" customWidth="1"/>
    <col min="9930" max="9930" width="14.44140625" style="5" customWidth="1"/>
    <col min="9931" max="9939" width="6.6640625" style="5" customWidth="1"/>
    <col min="9940" max="9946" width="8.88671875" style="5"/>
    <col min="9947" max="9948" width="6.33203125" style="5" customWidth="1"/>
    <col min="9949" max="10177" width="8.88671875" style="5"/>
    <col min="10178" max="10178" width="18.109375" style="5" customWidth="1"/>
    <col min="10179" max="10179" width="18.33203125" style="5" customWidth="1"/>
    <col min="10180" max="10182" width="13" style="5" customWidth="1"/>
    <col min="10183" max="10184" width="18.88671875" style="5" customWidth="1"/>
    <col min="10185" max="10185" width="108.88671875" style="5" customWidth="1"/>
    <col min="10186" max="10186" width="14.44140625" style="5" customWidth="1"/>
    <col min="10187" max="10195" width="6.6640625" style="5" customWidth="1"/>
    <col min="10196" max="10202" width="8.88671875" style="5"/>
    <col min="10203" max="10204" width="6.33203125" style="5" customWidth="1"/>
    <col min="10205" max="10433" width="8.88671875" style="5"/>
    <col min="10434" max="10434" width="18.109375" style="5" customWidth="1"/>
    <col min="10435" max="10435" width="18.33203125" style="5" customWidth="1"/>
    <col min="10436" max="10438" width="13" style="5" customWidth="1"/>
    <col min="10439" max="10440" width="18.88671875" style="5" customWidth="1"/>
    <col min="10441" max="10441" width="108.88671875" style="5" customWidth="1"/>
    <col min="10442" max="10442" width="14.44140625" style="5" customWidth="1"/>
    <col min="10443" max="10451" width="6.6640625" style="5" customWidth="1"/>
    <col min="10452" max="10458" width="8.88671875" style="5"/>
    <col min="10459" max="10460" width="6.33203125" style="5" customWidth="1"/>
    <col min="10461" max="10689" width="8.88671875" style="5"/>
    <col min="10690" max="10690" width="18.109375" style="5" customWidth="1"/>
    <col min="10691" max="10691" width="18.33203125" style="5" customWidth="1"/>
    <col min="10692" max="10694" width="13" style="5" customWidth="1"/>
    <col min="10695" max="10696" width="18.88671875" style="5" customWidth="1"/>
    <col min="10697" max="10697" width="108.88671875" style="5" customWidth="1"/>
    <col min="10698" max="10698" width="14.44140625" style="5" customWidth="1"/>
    <col min="10699" max="10707" width="6.6640625" style="5" customWidth="1"/>
    <col min="10708" max="10714" width="8.88671875" style="5"/>
    <col min="10715" max="10716" width="6.33203125" style="5" customWidth="1"/>
    <col min="10717" max="10945" width="8.88671875" style="5"/>
    <col min="10946" max="10946" width="18.109375" style="5" customWidth="1"/>
    <col min="10947" max="10947" width="18.33203125" style="5" customWidth="1"/>
    <col min="10948" max="10950" width="13" style="5" customWidth="1"/>
    <col min="10951" max="10952" width="18.88671875" style="5" customWidth="1"/>
    <col min="10953" max="10953" width="108.88671875" style="5" customWidth="1"/>
    <col min="10954" max="10954" width="14.44140625" style="5" customWidth="1"/>
    <col min="10955" max="10963" width="6.6640625" style="5" customWidth="1"/>
    <col min="10964" max="10970" width="8.88671875" style="5"/>
    <col min="10971" max="10972" width="6.33203125" style="5" customWidth="1"/>
    <col min="10973" max="11201" width="8.88671875" style="5"/>
    <col min="11202" max="11202" width="18.109375" style="5" customWidth="1"/>
    <col min="11203" max="11203" width="18.33203125" style="5" customWidth="1"/>
    <col min="11204" max="11206" width="13" style="5" customWidth="1"/>
    <col min="11207" max="11208" width="18.88671875" style="5" customWidth="1"/>
    <col min="11209" max="11209" width="108.88671875" style="5" customWidth="1"/>
    <col min="11210" max="11210" width="14.44140625" style="5" customWidth="1"/>
    <col min="11211" max="11219" width="6.6640625" style="5" customWidth="1"/>
    <col min="11220" max="11226" width="8.88671875" style="5"/>
    <col min="11227" max="11228" width="6.33203125" style="5" customWidth="1"/>
    <col min="11229" max="11457" width="8.88671875" style="5"/>
    <col min="11458" max="11458" width="18.109375" style="5" customWidth="1"/>
    <col min="11459" max="11459" width="18.33203125" style="5" customWidth="1"/>
    <col min="11460" max="11462" width="13" style="5" customWidth="1"/>
    <col min="11463" max="11464" width="18.88671875" style="5" customWidth="1"/>
    <col min="11465" max="11465" width="108.88671875" style="5" customWidth="1"/>
    <col min="11466" max="11466" width="14.44140625" style="5" customWidth="1"/>
    <col min="11467" max="11475" width="6.6640625" style="5" customWidth="1"/>
    <col min="11476" max="11482" width="8.88671875" style="5"/>
    <col min="11483" max="11484" width="6.33203125" style="5" customWidth="1"/>
    <col min="11485" max="11713" width="8.88671875" style="5"/>
    <col min="11714" max="11714" width="18.109375" style="5" customWidth="1"/>
    <col min="11715" max="11715" width="18.33203125" style="5" customWidth="1"/>
    <col min="11716" max="11718" width="13" style="5" customWidth="1"/>
    <col min="11719" max="11720" width="18.88671875" style="5" customWidth="1"/>
    <col min="11721" max="11721" width="108.88671875" style="5" customWidth="1"/>
    <col min="11722" max="11722" width="14.44140625" style="5" customWidth="1"/>
    <col min="11723" max="11731" width="6.6640625" style="5" customWidth="1"/>
    <col min="11732" max="11738" width="8.88671875" style="5"/>
    <col min="11739" max="11740" width="6.33203125" style="5" customWidth="1"/>
    <col min="11741" max="11969" width="8.88671875" style="5"/>
    <col min="11970" max="11970" width="18.109375" style="5" customWidth="1"/>
    <col min="11971" max="11971" width="18.33203125" style="5" customWidth="1"/>
    <col min="11972" max="11974" width="13" style="5" customWidth="1"/>
    <col min="11975" max="11976" width="18.88671875" style="5" customWidth="1"/>
    <col min="11977" max="11977" width="108.88671875" style="5" customWidth="1"/>
    <col min="11978" max="11978" width="14.44140625" style="5" customWidth="1"/>
    <col min="11979" max="11987" width="6.6640625" style="5" customWidth="1"/>
    <col min="11988" max="11994" width="8.88671875" style="5"/>
    <col min="11995" max="11996" width="6.33203125" style="5" customWidth="1"/>
    <col min="11997" max="12225" width="8.88671875" style="5"/>
    <col min="12226" max="12226" width="18.109375" style="5" customWidth="1"/>
    <col min="12227" max="12227" width="18.33203125" style="5" customWidth="1"/>
    <col min="12228" max="12230" width="13" style="5" customWidth="1"/>
    <col min="12231" max="12232" width="18.88671875" style="5" customWidth="1"/>
    <col min="12233" max="12233" width="108.88671875" style="5" customWidth="1"/>
    <col min="12234" max="12234" width="14.44140625" style="5" customWidth="1"/>
    <col min="12235" max="12243" width="6.6640625" style="5" customWidth="1"/>
    <col min="12244" max="12250" width="8.88671875" style="5"/>
    <col min="12251" max="12252" width="6.33203125" style="5" customWidth="1"/>
    <col min="12253" max="12481" width="8.88671875" style="5"/>
    <col min="12482" max="12482" width="18.109375" style="5" customWidth="1"/>
    <col min="12483" max="12483" width="18.33203125" style="5" customWidth="1"/>
    <col min="12484" max="12486" width="13" style="5" customWidth="1"/>
    <col min="12487" max="12488" width="18.88671875" style="5" customWidth="1"/>
    <col min="12489" max="12489" width="108.88671875" style="5" customWidth="1"/>
    <col min="12490" max="12490" width="14.44140625" style="5" customWidth="1"/>
    <col min="12491" max="12499" width="6.6640625" style="5" customWidth="1"/>
    <col min="12500" max="12506" width="8.88671875" style="5"/>
    <col min="12507" max="12508" width="6.33203125" style="5" customWidth="1"/>
    <col min="12509" max="12737" width="8.88671875" style="5"/>
    <col min="12738" max="12738" width="18.109375" style="5" customWidth="1"/>
    <col min="12739" max="12739" width="18.33203125" style="5" customWidth="1"/>
    <col min="12740" max="12742" width="13" style="5" customWidth="1"/>
    <col min="12743" max="12744" width="18.88671875" style="5" customWidth="1"/>
    <col min="12745" max="12745" width="108.88671875" style="5" customWidth="1"/>
    <col min="12746" max="12746" width="14.44140625" style="5" customWidth="1"/>
    <col min="12747" max="12755" width="6.6640625" style="5" customWidth="1"/>
    <col min="12756" max="12762" width="8.88671875" style="5"/>
    <col min="12763" max="12764" width="6.33203125" style="5" customWidth="1"/>
    <col min="12765" max="12993" width="8.88671875" style="5"/>
    <col min="12994" max="12994" width="18.109375" style="5" customWidth="1"/>
    <col min="12995" max="12995" width="18.33203125" style="5" customWidth="1"/>
    <col min="12996" max="12998" width="13" style="5" customWidth="1"/>
    <col min="12999" max="13000" width="18.88671875" style="5" customWidth="1"/>
    <col min="13001" max="13001" width="108.88671875" style="5" customWidth="1"/>
    <col min="13002" max="13002" width="14.44140625" style="5" customWidth="1"/>
    <col min="13003" max="13011" width="6.6640625" style="5" customWidth="1"/>
    <col min="13012" max="13018" width="8.88671875" style="5"/>
    <col min="13019" max="13020" width="6.33203125" style="5" customWidth="1"/>
    <col min="13021" max="13249" width="8.88671875" style="5"/>
    <col min="13250" max="13250" width="18.109375" style="5" customWidth="1"/>
    <col min="13251" max="13251" width="18.33203125" style="5" customWidth="1"/>
    <col min="13252" max="13254" width="13" style="5" customWidth="1"/>
    <col min="13255" max="13256" width="18.88671875" style="5" customWidth="1"/>
    <col min="13257" max="13257" width="108.88671875" style="5" customWidth="1"/>
    <col min="13258" max="13258" width="14.44140625" style="5" customWidth="1"/>
    <col min="13259" max="13267" width="6.6640625" style="5" customWidth="1"/>
    <col min="13268" max="13274" width="8.88671875" style="5"/>
    <col min="13275" max="13276" width="6.33203125" style="5" customWidth="1"/>
    <col min="13277" max="13505" width="8.88671875" style="5"/>
    <col min="13506" max="13506" width="18.109375" style="5" customWidth="1"/>
    <col min="13507" max="13507" width="18.33203125" style="5" customWidth="1"/>
    <col min="13508" max="13510" width="13" style="5" customWidth="1"/>
    <col min="13511" max="13512" width="18.88671875" style="5" customWidth="1"/>
    <col min="13513" max="13513" width="108.88671875" style="5" customWidth="1"/>
    <col min="13514" max="13514" width="14.44140625" style="5" customWidth="1"/>
    <col min="13515" max="13523" width="6.6640625" style="5" customWidth="1"/>
    <col min="13524" max="13530" width="8.88671875" style="5"/>
    <col min="13531" max="13532" width="6.33203125" style="5" customWidth="1"/>
    <col min="13533" max="13761" width="8.88671875" style="5"/>
    <col min="13762" max="13762" width="18.109375" style="5" customWidth="1"/>
    <col min="13763" max="13763" width="18.33203125" style="5" customWidth="1"/>
    <col min="13764" max="13766" width="13" style="5" customWidth="1"/>
    <col min="13767" max="13768" width="18.88671875" style="5" customWidth="1"/>
    <col min="13769" max="13769" width="108.88671875" style="5" customWidth="1"/>
    <col min="13770" max="13770" width="14.44140625" style="5" customWidth="1"/>
    <col min="13771" max="13779" width="6.6640625" style="5" customWidth="1"/>
    <col min="13780" max="13786" width="8.88671875" style="5"/>
    <col min="13787" max="13788" width="6.33203125" style="5" customWidth="1"/>
    <col min="13789" max="14017" width="8.88671875" style="5"/>
    <col min="14018" max="14018" width="18.109375" style="5" customWidth="1"/>
    <col min="14019" max="14019" width="18.33203125" style="5" customWidth="1"/>
    <col min="14020" max="14022" width="13" style="5" customWidth="1"/>
    <col min="14023" max="14024" width="18.88671875" style="5" customWidth="1"/>
    <col min="14025" max="14025" width="108.88671875" style="5" customWidth="1"/>
    <col min="14026" max="14026" width="14.44140625" style="5" customWidth="1"/>
    <col min="14027" max="14035" width="6.6640625" style="5" customWidth="1"/>
    <col min="14036" max="14042" width="8.88671875" style="5"/>
    <col min="14043" max="14044" width="6.33203125" style="5" customWidth="1"/>
    <col min="14045" max="14273" width="8.88671875" style="5"/>
    <col min="14274" max="14274" width="18.109375" style="5" customWidth="1"/>
    <col min="14275" max="14275" width="18.33203125" style="5" customWidth="1"/>
    <col min="14276" max="14278" width="13" style="5" customWidth="1"/>
    <col min="14279" max="14280" width="18.88671875" style="5" customWidth="1"/>
    <col min="14281" max="14281" width="108.88671875" style="5" customWidth="1"/>
    <col min="14282" max="14282" width="14.44140625" style="5" customWidth="1"/>
    <col min="14283" max="14291" width="6.6640625" style="5" customWidth="1"/>
    <col min="14292" max="14298" width="8.88671875" style="5"/>
    <col min="14299" max="14300" width="6.33203125" style="5" customWidth="1"/>
    <col min="14301" max="14529" width="8.88671875" style="5"/>
    <col min="14530" max="14530" width="18.109375" style="5" customWidth="1"/>
    <col min="14531" max="14531" width="18.33203125" style="5" customWidth="1"/>
    <col min="14532" max="14534" width="13" style="5" customWidth="1"/>
    <col min="14535" max="14536" width="18.88671875" style="5" customWidth="1"/>
    <col min="14537" max="14537" width="108.88671875" style="5" customWidth="1"/>
    <col min="14538" max="14538" width="14.44140625" style="5" customWidth="1"/>
    <col min="14539" max="14547" width="6.6640625" style="5" customWidth="1"/>
    <col min="14548" max="14554" width="8.88671875" style="5"/>
    <col min="14555" max="14556" width="6.33203125" style="5" customWidth="1"/>
    <col min="14557" max="14785" width="8.88671875" style="5"/>
    <col min="14786" max="14786" width="18.109375" style="5" customWidth="1"/>
    <col min="14787" max="14787" width="18.33203125" style="5" customWidth="1"/>
    <col min="14788" max="14790" width="13" style="5" customWidth="1"/>
    <col min="14791" max="14792" width="18.88671875" style="5" customWidth="1"/>
    <col min="14793" max="14793" width="108.88671875" style="5" customWidth="1"/>
    <col min="14794" max="14794" width="14.44140625" style="5" customWidth="1"/>
    <col min="14795" max="14803" width="6.6640625" style="5" customWidth="1"/>
    <col min="14804" max="14810" width="8.88671875" style="5"/>
    <col min="14811" max="14812" width="6.33203125" style="5" customWidth="1"/>
    <col min="14813" max="15041" width="8.88671875" style="5"/>
    <col min="15042" max="15042" width="18.109375" style="5" customWidth="1"/>
    <col min="15043" max="15043" width="18.33203125" style="5" customWidth="1"/>
    <col min="15044" max="15046" width="13" style="5" customWidth="1"/>
    <col min="15047" max="15048" width="18.88671875" style="5" customWidth="1"/>
    <col min="15049" max="15049" width="108.88671875" style="5" customWidth="1"/>
    <col min="15050" max="15050" width="14.44140625" style="5" customWidth="1"/>
    <col min="15051" max="15059" width="6.6640625" style="5" customWidth="1"/>
    <col min="15060" max="15066" width="8.88671875" style="5"/>
    <col min="15067" max="15068" width="6.33203125" style="5" customWidth="1"/>
    <col min="15069" max="15297" width="8.88671875" style="5"/>
    <col min="15298" max="15298" width="18.109375" style="5" customWidth="1"/>
    <col min="15299" max="15299" width="18.33203125" style="5" customWidth="1"/>
    <col min="15300" max="15302" width="13" style="5" customWidth="1"/>
    <col min="15303" max="15304" width="18.88671875" style="5" customWidth="1"/>
    <col min="15305" max="15305" width="108.88671875" style="5" customWidth="1"/>
    <col min="15306" max="15306" width="14.44140625" style="5" customWidth="1"/>
    <col min="15307" max="15315" width="6.6640625" style="5" customWidth="1"/>
    <col min="15316" max="15322" width="8.88671875" style="5"/>
    <col min="15323" max="15324" width="6.33203125" style="5" customWidth="1"/>
    <col min="15325" max="15553" width="8.88671875" style="5"/>
    <col min="15554" max="15554" width="18.109375" style="5" customWidth="1"/>
    <col min="15555" max="15555" width="18.33203125" style="5" customWidth="1"/>
    <col min="15556" max="15558" width="13" style="5" customWidth="1"/>
    <col min="15559" max="15560" width="18.88671875" style="5" customWidth="1"/>
    <col min="15561" max="15561" width="108.88671875" style="5" customWidth="1"/>
    <col min="15562" max="15562" width="14.44140625" style="5" customWidth="1"/>
    <col min="15563" max="15571" width="6.6640625" style="5" customWidth="1"/>
    <col min="15572" max="15578" width="8.88671875" style="5"/>
    <col min="15579" max="15580" width="6.33203125" style="5" customWidth="1"/>
    <col min="15581" max="15809" width="8.88671875" style="5"/>
    <col min="15810" max="15810" width="18.109375" style="5" customWidth="1"/>
    <col min="15811" max="15811" width="18.33203125" style="5" customWidth="1"/>
    <col min="15812" max="15814" width="13" style="5" customWidth="1"/>
    <col min="15815" max="15816" width="18.88671875" style="5" customWidth="1"/>
    <col min="15817" max="15817" width="108.88671875" style="5" customWidth="1"/>
    <col min="15818" max="15818" width="14.44140625" style="5" customWidth="1"/>
    <col min="15819" max="15827" width="6.6640625" style="5" customWidth="1"/>
    <col min="15828" max="15834" width="8.88671875" style="5"/>
    <col min="15835" max="15836" width="6.33203125" style="5" customWidth="1"/>
    <col min="15837" max="16065" width="8.88671875" style="5"/>
    <col min="16066" max="16066" width="18.109375" style="5" customWidth="1"/>
    <col min="16067" max="16067" width="18.33203125" style="5" customWidth="1"/>
    <col min="16068" max="16070" width="13" style="5" customWidth="1"/>
    <col min="16071" max="16072" width="18.88671875" style="5" customWidth="1"/>
    <col min="16073" max="16073" width="108.88671875" style="5" customWidth="1"/>
    <col min="16074" max="16074" width="14.44140625" style="5" customWidth="1"/>
    <col min="16075" max="16083" width="6.6640625" style="5" customWidth="1"/>
    <col min="16084" max="16090" width="8.88671875" style="5"/>
    <col min="16091" max="16092" width="6.33203125" style="5" customWidth="1"/>
    <col min="16093" max="16383" width="8.88671875" style="5"/>
    <col min="16384" max="16384" width="9.109375" style="5" customWidth="1"/>
  </cols>
  <sheetData>
    <row r="1" spans="1:13" s="14" customFormat="1" ht="42.75" customHeight="1" x14ac:dyDescent="0.25">
      <c r="A1" s="31" t="s">
        <v>244</v>
      </c>
      <c r="B1" s="39" t="s">
        <v>542</v>
      </c>
      <c r="C1" s="39" t="s">
        <v>5</v>
      </c>
      <c r="D1" s="39" t="s">
        <v>422</v>
      </c>
      <c r="E1" s="39" t="s">
        <v>423</v>
      </c>
      <c r="F1" s="31" t="s">
        <v>90</v>
      </c>
      <c r="G1" s="39" t="s">
        <v>424</v>
      </c>
      <c r="H1" s="31" t="s">
        <v>425</v>
      </c>
      <c r="I1" s="39" t="s">
        <v>2801</v>
      </c>
      <c r="J1" s="39" t="s">
        <v>245</v>
      </c>
      <c r="K1" s="73" t="s">
        <v>1733</v>
      </c>
      <c r="L1" s="73" t="s">
        <v>1734</v>
      </c>
      <c r="M1" s="73" t="s">
        <v>2961</v>
      </c>
    </row>
    <row r="2" spans="1:13" s="14" customFormat="1" ht="21.75" customHeight="1" x14ac:dyDescent="0.25">
      <c r="A2" s="28">
        <v>1</v>
      </c>
      <c r="B2" s="30">
        <v>2</v>
      </c>
      <c r="C2" s="30">
        <v>3</v>
      </c>
      <c r="D2" s="30">
        <v>4</v>
      </c>
      <c r="E2" s="30">
        <v>5</v>
      </c>
      <c r="F2" s="28">
        <v>6</v>
      </c>
      <c r="G2" s="30">
        <v>7</v>
      </c>
      <c r="H2" s="28">
        <v>8</v>
      </c>
      <c r="I2" s="30">
        <v>9</v>
      </c>
      <c r="J2" s="30">
        <v>10</v>
      </c>
      <c r="K2" s="74">
        <v>11</v>
      </c>
      <c r="L2" s="74">
        <v>12</v>
      </c>
      <c r="M2" s="74">
        <v>13</v>
      </c>
    </row>
    <row r="3" spans="1:13" customFormat="1" ht="30" hidden="1" customHeight="1" x14ac:dyDescent="0.25">
      <c r="A3" s="41" t="s">
        <v>2962</v>
      </c>
      <c r="B3" s="25" t="s">
        <v>3104</v>
      </c>
      <c r="C3" s="29" t="s">
        <v>664</v>
      </c>
      <c r="D3" s="29" t="s">
        <v>666</v>
      </c>
      <c r="E3" s="25" t="s">
        <v>3123</v>
      </c>
      <c r="F3" s="26" t="s">
        <v>662</v>
      </c>
      <c r="G3" s="27" t="s">
        <v>3134</v>
      </c>
      <c r="H3" s="27" t="s">
        <v>3134</v>
      </c>
      <c r="I3" s="27"/>
      <c r="J3" s="27" t="s">
        <v>1037</v>
      </c>
      <c r="K3" s="106" t="str">
        <f t="shared" ref="K3" si="0">LEFT(F3, 1)</f>
        <v>С</v>
      </c>
      <c r="L3" s="106" t="str">
        <f t="shared" ref="L3" si="1">IF(C3="очная","Д",IF(C3="Очно-заочная","В",IF(C3="Заочная","З","-")))</f>
        <v>Д</v>
      </c>
      <c r="M3" s="107" t="str">
        <f>CONCATENATE(H3,IF(D3="Русский","",CONCATENATE(" (",D3," язык)")),IF(I3&gt;0,CONCATENATE(" (Вуз-партнёр - ",I3,")"),""))</f>
        <v>Биоинженерия и биоинформатика</v>
      </c>
    </row>
    <row r="4" spans="1:13" customFormat="1" ht="30" hidden="1" customHeight="1" x14ac:dyDescent="0.25">
      <c r="A4" s="41" t="s">
        <v>1038</v>
      </c>
      <c r="B4" s="25" t="s">
        <v>1039</v>
      </c>
      <c r="C4" s="29" t="s">
        <v>664</v>
      </c>
      <c r="D4" s="29" t="s">
        <v>666</v>
      </c>
      <c r="E4" s="25" t="s">
        <v>3123</v>
      </c>
      <c r="F4" s="26" t="s">
        <v>662</v>
      </c>
      <c r="G4" s="27" t="s">
        <v>438</v>
      </c>
      <c r="H4" s="27" t="s">
        <v>438</v>
      </c>
      <c r="I4" s="27"/>
      <c r="J4" s="27" t="s">
        <v>1037</v>
      </c>
      <c r="K4" s="106" t="str">
        <f t="shared" ref="K4:K67" si="2">LEFT(F4, 1)</f>
        <v>С</v>
      </c>
      <c r="L4" s="106" t="str">
        <f t="shared" ref="L4:L67" si="3">IF(C4="очная","Д",IF(C4="Очно-заочная","В",IF(C4="Заочная","З","-")))</f>
        <v>Д</v>
      </c>
      <c r="M4" s="107" t="str">
        <f t="shared" ref="M4:M67" si="4">CONCATENATE(H4,IF(D4="Русский","",CONCATENATE(" (",D4," язык)")),IF(I4&gt;0,CONCATENATE(" (Вуз-партнёр - ",I4,")"),""))</f>
        <v>Ветеринария</v>
      </c>
    </row>
    <row r="5" spans="1:13" customFormat="1" ht="30" hidden="1" customHeight="1" x14ac:dyDescent="0.25">
      <c r="A5" s="41" t="s">
        <v>1040</v>
      </c>
      <c r="B5" s="25" t="s">
        <v>1039</v>
      </c>
      <c r="C5" s="29" t="s">
        <v>664</v>
      </c>
      <c r="D5" s="29" t="s">
        <v>1730</v>
      </c>
      <c r="E5" s="25" t="s">
        <v>3123</v>
      </c>
      <c r="F5" s="26" t="s">
        <v>662</v>
      </c>
      <c r="G5" s="27" t="s">
        <v>438</v>
      </c>
      <c r="H5" s="27" t="s">
        <v>438</v>
      </c>
      <c r="I5" s="27"/>
      <c r="J5" s="27" t="s">
        <v>1037</v>
      </c>
      <c r="K5" s="106" t="str">
        <f t="shared" si="2"/>
        <v>С</v>
      </c>
      <c r="L5" s="106" t="str">
        <f t="shared" si="3"/>
        <v>Д</v>
      </c>
      <c r="M5" s="107" t="str">
        <f t="shared" si="4"/>
        <v>Ветеринария (Английский язык)</v>
      </c>
    </row>
    <row r="6" spans="1:13" customFormat="1" ht="30" hidden="1" customHeight="1" x14ac:dyDescent="0.25">
      <c r="A6" s="41" t="s">
        <v>2050</v>
      </c>
      <c r="B6" s="25" t="s">
        <v>1039</v>
      </c>
      <c r="C6" s="29" t="s">
        <v>664</v>
      </c>
      <c r="D6" s="29" t="s">
        <v>666</v>
      </c>
      <c r="E6" s="25" t="s">
        <v>3123</v>
      </c>
      <c r="F6" s="26" t="s">
        <v>662</v>
      </c>
      <c r="G6" s="27" t="s">
        <v>438</v>
      </c>
      <c r="H6" s="27" t="s">
        <v>2051</v>
      </c>
      <c r="I6" s="27"/>
      <c r="J6" s="27" t="s">
        <v>1037</v>
      </c>
      <c r="K6" s="106" t="str">
        <f t="shared" si="2"/>
        <v>С</v>
      </c>
      <c r="L6" s="106" t="str">
        <f t="shared" si="3"/>
        <v>Д</v>
      </c>
      <c r="M6" s="107" t="str">
        <f t="shared" si="4"/>
        <v>Ветеринарная фармация</v>
      </c>
    </row>
    <row r="7" spans="1:13" customFormat="1" ht="30" hidden="1" customHeight="1" x14ac:dyDescent="0.25">
      <c r="A7" s="41" t="s">
        <v>2052</v>
      </c>
      <c r="B7" s="25" t="s">
        <v>1039</v>
      </c>
      <c r="C7" s="29" t="s">
        <v>664</v>
      </c>
      <c r="D7" s="29" t="s">
        <v>666</v>
      </c>
      <c r="E7" s="25" t="s">
        <v>3123</v>
      </c>
      <c r="F7" s="26" t="s">
        <v>662</v>
      </c>
      <c r="G7" s="27" t="s">
        <v>438</v>
      </c>
      <c r="H7" s="27" t="s">
        <v>2053</v>
      </c>
      <c r="I7" s="27"/>
      <c r="J7" s="27" t="s">
        <v>1037</v>
      </c>
      <c r="K7" s="106" t="str">
        <f t="shared" si="2"/>
        <v>С</v>
      </c>
      <c r="L7" s="106" t="str">
        <f t="shared" si="3"/>
        <v>Д</v>
      </c>
      <c r="M7" s="107" t="str">
        <f t="shared" si="4"/>
        <v>Клиническая ветеринария</v>
      </c>
    </row>
    <row r="8" spans="1:13" customFormat="1" ht="30" hidden="1" customHeight="1" x14ac:dyDescent="0.25">
      <c r="A8" s="41" t="s">
        <v>2054</v>
      </c>
      <c r="B8" s="25" t="s">
        <v>1039</v>
      </c>
      <c r="C8" s="29" t="s">
        <v>664</v>
      </c>
      <c r="D8" s="29" t="s">
        <v>666</v>
      </c>
      <c r="E8" s="25" t="s">
        <v>3123</v>
      </c>
      <c r="F8" s="26" t="s">
        <v>662</v>
      </c>
      <c r="G8" s="27" t="s">
        <v>438</v>
      </c>
      <c r="H8" s="27" t="s">
        <v>2055</v>
      </c>
      <c r="I8" s="27"/>
      <c r="J8" s="27" t="s">
        <v>1037</v>
      </c>
      <c r="K8" s="106" t="str">
        <f t="shared" si="2"/>
        <v>С</v>
      </c>
      <c r="L8" s="106" t="str">
        <f t="shared" si="3"/>
        <v>Д</v>
      </c>
      <c r="M8" s="107" t="str">
        <f t="shared" si="4"/>
        <v>Ветеринарно-санитарный надзор</v>
      </c>
    </row>
    <row r="9" spans="1:13" customFormat="1" ht="30" hidden="1" customHeight="1" x14ac:dyDescent="0.25">
      <c r="A9" s="41" t="s">
        <v>2963</v>
      </c>
      <c r="B9" s="25" t="s">
        <v>1039</v>
      </c>
      <c r="C9" s="29" t="s">
        <v>664</v>
      </c>
      <c r="D9" s="29" t="s">
        <v>666</v>
      </c>
      <c r="E9" s="25" t="s">
        <v>3123</v>
      </c>
      <c r="F9" s="26" t="s">
        <v>662</v>
      </c>
      <c r="G9" s="27" t="s">
        <v>438</v>
      </c>
      <c r="H9" s="27" t="s">
        <v>438</v>
      </c>
      <c r="I9" s="27" t="s">
        <v>3135</v>
      </c>
      <c r="J9" s="27" t="s">
        <v>1037</v>
      </c>
      <c r="K9" s="106" t="str">
        <f t="shared" si="2"/>
        <v>С</v>
      </c>
      <c r="L9" s="106" t="str">
        <f t="shared" si="3"/>
        <v>Д</v>
      </c>
      <c r="M9" s="107" t="str">
        <f t="shared" si="4"/>
        <v>Ветеринария (Вуз-партнёр - Казахский агротехнический исследовательский университет имени С. Сейфуллина)</v>
      </c>
    </row>
    <row r="10" spans="1:13" customFormat="1" ht="30" hidden="1" customHeight="1" x14ac:dyDescent="0.25">
      <c r="A10" s="41" t="s">
        <v>1069</v>
      </c>
      <c r="B10" s="25" t="s">
        <v>1039</v>
      </c>
      <c r="C10" s="29" t="s">
        <v>663</v>
      </c>
      <c r="D10" s="29" t="s">
        <v>666</v>
      </c>
      <c r="E10" s="25" t="s">
        <v>3124</v>
      </c>
      <c r="F10" s="26" t="s">
        <v>662</v>
      </c>
      <c r="G10" s="27" t="s">
        <v>438</v>
      </c>
      <c r="H10" s="27" t="s">
        <v>438</v>
      </c>
      <c r="I10" s="27"/>
      <c r="J10" s="27" t="s">
        <v>1037</v>
      </c>
      <c r="K10" s="106" t="str">
        <f t="shared" si="2"/>
        <v>С</v>
      </c>
      <c r="L10" s="106" t="str">
        <f t="shared" si="3"/>
        <v>В</v>
      </c>
      <c r="M10" s="107" t="str">
        <f t="shared" si="4"/>
        <v>Ветеринария</v>
      </c>
    </row>
    <row r="11" spans="1:13" customFormat="1" ht="30" hidden="1" customHeight="1" x14ac:dyDescent="0.25">
      <c r="A11" s="41" t="s">
        <v>1079</v>
      </c>
      <c r="B11" s="25" t="s">
        <v>1039</v>
      </c>
      <c r="C11" s="29" t="s">
        <v>665</v>
      </c>
      <c r="D11" s="29" t="s">
        <v>666</v>
      </c>
      <c r="E11" s="25" t="s">
        <v>3124</v>
      </c>
      <c r="F11" s="26" t="s">
        <v>662</v>
      </c>
      <c r="G11" s="27" t="s">
        <v>438</v>
      </c>
      <c r="H11" s="27" t="s">
        <v>438</v>
      </c>
      <c r="I11" s="27"/>
      <c r="J11" s="27" t="s">
        <v>1037</v>
      </c>
      <c r="K11" s="106" t="str">
        <f t="shared" si="2"/>
        <v>С</v>
      </c>
      <c r="L11" s="106" t="str">
        <f t="shared" si="3"/>
        <v>З</v>
      </c>
      <c r="M11" s="107" t="str">
        <f t="shared" si="4"/>
        <v>Ветеринария</v>
      </c>
    </row>
    <row r="12" spans="1:13" customFormat="1" ht="30" hidden="1" customHeight="1" x14ac:dyDescent="0.25">
      <c r="A12" s="41" t="s">
        <v>1041</v>
      </c>
      <c r="B12" s="25" t="s">
        <v>1042</v>
      </c>
      <c r="C12" s="29" t="s">
        <v>664</v>
      </c>
      <c r="D12" s="29" t="s">
        <v>666</v>
      </c>
      <c r="E12" s="25" t="s">
        <v>1732</v>
      </c>
      <c r="F12" s="26" t="s">
        <v>113</v>
      </c>
      <c r="G12" s="27" t="s">
        <v>258</v>
      </c>
      <c r="H12" s="27" t="s">
        <v>258</v>
      </c>
      <c r="I12" s="27"/>
      <c r="J12" s="27" t="s">
        <v>1037</v>
      </c>
      <c r="K12" s="106" t="str">
        <f t="shared" si="2"/>
        <v>Б</v>
      </c>
      <c r="L12" s="106" t="str">
        <f t="shared" si="3"/>
        <v>Д</v>
      </c>
      <c r="M12" s="107" t="str">
        <f t="shared" si="4"/>
        <v>Землеустройство и кадастры</v>
      </c>
    </row>
    <row r="13" spans="1:13" customFormat="1" ht="30" hidden="1" customHeight="1" x14ac:dyDescent="0.25">
      <c r="A13" s="41" t="s">
        <v>1043</v>
      </c>
      <c r="B13" s="25" t="s">
        <v>1044</v>
      </c>
      <c r="C13" s="29" t="s">
        <v>664</v>
      </c>
      <c r="D13" s="29" t="s">
        <v>666</v>
      </c>
      <c r="E13" s="25" t="s">
        <v>1732</v>
      </c>
      <c r="F13" s="26" t="s">
        <v>113</v>
      </c>
      <c r="G13" s="27" t="s">
        <v>261</v>
      </c>
      <c r="H13" s="27" t="s">
        <v>261</v>
      </c>
      <c r="I13" s="27"/>
      <c r="J13" s="27" t="s">
        <v>1037</v>
      </c>
      <c r="K13" s="106" t="str">
        <f t="shared" si="2"/>
        <v>Б</v>
      </c>
      <c r="L13" s="106" t="str">
        <f t="shared" si="3"/>
        <v>Д</v>
      </c>
      <c r="M13" s="107" t="str">
        <f t="shared" si="4"/>
        <v>Стандартизация и метрология</v>
      </c>
    </row>
    <row r="14" spans="1:13" customFormat="1" ht="30" hidden="1" customHeight="1" x14ac:dyDescent="0.25">
      <c r="A14" s="41" t="s">
        <v>2056</v>
      </c>
      <c r="B14" s="25" t="s">
        <v>1044</v>
      </c>
      <c r="C14" s="29" t="s">
        <v>664</v>
      </c>
      <c r="D14" s="29" t="s">
        <v>666</v>
      </c>
      <c r="E14" s="25" t="s">
        <v>1732</v>
      </c>
      <c r="F14" s="26" t="s">
        <v>113</v>
      </c>
      <c r="G14" s="27" t="s">
        <v>261</v>
      </c>
      <c r="H14" s="27" t="s">
        <v>2057</v>
      </c>
      <c r="I14" s="27"/>
      <c r="J14" s="27" t="s">
        <v>1037</v>
      </c>
      <c r="K14" s="106" t="str">
        <f t="shared" si="2"/>
        <v>Б</v>
      </c>
      <c r="L14" s="106" t="str">
        <f t="shared" si="3"/>
        <v>Д</v>
      </c>
      <c r="M14" s="107" t="str">
        <f t="shared" si="4"/>
        <v>Международные системы контроля качества в пищевой отрасли</v>
      </c>
    </row>
    <row r="15" spans="1:13" customFormat="1" ht="30" hidden="1" customHeight="1" x14ac:dyDescent="0.25">
      <c r="A15" s="41" t="s">
        <v>2058</v>
      </c>
      <c r="B15" s="25" t="s">
        <v>1044</v>
      </c>
      <c r="C15" s="29" t="s">
        <v>664</v>
      </c>
      <c r="D15" s="29" t="s">
        <v>666</v>
      </c>
      <c r="E15" s="25" t="s">
        <v>1732</v>
      </c>
      <c r="F15" s="26" t="s">
        <v>113</v>
      </c>
      <c r="G15" s="27" t="s">
        <v>261</v>
      </c>
      <c r="H15" s="27" t="s">
        <v>2059</v>
      </c>
      <c r="I15" s="27"/>
      <c r="J15" s="27" t="s">
        <v>1037</v>
      </c>
      <c r="K15" s="106" t="str">
        <f t="shared" si="2"/>
        <v>Б</v>
      </c>
      <c r="L15" s="106" t="str">
        <f t="shared" si="3"/>
        <v>Д</v>
      </c>
      <c r="M15" s="107" t="str">
        <f t="shared" si="4"/>
        <v>Обеспечение безопасности и качества пищевой продукции</v>
      </c>
    </row>
    <row r="16" spans="1:13" customFormat="1" ht="30" hidden="1" customHeight="1" x14ac:dyDescent="0.25">
      <c r="A16" s="41" t="s">
        <v>2089</v>
      </c>
      <c r="B16" s="25" t="s">
        <v>1046</v>
      </c>
      <c r="C16" s="29" t="s">
        <v>664</v>
      </c>
      <c r="D16" s="29" t="s">
        <v>666</v>
      </c>
      <c r="E16" s="25" t="s">
        <v>1732</v>
      </c>
      <c r="F16" s="26" t="s">
        <v>113</v>
      </c>
      <c r="G16" s="27" t="s">
        <v>256</v>
      </c>
      <c r="H16" s="27" t="s">
        <v>2090</v>
      </c>
      <c r="I16" s="27"/>
      <c r="J16" s="27" t="s">
        <v>1037</v>
      </c>
      <c r="K16" s="106" t="str">
        <f t="shared" si="2"/>
        <v>Б</v>
      </c>
      <c r="L16" s="106" t="str">
        <f t="shared" si="3"/>
        <v>Д</v>
      </c>
      <c r="M16" s="107" t="str">
        <f t="shared" si="4"/>
        <v>Интенсивные ресурсосберегающие технологии возделывания сельскохозяйственных культур</v>
      </c>
    </row>
    <row r="17" spans="1:13" customFormat="1" ht="30" hidden="1" customHeight="1" x14ac:dyDescent="0.25">
      <c r="A17" s="41" t="s">
        <v>1045</v>
      </c>
      <c r="B17" s="25" t="s">
        <v>1046</v>
      </c>
      <c r="C17" s="29" t="s">
        <v>664</v>
      </c>
      <c r="D17" s="29" t="s">
        <v>666</v>
      </c>
      <c r="E17" s="25" t="s">
        <v>1732</v>
      </c>
      <c r="F17" s="26" t="s">
        <v>113</v>
      </c>
      <c r="G17" s="27" t="s">
        <v>256</v>
      </c>
      <c r="H17" s="27" t="s">
        <v>256</v>
      </c>
      <c r="I17" s="27"/>
      <c r="J17" s="27" t="s">
        <v>1037</v>
      </c>
      <c r="K17" s="106" t="str">
        <f t="shared" si="2"/>
        <v>Б</v>
      </c>
      <c r="L17" s="106" t="str">
        <f t="shared" si="3"/>
        <v>Д</v>
      </c>
      <c r="M17" s="107" t="str">
        <f t="shared" si="4"/>
        <v>Агрономия</v>
      </c>
    </row>
    <row r="18" spans="1:13" customFormat="1" ht="30" hidden="1" customHeight="1" x14ac:dyDescent="0.25">
      <c r="A18" s="41" t="s">
        <v>2932</v>
      </c>
      <c r="B18" s="25" t="s">
        <v>1046</v>
      </c>
      <c r="C18" s="29" t="s">
        <v>664</v>
      </c>
      <c r="D18" s="29" t="s">
        <v>666</v>
      </c>
      <c r="E18" s="25" t="s">
        <v>1732</v>
      </c>
      <c r="F18" s="26" t="s">
        <v>113</v>
      </c>
      <c r="G18" s="27" t="s">
        <v>256</v>
      </c>
      <c r="H18" s="27" t="s">
        <v>2933</v>
      </c>
      <c r="I18" s="27"/>
      <c r="J18" s="27" t="s">
        <v>1037</v>
      </c>
      <c r="K18" s="106" t="str">
        <f t="shared" si="2"/>
        <v>Б</v>
      </c>
      <c r="L18" s="106" t="str">
        <f t="shared" si="3"/>
        <v>Д</v>
      </c>
      <c r="M18" s="107" t="str">
        <f t="shared" si="4"/>
        <v>Биотехнология растений</v>
      </c>
    </row>
    <row r="19" spans="1:13" customFormat="1" ht="30" hidden="1" customHeight="1" x14ac:dyDescent="0.25">
      <c r="A19" s="41" t="s">
        <v>1047</v>
      </c>
      <c r="B19" s="25" t="s">
        <v>1048</v>
      </c>
      <c r="C19" s="29" t="s">
        <v>664</v>
      </c>
      <c r="D19" s="29" t="s">
        <v>666</v>
      </c>
      <c r="E19" s="25" t="s">
        <v>1732</v>
      </c>
      <c r="F19" s="26" t="s">
        <v>113</v>
      </c>
      <c r="G19" s="27" t="s">
        <v>260</v>
      </c>
      <c r="H19" s="27" t="s">
        <v>260</v>
      </c>
      <c r="I19" s="27"/>
      <c r="J19" s="27" t="s">
        <v>1037</v>
      </c>
      <c r="K19" s="106" t="str">
        <f t="shared" si="2"/>
        <v>Б</v>
      </c>
      <c r="L19" s="106" t="str">
        <f t="shared" si="3"/>
        <v>Д</v>
      </c>
      <c r="M19" s="107" t="str">
        <f t="shared" si="4"/>
        <v>Ландшафтная архитектура</v>
      </c>
    </row>
    <row r="20" spans="1:13" s="105" customFormat="1" ht="30" hidden="1" customHeight="1" x14ac:dyDescent="0.25">
      <c r="A20" s="41" t="s">
        <v>1049</v>
      </c>
      <c r="B20" s="25" t="s">
        <v>1050</v>
      </c>
      <c r="C20" s="29" t="s">
        <v>664</v>
      </c>
      <c r="D20" s="29" t="s">
        <v>666</v>
      </c>
      <c r="E20" s="25" t="s">
        <v>1732</v>
      </c>
      <c r="F20" s="26" t="s">
        <v>113</v>
      </c>
      <c r="G20" s="27" t="s">
        <v>263</v>
      </c>
      <c r="H20" s="27" t="s">
        <v>263</v>
      </c>
      <c r="I20" s="27"/>
      <c r="J20" s="27" t="s">
        <v>1037</v>
      </c>
      <c r="K20" s="106" t="str">
        <f t="shared" si="2"/>
        <v>Б</v>
      </c>
      <c r="L20" s="106" t="str">
        <f t="shared" si="3"/>
        <v>Д</v>
      </c>
      <c r="M20" s="107" t="str">
        <f t="shared" si="4"/>
        <v>Ветеринарно-санитарная экспертиза</v>
      </c>
    </row>
    <row r="21" spans="1:13" customFormat="1" ht="30" hidden="1" customHeight="1" x14ac:dyDescent="0.25">
      <c r="A21" s="41" t="s">
        <v>2084</v>
      </c>
      <c r="B21" s="25" t="s">
        <v>1291</v>
      </c>
      <c r="C21" s="29" t="s">
        <v>664</v>
      </c>
      <c r="D21" s="29" t="s">
        <v>666</v>
      </c>
      <c r="E21" s="25" t="s">
        <v>1732</v>
      </c>
      <c r="F21" s="26" t="s">
        <v>113</v>
      </c>
      <c r="G21" s="27" t="s">
        <v>123</v>
      </c>
      <c r="H21" s="27" t="s">
        <v>136</v>
      </c>
      <c r="I21" s="27"/>
      <c r="J21" s="27" t="s">
        <v>1037</v>
      </c>
      <c r="K21" s="106" t="str">
        <f t="shared" si="2"/>
        <v>Б</v>
      </c>
      <c r="L21" s="106" t="str">
        <f t="shared" si="3"/>
        <v>Д</v>
      </c>
      <c r="M21" s="107" t="str">
        <f t="shared" si="4"/>
        <v>Экономика недвижимости в АПК</v>
      </c>
    </row>
    <row r="22" spans="1:13" s="105" customFormat="1" ht="30" hidden="1" customHeight="1" x14ac:dyDescent="0.25">
      <c r="A22" s="41" t="s">
        <v>2085</v>
      </c>
      <c r="B22" s="25" t="s">
        <v>1291</v>
      </c>
      <c r="C22" s="29" t="s">
        <v>664</v>
      </c>
      <c r="D22" s="29" t="s">
        <v>666</v>
      </c>
      <c r="E22" s="25" t="s">
        <v>1732</v>
      </c>
      <c r="F22" s="26" t="s">
        <v>113</v>
      </c>
      <c r="G22" s="27" t="s">
        <v>123</v>
      </c>
      <c r="H22" s="27" t="s">
        <v>2086</v>
      </c>
      <c r="I22" s="27"/>
      <c r="J22" s="27" t="s">
        <v>1037</v>
      </c>
      <c r="K22" s="106" t="str">
        <f t="shared" si="2"/>
        <v>Б</v>
      </c>
      <c r="L22" s="106" t="str">
        <f t="shared" si="3"/>
        <v>Д</v>
      </c>
      <c r="M22" s="107" t="str">
        <f t="shared" si="4"/>
        <v>Экономика предприятия и предпринимательства в АПК</v>
      </c>
    </row>
    <row r="23" spans="1:13" customFormat="1" ht="30" hidden="1" customHeight="1" x14ac:dyDescent="0.25">
      <c r="A23" s="41" t="s">
        <v>2087</v>
      </c>
      <c r="B23" s="25" t="s">
        <v>1291</v>
      </c>
      <c r="C23" s="29" t="s">
        <v>664</v>
      </c>
      <c r="D23" s="29" t="s">
        <v>666</v>
      </c>
      <c r="E23" s="25" t="s">
        <v>1732</v>
      </c>
      <c r="F23" s="26" t="s">
        <v>113</v>
      </c>
      <c r="G23" s="27" t="s">
        <v>123</v>
      </c>
      <c r="H23" s="27" t="s">
        <v>2088</v>
      </c>
      <c r="I23" s="27"/>
      <c r="J23" s="27" t="s">
        <v>1037</v>
      </c>
      <c r="K23" s="106" t="str">
        <f t="shared" si="2"/>
        <v>Б</v>
      </c>
      <c r="L23" s="106" t="str">
        <f t="shared" si="3"/>
        <v>Д</v>
      </c>
      <c r="M23" s="107" t="str">
        <f t="shared" si="4"/>
        <v>Экономика АПК</v>
      </c>
    </row>
    <row r="24" spans="1:13" s="105" customFormat="1" ht="30" hidden="1" customHeight="1" x14ac:dyDescent="0.25">
      <c r="A24" s="41" t="s">
        <v>1070</v>
      </c>
      <c r="B24" s="25" t="s">
        <v>1042</v>
      </c>
      <c r="C24" s="29" t="s">
        <v>663</v>
      </c>
      <c r="D24" s="29" t="s">
        <v>666</v>
      </c>
      <c r="E24" s="25" t="s">
        <v>3125</v>
      </c>
      <c r="F24" s="26" t="s">
        <v>113</v>
      </c>
      <c r="G24" s="27" t="s">
        <v>258</v>
      </c>
      <c r="H24" s="27" t="s">
        <v>258</v>
      </c>
      <c r="I24" s="27"/>
      <c r="J24" s="27" t="s">
        <v>1037</v>
      </c>
      <c r="K24" s="106" t="str">
        <f t="shared" si="2"/>
        <v>Б</v>
      </c>
      <c r="L24" s="106" t="str">
        <f t="shared" si="3"/>
        <v>В</v>
      </c>
      <c r="M24" s="107" t="str">
        <f t="shared" si="4"/>
        <v>Землеустройство и кадастры</v>
      </c>
    </row>
    <row r="25" spans="1:13" customFormat="1" ht="30" hidden="1" customHeight="1" x14ac:dyDescent="0.25">
      <c r="A25" s="41" t="s">
        <v>1071</v>
      </c>
      <c r="B25" s="25" t="s">
        <v>1044</v>
      </c>
      <c r="C25" s="29" t="s">
        <v>663</v>
      </c>
      <c r="D25" s="29" t="s">
        <v>666</v>
      </c>
      <c r="E25" s="25" t="s">
        <v>3125</v>
      </c>
      <c r="F25" s="26" t="s">
        <v>113</v>
      </c>
      <c r="G25" s="27" t="s">
        <v>261</v>
      </c>
      <c r="H25" s="27" t="s">
        <v>261</v>
      </c>
      <c r="I25" s="27"/>
      <c r="J25" s="27" t="s">
        <v>1037</v>
      </c>
      <c r="K25" s="106" t="str">
        <f t="shared" si="2"/>
        <v>Б</v>
      </c>
      <c r="L25" s="106" t="str">
        <f t="shared" si="3"/>
        <v>В</v>
      </c>
      <c r="M25" s="107" t="str">
        <f t="shared" si="4"/>
        <v>Стандартизация и метрология</v>
      </c>
    </row>
    <row r="26" spans="1:13" customFormat="1" ht="30" hidden="1" customHeight="1" x14ac:dyDescent="0.25">
      <c r="A26" s="41" t="s">
        <v>1072</v>
      </c>
      <c r="B26" s="25" t="s">
        <v>1046</v>
      </c>
      <c r="C26" s="29" t="s">
        <v>663</v>
      </c>
      <c r="D26" s="29" t="s">
        <v>666</v>
      </c>
      <c r="E26" s="25" t="s">
        <v>3125</v>
      </c>
      <c r="F26" s="26" t="s">
        <v>113</v>
      </c>
      <c r="G26" s="27" t="s">
        <v>256</v>
      </c>
      <c r="H26" s="27" t="s">
        <v>256</v>
      </c>
      <c r="I26" s="27"/>
      <c r="J26" s="27" t="s">
        <v>1037</v>
      </c>
      <c r="K26" s="106" t="str">
        <f t="shared" si="2"/>
        <v>Б</v>
      </c>
      <c r="L26" s="106" t="str">
        <f t="shared" si="3"/>
        <v>В</v>
      </c>
      <c r="M26" s="107" t="str">
        <f t="shared" si="4"/>
        <v>Агрономия</v>
      </c>
    </row>
    <row r="27" spans="1:13" customFormat="1" ht="30" hidden="1" customHeight="1" x14ac:dyDescent="0.25">
      <c r="A27" s="41" t="s">
        <v>2934</v>
      </c>
      <c r="B27" s="25" t="s">
        <v>1046</v>
      </c>
      <c r="C27" s="29" t="s">
        <v>663</v>
      </c>
      <c r="D27" s="29" t="s">
        <v>666</v>
      </c>
      <c r="E27" s="25" t="s">
        <v>3125</v>
      </c>
      <c r="F27" s="26" t="s">
        <v>113</v>
      </c>
      <c r="G27" s="27" t="s">
        <v>256</v>
      </c>
      <c r="H27" s="27" t="s">
        <v>2933</v>
      </c>
      <c r="I27" s="27"/>
      <c r="J27" s="27" t="s">
        <v>1037</v>
      </c>
      <c r="K27" s="106" t="str">
        <f t="shared" si="2"/>
        <v>Б</v>
      </c>
      <c r="L27" s="106" t="str">
        <f t="shared" si="3"/>
        <v>В</v>
      </c>
      <c r="M27" s="107" t="str">
        <f t="shared" si="4"/>
        <v>Биотехнология растений</v>
      </c>
    </row>
    <row r="28" spans="1:13" customFormat="1" ht="30" hidden="1" customHeight="1" x14ac:dyDescent="0.25">
      <c r="A28" s="41" t="s">
        <v>1073</v>
      </c>
      <c r="B28" s="25" t="s">
        <v>1048</v>
      </c>
      <c r="C28" s="29" t="s">
        <v>663</v>
      </c>
      <c r="D28" s="29" t="s">
        <v>666</v>
      </c>
      <c r="E28" s="25" t="s">
        <v>3125</v>
      </c>
      <c r="F28" s="26" t="s">
        <v>113</v>
      </c>
      <c r="G28" s="27" t="s">
        <v>260</v>
      </c>
      <c r="H28" s="27" t="s">
        <v>260</v>
      </c>
      <c r="I28" s="27"/>
      <c r="J28" s="27" t="s">
        <v>1037</v>
      </c>
      <c r="K28" s="106" t="str">
        <f t="shared" si="2"/>
        <v>Б</v>
      </c>
      <c r="L28" s="106" t="str">
        <f t="shared" si="3"/>
        <v>В</v>
      </c>
      <c r="M28" s="107" t="str">
        <f t="shared" si="4"/>
        <v>Ландшафтная архитектура</v>
      </c>
    </row>
    <row r="29" spans="1:13" customFormat="1" ht="30" hidden="1" customHeight="1" x14ac:dyDescent="0.25">
      <c r="A29" s="41" t="s">
        <v>1074</v>
      </c>
      <c r="B29" s="25" t="s">
        <v>1050</v>
      </c>
      <c r="C29" s="29" t="s">
        <v>663</v>
      </c>
      <c r="D29" s="29" t="s">
        <v>666</v>
      </c>
      <c r="E29" s="25" t="s">
        <v>3125</v>
      </c>
      <c r="F29" s="26" t="s">
        <v>113</v>
      </c>
      <c r="G29" s="27" t="s">
        <v>263</v>
      </c>
      <c r="H29" s="27" t="s">
        <v>263</v>
      </c>
      <c r="I29" s="27"/>
      <c r="J29" s="27" t="s">
        <v>1037</v>
      </c>
      <c r="K29" s="106" t="str">
        <f t="shared" si="2"/>
        <v>Б</v>
      </c>
      <c r="L29" s="106" t="str">
        <f t="shared" si="3"/>
        <v>В</v>
      </c>
      <c r="M29" s="107" t="str">
        <f t="shared" si="4"/>
        <v>Ветеринарно-санитарная экспертиза</v>
      </c>
    </row>
    <row r="30" spans="1:13" customFormat="1" ht="30" hidden="1" customHeight="1" x14ac:dyDescent="0.25">
      <c r="A30" s="41" t="s">
        <v>1080</v>
      </c>
      <c r="B30" s="25" t="s">
        <v>1042</v>
      </c>
      <c r="C30" s="29" t="s">
        <v>665</v>
      </c>
      <c r="D30" s="29" t="s">
        <v>666</v>
      </c>
      <c r="E30" s="25" t="s">
        <v>3125</v>
      </c>
      <c r="F30" s="26" t="s">
        <v>113</v>
      </c>
      <c r="G30" s="27" t="s">
        <v>258</v>
      </c>
      <c r="H30" s="27" t="s">
        <v>258</v>
      </c>
      <c r="I30" s="27"/>
      <c r="J30" s="27" t="s">
        <v>1037</v>
      </c>
      <c r="K30" s="106" t="str">
        <f t="shared" si="2"/>
        <v>Б</v>
      </c>
      <c r="L30" s="106" t="str">
        <f t="shared" si="3"/>
        <v>З</v>
      </c>
      <c r="M30" s="107" t="str">
        <f t="shared" si="4"/>
        <v>Землеустройство и кадастры</v>
      </c>
    </row>
    <row r="31" spans="1:13" customFormat="1" ht="30" hidden="1" customHeight="1" x14ac:dyDescent="0.25">
      <c r="A31" s="41" t="s">
        <v>1081</v>
      </c>
      <c r="B31" s="25" t="s">
        <v>1044</v>
      </c>
      <c r="C31" s="29" t="s">
        <v>665</v>
      </c>
      <c r="D31" s="29" t="s">
        <v>666</v>
      </c>
      <c r="E31" s="25" t="s">
        <v>3125</v>
      </c>
      <c r="F31" s="26" t="s">
        <v>113</v>
      </c>
      <c r="G31" s="27" t="s">
        <v>261</v>
      </c>
      <c r="H31" s="27" t="s">
        <v>261</v>
      </c>
      <c r="I31" s="27"/>
      <c r="J31" s="27" t="s">
        <v>1037</v>
      </c>
      <c r="K31" s="106" t="str">
        <f t="shared" si="2"/>
        <v>Б</v>
      </c>
      <c r="L31" s="106" t="str">
        <f t="shared" si="3"/>
        <v>З</v>
      </c>
      <c r="M31" s="107" t="str">
        <f t="shared" si="4"/>
        <v>Стандартизация и метрология</v>
      </c>
    </row>
    <row r="32" spans="1:13" customFormat="1" ht="30" hidden="1" customHeight="1" x14ac:dyDescent="0.25">
      <c r="A32" s="41" t="s">
        <v>1082</v>
      </c>
      <c r="B32" s="25" t="s">
        <v>1046</v>
      </c>
      <c r="C32" s="29" t="s">
        <v>665</v>
      </c>
      <c r="D32" s="29" t="s">
        <v>666</v>
      </c>
      <c r="E32" s="25" t="s">
        <v>3125</v>
      </c>
      <c r="F32" s="26" t="s">
        <v>113</v>
      </c>
      <c r="G32" s="27" t="s">
        <v>256</v>
      </c>
      <c r="H32" s="27" t="s">
        <v>256</v>
      </c>
      <c r="I32" s="27"/>
      <c r="J32" s="27" t="s">
        <v>1037</v>
      </c>
      <c r="K32" s="106" t="str">
        <f t="shared" si="2"/>
        <v>Б</v>
      </c>
      <c r="L32" s="106" t="str">
        <f t="shared" si="3"/>
        <v>З</v>
      </c>
      <c r="M32" s="107" t="str">
        <f t="shared" si="4"/>
        <v>Агрономия</v>
      </c>
    </row>
    <row r="33" spans="1:13" customFormat="1" ht="30" hidden="1" customHeight="1" x14ac:dyDescent="0.25">
      <c r="A33" s="41" t="s">
        <v>2935</v>
      </c>
      <c r="B33" s="25" t="s">
        <v>1046</v>
      </c>
      <c r="C33" s="29" t="s">
        <v>665</v>
      </c>
      <c r="D33" s="29" t="s">
        <v>666</v>
      </c>
      <c r="E33" s="25" t="s">
        <v>3125</v>
      </c>
      <c r="F33" s="26" t="s">
        <v>113</v>
      </c>
      <c r="G33" s="27" t="s">
        <v>256</v>
      </c>
      <c r="H33" s="27" t="s">
        <v>2933</v>
      </c>
      <c r="I33" s="27"/>
      <c r="J33" s="27" t="s">
        <v>1037</v>
      </c>
      <c r="K33" s="106" t="str">
        <f t="shared" si="2"/>
        <v>Б</v>
      </c>
      <c r="L33" s="106" t="str">
        <f t="shared" si="3"/>
        <v>З</v>
      </c>
      <c r="M33" s="107" t="str">
        <f t="shared" si="4"/>
        <v>Биотехнология растений</v>
      </c>
    </row>
    <row r="34" spans="1:13" customFormat="1" ht="30" hidden="1" customHeight="1" x14ac:dyDescent="0.25">
      <c r="A34" s="41" t="s">
        <v>1083</v>
      </c>
      <c r="B34" s="25" t="s">
        <v>1048</v>
      </c>
      <c r="C34" s="29" t="s">
        <v>665</v>
      </c>
      <c r="D34" s="29" t="s">
        <v>666</v>
      </c>
      <c r="E34" s="25" t="s">
        <v>3125</v>
      </c>
      <c r="F34" s="26" t="s">
        <v>113</v>
      </c>
      <c r="G34" s="27" t="s">
        <v>260</v>
      </c>
      <c r="H34" s="27" t="s">
        <v>260</v>
      </c>
      <c r="I34" s="27"/>
      <c r="J34" s="27" t="s">
        <v>1037</v>
      </c>
      <c r="K34" s="106" t="str">
        <f t="shared" si="2"/>
        <v>Б</v>
      </c>
      <c r="L34" s="106" t="str">
        <f t="shared" si="3"/>
        <v>З</v>
      </c>
      <c r="M34" s="107" t="str">
        <f t="shared" si="4"/>
        <v>Ландшафтная архитектура</v>
      </c>
    </row>
    <row r="35" spans="1:13" customFormat="1" ht="30" hidden="1" customHeight="1" x14ac:dyDescent="0.25">
      <c r="A35" s="41" t="s">
        <v>1084</v>
      </c>
      <c r="B35" s="25" t="s">
        <v>1050</v>
      </c>
      <c r="C35" s="29" t="s">
        <v>665</v>
      </c>
      <c r="D35" s="29" t="s">
        <v>666</v>
      </c>
      <c r="E35" s="25" t="s">
        <v>3125</v>
      </c>
      <c r="F35" s="26" t="s">
        <v>113</v>
      </c>
      <c r="G35" s="27" t="s">
        <v>263</v>
      </c>
      <c r="H35" s="27" t="s">
        <v>263</v>
      </c>
      <c r="I35" s="27"/>
      <c r="J35" s="27" t="s">
        <v>1037</v>
      </c>
      <c r="K35" s="106" t="str">
        <f t="shared" si="2"/>
        <v>Б</v>
      </c>
      <c r="L35" s="106" t="str">
        <f t="shared" si="3"/>
        <v>З</v>
      </c>
      <c r="M35" s="107" t="str">
        <f t="shared" si="4"/>
        <v>Ветеринарно-санитарная экспертиза</v>
      </c>
    </row>
    <row r="36" spans="1:13" customFormat="1" ht="30" hidden="1" customHeight="1" x14ac:dyDescent="0.25">
      <c r="A36" s="41" t="s">
        <v>1051</v>
      </c>
      <c r="B36" s="25" t="s">
        <v>1052</v>
      </c>
      <c r="C36" s="29" t="s">
        <v>664</v>
      </c>
      <c r="D36" s="29" t="s">
        <v>666</v>
      </c>
      <c r="E36" s="25" t="s">
        <v>3126</v>
      </c>
      <c r="F36" s="26" t="s">
        <v>115</v>
      </c>
      <c r="G36" s="27" t="s">
        <v>258</v>
      </c>
      <c r="H36" s="27" t="s">
        <v>259</v>
      </c>
      <c r="I36" s="27"/>
      <c r="J36" s="27" t="s">
        <v>1037</v>
      </c>
      <c r="K36" s="106" t="str">
        <f t="shared" si="2"/>
        <v>М</v>
      </c>
      <c r="L36" s="106" t="str">
        <f t="shared" si="3"/>
        <v>Д</v>
      </c>
      <c r="M36" s="107" t="str">
        <f t="shared" si="4"/>
        <v>Технологии геодезических и кадастровых работ</v>
      </c>
    </row>
    <row r="37" spans="1:13" customFormat="1" ht="30" hidden="1" customHeight="1" x14ac:dyDescent="0.25">
      <c r="A37" s="41" t="s">
        <v>2033</v>
      </c>
      <c r="B37" s="25" t="s">
        <v>1052</v>
      </c>
      <c r="C37" s="29" t="s">
        <v>664</v>
      </c>
      <c r="D37" s="29" t="s">
        <v>1730</v>
      </c>
      <c r="E37" s="25" t="s">
        <v>3126</v>
      </c>
      <c r="F37" s="26" t="s">
        <v>115</v>
      </c>
      <c r="G37" s="27" t="s">
        <v>258</v>
      </c>
      <c r="H37" s="27" t="s">
        <v>2034</v>
      </c>
      <c r="I37" s="27" t="s">
        <v>927</v>
      </c>
      <c r="J37" s="27" t="s">
        <v>1037</v>
      </c>
      <c r="K37" s="106" t="str">
        <f t="shared" si="2"/>
        <v>М</v>
      </c>
      <c r="L37" s="106" t="str">
        <f t="shared" si="3"/>
        <v>Д</v>
      </c>
      <c r="M37" s="107" t="str">
        <f t="shared" si="4"/>
        <v>Дистанционное зондирование природных ресурсов (Английский язык) (Вуз-партнёр - Университет Аристотеля)</v>
      </c>
    </row>
    <row r="38" spans="1:13" customFormat="1" ht="30" hidden="1" customHeight="1" x14ac:dyDescent="0.25">
      <c r="A38" s="41" t="s">
        <v>2101</v>
      </c>
      <c r="B38" s="25" t="s">
        <v>1052</v>
      </c>
      <c r="C38" s="29" t="s">
        <v>664</v>
      </c>
      <c r="D38" s="29" t="s">
        <v>666</v>
      </c>
      <c r="E38" s="25" t="s">
        <v>3126</v>
      </c>
      <c r="F38" s="26" t="s">
        <v>115</v>
      </c>
      <c r="G38" s="27" t="s">
        <v>258</v>
      </c>
      <c r="H38" s="27" t="s">
        <v>259</v>
      </c>
      <c r="I38" s="27" t="s">
        <v>3135</v>
      </c>
      <c r="J38" s="27" t="s">
        <v>1037</v>
      </c>
      <c r="K38" s="106" t="str">
        <f t="shared" si="2"/>
        <v>М</v>
      </c>
      <c r="L38" s="106" t="str">
        <f t="shared" si="3"/>
        <v>Д</v>
      </c>
      <c r="M38" s="107" t="str">
        <f t="shared" si="4"/>
        <v>Технологии геодезических и кадастровых работ (Вуз-партнёр - Казахский агротехнический исследовательский университет имени С. Сейфуллина)</v>
      </c>
    </row>
    <row r="39" spans="1:13" customFormat="1" ht="30" hidden="1" customHeight="1" x14ac:dyDescent="0.25">
      <c r="A39" s="41" t="s">
        <v>2032</v>
      </c>
      <c r="B39" s="25" t="s">
        <v>1054</v>
      </c>
      <c r="C39" s="29" t="s">
        <v>664</v>
      </c>
      <c r="D39" s="29" t="s">
        <v>666</v>
      </c>
      <c r="E39" s="25" t="s">
        <v>3126</v>
      </c>
      <c r="F39" s="26" t="s">
        <v>115</v>
      </c>
      <c r="G39" s="27" t="s">
        <v>261</v>
      </c>
      <c r="H39" s="27" t="s">
        <v>262</v>
      </c>
      <c r="I39" s="27" t="s">
        <v>3136</v>
      </c>
      <c r="J39" s="27" t="s">
        <v>1037</v>
      </c>
      <c r="K39" s="106" t="str">
        <f t="shared" si="2"/>
        <v>М</v>
      </c>
      <c r="L39" s="106" t="str">
        <f t="shared" si="3"/>
        <v>Д</v>
      </c>
      <c r="M39" s="107" t="str">
        <f t="shared" si="4"/>
        <v>Технологии обеспечения качества и безопасности пищевой продукции и производств (Вуз-партнёр - Кыргызский технический университет имени И.Раззакова)</v>
      </c>
    </row>
    <row r="40" spans="1:13" customFormat="1" ht="30" hidden="1" customHeight="1" x14ac:dyDescent="0.25">
      <c r="A40" s="41" t="s">
        <v>1053</v>
      </c>
      <c r="B40" s="25" t="s">
        <v>1054</v>
      </c>
      <c r="C40" s="29" t="s">
        <v>664</v>
      </c>
      <c r="D40" s="29" t="s">
        <v>666</v>
      </c>
      <c r="E40" s="25" t="s">
        <v>3126</v>
      </c>
      <c r="F40" s="26" t="s">
        <v>115</v>
      </c>
      <c r="G40" s="27" t="s">
        <v>261</v>
      </c>
      <c r="H40" s="27" t="s">
        <v>262</v>
      </c>
      <c r="I40" s="27"/>
      <c r="J40" s="27" t="s">
        <v>1037</v>
      </c>
      <c r="K40" s="106" t="str">
        <f t="shared" si="2"/>
        <v>М</v>
      </c>
      <c r="L40" s="106" t="str">
        <f t="shared" si="3"/>
        <v>Д</v>
      </c>
      <c r="M40" s="107" t="str">
        <f t="shared" si="4"/>
        <v>Технологии обеспечения качества и безопасности пищевой продукции и производств</v>
      </c>
    </row>
    <row r="41" spans="1:13" customFormat="1" ht="30" hidden="1" customHeight="1" x14ac:dyDescent="0.25">
      <c r="A41" s="41" t="s">
        <v>2093</v>
      </c>
      <c r="B41" s="25" t="s">
        <v>1054</v>
      </c>
      <c r="C41" s="29" t="s">
        <v>664</v>
      </c>
      <c r="D41" s="29" t="s">
        <v>666</v>
      </c>
      <c r="E41" s="25" t="s">
        <v>3126</v>
      </c>
      <c r="F41" s="26" t="s">
        <v>115</v>
      </c>
      <c r="G41" s="27" t="s">
        <v>261</v>
      </c>
      <c r="H41" s="27" t="s">
        <v>2094</v>
      </c>
      <c r="I41" s="27"/>
      <c r="J41" s="27" t="s">
        <v>1037</v>
      </c>
      <c r="K41" s="106" t="str">
        <f t="shared" si="2"/>
        <v>М</v>
      </c>
      <c r="L41" s="106" t="str">
        <f t="shared" si="3"/>
        <v>Д</v>
      </c>
      <c r="M41" s="107" t="str">
        <f t="shared" si="4"/>
        <v>Аудит и управление качеством пищевой продукции</v>
      </c>
    </row>
    <row r="42" spans="1:13" customFormat="1" ht="30" hidden="1" customHeight="1" x14ac:dyDescent="0.25">
      <c r="A42" s="41" t="s">
        <v>1055</v>
      </c>
      <c r="B42" s="25" t="s">
        <v>1056</v>
      </c>
      <c r="C42" s="29" t="s">
        <v>664</v>
      </c>
      <c r="D42" s="29" t="s">
        <v>666</v>
      </c>
      <c r="E42" s="25" t="s">
        <v>3126</v>
      </c>
      <c r="F42" s="26" t="s">
        <v>115</v>
      </c>
      <c r="G42" s="27" t="s">
        <v>256</v>
      </c>
      <c r="H42" s="27" t="s">
        <v>135</v>
      </c>
      <c r="I42" s="27"/>
      <c r="J42" s="27" t="s">
        <v>1037</v>
      </c>
      <c r="K42" s="106" t="str">
        <f t="shared" si="2"/>
        <v>М</v>
      </c>
      <c r="L42" s="106" t="str">
        <f t="shared" si="3"/>
        <v>Д</v>
      </c>
      <c r="M42" s="107" t="str">
        <f t="shared" si="4"/>
        <v>Агробиотехнология</v>
      </c>
    </row>
    <row r="43" spans="1:13" customFormat="1" ht="30" hidden="1" customHeight="1" x14ac:dyDescent="0.25">
      <c r="A43" s="41" t="s">
        <v>1058</v>
      </c>
      <c r="B43" s="25" t="s">
        <v>1056</v>
      </c>
      <c r="C43" s="29" t="s">
        <v>664</v>
      </c>
      <c r="D43" s="29" t="s">
        <v>1730</v>
      </c>
      <c r="E43" s="25" t="s">
        <v>3126</v>
      </c>
      <c r="F43" s="26" t="s">
        <v>115</v>
      </c>
      <c r="G43" s="27" t="s">
        <v>256</v>
      </c>
      <c r="H43" s="27" t="s">
        <v>257</v>
      </c>
      <c r="I43" s="27"/>
      <c r="J43" s="27" t="s">
        <v>1037</v>
      </c>
      <c r="K43" s="106" t="str">
        <f t="shared" si="2"/>
        <v>М</v>
      </c>
      <c r="L43" s="106" t="str">
        <f t="shared" si="3"/>
        <v>Д</v>
      </c>
      <c r="M43" s="107" t="str">
        <f t="shared" si="4"/>
        <v>Интегрированная защита растений (Английский язык)</v>
      </c>
    </row>
    <row r="44" spans="1:13" customFormat="1" ht="30" hidden="1" customHeight="1" x14ac:dyDescent="0.25">
      <c r="A44" s="41" t="s">
        <v>2028</v>
      </c>
      <c r="B44" s="25" t="s">
        <v>1056</v>
      </c>
      <c r="C44" s="29" t="s">
        <v>664</v>
      </c>
      <c r="D44" s="29" t="s">
        <v>1730</v>
      </c>
      <c r="E44" s="25" t="s">
        <v>3126</v>
      </c>
      <c r="F44" s="26" t="s">
        <v>115</v>
      </c>
      <c r="G44" s="27" t="s">
        <v>256</v>
      </c>
      <c r="H44" s="27" t="s">
        <v>2029</v>
      </c>
      <c r="I44" s="27"/>
      <c r="J44" s="27" t="s">
        <v>1037</v>
      </c>
      <c r="K44" s="106" t="str">
        <f t="shared" si="2"/>
        <v>М</v>
      </c>
      <c r="L44" s="106" t="str">
        <f t="shared" si="3"/>
        <v>Д</v>
      </c>
      <c r="M44" s="107" t="str">
        <f t="shared" si="4"/>
        <v>Управление почвенным плодородием (Английский язык)</v>
      </c>
    </row>
    <row r="45" spans="1:13" customFormat="1" ht="30" hidden="1" customHeight="1" x14ac:dyDescent="0.25">
      <c r="A45" s="41" t="s">
        <v>1061</v>
      </c>
      <c r="B45" s="25" t="s">
        <v>1056</v>
      </c>
      <c r="C45" s="29" t="s">
        <v>664</v>
      </c>
      <c r="D45" s="29" t="s">
        <v>1730</v>
      </c>
      <c r="E45" s="25" t="s">
        <v>3126</v>
      </c>
      <c r="F45" s="26" t="s">
        <v>115</v>
      </c>
      <c r="G45" s="27" t="s">
        <v>256</v>
      </c>
      <c r="H45" s="27" t="s">
        <v>2030</v>
      </c>
      <c r="I45" s="27" t="s">
        <v>928</v>
      </c>
      <c r="J45" s="27" t="s">
        <v>1037</v>
      </c>
      <c r="K45" s="106" t="str">
        <f t="shared" si="2"/>
        <v>М</v>
      </c>
      <c r="L45" s="106" t="str">
        <f t="shared" si="3"/>
        <v>Д</v>
      </c>
      <c r="M45" s="107" t="str">
        <f t="shared" si="4"/>
        <v>Органическое земледелие (Английский язык) (Вуз-партнёр - Университет Аристотеля в Салониках)</v>
      </c>
    </row>
    <row r="46" spans="1:13" customFormat="1" ht="30" hidden="1" customHeight="1" x14ac:dyDescent="0.25">
      <c r="A46" s="41" t="s">
        <v>2048</v>
      </c>
      <c r="B46" s="25" t="s">
        <v>1056</v>
      </c>
      <c r="C46" s="29" t="s">
        <v>664</v>
      </c>
      <c r="D46" s="29" t="s">
        <v>1730</v>
      </c>
      <c r="E46" s="25" t="s">
        <v>3126</v>
      </c>
      <c r="F46" s="26" t="s">
        <v>115</v>
      </c>
      <c r="G46" s="27" t="s">
        <v>256</v>
      </c>
      <c r="H46" s="27" t="s">
        <v>2049</v>
      </c>
      <c r="I46" s="27"/>
      <c r="J46" s="27" t="s">
        <v>1037</v>
      </c>
      <c r="K46" s="106" t="str">
        <f t="shared" si="2"/>
        <v>М</v>
      </c>
      <c r="L46" s="106" t="str">
        <f t="shared" si="3"/>
        <v>Д</v>
      </c>
      <c r="M46" s="107" t="str">
        <f t="shared" si="4"/>
        <v>Переработка сельскохозяйственной продукции (Английский язык)</v>
      </c>
    </row>
    <row r="47" spans="1:13" customFormat="1" ht="30" hidden="1" customHeight="1" x14ac:dyDescent="0.25">
      <c r="A47" s="41" t="s">
        <v>2091</v>
      </c>
      <c r="B47" s="25" t="s">
        <v>1056</v>
      </c>
      <c r="C47" s="29" t="s">
        <v>664</v>
      </c>
      <c r="D47" s="29" t="s">
        <v>1730</v>
      </c>
      <c r="E47" s="25" t="s">
        <v>3126</v>
      </c>
      <c r="F47" s="26" t="s">
        <v>115</v>
      </c>
      <c r="G47" s="27" t="s">
        <v>256</v>
      </c>
      <c r="H47" s="27" t="s">
        <v>2092</v>
      </c>
      <c r="I47" s="27"/>
      <c r="J47" s="27" t="s">
        <v>1037</v>
      </c>
      <c r="K47" s="106" t="str">
        <f t="shared" si="2"/>
        <v>М</v>
      </c>
      <c r="L47" s="106" t="str">
        <f t="shared" si="3"/>
        <v>Д</v>
      </c>
      <c r="M47" s="107" t="str">
        <f t="shared" si="4"/>
        <v>Агроэкологическая оценка и географическая информационная система (Английский язык)</v>
      </c>
    </row>
    <row r="48" spans="1:13" customFormat="1" ht="30" hidden="1" customHeight="1" x14ac:dyDescent="0.25">
      <c r="A48" s="41" t="s">
        <v>2097</v>
      </c>
      <c r="B48" s="25" t="s">
        <v>1056</v>
      </c>
      <c r="C48" s="29" t="s">
        <v>664</v>
      </c>
      <c r="D48" s="29" t="s">
        <v>1730</v>
      </c>
      <c r="E48" s="25" t="s">
        <v>3126</v>
      </c>
      <c r="F48" s="26" t="s">
        <v>115</v>
      </c>
      <c r="G48" s="27" t="s">
        <v>256</v>
      </c>
      <c r="H48" s="27" t="s">
        <v>2098</v>
      </c>
      <c r="I48" s="27"/>
      <c r="J48" s="27" t="s">
        <v>1037</v>
      </c>
      <c r="K48" s="106" t="str">
        <f t="shared" si="2"/>
        <v>М</v>
      </c>
      <c r="L48" s="106" t="str">
        <f t="shared" si="3"/>
        <v>Д</v>
      </c>
      <c r="M48" s="107" t="str">
        <f t="shared" si="4"/>
        <v>Производство сельскохозяйственной продукции (Английский язык)</v>
      </c>
    </row>
    <row r="49" spans="1:13" customFormat="1" ht="30" hidden="1" customHeight="1" x14ac:dyDescent="0.25">
      <c r="A49" s="41" t="s">
        <v>2102</v>
      </c>
      <c r="B49" s="25" t="s">
        <v>1056</v>
      </c>
      <c r="C49" s="29" t="s">
        <v>664</v>
      </c>
      <c r="D49" s="29" t="s">
        <v>666</v>
      </c>
      <c r="E49" s="25" t="s">
        <v>3126</v>
      </c>
      <c r="F49" s="26" t="s">
        <v>115</v>
      </c>
      <c r="G49" s="27" t="s">
        <v>256</v>
      </c>
      <c r="H49" s="27" t="s">
        <v>135</v>
      </c>
      <c r="I49" s="27" t="s">
        <v>3135</v>
      </c>
      <c r="J49" s="27" t="s">
        <v>1037</v>
      </c>
      <c r="K49" s="106" t="str">
        <f t="shared" si="2"/>
        <v>М</v>
      </c>
      <c r="L49" s="106" t="str">
        <f t="shared" si="3"/>
        <v>Д</v>
      </c>
      <c r="M49" s="107" t="str">
        <f t="shared" si="4"/>
        <v>Агробиотехнология (Вуз-партнёр - Казахский агротехнический исследовательский университет имени С. Сейфуллина)</v>
      </c>
    </row>
    <row r="50" spans="1:13" customFormat="1" ht="30" hidden="1" customHeight="1" x14ac:dyDescent="0.25">
      <c r="A50" s="41" t="s">
        <v>2103</v>
      </c>
      <c r="B50" s="25" t="s">
        <v>1056</v>
      </c>
      <c r="C50" s="29" t="s">
        <v>664</v>
      </c>
      <c r="D50" s="29" t="s">
        <v>666</v>
      </c>
      <c r="E50" s="25" t="s">
        <v>3126</v>
      </c>
      <c r="F50" s="26" t="s">
        <v>115</v>
      </c>
      <c r="G50" s="27" t="s">
        <v>256</v>
      </c>
      <c r="H50" s="27" t="s">
        <v>2104</v>
      </c>
      <c r="I50" s="27"/>
      <c r="J50" s="27" t="s">
        <v>1037</v>
      </c>
      <c r="K50" s="106" t="str">
        <f t="shared" si="2"/>
        <v>М</v>
      </c>
      <c r="L50" s="106" t="str">
        <f t="shared" si="3"/>
        <v>Д</v>
      </c>
      <c r="M50" s="107" t="str">
        <f t="shared" si="4"/>
        <v>Защита и карантин растений</v>
      </c>
    </row>
    <row r="51" spans="1:13" customFormat="1" ht="30" hidden="1" customHeight="1" x14ac:dyDescent="0.25">
      <c r="A51" s="41" t="s">
        <v>1057</v>
      </c>
      <c r="B51" s="25" t="s">
        <v>1056</v>
      </c>
      <c r="C51" s="29" t="s">
        <v>664</v>
      </c>
      <c r="D51" s="29" t="s">
        <v>666</v>
      </c>
      <c r="E51" s="25" t="s">
        <v>3126</v>
      </c>
      <c r="F51" s="26" t="s">
        <v>115</v>
      </c>
      <c r="G51" s="27" t="s">
        <v>256</v>
      </c>
      <c r="H51" s="27" t="s">
        <v>257</v>
      </c>
      <c r="I51" s="27"/>
      <c r="J51" s="27" t="s">
        <v>1037</v>
      </c>
      <c r="K51" s="106" t="str">
        <f t="shared" si="2"/>
        <v>М</v>
      </c>
      <c r="L51" s="106" t="str">
        <f t="shared" si="3"/>
        <v>Д</v>
      </c>
      <c r="M51" s="107" t="str">
        <f t="shared" si="4"/>
        <v>Интегрированная защита растений</v>
      </c>
    </row>
    <row r="52" spans="1:13" customFormat="1" ht="30" hidden="1" customHeight="1" x14ac:dyDescent="0.25">
      <c r="A52" s="41" t="s">
        <v>1059</v>
      </c>
      <c r="B52" s="25" t="s">
        <v>1056</v>
      </c>
      <c r="C52" s="29" t="s">
        <v>664</v>
      </c>
      <c r="D52" s="29" t="s">
        <v>666</v>
      </c>
      <c r="E52" s="25" t="s">
        <v>3126</v>
      </c>
      <c r="F52" s="26" t="s">
        <v>115</v>
      </c>
      <c r="G52" s="27" t="s">
        <v>256</v>
      </c>
      <c r="H52" s="27" t="s">
        <v>1060</v>
      </c>
      <c r="I52" s="27"/>
      <c r="J52" s="27" t="s">
        <v>1037</v>
      </c>
      <c r="K52" s="106" t="str">
        <f t="shared" si="2"/>
        <v>М</v>
      </c>
      <c r="L52" s="106" t="str">
        <f t="shared" si="3"/>
        <v>Д</v>
      </c>
      <c r="M52" s="107" t="str">
        <f t="shared" si="4"/>
        <v>Адаптивно-ландшафтные системы земледелия и наукоемкие агротехнологии</v>
      </c>
    </row>
    <row r="53" spans="1:13" customFormat="1" ht="30" hidden="1" customHeight="1" x14ac:dyDescent="0.25">
      <c r="A53" s="41" t="s">
        <v>2037</v>
      </c>
      <c r="B53" s="25" t="s">
        <v>1056</v>
      </c>
      <c r="C53" s="29" t="s">
        <v>664</v>
      </c>
      <c r="D53" s="29" t="s">
        <v>666</v>
      </c>
      <c r="E53" s="25" t="s">
        <v>3126</v>
      </c>
      <c r="F53" s="26" t="s">
        <v>115</v>
      </c>
      <c r="G53" s="27" t="s">
        <v>256</v>
      </c>
      <c r="H53" s="27" t="s">
        <v>2038</v>
      </c>
      <c r="I53" s="27"/>
      <c r="J53" s="27" t="s">
        <v>1037</v>
      </c>
      <c r="K53" s="106" t="str">
        <f t="shared" si="2"/>
        <v>М</v>
      </c>
      <c r="L53" s="106" t="str">
        <f t="shared" si="3"/>
        <v>Д</v>
      </c>
      <c r="M53" s="107" t="str">
        <f t="shared" si="4"/>
        <v>Менеджмент в технологиях производства, переработки и сертификации продуктов растениеводства</v>
      </c>
    </row>
    <row r="54" spans="1:13" customFormat="1" ht="30" hidden="1" customHeight="1" x14ac:dyDescent="0.25">
      <c r="A54" s="41" t="s">
        <v>1062</v>
      </c>
      <c r="B54" s="25" t="s">
        <v>1063</v>
      </c>
      <c r="C54" s="29" t="s">
        <v>664</v>
      </c>
      <c r="D54" s="29" t="s">
        <v>666</v>
      </c>
      <c r="E54" s="25" t="s">
        <v>3126</v>
      </c>
      <c r="F54" s="26" t="s">
        <v>115</v>
      </c>
      <c r="G54" s="27" t="s">
        <v>260</v>
      </c>
      <c r="H54" s="27" t="s">
        <v>584</v>
      </c>
      <c r="I54" s="27"/>
      <c r="J54" s="27" t="s">
        <v>1037</v>
      </c>
      <c r="K54" s="106" t="str">
        <f t="shared" si="2"/>
        <v>М</v>
      </c>
      <c r="L54" s="106" t="str">
        <f t="shared" si="3"/>
        <v>Д</v>
      </c>
      <c r="M54" s="107" t="str">
        <f t="shared" si="4"/>
        <v>Современная ландшафтная архитектура и дизайн городской среды</v>
      </c>
    </row>
    <row r="55" spans="1:13" customFormat="1" ht="30" hidden="1" customHeight="1" x14ac:dyDescent="0.25">
      <c r="A55" s="41" t="s">
        <v>1064</v>
      </c>
      <c r="B55" s="25" t="s">
        <v>1063</v>
      </c>
      <c r="C55" s="29" t="s">
        <v>664</v>
      </c>
      <c r="D55" s="29" t="s">
        <v>1730</v>
      </c>
      <c r="E55" s="25" t="s">
        <v>3126</v>
      </c>
      <c r="F55" s="26" t="s">
        <v>115</v>
      </c>
      <c r="G55" s="27" t="s">
        <v>260</v>
      </c>
      <c r="H55" s="27" t="s">
        <v>2031</v>
      </c>
      <c r="I55" s="27" t="s">
        <v>939</v>
      </c>
      <c r="J55" s="27" t="s">
        <v>1037</v>
      </c>
      <c r="K55" s="106" t="str">
        <f t="shared" si="2"/>
        <v>М</v>
      </c>
      <c r="L55" s="106" t="str">
        <f t="shared" si="3"/>
        <v>Д</v>
      </c>
      <c r="M55" s="107" t="str">
        <f t="shared" si="4"/>
        <v>Менеджмент и дизайн городской зеленой инфраструктуры (Английский язык) (Вуз-партнёр - Университет Тушии)</v>
      </c>
    </row>
    <row r="56" spans="1:13" customFormat="1" ht="30" hidden="1" customHeight="1" x14ac:dyDescent="0.25">
      <c r="A56" s="41" t="s">
        <v>2044</v>
      </c>
      <c r="B56" s="25" t="s">
        <v>1063</v>
      </c>
      <c r="C56" s="29" t="s">
        <v>664</v>
      </c>
      <c r="D56" s="29" t="s">
        <v>1730</v>
      </c>
      <c r="E56" s="25" t="s">
        <v>3126</v>
      </c>
      <c r="F56" s="26" t="s">
        <v>115</v>
      </c>
      <c r="G56" s="27" t="s">
        <v>260</v>
      </c>
      <c r="H56" s="27" t="s">
        <v>2031</v>
      </c>
      <c r="I56" s="27"/>
      <c r="J56" s="27" t="s">
        <v>1037</v>
      </c>
      <c r="K56" s="106" t="str">
        <f t="shared" si="2"/>
        <v>М</v>
      </c>
      <c r="L56" s="106" t="str">
        <f t="shared" si="3"/>
        <v>Д</v>
      </c>
      <c r="M56" s="107" t="str">
        <f t="shared" si="4"/>
        <v>Менеджмент и дизайн городской зеленой инфраструктуры (Английский язык)</v>
      </c>
    </row>
    <row r="57" spans="1:13" customFormat="1" ht="30" hidden="1" customHeight="1" x14ac:dyDescent="0.25">
      <c r="A57" s="41" t="s">
        <v>2099</v>
      </c>
      <c r="B57" s="25" t="s">
        <v>1063</v>
      </c>
      <c r="C57" s="29" t="s">
        <v>664</v>
      </c>
      <c r="D57" s="29" t="s">
        <v>666</v>
      </c>
      <c r="E57" s="25" t="s">
        <v>3126</v>
      </c>
      <c r="F57" s="26" t="s">
        <v>115</v>
      </c>
      <c r="G57" s="27" t="s">
        <v>260</v>
      </c>
      <c r="H57" s="27" t="s">
        <v>2100</v>
      </c>
      <c r="I57" s="27" t="s">
        <v>3135</v>
      </c>
      <c r="J57" s="27" t="s">
        <v>1037</v>
      </c>
      <c r="K57" s="106" t="str">
        <f t="shared" si="2"/>
        <v>М</v>
      </c>
      <c r="L57" s="106" t="str">
        <f t="shared" si="3"/>
        <v>Д</v>
      </c>
      <c r="M57" s="107" t="str">
        <f t="shared" si="4"/>
        <v>Ландшафтная архитектура и дизайн (Вуз-партнёр - Казахский агротехнический исследовательский университет имени С. Сейфуллина)</v>
      </c>
    </row>
    <row r="58" spans="1:13" customFormat="1" ht="30" hidden="1" customHeight="1" x14ac:dyDescent="0.25">
      <c r="A58" s="41" t="s">
        <v>1065</v>
      </c>
      <c r="B58" s="25" t="s">
        <v>1066</v>
      </c>
      <c r="C58" s="29" t="s">
        <v>664</v>
      </c>
      <c r="D58" s="29" t="s">
        <v>666</v>
      </c>
      <c r="E58" s="25" t="s">
        <v>3126</v>
      </c>
      <c r="F58" s="26" t="s">
        <v>115</v>
      </c>
      <c r="G58" s="27" t="s">
        <v>263</v>
      </c>
      <c r="H58" s="27" t="s">
        <v>583</v>
      </c>
      <c r="I58" s="27"/>
      <c r="J58" s="27" t="s">
        <v>1037</v>
      </c>
      <c r="K58" s="106" t="str">
        <f t="shared" si="2"/>
        <v>М</v>
      </c>
      <c r="L58" s="106" t="str">
        <f t="shared" si="3"/>
        <v>Д</v>
      </c>
      <c r="M58" s="107" t="str">
        <f t="shared" si="4"/>
        <v>Ветеринарно-санитарная экспертиза, безопасность и качество сырья и продуктов биологического происхождения</v>
      </c>
    </row>
    <row r="59" spans="1:13" customFormat="1" ht="30" hidden="1" customHeight="1" x14ac:dyDescent="0.25">
      <c r="A59" s="41" t="s">
        <v>2060</v>
      </c>
      <c r="B59" s="25" t="s">
        <v>2040</v>
      </c>
      <c r="C59" s="29" t="s">
        <v>664</v>
      </c>
      <c r="D59" s="29" t="s">
        <v>666</v>
      </c>
      <c r="E59" s="25" t="s">
        <v>3126</v>
      </c>
      <c r="F59" s="26" t="s">
        <v>115</v>
      </c>
      <c r="G59" s="27" t="s">
        <v>2041</v>
      </c>
      <c r="H59" s="27" t="s">
        <v>2042</v>
      </c>
      <c r="I59" s="27" t="s">
        <v>914</v>
      </c>
      <c r="J59" s="27" t="s">
        <v>1037</v>
      </c>
      <c r="K59" s="106" t="str">
        <f t="shared" si="2"/>
        <v>М</v>
      </c>
      <c r="L59" s="106" t="str">
        <f t="shared" si="3"/>
        <v>Д</v>
      </c>
      <c r="M59" s="107" t="str">
        <f t="shared" si="4"/>
        <v>Современные биотехнологии в животноводстве (Вуз-партнёр - Кыргызский национальный аграрный университет им. К.И. Скрябина)</v>
      </c>
    </row>
    <row r="60" spans="1:13" customFormat="1" ht="30" hidden="1" customHeight="1" x14ac:dyDescent="0.25">
      <c r="A60" s="41" t="s">
        <v>2061</v>
      </c>
      <c r="B60" s="25" t="s">
        <v>2040</v>
      </c>
      <c r="C60" s="29" t="s">
        <v>664</v>
      </c>
      <c r="D60" s="29" t="s">
        <v>666</v>
      </c>
      <c r="E60" s="25" t="s">
        <v>3126</v>
      </c>
      <c r="F60" s="26" t="s">
        <v>115</v>
      </c>
      <c r="G60" s="27" t="s">
        <v>2041</v>
      </c>
      <c r="H60" s="27" t="s">
        <v>2043</v>
      </c>
      <c r="I60" s="27" t="s">
        <v>914</v>
      </c>
      <c r="J60" s="27" t="s">
        <v>1037</v>
      </c>
      <c r="K60" s="106" t="str">
        <f t="shared" si="2"/>
        <v>М</v>
      </c>
      <c r="L60" s="106" t="str">
        <f t="shared" si="3"/>
        <v>Д</v>
      </c>
      <c r="M60" s="107" t="str">
        <f t="shared" si="4"/>
        <v>Технологический менеджмент в зообизнесе (Вуз-партнёр - Кыргызский национальный аграрный университет им. К.И. Скрябина)</v>
      </c>
    </row>
    <row r="61" spans="1:13" customFormat="1" ht="30" hidden="1" customHeight="1" x14ac:dyDescent="0.25">
      <c r="A61" s="41" t="s">
        <v>1067</v>
      </c>
      <c r="B61" s="25" t="s">
        <v>1068</v>
      </c>
      <c r="C61" s="29" t="s">
        <v>664</v>
      </c>
      <c r="D61" s="29" t="s">
        <v>666</v>
      </c>
      <c r="E61" s="25" t="s">
        <v>3126</v>
      </c>
      <c r="F61" s="26" t="s">
        <v>115</v>
      </c>
      <c r="G61" s="27" t="s">
        <v>123</v>
      </c>
      <c r="H61" s="27" t="s">
        <v>1018</v>
      </c>
      <c r="I61" s="27"/>
      <c r="J61" s="27" t="s">
        <v>1037</v>
      </c>
      <c r="K61" s="106" t="str">
        <f t="shared" si="2"/>
        <v>М</v>
      </c>
      <c r="L61" s="106" t="str">
        <f t="shared" si="3"/>
        <v>Д</v>
      </c>
      <c r="M61" s="107" t="str">
        <f t="shared" si="4"/>
        <v>Экономика природной и техногенной безопасности</v>
      </c>
    </row>
    <row r="62" spans="1:13" customFormat="1" ht="30" hidden="1" customHeight="1" x14ac:dyDescent="0.25">
      <c r="A62" s="41" t="s">
        <v>2045</v>
      </c>
      <c r="B62" s="25" t="s">
        <v>1104</v>
      </c>
      <c r="C62" s="29" t="s">
        <v>664</v>
      </c>
      <c r="D62" s="29" t="s">
        <v>666</v>
      </c>
      <c r="E62" s="25" t="s">
        <v>3126</v>
      </c>
      <c r="F62" s="26" t="s">
        <v>115</v>
      </c>
      <c r="G62" s="27" t="s">
        <v>300</v>
      </c>
      <c r="H62" s="27" t="s">
        <v>2046</v>
      </c>
      <c r="I62" s="27"/>
      <c r="J62" s="27" t="s">
        <v>1037</v>
      </c>
      <c r="K62" s="106" t="str">
        <f t="shared" si="2"/>
        <v>М</v>
      </c>
      <c r="L62" s="106" t="str">
        <f t="shared" si="3"/>
        <v>Д</v>
      </c>
      <c r="M62" s="107" t="str">
        <f t="shared" si="4"/>
        <v>Управленческое консультирование в АПК</v>
      </c>
    </row>
    <row r="63" spans="1:13" customFormat="1" ht="30" hidden="1" customHeight="1" x14ac:dyDescent="0.25">
      <c r="A63" s="41" t="s">
        <v>1075</v>
      </c>
      <c r="B63" s="25" t="s">
        <v>1052</v>
      </c>
      <c r="C63" s="29" t="s">
        <v>663</v>
      </c>
      <c r="D63" s="29" t="s">
        <v>666</v>
      </c>
      <c r="E63" s="25" t="s">
        <v>3127</v>
      </c>
      <c r="F63" s="26" t="s">
        <v>115</v>
      </c>
      <c r="G63" s="27" t="s">
        <v>258</v>
      </c>
      <c r="H63" s="27" t="s">
        <v>259</v>
      </c>
      <c r="I63" s="27"/>
      <c r="J63" s="27" t="s">
        <v>1037</v>
      </c>
      <c r="K63" s="106" t="str">
        <f t="shared" si="2"/>
        <v>М</v>
      </c>
      <c r="L63" s="106" t="str">
        <f t="shared" si="3"/>
        <v>В</v>
      </c>
      <c r="M63" s="107" t="str">
        <f t="shared" si="4"/>
        <v>Технологии геодезических и кадастровых работ</v>
      </c>
    </row>
    <row r="64" spans="1:13" customFormat="1" ht="30" hidden="1" customHeight="1" x14ac:dyDescent="0.25">
      <c r="A64" s="41" t="s">
        <v>1076</v>
      </c>
      <c r="B64" s="25" t="s">
        <v>1054</v>
      </c>
      <c r="C64" s="29" t="s">
        <v>663</v>
      </c>
      <c r="D64" s="29" t="s">
        <v>666</v>
      </c>
      <c r="E64" s="25" t="s">
        <v>3127</v>
      </c>
      <c r="F64" s="26" t="s">
        <v>115</v>
      </c>
      <c r="G64" s="27" t="s">
        <v>261</v>
      </c>
      <c r="H64" s="27" t="s">
        <v>262</v>
      </c>
      <c r="I64" s="27"/>
      <c r="J64" s="27" t="s">
        <v>1037</v>
      </c>
      <c r="K64" s="106" t="str">
        <f t="shared" si="2"/>
        <v>М</v>
      </c>
      <c r="L64" s="106" t="str">
        <f t="shared" si="3"/>
        <v>В</v>
      </c>
      <c r="M64" s="107" t="str">
        <f t="shared" si="4"/>
        <v>Технологии обеспечения качества и безопасности пищевой продукции и производств</v>
      </c>
    </row>
    <row r="65" spans="1:13" customFormat="1" ht="30" hidden="1" customHeight="1" x14ac:dyDescent="0.25">
      <c r="A65" s="41" t="s">
        <v>2095</v>
      </c>
      <c r="B65" s="25" t="s">
        <v>1054</v>
      </c>
      <c r="C65" s="29" t="s">
        <v>663</v>
      </c>
      <c r="D65" s="29" t="s">
        <v>666</v>
      </c>
      <c r="E65" s="25" t="s">
        <v>3127</v>
      </c>
      <c r="F65" s="26" t="s">
        <v>115</v>
      </c>
      <c r="G65" s="27" t="s">
        <v>261</v>
      </c>
      <c r="H65" s="27" t="s">
        <v>2094</v>
      </c>
      <c r="I65" s="27"/>
      <c r="J65" s="27" t="s">
        <v>1037</v>
      </c>
      <c r="K65" s="106" t="str">
        <f t="shared" si="2"/>
        <v>М</v>
      </c>
      <c r="L65" s="106" t="str">
        <f t="shared" si="3"/>
        <v>В</v>
      </c>
      <c r="M65" s="107" t="str">
        <f t="shared" si="4"/>
        <v>Аудит и управление качеством пищевой продукции</v>
      </c>
    </row>
    <row r="66" spans="1:13" customFormat="1" ht="30" hidden="1" customHeight="1" x14ac:dyDescent="0.25">
      <c r="A66" s="41" t="s">
        <v>2105</v>
      </c>
      <c r="B66" s="25" t="s">
        <v>1056</v>
      </c>
      <c r="C66" s="29" t="s">
        <v>663</v>
      </c>
      <c r="D66" s="29" t="s">
        <v>666</v>
      </c>
      <c r="E66" s="25" t="s">
        <v>3127</v>
      </c>
      <c r="F66" s="26" t="s">
        <v>115</v>
      </c>
      <c r="G66" s="27" t="s">
        <v>256</v>
      </c>
      <c r="H66" s="27" t="s">
        <v>2104</v>
      </c>
      <c r="I66" s="27"/>
      <c r="J66" s="27" t="s">
        <v>1037</v>
      </c>
      <c r="K66" s="106" t="str">
        <f t="shared" si="2"/>
        <v>М</v>
      </c>
      <c r="L66" s="106" t="str">
        <f t="shared" si="3"/>
        <v>В</v>
      </c>
      <c r="M66" s="107" t="str">
        <f t="shared" si="4"/>
        <v>Защита и карантин растений</v>
      </c>
    </row>
    <row r="67" spans="1:13" customFormat="1" ht="30" hidden="1" customHeight="1" x14ac:dyDescent="0.25">
      <c r="A67" s="41" t="s">
        <v>1077</v>
      </c>
      <c r="B67" s="25" t="s">
        <v>1056</v>
      </c>
      <c r="C67" s="29" t="s">
        <v>663</v>
      </c>
      <c r="D67" s="29" t="s">
        <v>666</v>
      </c>
      <c r="E67" s="25" t="s">
        <v>3127</v>
      </c>
      <c r="F67" s="26" t="s">
        <v>115</v>
      </c>
      <c r="G67" s="27" t="s">
        <v>256</v>
      </c>
      <c r="H67" s="27" t="s">
        <v>257</v>
      </c>
      <c r="I67" s="27"/>
      <c r="J67" s="27" t="s">
        <v>1037</v>
      </c>
      <c r="K67" s="106" t="str">
        <f t="shared" si="2"/>
        <v>М</v>
      </c>
      <c r="L67" s="106" t="str">
        <f t="shared" si="3"/>
        <v>В</v>
      </c>
      <c r="M67" s="107" t="str">
        <f t="shared" si="4"/>
        <v>Интегрированная защита растений</v>
      </c>
    </row>
    <row r="68" spans="1:13" customFormat="1" ht="30" hidden="1" customHeight="1" x14ac:dyDescent="0.25">
      <c r="A68" s="41" t="s">
        <v>2039</v>
      </c>
      <c r="B68" s="25" t="s">
        <v>1063</v>
      </c>
      <c r="C68" s="29" t="s">
        <v>663</v>
      </c>
      <c r="D68" s="29" t="s">
        <v>666</v>
      </c>
      <c r="E68" s="25" t="s">
        <v>3127</v>
      </c>
      <c r="F68" s="26" t="s">
        <v>115</v>
      </c>
      <c r="G68" s="27" t="s">
        <v>260</v>
      </c>
      <c r="H68" s="27" t="s">
        <v>584</v>
      </c>
      <c r="I68" s="27"/>
      <c r="J68" s="27" t="s">
        <v>1037</v>
      </c>
      <c r="K68" s="106" t="str">
        <f t="shared" ref="K68:K131" si="5">LEFT(F68, 1)</f>
        <v>М</v>
      </c>
      <c r="L68" s="106" t="str">
        <f t="shared" ref="L68:L131" si="6">IF(C68="очная","Д",IF(C68="Очно-заочная","В",IF(C68="Заочная","З","-")))</f>
        <v>В</v>
      </c>
      <c r="M68" s="107" t="str">
        <f t="shared" ref="M68:M131" si="7">CONCATENATE(H68,IF(D68="Русский","",CONCATENATE(" (",D68," язык)")),IF(I68&gt;0,CONCATENATE(" (Вуз-партнёр - ",I68,")"),""))</f>
        <v>Современная ландшафтная архитектура и дизайн городской среды</v>
      </c>
    </row>
    <row r="69" spans="1:13" customFormat="1" ht="30" hidden="1" customHeight="1" x14ac:dyDescent="0.25">
      <c r="A69" s="41" t="s">
        <v>1078</v>
      </c>
      <c r="B69" s="25" t="s">
        <v>1066</v>
      </c>
      <c r="C69" s="29" t="s">
        <v>663</v>
      </c>
      <c r="D69" s="29" t="s">
        <v>666</v>
      </c>
      <c r="E69" s="25" t="s">
        <v>3127</v>
      </c>
      <c r="F69" s="26" t="s">
        <v>115</v>
      </c>
      <c r="G69" s="27" t="s">
        <v>263</v>
      </c>
      <c r="H69" s="27" t="s">
        <v>583</v>
      </c>
      <c r="I69" s="27"/>
      <c r="J69" s="27" t="s">
        <v>1037</v>
      </c>
      <c r="K69" s="106" t="str">
        <f t="shared" si="5"/>
        <v>М</v>
      </c>
      <c r="L69" s="106" t="str">
        <f t="shared" si="6"/>
        <v>В</v>
      </c>
      <c r="M69" s="107" t="str">
        <f t="shared" si="7"/>
        <v>Ветеринарно-санитарная экспертиза, безопасность и качество сырья и продуктов биологического происхождения</v>
      </c>
    </row>
    <row r="70" spans="1:13" customFormat="1" ht="30" hidden="1" customHeight="1" x14ac:dyDescent="0.25">
      <c r="A70" s="41" t="s">
        <v>1085</v>
      </c>
      <c r="B70" s="25" t="s">
        <v>1052</v>
      </c>
      <c r="C70" s="29" t="s">
        <v>665</v>
      </c>
      <c r="D70" s="29" t="s">
        <v>666</v>
      </c>
      <c r="E70" s="25" t="s">
        <v>3127</v>
      </c>
      <c r="F70" s="26" t="s">
        <v>115</v>
      </c>
      <c r="G70" s="27" t="s">
        <v>258</v>
      </c>
      <c r="H70" s="27" t="s">
        <v>259</v>
      </c>
      <c r="I70" s="27"/>
      <c r="J70" s="27" t="s">
        <v>1037</v>
      </c>
      <c r="K70" s="106" t="str">
        <f t="shared" si="5"/>
        <v>М</v>
      </c>
      <c r="L70" s="106" t="str">
        <f t="shared" si="6"/>
        <v>З</v>
      </c>
      <c r="M70" s="107" t="str">
        <f t="shared" si="7"/>
        <v>Технологии геодезических и кадастровых работ</v>
      </c>
    </row>
    <row r="71" spans="1:13" customFormat="1" ht="30" hidden="1" customHeight="1" x14ac:dyDescent="0.25">
      <c r="A71" s="41" t="s">
        <v>1086</v>
      </c>
      <c r="B71" s="25" t="s">
        <v>1054</v>
      </c>
      <c r="C71" s="29" t="s">
        <v>665</v>
      </c>
      <c r="D71" s="29" t="s">
        <v>666</v>
      </c>
      <c r="E71" s="25" t="s">
        <v>3127</v>
      </c>
      <c r="F71" s="26" t="s">
        <v>115</v>
      </c>
      <c r="G71" s="27" t="s">
        <v>261</v>
      </c>
      <c r="H71" s="27" t="s">
        <v>262</v>
      </c>
      <c r="I71" s="27"/>
      <c r="J71" s="27" t="s">
        <v>1037</v>
      </c>
      <c r="K71" s="106" t="str">
        <f t="shared" si="5"/>
        <v>М</v>
      </c>
      <c r="L71" s="106" t="str">
        <f t="shared" si="6"/>
        <v>З</v>
      </c>
      <c r="M71" s="107" t="str">
        <f t="shared" si="7"/>
        <v>Технологии обеспечения качества и безопасности пищевой продукции и производств</v>
      </c>
    </row>
    <row r="72" spans="1:13" customFormat="1" ht="30" hidden="1" customHeight="1" x14ac:dyDescent="0.25">
      <c r="A72" s="41" t="s">
        <v>2096</v>
      </c>
      <c r="B72" s="25" t="s">
        <v>1054</v>
      </c>
      <c r="C72" s="29" t="s">
        <v>665</v>
      </c>
      <c r="D72" s="29" t="s">
        <v>666</v>
      </c>
      <c r="E72" s="25" t="s">
        <v>3127</v>
      </c>
      <c r="F72" s="26" t="s">
        <v>115</v>
      </c>
      <c r="G72" s="27" t="s">
        <v>261</v>
      </c>
      <c r="H72" s="27" t="s">
        <v>2094</v>
      </c>
      <c r="I72" s="27"/>
      <c r="J72" s="27" t="s">
        <v>1037</v>
      </c>
      <c r="K72" s="106" t="str">
        <f t="shared" si="5"/>
        <v>М</v>
      </c>
      <c r="L72" s="106" t="str">
        <f t="shared" si="6"/>
        <v>З</v>
      </c>
      <c r="M72" s="107" t="str">
        <f t="shared" si="7"/>
        <v>Аудит и управление качеством пищевой продукции</v>
      </c>
    </row>
    <row r="73" spans="1:13" customFormat="1" ht="30" hidden="1" customHeight="1" x14ac:dyDescent="0.25">
      <c r="A73" s="41" t="s">
        <v>1087</v>
      </c>
      <c r="B73" s="25" t="s">
        <v>1056</v>
      </c>
      <c r="C73" s="29" t="s">
        <v>665</v>
      </c>
      <c r="D73" s="29" t="s">
        <v>666</v>
      </c>
      <c r="E73" s="25" t="s">
        <v>3127</v>
      </c>
      <c r="F73" s="26" t="s">
        <v>115</v>
      </c>
      <c r="G73" s="27" t="s">
        <v>256</v>
      </c>
      <c r="H73" s="27" t="s">
        <v>135</v>
      </c>
      <c r="I73" s="27"/>
      <c r="J73" s="27" t="s">
        <v>1037</v>
      </c>
      <c r="K73" s="106" t="str">
        <f t="shared" si="5"/>
        <v>М</v>
      </c>
      <c r="L73" s="106" t="str">
        <f t="shared" si="6"/>
        <v>З</v>
      </c>
      <c r="M73" s="107" t="str">
        <f t="shared" si="7"/>
        <v>Агробиотехнология</v>
      </c>
    </row>
    <row r="74" spans="1:13" customFormat="1" ht="30" hidden="1" customHeight="1" x14ac:dyDescent="0.25">
      <c r="A74" s="41" t="s">
        <v>2106</v>
      </c>
      <c r="B74" s="25" t="s">
        <v>1056</v>
      </c>
      <c r="C74" s="29" t="s">
        <v>665</v>
      </c>
      <c r="D74" s="29" t="s">
        <v>666</v>
      </c>
      <c r="E74" s="25" t="s">
        <v>3127</v>
      </c>
      <c r="F74" s="26" t="s">
        <v>115</v>
      </c>
      <c r="G74" s="27" t="s">
        <v>256</v>
      </c>
      <c r="H74" s="27" t="s">
        <v>2104</v>
      </c>
      <c r="I74" s="27"/>
      <c r="J74" s="27" t="s">
        <v>1037</v>
      </c>
      <c r="K74" s="106" t="str">
        <f t="shared" si="5"/>
        <v>М</v>
      </c>
      <c r="L74" s="106" t="str">
        <f t="shared" si="6"/>
        <v>З</v>
      </c>
      <c r="M74" s="107" t="str">
        <f t="shared" si="7"/>
        <v>Защита и карантин растений</v>
      </c>
    </row>
    <row r="75" spans="1:13" customFormat="1" ht="30" hidden="1" customHeight="1" x14ac:dyDescent="0.25">
      <c r="A75" s="41" t="s">
        <v>1088</v>
      </c>
      <c r="B75" s="25" t="s">
        <v>1056</v>
      </c>
      <c r="C75" s="29" t="s">
        <v>665</v>
      </c>
      <c r="D75" s="29" t="s">
        <v>666</v>
      </c>
      <c r="E75" s="25" t="s">
        <v>3127</v>
      </c>
      <c r="F75" s="26" t="s">
        <v>115</v>
      </c>
      <c r="G75" s="27" t="s">
        <v>256</v>
      </c>
      <c r="H75" s="27" t="s">
        <v>257</v>
      </c>
      <c r="I75" s="27"/>
      <c r="J75" s="27" t="s">
        <v>1037</v>
      </c>
      <c r="K75" s="106" t="str">
        <f t="shared" si="5"/>
        <v>М</v>
      </c>
      <c r="L75" s="106" t="str">
        <f t="shared" si="6"/>
        <v>З</v>
      </c>
      <c r="M75" s="107" t="str">
        <f t="shared" si="7"/>
        <v>Интегрированная защита растений</v>
      </c>
    </row>
    <row r="76" spans="1:13" customFormat="1" ht="30" hidden="1" customHeight="1" x14ac:dyDescent="0.25">
      <c r="A76" s="41" t="s">
        <v>1089</v>
      </c>
      <c r="B76" s="25" t="s">
        <v>1063</v>
      </c>
      <c r="C76" s="29" t="s">
        <v>665</v>
      </c>
      <c r="D76" s="29" t="s">
        <v>666</v>
      </c>
      <c r="E76" s="25" t="s">
        <v>3127</v>
      </c>
      <c r="F76" s="26" t="s">
        <v>115</v>
      </c>
      <c r="G76" s="27" t="s">
        <v>260</v>
      </c>
      <c r="H76" s="27" t="s">
        <v>584</v>
      </c>
      <c r="I76" s="27"/>
      <c r="J76" s="27" t="s">
        <v>1037</v>
      </c>
      <c r="K76" s="106" t="str">
        <f t="shared" si="5"/>
        <v>М</v>
      </c>
      <c r="L76" s="106" t="str">
        <f t="shared" si="6"/>
        <v>З</v>
      </c>
      <c r="M76" s="107" t="str">
        <f t="shared" si="7"/>
        <v>Современная ландшафтная архитектура и дизайн городской среды</v>
      </c>
    </row>
    <row r="77" spans="1:13" customFormat="1" ht="30" hidden="1" customHeight="1" x14ac:dyDescent="0.25">
      <c r="A77" s="41" t="s">
        <v>1090</v>
      </c>
      <c r="B77" s="25" t="s">
        <v>1066</v>
      </c>
      <c r="C77" s="29" t="s">
        <v>665</v>
      </c>
      <c r="D77" s="29" t="s">
        <v>666</v>
      </c>
      <c r="E77" s="25" t="s">
        <v>3127</v>
      </c>
      <c r="F77" s="26" t="s">
        <v>115</v>
      </c>
      <c r="G77" s="27" t="s">
        <v>263</v>
      </c>
      <c r="H77" s="27" t="s">
        <v>583</v>
      </c>
      <c r="I77" s="27"/>
      <c r="J77" s="27" t="s">
        <v>1037</v>
      </c>
      <c r="K77" s="106" t="str">
        <f t="shared" si="5"/>
        <v>М</v>
      </c>
      <c r="L77" s="106" t="str">
        <f t="shared" si="6"/>
        <v>З</v>
      </c>
      <c r="M77" s="107" t="str">
        <f t="shared" si="7"/>
        <v>Ветеринарно-санитарная экспертиза, безопасность и качество сырья и продуктов биологического происхождения</v>
      </c>
    </row>
    <row r="78" spans="1:13" customFormat="1" ht="30" hidden="1" customHeight="1" x14ac:dyDescent="0.25">
      <c r="A78" s="41" t="s">
        <v>1091</v>
      </c>
      <c r="B78" s="25" t="s">
        <v>1068</v>
      </c>
      <c r="C78" s="29" t="s">
        <v>665</v>
      </c>
      <c r="D78" s="29" t="s">
        <v>666</v>
      </c>
      <c r="E78" s="25" t="s">
        <v>3127</v>
      </c>
      <c r="F78" s="26" t="s">
        <v>115</v>
      </c>
      <c r="G78" s="27" t="s">
        <v>123</v>
      </c>
      <c r="H78" s="27" t="s">
        <v>136</v>
      </c>
      <c r="I78" s="27"/>
      <c r="J78" s="27" t="s">
        <v>1037</v>
      </c>
      <c r="K78" s="106" t="str">
        <f t="shared" si="5"/>
        <v>М</v>
      </c>
      <c r="L78" s="106" t="str">
        <f t="shared" si="6"/>
        <v>З</v>
      </c>
      <c r="M78" s="107" t="str">
        <f t="shared" si="7"/>
        <v>Экономика недвижимости в АПК</v>
      </c>
    </row>
    <row r="79" spans="1:13" customFormat="1" ht="30" hidden="1" customHeight="1" x14ac:dyDescent="0.25">
      <c r="A79" s="41" t="s">
        <v>2047</v>
      </c>
      <c r="B79" s="25" t="s">
        <v>1104</v>
      </c>
      <c r="C79" s="29" t="s">
        <v>665</v>
      </c>
      <c r="D79" s="29" t="s">
        <v>666</v>
      </c>
      <c r="E79" s="25" t="s">
        <v>3127</v>
      </c>
      <c r="F79" s="26" t="s">
        <v>115</v>
      </c>
      <c r="G79" s="27" t="s">
        <v>300</v>
      </c>
      <c r="H79" s="27" t="s">
        <v>2046</v>
      </c>
      <c r="I79" s="27"/>
      <c r="J79" s="27" t="s">
        <v>1037</v>
      </c>
      <c r="K79" s="106" t="str">
        <f t="shared" si="5"/>
        <v>М</v>
      </c>
      <c r="L79" s="106" t="str">
        <f t="shared" si="6"/>
        <v>З</v>
      </c>
      <c r="M79" s="107" t="str">
        <f t="shared" si="7"/>
        <v>Управленческое консультирование в АПК</v>
      </c>
    </row>
    <row r="80" spans="1:13" customFormat="1" ht="30" hidden="1" customHeight="1" x14ac:dyDescent="0.25">
      <c r="A80" s="41" t="s">
        <v>2071</v>
      </c>
      <c r="B80" s="25" t="s">
        <v>1650</v>
      </c>
      <c r="C80" s="29" t="s">
        <v>664</v>
      </c>
      <c r="D80" s="29" t="s">
        <v>666</v>
      </c>
      <c r="E80" s="25" t="s">
        <v>1732</v>
      </c>
      <c r="F80" s="26" t="s">
        <v>179</v>
      </c>
      <c r="G80" s="27" t="s">
        <v>530</v>
      </c>
      <c r="H80" s="27" t="s">
        <v>582</v>
      </c>
      <c r="I80" s="27"/>
      <c r="J80" s="27" t="s">
        <v>1037</v>
      </c>
      <c r="K80" s="106" t="str">
        <f t="shared" si="5"/>
        <v>А</v>
      </c>
      <c r="L80" s="106" t="str">
        <f t="shared" si="6"/>
        <v>Д</v>
      </c>
      <c r="M80" s="107" t="str">
        <f t="shared" si="7"/>
        <v>Генетика растений</v>
      </c>
    </row>
    <row r="81" spans="1:13" customFormat="1" ht="30" hidden="1" customHeight="1" x14ac:dyDescent="0.25">
      <c r="A81" s="41" t="s">
        <v>2072</v>
      </c>
      <c r="B81" s="25" t="s">
        <v>1650</v>
      </c>
      <c r="C81" s="29" t="s">
        <v>664</v>
      </c>
      <c r="D81" s="29" t="s">
        <v>1730</v>
      </c>
      <c r="E81" s="25" t="s">
        <v>1732</v>
      </c>
      <c r="F81" s="26" t="s">
        <v>179</v>
      </c>
      <c r="G81" s="27" t="s">
        <v>530</v>
      </c>
      <c r="H81" s="27" t="s">
        <v>582</v>
      </c>
      <c r="I81" s="27"/>
      <c r="J81" s="27" t="s">
        <v>1037</v>
      </c>
      <c r="K81" s="106" t="str">
        <f t="shared" si="5"/>
        <v>А</v>
      </c>
      <c r="L81" s="106" t="str">
        <f t="shared" si="6"/>
        <v>Д</v>
      </c>
      <c r="M81" s="107" t="str">
        <f t="shared" si="7"/>
        <v>Генетика растений (Английский язык)</v>
      </c>
    </row>
    <row r="82" spans="1:13" customFormat="1" ht="30" hidden="1" customHeight="1" x14ac:dyDescent="0.25">
      <c r="A82" s="41" t="s">
        <v>2073</v>
      </c>
      <c r="B82" s="25" t="s">
        <v>1650</v>
      </c>
      <c r="C82" s="29" t="s">
        <v>664</v>
      </c>
      <c r="D82" s="29" t="s">
        <v>666</v>
      </c>
      <c r="E82" s="25" t="s">
        <v>1732</v>
      </c>
      <c r="F82" s="26" t="s">
        <v>179</v>
      </c>
      <c r="G82" s="27" t="s">
        <v>530</v>
      </c>
      <c r="H82" s="27" t="s">
        <v>303</v>
      </c>
      <c r="I82" s="27"/>
      <c r="J82" s="27" t="s">
        <v>1037</v>
      </c>
      <c r="K82" s="106" t="str">
        <f t="shared" si="5"/>
        <v>А</v>
      </c>
      <c r="L82" s="106" t="str">
        <f t="shared" si="6"/>
        <v>Д</v>
      </c>
      <c r="M82" s="107" t="str">
        <f t="shared" si="7"/>
        <v>Физиология и биохимия растений</v>
      </c>
    </row>
    <row r="83" spans="1:13" customFormat="1" ht="30" hidden="1" customHeight="1" x14ac:dyDescent="0.25">
      <c r="A83" s="41" t="s">
        <v>1794</v>
      </c>
      <c r="B83" s="25" t="s">
        <v>2062</v>
      </c>
      <c r="C83" s="29" t="s">
        <v>664</v>
      </c>
      <c r="D83" s="29" t="s">
        <v>1730</v>
      </c>
      <c r="E83" s="25" t="s">
        <v>1732</v>
      </c>
      <c r="F83" s="26" t="s">
        <v>179</v>
      </c>
      <c r="G83" s="27" t="s">
        <v>1795</v>
      </c>
      <c r="H83" s="27" t="s">
        <v>1796</v>
      </c>
      <c r="I83" s="27"/>
      <c r="J83" s="27" t="s">
        <v>1037</v>
      </c>
      <c r="K83" s="106" t="str">
        <f t="shared" si="5"/>
        <v>А</v>
      </c>
      <c r="L83" s="106" t="str">
        <f t="shared" si="6"/>
        <v>Д</v>
      </c>
      <c r="M83" s="107" t="str">
        <f t="shared" si="7"/>
        <v>Зеленая инфраструктура и устойчивое развитие (Английский язык)</v>
      </c>
    </row>
    <row r="84" spans="1:13" customFormat="1" ht="30" hidden="1" customHeight="1" x14ac:dyDescent="0.25">
      <c r="A84" s="41" t="s">
        <v>2964</v>
      </c>
      <c r="B84" s="25" t="s">
        <v>2062</v>
      </c>
      <c r="C84" s="29" t="s">
        <v>664</v>
      </c>
      <c r="D84" s="29" t="s">
        <v>666</v>
      </c>
      <c r="E84" s="25" t="s">
        <v>1732</v>
      </c>
      <c r="F84" s="26" t="s">
        <v>179</v>
      </c>
      <c r="G84" s="27" t="s">
        <v>1795</v>
      </c>
      <c r="H84" s="27" t="s">
        <v>1796</v>
      </c>
      <c r="I84" s="27"/>
      <c r="J84" s="27" t="s">
        <v>1037</v>
      </c>
      <c r="K84" s="106" t="str">
        <f t="shared" si="5"/>
        <v>А</v>
      </c>
      <c r="L84" s="106" t="str">
        <f t="shared" si="6"/>
        <v>Д</v>
      </c>
      <c r="M84" s="107" t="str">
        <f t="shared" si="7"/>
        <v>Зеленая инфраструктура и устойчивое развитие</v>
      </c>
    </row>
    <row r="85" spans="1:13" customFormat="1" ht="30" hidden="1" customHeight="1" x14ac:dyDescent="0.25">
      <c r="A85" s="41" t="s">
        <v>1799</v>
      </c>
      <c r="B85" s="25" t="s">
        <v>2064</v>
      </c>
      <c r="C85" s="29" t="s">
        <v>664</v>
      </c>
      <c r="D85" s="29" t="s">
        <v>666</v>
      </c>
      <c r="E85" s="25" t="s">
        <v>1732</v>
      </c>
      <c r="F85" s="26" t="s">
        <v>179</v>
      </c>
      <c r="G85" s="27" t="s">
        <v>303</v>
      </c>
      <c r="H85" s="27" t="s">
        <v>303</v>
      </c>
      <c r="I85" s="27"/>
      <c r="J85" s="27" t="s">
        <v>1037</v>
      </c>
      <c r="K85" s="106" t="str">
        <f t="shared" si="5"/>
        <v>А</v>
      </c>
      <c r="L85" s="106" t="str">
        <f t="shared" si="6"/>
        <v>Д</v>
      </c>
      <c r="M85" s="107" t="str">
        <f t="shared" si="7"/>
        <v>Физиология и биохимия растений</v>
      </c>
    </row>
    <row r="86" spans="1:13" customFormat="1" ht="30" hidden="1" customHeight="1" x14ac:dyDescent="0.25">
      <c r="A86" s="41" t="s">
        <v>1797</v>
      </c>
      <c r="B86" s="25" t="s">
        <v>2063</v>
      </c>
      <c r="C86" s="29" t="s">
        <v>664</v>
      </c>
      <c r="D86" s="29" t="s">
        <v>666</v>
      </c>
      <c r="E86" s="25" t="s">
        <v>1732</v>
      </c>
      <c r="F86" s="26" t="s">
        <v>179</v>
      </c>
      <c r="G86" s="27" t="s">
        <v>356</v>
      </c>
      <c r="H86" s="27" t="s">
        <v>582</v>
      </c>
      <c r="I86" s="27"/>
      <c r="J86" s="27" t="s">
        <v>1037</v>
      </c>
      <c r="K86" s="106" t="str">
        <f t="shared" si="5"/>
        <v>А</v>
      </c>
      <c r="L86" s="106" t="str">
        <f t="shared" si="6"/>
        <v>Д</v>
      </c>
      <c r="M86" s="107" t="str">
        <f t="shared" si="7"/>
        <v>Генетика растений</v>
      </c>
    </row>
    <row r="87" spans="1:13" customFormat="1" ht="30" hidden="1" customHeight="1" x14ac:dyDescent="0.25">
      <c r="A87" s="41" t="s">
        <v>1798</v>
      </c>
      <c r="B87" s="25" t="s">
        <v>2063</v>
      </c>
      <c r="C87" s="29" t="s">
        <v>664</v>
      </c>
      <c r="D87" s="29" t="s">
        <v>1730</v>
      </c>
      <c r="E87" s="25" t="s">
        <v>1732</v>
      </c>
      <c r="F87" s="26" t="s">
        <v>179</v>
      </c>
      <c r="G87" s="27" t="s">
        <v>356</v>
      </c>
      <c r="H87" s="27" t="s">
        <v>582</v>
      </c>
      <c r="I87" s="27"/>
      <c r="J87" s="27" t="s">
        <v>1037</v>
      </c>
      <c r="K87" s="106" t="str">
        <f t="shared" si="5"/>
        <v>А</v>
      </c>
      <c r="L87" s="106" t="str">
        <f t="shared" si="6"/>
        <v>Д</v>
      </c>
      <c r="M87" s="107" t="str">
        <f t="shared" si="7"/>
        <v>Генетика растений (Английский язык)</v>
      </c>
    </row>
    <row r="88" spans="1:13" customFormat="1" ht="30" hidden="1" customHeight="1" x14ac:dyDescent="0.25">
      <c r="A88" s="41" t="s">
        <v>2035</v>
      </c>
      <c r="B88" s="25" t="s">
        <v>1651</v>
      </c>
      <c r="C88" s="29" t="s">
        <v>664</v>
      </c>
      <c r="D88" s="29" t="s">
        <v>666</v>
      </c>
      <c r="E88" s="25" t="s">
        <v>1732</v>
      </c>
      <c r="F88" s="26" t="s">
        <v>179</v>
      </c>
      <c r="G88" s="27" t="s">
        <v>535</v>
      </c>
      <c r="H88" s="27" t="s">
        <v>310</v>
      </c>
      <c r="I88" s="27"/>
      <c r="J88" s="27" t="s">
        <v>1037</v>
      </c>
      <c r="K88" s="106" t="str">
        <f t="shared" si="5"/>
        <v>А</v>
      </c>
      <c r="L88" s="106" t="str">
        <f t="shared" si="6"/>
        <v>Д</v>
      </c>
      <c r="M88" s="107" t="str">
        <f t="shared" si="7"/>
        <v>Безопасность в чрезвычайных ситуациях (технические, биологические науки)</v>
      </c>
    </row>
    <row r="89" spans="1:13" customFormat="1" ht="30" hidden="1" customHeight="1" x14ac:dyDescent="0.25">
      <c r="A89" s="41" t="s">
        <v>2074</v>
      </c>
      <c r="B89" s="25" t="s">
        <v>1652</v>
      </c>
      <c r="C89" s="29" t="s">
        <v>664</v>
      </c>
      <c r="D89" s="29" t="s">
        <v>666</v>
      </c>
      <c r="E89" s="25" t="s">
        <v>1732</v>
      </c>
      <c r="F89" s="26" t="s">
        <v>179</v>
      </c>
      <c r="G89" s="27" t="s">
        <v>536</v>
      </c>
      <c r="H89" s="27" t="s">
        <v>306</v>
      </c>
      <c r="I89" s="27"/>
      <c r="J89" s="27" t="s">
        <v>1037</v>
      </c>
      <c r="K89" s="106" t="str">
        <f t="shared" si="5"/>
        <v>А</v>
      </c>
      <c r="L89" s="106" t="str">
        <f t="shared" si="6"/>
        <v>Д</v>
      </c>
      <c r="M89" s="107" t="str">
        <f t="shared" si="7"/>
        <v>Защита растений</v>
      </c>
    </row>
    <row r="90" spans="1:13" customFormat="1" ht="30" hidden="1" customHeight="1" x14ac:dyDescent="0.25">
      <c r="A90" s="41" t="s">
        <v>2076</v>
      </c>
      <c r="B90" s="25" t="s">
        <v>1652</v>
      </c>
      <c r="C90" s="29" t="s">
        <v>664</v>
      </c>
      <c r="D90" s="29" t="s">
        <v>1730</v>
      </c>
      <c r="E90" s="25" t="s">
        <v>1732</v>
      </c>
      <c r="F90" s="26" t="s">
        <v>179</v>
      </c>
      <c r="G90" s="27" t="s">
        <v>536</v>
      </c>
      <c r="H90" s="27" t="s">
        <v>585</v>
      </c>
      <c r="I90" s="27"/>
      <c r="J90" s="27" t="s">
        <v>1037</v>
      </c>
      <c r="K90" s="106" t="str">
        <f t="shared" si="5"/>
        <v>А</v>
      </c>
      <c r="L90" s="106" t="str">
        <f t="shared" si="6"/>
        <v>Д</v>
      </c>
      <c r="M90" s="107" t="str">
        <f t="shared" si="7"/>
        <v>Защита растений: Интегрированная защита растений (Английский язык)</v>
      </c>
    </row>
    <row r="91" spans="1:13" customFormat="1" ht="30" hidden="1" customHeight="1" x14ac:dyDescent="0.25">
      <c r="A91" s="41" t="s">
        <v>2077</v>
      </c>
      <c r="B91" s="25" t="s">
        <v>1652</v>
      </c>
      <c r="C91" s="29" t="s">
        <v>664</v>
      </c>
      <c r="D91" s="29" t="s">
        <v>666</v>
      </c>
      <c r="E91" s="25" t="s">
        <v>1732</v>
      </c>
      <c r="F91" s="26" t="s">
        <v>179</v>
      </c>
      <c r="G91" s="27" t="s">
        <v>536</v>
      </c>
      <c r="H91" s="27" t="s">
        <v>304</v>
      </c>
      <c r="I91" s="27"/>
      <c r="J91" s="27" t="s">
        <v>1037</v>
      </c>
      <c r="K91" s="106" t="str">
        <f t="shared" si="5"/>
        <v>А</v>
      </c>
      <c r="L91" s="106" t="str">
        <f t="shared" si="6"/>
        <v>Д</v>
      </c>
      <c r="M91" s="107" t="str">
        <f t="shared" si="7"/>
        <v>Общее земледелие, растениеводство</v>
      </c>
    </row>
    <row r="92" spans="1:13" customFormat="1" ht="30" hidden="1" customHeight="1" x14ac:dyDescent="0.25">
      <c r="A92" s="41" t="s">
        <v>2079</v>
      </c>
      <c r="B92" s="25" t="s">
        <v>1652</v>
      </c>
      <c r="C92" s="29" t="s">
        <v>664</v>
      </c>
      <c r="D92" s="29" t="s">
        <v>666</v>
      </c>
      <c r="E92" s="25" t="s">
        <v>1732</v>
      </c>
      <c r="F92" s="26" t="s">
        <v>179</v>
      </c>
      <c r="G92" s="27" t="s">
        <v>536</v>
      </c>
      <c r="H92" s="27" t="s">
        <v>305</v>
      </c>
      <c r="I92" s="27"/>
      <c r="J92" s="27" t="s">
        <v>1037</v>
      </c>
      <c r="K92" s="106" t="str">
        <f t="shared" si="5"/>
        <v>А</v>
      </c>
      <c r="L92" s="106" t="str">
        <f t="shared" si="6"/>
        <v>Д</v>
      </c>
      <c r="M92" s="107" t="str">
        <f t="shared" si="7"/>
        <v>Селекция и семеноводство сельскохозяйственных растений</v>
      </c>
    </row>
    <row r="93" spans="1:13" customFormat="1" ht="30" hidden="1" customHeight="1" x14ac:dyDescent="0.25">
      <c r="A93" s="41" t="s">
        <v>1800</v>
      </c>
      <c r="B93" s="25" t="s">
        <v>2065</v>
      </c>
      <c r="C93" s="29" t="s">
        <v>664</v>
      </c>
      <c r="D93" s="29" t="s">
        <v>666</v>
      </c>
      <c r="E93" s="25" t="s">
        <v>1732</v>
      </c>
      <c r="F93" s="26" t="s">
        <v>179</v>
      </c>
      <c r="G93" s="27" t="s">
        <v>1801</v>
      </c>
      <c r="H93" s="27" t="s">
        <v>1801</v>
      </c>
      <c r="I93" s="27"/>
      <c r="J93" s="27" t="s">
        <v>1037</v>
      </c>
      <c r="K93" s="106" t="str">
        <f t="shared" si="5"/>
        <v>А</v>
      </c>
      <c r="L93" s="106" t="str">
        <f t="shared" si="6"/>
        <v>Д</v>
      </c>
      <c r="M93" s="107" t="str">
        <f t="shared" si="7"/>
        <v>Общее земледелие и растениеводство</v>
      </c>
    </row>
    <row r="94" spans="1:13" customFormat="1" ht="30" hidden="1" customHeight="1" x14ac:dyDescent="0.25">
      <c r="A94" s="41" t="s">
        <v>1802</v>
      </c>
      <c r="B94" s="25" t="s">
        <v>2066</v>
      </c>
      <c r="C94" s="29" t="s">
        <v>664</v>
      </c>
      <c r="D94" s="29" t="s">
        <v>666</v>
      </c>
      <c r="E94" s="25" t="s">
        <v>1732</v>
      </c>
      <c r="F94" s="26" t="s">
        <v>179</v>
      </c>
      <c r="G94" s="27" t="s">
        <v>1803</v>
      </c>
      <c r="H94" s="27" t="s">
        <v>1803</v>
      </c>
      <c r="I94" s="27"/>
      <c r="J94" s="27" t="s">
        <v>1037</v>
      </c>
      <c r="K94" s="106" t="str">
        <f t="shared" si="5"/>
        <v>А</v>
      </c>
      <c r="L94" s="106" t="str">
        <f t="shared" si="6"/>
        <v>Д</v>
      </c>
      <c r="M94" s="107" t="str">
        <f t="shared" si="7"/>
        <v>Селекция, семеноводство и биотехнология растений</v>
      </c>
    </row>
    <row r="95" spans="1:13" customFormat="1" ht="30" hidden="1" customHeight="1" x14ac:dyDescent="0.25">
      <c r="A95" s="41" t="s">
        <v>1804</v>
      </c>
      <c r="B95" s="25" t="s">
        <v>2067</v>
      </c>
      <c r="C95" s="29" t="s">
        <v>664</v>
      </c>
      <c r="D95" s="29" t="s">
        <v>666</v>
      </c>
      <c r="E95" s="25" t="s">
        <v>1732</v>
      </c>
      <c r="F95" s="26" t="s">
        <v>179</v>
      </c>
      <c r="G95" s="27" t="s">
        <v>1805</v>
      </c>
      <c r="H95" s="27" t="s">
        <v>1805</v>
      </c>
      <c r="I95" s="27"/>
      <c r="J95" s="27" t="s">
        <v>1037</v>
      </c>
      <c r="K95" s="106" t="str">
        <f t="shared" si="5"/>
        <v>А</v>
      </c>
      <c r="L95" s="106" t="str">
        <f t="shared" si="6"/>
        <v>Д</v>
      </c>
      <c r="M95" s="107" t="str">
        <f t="shared" si="7"/>
        <v>Агрохимия, агропочвоведение, защита и карантин растений</v>
      </c>
    </row>
    <row r="96" spans="1:13" customFormat="1" ht="30" hidden="1" customHeight="1" x14ac:dyDescent="0.25">
      <c r="A96" s="41" t="s">
        <v>1806</v>
      </c>
      <c r="B96" s="25" t="s">
        <v>2067</v>
      </c>
      <c r="C96" s="29" t="s">
        <v>664</v>
      </c>
      <c r="D96" s="29" t="s">
        <v>1730</v>
      </c>
      <c r="E96" s="25" t="s">
        <v>1732</v>
      </c>
      <c r="F96" s="26" t="s">
        <v>179</v>
      </c>
      <c r="G96" s="27" t="s">
        <v>1805</v>
      </c>
      <c r="H96" s="27" t="s">
        <v>306</v>
      </c>
      <c r="I96" s="27"/>
      <c r="J96" s="27" t="s">
        <v>1037</v>
      </c>
      <c r="K96" s="106" t="str">
        <f t="shared" si="5"/>
        <v>А</v>
      </c>
      <c r="L96" s="106" t="str">
        <f t="shared" si="6"/>
        <v>Д</v>
      </c>
      <c r="M96" s="107" t="str">
        <f t="shared" si="7"/>
        <v>Защита растений (Английский язык)</v>
      </c>
    </row>
    <row r="97" spans="1:13" customFormat="1" ht="30" hidden="1" customHeight="1" x14ac:dyDescent="0.25">
      <c r="A97" s="41" t="s">
        <v>1807</v>
      </c>
      <c r="B97" s="25" t="s">
        <v>2068</v>
      </c>
      <c r="C97" s="29" t="s">
        <v>664</v>
      </c>
      <c r="D97" s="29" t="s">
        <v>666</v>
      </c>
      <c r="E97" s="25" t="s">
        <v>3128</v>
      </c>
      <c r="F97" s="26" t="s">
        <v>179</v>
      </c>
      <c r="G97" s="27" t="s">
        <v>1808</v>
      </c>
      <c r="H97" s="27" t="s">
        <v>1808</v>
      </c>
      <c r="I97" s="27"/>
      <c r="J97" s="27" t="s">
        <v>1037</v>
      </c>
      <c r="K97" s="106" t="str">
        <f t="shared" si="5"/>
        <v>А</v>
      </c>
      <c r="L97" s="106" t="str">
        <f t="shared" si="6"/>
        <v>Д</v>
      </c>
      <c r="M97" s="107" t="str">
        <f t="shared" si="7"/>
        <v>Патология животных, морфология, физиология, фармакология и токсикология</v>
      </c>
    </row>
    <row r="98" spans="1:13" customFormat="1" ht="30" hidden="1" customHeight="1" x14ac:dyDescent="0.25">
      <c r="A98" s="41" t="s">
        <v>1809</v>
      </c>
      <c r="B98" s="25" t="s">
        <v>2068</v>
      </c>
      <c r="C98" s="29" t="s">
        <v>664</v>
      </c>
      <c r="D98" s="29" t="s">
        <v>1730</v>
      </c>
      <c r="E98" s="25" t="s">
        <v>3128</v>
      </c>
      <c r="F98" s="26" t="s">
        <v>179</v>
      </c>
      <c r="G98" s="27" t="s">
        <v>1808</v>
      </c>
      <c r="H98" s="27" t="s">
        <v>1808</v>
      </c>
      <c r="I98" s="27"/>
      <c r="J98" s="27" t="s">
        <v>1037</v>
      </c>
      <c r="K98" s="106" t="str">
        <f t="shared" si="5"/>
        <v>А</v>
      </c>
      <c r="L98" s="106" t="str">
        <f t="shared" si="6"/>
        <v>Д</v>
      </c>
      <c r="M98" s="107" t="str">
        <f t="shared" si="7"/>
        <v>Патология животных, морфология, физиология, фармакология и токсикология (Английский язык)</v>
      </c>
    </row>
    <row r="99" spans="1:13" customFormat="1" ht="30" hidden="1" customHeight="1" x14ac:dyDescent="0.25">
      <c r="A99" s="41" t="s">
        <v>1810</v>
      </c>
      <c r="B99" s="25" t="s">
        <v>2069</v>
      </c>
      <c r="C99" s="29" t="s">
        <v>664</v>
      </c>
      <c r="D99" s="29" t="s">
        <v>666</v>
      </c>
      <c r="E99" s="25" t="s">
        <v>3128</v>
      </c>
      <c r="F99" s="26" t="s">
        <v>179</v>
      </c>
      <c r="G99" s="27" t="s">
        <v>1811</v>
      </c>
      <c r="H99" s="27" t="s">
        <v>1811</v>
      </c>
      <c r="I99" s="27"/>
      <c r="J99" s="27" t="s">
        <v>1037</v>
      </c>
      <c r="K99" s="106" t="str">
        <f t="shared" si="5"/>
        <v>А</v>
      </c>
      <c r="L99" s="106" t="str">
        <f t="shared" si="6"/>
        <v>Д</v>
      </c>
      <c r="M99" s="107" t="str">
        <f t="shared" si="7"/>
        <v>Инфекционные болезни и иммунология животных</v>
      </c>
    </row>
    <row r="100" spans="1:13" customFormat="1" ht="30" hidden="1" customHeight="1" x14ac:dyDescent="0.25">
      <c r="A100" s="41" t="s">
        <v>1812</v>
      </c>
      <c r="B100" s="25" t="s">
        <v>2070</v>
      </c>
      <c r="C100" s="29" t="s">
        <v>664</v>
      </c>
      <c r="D100" s="29" t="s">
        <v>666</v>
      </c>
      <c r="E100" s="25" t="s">
        <v>3128</v>
      </c>
      <c r="F100" s="26" t="s">
        <v>179</v>
      </c>
      <c r="G100" s="27" t="s">
        <v>1813</v>
      </c>
      <c r="H100" s="27" t="s">
        <v>1813</v>
      </c>
      <c r="I100" s="27"/>
      <c r="J100" s="27" t="s">
        <v>1037</v>
      </c>
      <c r="K100" s="106" t="str">
        <f t="shared" si="5"/>
        <v>А</v>
      </c>
      <c r="L100" s="106" t="str">
        <f t="shared" si="6"/>
        <v>Д</v>
      </c>
      <c r="M100" s="107" t="str">
        <f t="shared" si="7"/>
        <v>Частная зоотехния, кормление, технологии приготовления кормов и производства продукции животноводства</v>
      </c>
    </row>
    <row r="101" spans="1:13" customFormat="1" ht="30" hidden="1" customHeight="1" x14ac:dyDescent="0.25">
      <c r="A101" s="41" t="s">
        <v>2036</v>
      </c>
      <c r="B101" s="25" t="s">
        <v>1651</v>
      </c>
      <c r="C101" s="29" t="s">
        <v>665</v>
      </c>
      <c r="D101" s="29" t="s">
        <v>666</v>
      </c>
      <c r="E101" s="25" t="s">
        <v>3123</v>
      </c>
      <c r="F101" s="26" t="s">
        <v>179</v>
      </c>
      <c r="G101" s="27" t="s">
        <v>535</v>
      </c>
      <c r="H101" s="27" t="s">
        <v>310</v>
      </c>
      <c r="I101" s="27"/>
      <c r="J101" s="27" t="s">
        <v>1037</v>
      </c>
      <c r="K101" s="106" t="str">
        <f t="shared" si="5"/>
        <v>А</v>
      </c>
      <c r="L101" s="106" t="str">
        <f t="shared" si="6"/>
        <v>З</v>
      </c>
      <c r="M101" s="107" t="str">
        <f t="shared" si="7"/>
        <v>Безопасность в чрезвычайных ситуациях (технические, биологические науки)</v>
      </c>
    </row>
    <row r="102" spans="1:13" customFormat="1" ht="30" hidden="1" customHeight="1" x14ac:dyDescent="0.25">
      <c r="A102" s="41" t="s">
        <v>2075</v>
      </c>
      <c r="B102" s="25" t="s">
        <v>1652</v>
      </c>
      <c r="C102" s="29" t="s">
        <v>665</v>
      </c>
      <c r="D102" s="29" t="s">
        <v>666</v>
      </c>
      <c r="E102" s="25" t="s">
        <v>3123</v>
      </c>
      <c r="F102" s="26" t="s">
        <v>179</v>
      </c>
      <c r="G102" s="27" t="s">
        <v>536</v>
      </c>
      <c r="H102" s="27" t="s">
        <v>306</v>
      </c>
      <c r="I102" s="27"/>
      <c r="J102" s="27" t="s">
        <v>1037</v>
      </c>
      <c r="K102" s="106" t="str">
        <f t="shared" si="5"/>
        <v>А</v>
      </c>
      <c r="L102" s="106" t="str">
        <f t="shared" si="6"/>
        <v>З</v>
      </c>
      <c r="M102" s="107" t="str">
        <f t="shared" si="7"/>
        <v>Защита растений</v>
      </c>
    </row>
    <row r="103" spans="1:13" customFormat="1" ht="30" hidden="1" customHeight="1" x14ac:dyDescent="0.25">
      <c r="A103" s="41" t="s">
        <v>2078</v>
      </c>
      <c r="B103" s="25" t="s">
        <v>1652</v>
      </c>
      <c r="C103" s="29" t="s">
        <v>665</v>
      </c>
      <c r="D103" s="29" t="s">
        <v>666</v>
      </c>
      <c r="E103" s="25" t="s">
        <v>3123</v>
      </c>
      <c r="F103" s="26" t="s">
        <v>179</v>
      </c>
      <c r="G103" s="27" t="s">
        <v>536</v>
      </c>
      <c r="H103" s="27" t="s">
        <v>304</v>
      </c>
      <c r="I103" s="27"/>
      <c r="J103" s="27" t="s">
        <v>1037</v>
      </c>
      <c r="K103" s="106" t="str">
        <f t="shared" si="5"/>
        <v>А</v>
      </c>
      <c r="L103" s="106" t="str">
        <f t="shared" si="6"/>
        <v>З</v>
      </c>
      <c r="M103" s="107" t="str">
        <f t="shared" si="7"/>
        <v>Общее земледелие, растениеводство</v>
      </c>
    </row>
    <row r="104" spans="1:13" customFormat="1" ht="30" hidden="1" customHeight="1" x14ac:dyDescent="0.25">
      <c r="A104" s="41" t="s">
        <v>2080</v>
      </c>
      <c r="B104" s="25" t="s">
        <v>1652</v>
      </c>
      <c r="C104" s="29" t="s">
        <v>665</v>
      </c>
      <c r="D104" s="29" t="s">
        <v>666</v>
      </c>
      <c r="E104" s="25" t="s">
        <v>3123</v>
      </c>
      <c r="F104" s="26" t="s">
        <v>179</v>
      </c>
      <c r="G104" s="27" t="s">
        <v>536</v>
      </c>
      <c r="H104" s="27" t="s">
        <v>305</v>
      </c>
      <c r="I104" s="27"/>
      <c r="J104" s="27" t="s">
        <v>1037</v>
      </c>
      <c r="K104" s="106" t="str">
        <f t="shared" si="5"/>
        <v>А</v>
      </c>
      <c r="L104" s="106" t="str">
        <f t="shared" si="6"/>
        <v>З</v>
      </c>
      <c r="M104" s="107" t="str">
        <f t="shared" si="7"/>
        <v>Селекция и семеноводство сельскохозяйственных растений</v>
      </c>
    </row>
    <row r="105" spans="1:13" customFormat="1" ht="30" hidden="1" customHeight="1" x14ac:dyDescent="0.25">
      <c r="A105" s="41" t="s">
        <v>2081</v>
      </c>
      <c r="B105" s="25" t="s">
        <v>1653</v>
      </c>
      <c r="C105" s="29" t="s">
        <v>665</v>
      </c>
      <c r="D105" s="29" t="s">
        <v>666</v>
      </c>
      <c r="E105" s="25" t="s">
        <v>1732</v>
      </c>
      <c r="F105" s="26" t="s">
        <v>179</v>
      </c>
      <c r="G105" s="27" t="s">
        <v>537</v>
      </c>
      <c r="H105" s="27" t="s">
        <v>308</v>
      </c>
      <c r="I105" s="27"/>
      <c r="J105" s="27" t="s">
        <v>1037</v>
      </c>
      <c r="K105" s="106" t="str">
        <f t="shared" si="5"/>
        <v>А</v>
      </c>
      <c r="L105" s="106" t="str">
        <f t="shared" si="6"/>
        <v>З</v>
      </c>
      <c r="M105" s="107" t="str">
        <f t="shared" si="7"/>
        <v>Ветеринарная микробиология, вирусология, эпизоотология, микология с микотоксикологией и иммунология</v>
      </c>
    </row>
    <row r="106" spans="1:13" customFormat="1" ht="30" hidden="1" customHeight="1" x14ac:dyDescent="0.25">
      <c r="A106" s="41" t="s">
        <v>2082</v>
      </c>
      <c r="B106" s="25" t="s">
        <v>1653</v>
      </c>
      <c r="C106" s="29" t="s">
        <v>665</v>
      </c>
      <c r="D106" s="29" t="s">
        <v>666</v>
      </c>
      <c r="E106" s="25" t="s">
        <v>1732</v>
      </c>
      <c r="F106" s="26" t="s">
        <v>179</v>
      </c>
      <c r="G106" s="27" t="s">
        <v>537</v>
      </c>
      <c r="H106" s="27" t="s">
        <v>307</v>
      </c>
      <c r="I106" s="27"/>
      <c r="J106" s="27" t="s">
        <v>1037</v>
      </c>
      <c r="K106" s="106" t="str">
        <f t="shared" si="5"/>
        <v>А</v>
      </c>
      <c r="L106" s="106" t="str">
        <f t="shared" si="6"/>
        <v>З</v>
      </c>
      <c r="M106" s="107" t="str">
        <f t="shared" si="7"/>
        <v>Диагностика болезней и терапия животных, патология, онкология и морфология животных</v>
      </c>
    </row>
    <row r="107" spans="1:13" customFormat="1" ht="30" hidden="1" customHeight="1" x14ac:dyDescent="0.25">
      <c r="A107" s="41" t="s">
        <v>2083</v>
      </c>
      <c r="B107" s="25" t="s">
        <v>1653</v>
      </c>
      <c r="C107" s="29" t="s">
        <v>665</v>
      </c>
      <c r="D107" s="29" t="s">
        <v>666</v>
      </c>
      <c r="E107" s="25" t="s">
        <v>1732</v>
      </c>
      <c r="F107" s="26" t="s">
        <v>179</v>
      </c>
      <c r="G107" s="27" t="s">
        <v>537</v>
      </c>
      <c r="H107" s="27" t="s">
        <v>309</v>
      </c>
      <c r="I107" s="27"/>
      <c r="J107" s="27" t="s">
        <v>1037</v>
      </c>
      <c r="K107" s="106" t="str">
        <f t="shared" si="5"/>
        <v>А</v>
      </c>
      <c r="L107" s="106" t="str">
        <f t="shared" si="6"/>
        <v>З</v>
      </c>
      <c r="M107" s="107" t="str">
        <f t="shared" si="7"/>
        <v>Частная зоотехния, технология производства продуктов животноводства</v>
      </c>
    </row>
    <row r="108" spans="1:13" customFormat="1" ht="30" hidden="1" customHeight="1" x14ac:dyDescent="0.25">
      <c r="A108" s="41" t="s">
        <v>1093</v>
      </c>
      <c r="B108" s="25" t="s">
        <v>1094</v>
      </c>
      <c r="C108" s="29" t="s">
        <v>664</v>
      </c>
      <c r="D108" s="29" t="s">
        <v>666</v>
      </c>
      <c r="E108" s="25" t="s">
        <v>1732</v>
      </c>
      <c r="F108" s="26" t="s">
        <v>113</v>
      </c>
      <c r="G108" s="27" t="s">
        <v>300</v>
      </c>
      <c r="H108" s="27" t="s">
        <v>643</v>
      </c>
      <c r="I108" s="27"/>
      <c r="J108" s="27" t="s">
        <v>1092</v>
      </c>
      <c r="K108" s="106" t="str">
        <f t="shared" si="5"/>
        <v>Б</v>
      </c>
      <c r="L108" s="106" t="str">
        <f t="shared" si="6"/>
        <v>Д</v>
      </c>
      <c r="M108" s="107" t="str">
        <f t="shared" si="7"/>
        <v>Управление предприятиями наукоемких отраслей промышленности</v>
      </c>
    </row>
    <row r="109" spans="1:13" customFormat="1" ht="30" hidden="1" customHeight="1" x14ac:dyDescent="0.25">
      <c r="A109" s="41" t="s">
        <v>2942</v>
      </c>
      <c r="B109" s="25" t="s">
        <v>1094</v>
      </c>
      <c r="C109" s="29" t="s">
        <v>664</v>
      </c>
      <c r="D109" s="29" t="s">
        <v>666</v>
      </c>
      <c r="E109" s="25" t="s">
        <v>1732</v>
      </c>
      <c r="F109" s="26" t="s">
        <v>113</v>
      </c>
      <c r="G109" s="27" t="s">
        <v>300</v>
      </c>
      <c r="H109" s="27" t="s">
        <v>2943</v>
      </c>
      <c r="I109" s="27"/>
      <c r="J109" s="27" t="s">
        <v>1092</v>
      </c>
      <c r="K109" s="106" t="str">
        <f t="shared" si="5"/>
        <v>Б</v>
      </c>
      <c r="L109" s="106" t="str">
        <f t="shared" si="6"/>
        <v>Д</v>
      </c>
      <c r="M109" s="107" t="str">
        <f t="shared" si="7"/>
        <v>Цифровой дизайн и веб-разработка</v>
      </c>
    </row>
    <row r="110" spans="1:13" customFormat="1" ht="30" hidden="1" customHeight="1" x14ac:dyDescent="0.25">
      <c r="A110" s="41" t="s">
        <v>2120</v>
      </c>
      <c r="B110" s="25" t="s">
        <v>1094</v>
      </c>
      <c r="C110" s="29" t="s">
        <v>663</v>
      </c>
      <c r="D110" s="29" t="s">
        <v>666</v>
      </c>
      <c r="E110" s="25" t="s">
        <v>3125</v>
      </c>
      <c r="F110" s="26" t="s">
        <v>113</v>
      </c>
      <c r="G110" s="27" t="s">
        <v>300</v>
      </c>
      <c r="H110" s="27" t="s">
        <v>643</v>
      </c>
      <c r="I110" s="27"/>
      <c r="J110" s="27" t="s">
        <v>1092</v>
      </c>
      <c r="K110" s="106" t="str">
        <f t="shared" si="5"/>
        <v>Б</v>
      </c>
      <c r="L110" s="106" t="str">
        <f t="shared" si="6"/>
        <v>В</v>
      </c>
      <c r="M110" s="107" t="str">
        <f t="shared" si="7"/>
        <v>Управление предприятиями наукоемких отраслей промышленности</v>
      </c>
    </row>
    <row r="111" spans="1:13" customFormat="1" ht="30" hidden="1" customHeight="1" x14ac:dyDescent="0.25">
      <c r="A111" s="41" t="s">
        <v>1095</v>
      </c>
      <c r="B111" s="25" t="s">
        <v>1096</v>
      </c>
      <c r="C111" s="29" t="s">
        <v>664</v>
      </c>
      <c r="D111" s="29" t="s">
        <v>666</v>
      </c>
      <c r="E111" s="25" t="s">
        <v>3126</v>
      </c>
      <c r="F111" s="26" t="s">
        <v>115</v>
      </c>
      <c r="G111" s="27" t="s">
        <v>434</v>
      </c>
      <c r="H111" s="27" t="s">
        <v>645</v>
      </c>
      <c r="I111" s="27"/>
      <c r="J111" s="27" t="s">
        <v>1092</v>
      </c>
      <c r="K111" s="106" t="str">
        <f t="shared" si="5"/>
        <v>М</v>
      </c>
      <c r="L111" s="106" t="str">
        <f t="shared" si="6"/>
        <v>Д</v>
      </c>
      <c r="M111" s="107" t="str">
        <f t="shared" si="7"/>
        <v>Математическое моделирование инженерно-экономических систем</v>
      </c>
    </row>
    <row r="112" spans="1:13" customFormat="1" ht="30" hidden="1" customHeight="1" x14ac:dyDescent="0.25">
      <c r="A112" s="41" t="s">
        <v>1099</v>
      </c>
      <c r="B112" s="25" t="s">
        <v>1068</v>
      </c>
      <c r="C112" s="29" t="s">
        <v>664</v>
      </c>
      <c r="D112" s="29" t="s">
        <v>666</v>
      </c>
      <c r="E112" s="25" t="s">
        <v>3126</v>
      </c>
      <c r="F112" s="26" t="s">
        <v>115</v>
      </c>
      <c r="G112" s="27" t="s">
        <v>123</v>
      </c>
      <c r="H112" s="27" t="s">
        <v>652</v>
      </c>
      <c r="I112" s="27"/>
      <c r="J112" s="27" t="s">
        <v>1092</v>
      </c>
      <c r="K112" s="106" t="str">
        <f t="shared" si="5"/>
        <v>М</v>
      </c>
      <c r="L112" s="106" t="str">
        <f t="shared" si="6"/>
        <v>Д</v>
      </c>
      <c r="M112" s="107" t="str">
        <f t="shared" si="7"/>
        <v>Экономика и управление цифровым предприятием в топливно-энергетическом комплексе</v>
      </c>
    </row>
    <row r="113" spans="1:13" customFormat="1" ht="30" hidden="1" customHeight="1" x14ac:dyDescent="0.25">
      <c r="A113" s="41" t="s">
        <v>2115</v>
      </c>
      <c r="B113" s="25" t="s">
        <v>1068</v>
      </c>
      <c r="C113" s="29" t="s">
        <v>664</v>
      </c>
      <c r="D113" s="29" t="s">
        <v>666</v>
      </c>
      <c r="E113" s="25" t="s">
        <v>3126</v>
      </c>
      <c r="F113" s="26" t="s">
        <v>115</v>
      </c>
      <c r="G113" s="27" t="s">
        <v>123</v>
      </c>
      <c r="H113" s="27" t="s">
        <v>1102</v>
      </c>
      <c r="I113" s="27" t="s">
        <v>2802</v>
      </c>
      <c r="J113" s="27" t="s">
        <v>1092</v>
      </c>
      <c r="K113" s="108" t="s">
        <v>2828</v>
      </c>
      <c r="L113" s="106" t="str">
        <f t="shared" si="6"/>
        <v>Д</v>
      </c>
      <c r="M113" s="107" t="str">
        <f t="shared" si="7"/>
        <v>E-commerce – Электронная коммерция (Вуз-партнёр - ООО Нетология)</v>
      </c>
    </row>
    <row r="114" spans="1:13" customFormat="1" ht="30" hidden="1" customHeight="1" x14ac:dyDescent="0.25">
      <c r="A114" s="41" t="s">
        <v>1097</v>
      </c>
      <c r="B114" s="25" t="s">
        <v>1068</v>
      </c>
      <c r="C114" s="29" t="s">
        <v>664</v>
      </c>
      <c r="D114" s="29" t="s">
        <v>666</v>
      </c>
      <c r="E114" s="25" t="s">
        <v>3126</v>
      </c>
      <c r="F114" s="26" t="s">
        <v>115</v>
      </c>
      <c r="G114" s="27" t="s">
        <v>123</v>
      </c>
      <c r="H114" s="27" t="s">
        <v>178</v>
      </c>
      <c r="I114" s="27"/>
      <c r="J114" s="27" t="s">
        <v>1092</v>
      </c>
      <c r="K114" s="106" t="str">
        <f t="shared" si="5"/>
        <v>М</v>
      </c>
      <c r="L114" s="106" t="str">
        <f t="shared" si="6"/>
        <v>Д</v>
      </c>
      <c r="M114" s="107" t="str">
        <f t="shared" si="7"/>
        <v>Управление наукоемкими отраслями</v>
      </c>
    </row>
    <row r="115" spans="1:13" customFormat="1" ht="30" hidden="1" customHeight="1" x14ac:dyDescent="0.25">
      <c r="A115" s="41" t="s">
        <v>1098</v>
      </c>
      <c r="B115" s="25" t="s">
        <v>1068</v>
      </c>
      <c r="C115" s="29" t="s">
        <v>664</v>
      </c>
      <c r="D115" s="29" t="s">
        <v>666</v>
      </c>
      <c r="E115" s="25" t="s">
        <v>3126</v>
      </c>
      <c r="F115" s="26" t="s">
        <v>115</v>
      </c>
      <c r="G115" s="27" t="s">
        <v>123</v>
      </c>
      <c r="H115" s="27" t="s">
        <v>1016</v>
      </c>
      <c r="I115" s="27"/>
      <c r="J115" s="27" t="s">
        <v>1092</v>
      </c>
      <c r="K115" s="106" t="str">
        <f t="shared" si="5"/>
        <v>М</v>
      </c>
      <c r="L115" s="106" t="str">
        <f t="shared" si="6"/>
        <v>Д</v>
      </c>
      <c r="M115" s="107" t="str">
        <f t="shared" si="7"/>
        <v>Принятие эффективных управленческих решений (Big Data Economics)</v>
      </c>
    </row>
    <row r="116" spans="1:13" customFormat="1" ht="30" hidden="1" customHeight="1" x14ac:dyDescent="0.25">
      <c r="A116" s="41" t="s">
        <v>1100</v>
      </c>
      <c r="B116" s="25" t="s">
        <v>1068</v>
      </c>
      <c r="C116" s="29" t="s">
        <v>664</v>
      </c>
      <c r="D116" s="29" t="s">
        <v>666</v>
      </c>
      <c r="E116" s="25" t="s">
        <v>3126</v>
      </c>
      <c r="F116" s="26" t="s">
        <v>115</v>
      </c>
      <c r="G116" s="27" t="s">
        <v>123</v>
      </c>
      <c r="H116" s="27" t="s">
        <v>653</v>
      </c>
      <c r="I116" s="27"/>
      <c r="J116" s="27" t="s">
        <v>1092</v>
      </c>
      <c r="K116" s="106" t="str">
        <f t="shared" si="5"/>
        <v>М</v>
      </c>
      <c r="L116" s="106" t="str">
        <f t="shared" si="6"/>
        <v>Д</v>
      </c>
      <c r="M116" s="107" t="str">
        <f t="shared" si="7"/>
        <v>Комплаенс-контроль в деятельности организаций</v>
      </c>
    </row>
    <row r="117" spans="1:13" customFormat="1" ht="30" hidden="1" customHeight="1" x14ac:dyDescent="0.25">
      <c r="A117" s="41" t="s">
        <v>1101</v>
      </c>
      <c r="B117" s="25" t="s">
        <v>1068</v>
      </c>
      <c r="C117" s="29" t="s">
        <v>664</v>
      </c>
      <c r="D117" s="29" t="s">
        <v>666</v>
      </c>
      <c r="E117" s="25" t="s">
        <v>3126</v>
      </c>
      <c r="F117" s="26" t="s">
        <v>115</v>
      </c>
      <c r="G117" s="27" t="s">
        <v>123</v>
      </c>
      <c r="H117" s="27" t="s">
        <v>1102</v>
      </c>
      <c r="I117" s="27"/>
      <c r="J117" s="27" t="s">
        <v>1092</v>
      </c>
      <c r="K117" s="108" t="s">
        <v>2828</v>
      </c>
      <c r="L117" s="106" t="str">
        <f t="shared" si="6"/>
        <v>Д</v>
      </c>
      <c r="M117" s="107" t="str">
        <f t="shared" si="7"/>
        <v>E-commerce – Электронная коммерция</v>
      </c>
    </row>
    <row r="118" spans="1:13" customFormat="1" ht="30" hidden="1" customHeight="1" x14ac:dyDescent="0.25">
      <c r="A118" s="41" t="s">
        <v>2116</v>
      </c>
      <c r="B118" s="25" t="s">
        <v>1068</v>
      </c>
      <c r="C118" s="29" t="s">
        <v>664</v>
      </c>
      <c r="D118" s="29" t="s">
        <v>666</v>
      </c>
      <c r="E118" s="25" t="s">
        <v>3126</v>
      </c>
      <c r="F118" s="26" t="s">
        <v>115</v>
      </c>
      <c r="G118" s="27" t="s">
        <v>123</v>
      </c>
      <c r="H118" s="27" t="s">
        <v>2117</v>
      </c>
      <c r="I118" s="27"/>
      <c r="J118" s="27" t="s">
        <v>1092</v>
      </c>
      <c r="K118" s="106" t="str">
        <f t="shared" si="5"/>
        <v>М</v>
      </c>
      <c r="L118" s="106" t="str">
        <f t="shared" si="6"/>
        <v>Д</v>
      </c>
      <c r="M118" s="107" t="str">
        <f t="shared" si="7"/>
        <v>Экономика и управление цифровым предприятием</v>
      </c>
    </row>
    <row r="119" spans="1:13" customFormat="1" ht="30" hidden="1" customHeight="1" x14ac:dyDescent="0.25">
      <c r="A119" s="41" t="s">
        <v>1103</v>
      </c>
      <c r="B119" s="25" t="s">
        <v>1104</v>
      </c>
      <c r="C119" s="29" t="s">
        <v>664</v>
      </c>
      <c r="D119" s="29" t="s">
        <v>666</v>
      </c>
      <c r="E119" s="25" t="s">
        <v>3126</v>
      </c>
      <c r="F119" s="26" t="s">
        <v>115</v>
      </c>
      <c r="G119" s="27" t="s">
        <v>300</v>
      </c>
      <c r="H119" s="27" t="s">
        <v>1105</v>
      </c>
      <c r="I119" s="27"/>
      <c r="J119" s="27" t="s">
        <v>1092</v>
      </c>
      <c r="K119" s="106" t="str">
        <f t="shared" si="5"/>
        <v>М</v>
      </c>
      <c r="L119" s="106" t="str">
        <f t="shared" si="6"/>
        <v>Д</v>
      </c>
      <c r="M119" s="107" t="str">
        <f t="shared" si="7"/>
        <v>Девелопмент и управление недвижимостью</v>
      </c>
    </row>
    <row r="120" spans="1:13" customFormat="1" ht="30" hidden="1" customHeight="1" x14ac:dyDescent="0.25">
      <c r="A120" s="41" t="s">
        <v>1106</v>
      </c>
      <c r="B120" s="25" t="s">
        <v>1104</v>
      </c>
      <c r="C120" s="29" t="s">
        <v>664</v>
      </c>
      <c r="D120" s="29" t="s">
        <v>666</v>
      </c>
      <c r="E120" s="25" t="s">
        <v>3126</v>
      </c>
      <c r="F120" s="26" t="s">
        <v>115</v>
      </c>
      <c r="G120" s="27" t="s">
        <v>300</v>
      </c>
      <c r="H120" s="27" t="s">
        <v>1107</v>
      </c>
      <c r="I120" s="27"/>
      <c r="J120" s="27" t="s">
        <v>1092</v>
      </c>
      <c r="K120" s="106" t="str">
        <f t="shared" si="5"/>
        <v>М</v>
      </c>
      <c r="L120" s="106" t="str">
        <f t="shared" si="6"/>
        <v>Д</v>
      </c>
      <c r="M120" s="107" t="str">
        <f t="shared" si="7"/>
        <v>Инженерный менеджмент</v>
      </c>
    </row>
    <row r="121" spans="1:13" customFormat="1" ht="30" hidden="1" customHeight="1" x14ac:dyDescent="0.25">
      <c r="A121" s="41" t="s">
        <v>1108</v>
      </c>
      <c r="B121" s="25" t="s">
        <v>1104</v>
      </c>
      <c r="C121" s="29" t="s">
        <v>664</v>
      </c>
      <c r="D121" s="29" t="s">
        <v>666</v>
      </c>
      <c r="E121" s="25" t="s">
        <v>3126</v>
      </c>
      <c r="F121" s="26" t="s">
        <v>115</v>
      </c>
      <c r="G121" s="27" t="s">
        <v>300</v>
      </c>
      <c r="H121" s="27" t="s">
        <v>283</v>
      </c>
      <c r="I121" s="27"/>
      <c r="J121" s="27" t="s">
        <v>1092</v>
      </c>
      <c r="K121" s="106" t="str">
        <f t="shared" si="5"/>
        <v>М</v>
      </c>
      <c r="L121" s="106" t="str">
        <f t="shared" si="6"/>
        <v>Д</v>
      </c>
      <c r="M121" s="107" t="str">
        <f t="shared" si="7"/>
        <v>Инновационный менеджмент в промышленности</v>
      </c>
    </row>
    <row r="122" spans="1:13" customFormat="1" ht="30" hidden="1" customHeight="1" x14ac:dyDescent="0.25">
      <c r="A122" s="41" t="s">
        <v>2107</v>
      </c>
      <c r="B122" s="25" t="s">
        <v>1104</v>
      </c>
      <c r="C122" s="29" t="s">
        <v>664</v>
      </c>
      <c r="D122" s="29" t="s">
        <v>1730</v>
      </c>
      <c r="E122" s="25" t="s">
        <v>3126</v>
      </c>
      <c r="F122" s="26" t="s">
        <v>115</v>
      </c>
      <c r="G122" s="27" t="s">
        <v>300</v>
      </c>
      <c r="H122" s="27" t="s">
        <v>1107</v>
      </c>
      <c r="I122" s="27"/>
      <c r="J122" s="27" t="s">
        <v>1092</v>
      </c>
      <c r="K122" s="106" t="str">
        <f t="shared" si="5"/>
        <v>М</v>
      </c>
      <c r="L122" s="106" t="str">
        <f t="shared" si="6"/>
        <v>Д</v>
      </c>
      <c r="M122" s="107" t="str">
        <f t="shared" si="7"/>
        <v>Инженерный менеджмент (Английский язык)</v>
      </c>
    </row>
    <row r="123" spans="1:13" customFormat="1" ht="30" hidden="1" customHeight="1" x14ac:dyDescent="0.25">
      <c r="A123" s="41" t="s">
        <v>2118</v>
      </c>
      <c r="B123" s="25" t="s">
        <v>1104</v>
      </c>
      <c r="C123" s="29" t="s">
        <v>664</v>
      </c>
      <c r="D123" s="29" t="s">
        <v>666</v>
      </c>
      <c r="E123" s="25" t="s">
        <v>3126</v>
      </c>
      <c r="F123" s="26" t="s">
        <v>115</v>
      </c>
      <c r="G123" s="27" t="s">
        <v>300</v>
      </c>
      <c r="H123" s="27" t="s">
        <v>2119</v>
      </c>
      <c r="I123" s="27" t="s">
        <v>2803</v>
      </c>
      <c r="J123" s="27" t="s">
        <v>1092</v>
      </c>
      <c r="K123" s="106" t="str">
        <f t="shared" si="5"/>
        <v>М</v>
      </c>
      <c r="L123" s="106" t="str">
        <f t="shared" si="6"/>
        <v>Д</v>
      </c>
      <c r="M123" s="107" t="str">
        <f t="shared" si="7"/>
        <v>Управление продуктом (Вуз-партнёр - ООО "Сберобразование")</v>
      </c>
    </row>
    <row r="124" spans="1:13" customFormat="1" ht="30" hidden="1" customHeight="1" x14ac:dyDescent="0.25">
      <c r="A124" s="41" t="s">
        <v>2965</v>
      </c>
      <c r="B124" s="25" t="s">
        <v>1104</v>
      </c>
      <c r="C124" s="29" t="s">
        <v>664</v>
      </c>
      <c r="D124" s="29" t="s">
        <v>666</v>
      </c>
      <c r="E124" s="25" t="s">
        <v>3126</v>
      </c>
      <c r="F124" s="26" t="s">
        <v>115</v>
      </c>
      <c r="G124" s="27" t="s">
        <v>300</v>
      </c>
      <c r="H124" s="27" t="s">
        <v>3137</v>
      </c>
      <c r="I124" s="27"/>
      <c r="J124" s="27" t="s">
        <v>1092</v>
      </c>
      <c r="K124" s="106" t="str">
        <f t="shared" si="5"/>
        <v>М</v>
      </c>
      <c r="L124" s="106" t="str">
        <f t="shared" si="6"/>
        <v>Д</v>
      </c>
      <c r="M124" s="107" t="str">
        <f t="shared" si="7"/>
        <v>Цифровые технологии в управлении</v>
      </c>
    </row>
    <row r="125" spans="1:13" customFormat="1" ht="30" hidden="1" customHeight="1" x14ac:dyDescent="0.25">
      <c r="A125" s="41" t="s">
        <v>2966</v>
      </c>
      <c r="B125" s="25" t="s">
        <v>1104</v>
      </c>
      <c r="C125" s="29" t="s">
        <v>664</v>
      </c>
      <c r="D125" s="29" t="s">
        <v>666</v>
      </c>
      <c r="E125" s="25" t="s">
        <v>3126</v>
      </c>
      <c r="F125" s="26" t="s">
        <v>115</v>
      </c>
      <c r="G125" s="27" t="s">
        <v>300</v>
      </c>
      <c r="H125" s="27" t="s">
        <v>3138</v>
      </c>
      <c r="I125" s="27"/>
      <c r="J125" s="27" t="s">
        <v>1092</v>
      </c>
      <c r="K125" s="106" t="str">
        <f t="shared" si="5"/>
        <v>М</v>
      </c>
      <c r="L125" s="106" t="str">
        <f t="shared" si="6"/>
        <v>Д</v>
      </c>
      <c r="M125" s="107" t="str">
        <f t="shared" si="7"/>
        <v>Управление внешнеэкономической деятельностью</v>
      </c>
    </row>
    <row r="126" spans="1:13" customFormat="1" ht="30" hidden="1" customHeight="1" x14ac:dyDescent="0.25">
      <c r="A126" s="41" t="s">
        <v>2110</v>
      </c>
      <c r="B126" s="25" t="s">
        <v>1654</v>
      </c>
      <c r="C126" s="29" t="s">
        <v>664</v>
      </c>
      <c r="D126" s="29" t="s">
        <v>666</v>
      </c>
      <c r="E126" s="25" t="s">
        <v>3128</v>
      </c>
      <c r="F126" s="26" t="s">
        <v>179</v>
      </c>
      <c r="G126" s="27" t="s">
        <v>123</v>
      </c>
      <c r="H126" s="27" t="s">
        <v>300</v>
      </c>
      <c r="I126" s="27"/>
      <c r="J126" s="27" t="s">
        <v>1092</v>
      </c>
      <c r="K126" s="106" t="str">
        <f t="shared" si="5"/>
        <v>А</v>
      </c>
      <c r="L126" s="106" t="str">
        <f t="shared" si="6"/>
        <v>Д</v>
      </c>
      <c r="M126" s="107" t="str">
        <f t="shared" si="7"/>
        <v>Менеджмент</v>
      </c>
    </row>
    <row r="127" spans="1:13" customFormat="1" ht="30" hidden="1" customHeight="1" x14ac:dyDescent="0.25">
      <c r="A127" s="41" t="s">
        <v>2112</v>
      </c>
      <c r="B127" s="25" t="s">
        <v>1654</v>
      </c>
      <c r="C127" s="29" t="s">
        <v>664</v>
      </c>
      <c r="D127" s="29" t="s">
        <v>666</v>
      </c>
      <c r="E127" s="25" t="s">
        <v>3128</v>
      </c>
      <c r="F127" s="26" t="s">
        <v>179</v>
      </c>
      <c r="G127" s="27" t="s">
        <v>123</v>
      </c>
      <c r="H127" s="27" t="s">
        <v>301</v>
      </c>
      <c r="I127" s="27"/>
      <c r="J127" s="27" t="s">
        <v>1092</v>
      </c>
      <c r="K127" s="106" t="str">
        <f t="shared" si="5"/>
        <v>А</v>
      </c>
      <c r="L127" s="106" t="str">
        <f t="shared" si="6"/>
        <v>Д</v>
      </c>
      <c r="M127" s="107" t="str">
        <f t="shared" si="7"/>
        <v>Управление инновациями</v>
      </c>
    </row>
    <row r="128" spans="1:13" customFormat="1" ht="30" hidden="1" customHeight="1" x14ac:dyDescent="0.25">
      <c r="A128" s="41" t="s">
        <v>2114</v>
      </c>
      <c r="B128" s="25" t="s">
        <v>1654</v>
      </c>
      <c r="C128" s="29" t="s">
        <v>664</v>
      </c>
      <c r="D128" s="29" t="s">
        <v>1730</v>
      </c>
      <c r="E128" s="25" t="s">
        <v>3128</v>
      </c>
      <c r="F128" s="26" t="s">
        <v>179</v>
      </c>
      <c r="G128" s="27" t="s">
        <v>123</v>
      </c>
      <c r="H128" s="27" t="s">
        <v>301</v>
      </c>
      <c r="I128" s="27"/>
      <c r="J128" s="27" t="s">
        <v>1092</v>
      </c>
      <c r="K128" s="106" t="str">
        <f t="shared" si="5"/>
        <v>А</v>
      </c>
      <c r="L128" s="106" t="str">
        <f t="shared" si="6"/>
        <v>Д</v>
      </c>
      <c r="M128" s="107" t="str">
        <f t="shared" si="7"/>
        <v>Управление инновациями (Английский язык)</v>
      </c>
    </row>
    <row r="129" spans="1:13" customFormat="1" ht="30" hidden="1" customHeight="1" x14ac:dyDescent="0.25">
      <c r="A129" s="41" t="s">
        <v>2111</v>
      </c>
      <c r="B129" s="25" t="s">
        <v>1654</v>
      </c>
      <c r="C129" s="29" t="s">
        <v>665</v>
      </c>
      <c r="D129" s="29" t="s">
        <v>666</v>
      </c>
      <c r="E129" s="25" t="s">
        <v>1732</v>
      </c>
      <c r="F129" s="26" t="s">
        <v>179</v>
      </c>
      <c r="G129" s="27" t="s">
        <v>123</v>
      </c>
      <c r="H129" s="27" t="s">
        <v>300</v>
      </c>
      <c r="I129" s="27"/>
      <c r="J129" s="27" t="s">
        <v>1092</v>
      </c>
      <c r="K129" s="106" t="str">
        <f t="shared" si="5"/>
        <v>А</v>
      </c>
      <c r="L129" s="106" t="str">
        <f t="shared" si="6"/>
        <v>З</v>
      </c>
      <c r="M129" s="107" t="str">
        <f t="shared" si="7"/>
        <v>Менеджмент</v>
      </c>
    </row>
    <row r="130" spans="1:13" customFormat="1" ht="30" hidden="1" customHeight="1" x14ac:dyDescent="0.25">
      <c r="A130" s="41" t="s">
        <v>2113</v>
      </c>
      <c r="B130" s="25" t="s">
        <v>1654</v>
      </c>
      <c r="C130" s="29" t="s">
        <v>665</v>
      </c>
      <c r="D130" s="29" t="s">
        <v>666</v>
      </c>
      <c r="E130" s="25" t="s">
        <v>1732</v>
      </c>
      <c r="F130" s="26" t="s">
        <v>179</v>
      </c>
      <c r="G130" s="27" t="s">
        <v>123</v>
      </c>
      <c r="H130" s="27" t="s">
        <v>301</v>
      </c>
      <c r="I130" s="27"/>
      <c r="J130" s="27" t="s">
        <v>1092</v>
      </c>
      <c r="K130" s="106" t="str">
        <f t="shared" si="5"/>
        <v>А</v>
      </c>
      <c r="L130" s="106" t="str">
        <f t="shared" si="6"/>
        <v>З</v>
      </c>
      <c r="M130" s="107" t="str">
        <f t="shared" si="7"/>
        <v>Управление инновациями</v>
      </c>
    </row>
    <row r="131" spans="1:13" customFormat="1" ht="30" hidden="1" customHeight="1" x14ac:dyDescent="0.25">
      <c r="A131" s="41" t="s">
        <v>2967</v>
      </c>
      <c r="B131" s="25" t="s">
        <v>1094</v>
      </c>
      <c r="C131" s="29" t="s">
        <v>664</v>
      </c>
      <c r="D131" s="29" t="s">
        <v>666</v>
      </c>
      <c r="E131" s="25" t="s">
        <v>1732</v>
      </c>
      <c r="F131" s="26" t="s">
        <v>113</v>
      </c>
      <c r="G131" s="27" t="s">
        <v>300</v>
      </c>
      <c r="H131" s="27" t="s">
        <v>643</v>
      </c>
      <c r="I131" s="27"/>
      <c r="J131" s="27" t="s">
        <v>3194</v>
      </c>
      <c r="K131" s="106" t="str">
        <f t="shared" si="5"/>
        <v>Б</v>
      </c>
      <c r="L131" s="106" t="str">
        <f t="shared" si="6"/>
        <v>Д</v>
      </c>
      <c r="M131" s="107" t="str">
        <f t="shared" si="7"/>
        <v>Управление предприятиями наукоемких отраслей промышленности</v>
      </c>
    </row>
    <row r="132" spans="1:13" customFormat="1" ht="30" hidden="1" customHeight="1" x14ac:dyDescent="0.25">
      <c r="A132" s="41" t="s">
        <v>2968</v>
      </c>
      <c r="B132" s="25" t="s">
        <v>1094</v>
      </c>
      <c r="C132" s="29" t="s">
        <v>664</v>
      </c>
      <c r="D132" s="29" t="s">
        <v>666</v>
      </c>
      <c r="E132" s="25" t="s">
        <v>1732</v>
      </c>
      <c r="F132" s="26" t="s">
        <v>113</v>
      </c>
      <c r="G132" s="27" t="s">
        <v>300</v>
      </c>
      <c r="H132" s="27" t="s">
        <v>2943</v>
      </c>
      <c r="I132" s="27"/>
      <c r="J132" s="27" t="s">
        <v>3194</v>
      </c>
      <c r="K132" s="106" t="str">
        <f t="shared" ref="K132:K195" si="8">LEFT(F132, 1)</f>
        <v>Б</v>
      </c>
      <c r="L132" s="106" t="str">
        <f t="shared" ref="L132:L195" si="9">IF(C132="очная","Д",IF(C132="Очно-заочная","В",IF(C132="Заочная","З","-")))</f>
        <v>Д</v>
      </c>
      <c r="M132" s="107" t="str">
        <f t="shared" ref="M132:M195" si="10">CONCATENATE(H132,IF(D132="Русский","",CONCATENATE(" (",D132," язык)")),IF(I132&gt;0,CONCATENATE(" (Вуз-партнёр - ",I132,")"),""))</f>
        <v>Цифровой дизайн и веб-разработка</v>
      </c>
    </row>
    <row r="133" spans="1:13" customFormat="1" ht="30" hidden="1" customHeight="1" x14ac:dyDescent="0.25">
      <c r="A133" s="41" t="s">
        <v>2969</v>
      </c>
      <c r="B133" s="25" t="s">
        <v>1240</v>
      </c>
      <c r="C133" s="29" t="s">
        <v>664</v>
      </c>
      <c r="D133" s="29" t="s">
        <v>666</v>
      </c>
      <c r="E133" s="25" t="s">
        <v>1732</v>
      </c>
      <c r="F133" s="26" t="s">
        <v>113</v>
      </c>
      <c r="G133" s="27" t="s">
        <v>543</v>
      </c>
      <c r="H133" s="27" t="s">
        <v>590</v>
      </c>
      <c r="I133" s="27"/>
      <c r="J133" s="27" t="s">
        <v>3194</v>
      </c>
      <c r="K133" s="106" t="str">
        <f t="shared" si="8"/>
        <v>Б</v>
      </c>
      <c r="L133" s="106" t="str">
        <f t="shared" si="9"/>
        <v>Д</v>
      </c>
      <c r="M133" s="107" t="str">
        <f t="shared" si="10"/>
        <v>Сервис международной сферы гостеприимства</v>
      </c>
    </row>
    <row r="134" spans="1:13" customFormat="1" ht="30" hidden="1" customHeight="1" x14ac:dyDescent="0.25">
      <c r="A134" s="41" t="s">
        <v>2970</v>
      </c>
      <c r="B134" s="25" t="s">
        <v>1243</v>
      </c>
      <c r="C134" s="29" t="s">
        <v>664</v>
      </c>
      <c r="D134" s="29" t="s">
        <v>666</v>
      </c>
      <c r="E134" s="25" t="s">
        <v>1732</v>
      </c>
      <c r="F134" s="26" t="s">
        <v>113</v>
      </c>
      <c r="G134" s="27" t="s">
        <v>173</v>
      </c>
      <c r="H134" s="27" t="s">
        <v>591</v>
      </c>
      <c r="I134" s="27"/>
      <c r="J134" s="27" t="s">
        <v>3194</v>
      </c>
      <c r="K134" s="106" t="str">
        <f t="shared" si="8"/>
        <v>Б</v>
      </c>
      <c r="L134" s="106" t="str">
        <f t="shared" si="9"/>
        <v>Д</v>
      </c>
      <c r="M134" s="107" t="str">
        <f t="shared" si="10"/>
        <v>Международный туризм</v>
      </c>
    </row>
    <row r="135" spans="1:13" customFormat="1" ht="30" hidden="1" customHeight="1" x14ac:dyDescent="0.25">
      <c r="A135" s="41" t="s">
        <v>2971</v>
      </c>
      <c r="B135" s="25" t="s">
        <v>1247</v>
      </c>
      <c r="C135" s="29" t="s">
        <v>664</v>
      </c>
      <c r="D135" s="29" t="s">
        <v>666</v>
      </c>
      <c r="E135" s="25" t="s">
        <v>1732</v>
      </c>
      <c r="F135" s="26" t="s">
        <v>113</v>
      </c>
      <c r="G135" s="27" t="s">
        <v>172</v>
      </c>
      <c r="H135" s="27" t="s">
        <v>589</v>
      </c>
      <c r="I135" s="27"/>
      <c r="J135" s="27" t="s">
        <v>3194</v>
      </c>
      <c r="K135" s="106" t="str">
        <f t="shared" si="8"/>
        <v>Б</v>
      </c>
      <c r="L135" s="106" t="str">
        <f t="shared" si="9"/>
        <v>Д</v>
      </c>
      <c r="M135" s="107" t="str">
        <f t="shared" si="10"/>
        <v>Международный гостиничный бизнес</v>
      </c>
    </row>
    <row r="136" spans="1:13" customFormat="1" ht="30" hidden="1" customHeight="1" x14ac:dyDescent="0.25">
      <c r="A136" s="41" t="s">
        <v>2972</v>
      </c>
      <c r="B136" s="25" t="s">
        <v>1247</v>
      </c>
      <c r="C136" s="29" t="s">
        <v>664</v>
      </c>
      <c r="D136" s="29" t="s">
        <v>666</v>
      </c>
      <c r="E136" s="25" t="s">
        <v>1732</v>
      </c>
      <c r="F136" s="26" t="s">
        <v>113</v>
      </c>
      <c r="G136" s="27" t="s">
        <v>172</v>
      </c>
      <c r="H136" s="27" t="s">
        <v>588</v>
      </c>
      <c r="I136" s="27"/>
      <c r="J136" s="27" t="s">
        <v>3194</v>
      </c>
      <c r="K136" s="106" t="str">
        <f t="shared" si="8"/>
        <v>Б</v>
      </c>
      <c r="L136" s="106" t="str">
        <f t="shared" si="9"/>
        <v>Д</v>
      </c>
      <c r="M136" s="107" t="str">
        <f t="shared" si="10"/>
        <v>Международный ресторанный бизнес</v>
      </c>
    </row>
    <row r="137" spans="1:13" customFormat="1" ht="30" hidden="1" customHeight="1" x14ac:dyDescent="0.25">
      <c r="A137" s="41" t="s">
        <v>2973</v>
      </c>
      <c r="B137" s="25" t="s">
        <v>1094</v>
      </c>
      <c r="C137" s="29" t="s">
        <v>663</v>
      </c>
      <c r="D137" s="29" t="s">
        <v>666</v>
      </c>
      <c r="E137" s="25" t="s">
        <v>3125</v>
      </c>
      <c r="F137" s="26" t="s">
        <v>113</v>
      </c>
      <c r="G137" s="27" t="s">
        <v>300</v>
      </c>
      <c r="H137" s="27" t="s">
        <v>643</v>
      </c>
      <c r="I137" s="27"/>
      <c r="J137" s="27" t="s">
        <v>3194</v>
      </c>
      <c r="K137" s="106" t="str">
        <f t="shared" si="8"/>
        <v>Б</v>
      </c>
      <c r="L137" s="106" t="str">
        <f t="shared" si="9"/>
        <v>В</v>
      </c>
      <c r="M137" s="107" t="str">
        <f t="shared" si="10"/>
        <v>Управление предприятиями наукоемких отраслей промышленности</v>
      </c>
    </row>
    <row r="138" spans="1:13" customFormat="1" ht="30" hidden="1" customHeight="1" x14ac:dyDescent="0.25">
      <c r="A138" s="41" t="s">
        <v>2974</v>
      </c>
      <c r="B138" s="25" t="s">
        <v>1240</v>
      </c>
      <c r="C138" s="29" t="s">
        <v>663</v>
      </c>
      <c r="D138" s="29" t="s">
        <v>666</v>
      </c>
      <c r="E138" s="25" t="s">
        <v>3123</v>
      </c>
      <c r="F138" s="26" t="s">
        <v>113</v>
      </c>
      <c r="G138" s="27" t="s">
        <v>543</v>
      </c>
      <c r="H138" s="27" t="s">
        <v>590</v>
      </c>
      <c r="I138" s="27"/>
      <c r="J138" s="27" t="s">
        <v>3194</v>
      </c>
      <c r="K138" s="106" t="str">
        <f t="shared" si="8"/>
        <v>Б</v>
      </c>
      <c r="L138" s="106" t="str">
        <f t="shared" si="9"/>
        <v>В</v>
      </c>
      <c r="M138" s="107" t="str">
        <f t="shared" si="10"/>
        <v>Сервис международной сферы гостеприимства</v>
      </c>
    </row>
    <row r="139" spans="1:13" customFormat="1" ht="30" hidden="1" customHeight="1" x14ac:dyDescent="0.25">
      <c r="A139" s="41" t="s">
        <v>2975</v>
      </c>
      <c r="B139" s="25" t="s">
        <v>1240</v>
      </c>
      <c r="C139" s="29" t="s">
        <v>663</v>
      </c>
      <c r="D139" s="29" t="s">
        <v>666</v>
      </c>
      <c r="E139" s="25" t="s">
        <v>3129</v>
      </c>
      <c r="F139" s="26" t="s">
        <v>113</v>
      </c>
      <c r="G139" s="27" t="s">
        <v>543</v>
      </c>
      <c r="H139" s="27" t="s">
        <v>543</v>
      </c>
      <c r="I139" s="27"/>
      <c r="J139" s="27" t="s">
        <v>3194</v>
      </c>
      <c r="K139" s="106" t="str">
        <f t="shared" si="8"/>
        <v>Б</v>
      </c>
      <c r="L139" s="106" t="str">
        <f t="shared" si="9"/>
        <v>В</v>
      </c>
      <c r="M139" s="107" t="str">
        <f t="shared" si="10"/>
        <v>Сервис</v>
      </c>
    </row>
    <row r="140" spans="1:13" customFormat="1" ht="30" hidden="1" customHeight="1" x14ac:dyDescent="0.25">
      <c r="A140" s="41" t="s">
        <v>2976</v>
      </c>
      <c r="B140" s="25" t="s">
        <v>1243</v>
      </c>
      <c r="C140" s="29" t="s">
        <v>663</v>
      </c>
      <c r="D140" s="29" t="s">
        <v>666</v>
      </c>
      <c r="E140" s="25" t="s">
        <v>3123</v>
      </c>
      <c r="F140" s="26" t="s">
        <v>113</v>
      </c>
      <c r="G140" s="27" t="s">
        <v>173</v>
      </c>
      <c r="H140" s="27" t="s">
        <v>591</v>
      </c>
      <c r="I140" s="27"/>
      <c r="J140" s="27" t="s">
        <v>3194</v>
      </c>
      <c r="K140" s="106" t="str">
        <f t="shared" si="8"/>
        <v>Б</v>
      </c>
      <c r="L140" s="106" t="str">
        <f t="shared" si="9"/>
        <v>В</v>
      </c>
      <c r="M140" s="107" t="str">
        <f t="shared" si="10"/>
        <v>Международный туризм</v>
      </c>
    </row>
    <row r="141" spans="1:13" customFormat="1" ht="30" hidden="1" customHeight="1" x14ac:dyDescent="0.25">
      <c r="A141" s="41" t="s">
        <v>2977</v>
      </c>
      <c r="B141" s="25" t="s">
        <v>1243</v>
      </c>
      <c r="C141" s="29" t="s">
        <v>663</v>
      </c>
      <c r="D141" s="29" t="s">
        <v>666</v>
      </c>
      <c r="E141" s="25" t="s">
        <v>3129</v>
      </c>
      <c r="F141" s="26" t="s">
        <v>113</v>
      </c>
      <c r="G141" s="27" t="s">
        <v>173</v>
      </c>
      <c r="H141" s="27" t="s">
        <v>173</v>
      </c>
      <c r="I141" s="27"/>
      <c r="J141" s="27" t="s">
        <v>3194</v>
      </c>
      <c r="K141" s="106" t="str">
        <f t="shared" si="8"/>
        <v>Б</v>
      </c>
      <c r="L141" s="106" t="str">
        <f t="shared" si="9"/>
        <v>В</v>
      </c>
      <c r="M141" s="107" t="str">
        <f t="shared" si="10"/>
        <v>Туризм</v>
      </c>
    </row>
    <row r="142" spans="1:13" customFormat="1" ht="30" hidden="1" customHeight="1" x14ac:dyDescent="0.25">
      <c r="A142" s="41" t="s">
        <v>2978</v>
      </c>
      <c r="B142" s="25" t="s">
        <v>1247</v>
      </c>
      <c r="C142" s="29" t="s">
        <v>663</v>
      </c>
      <c r="D142" s="29" t="s">
        <v>666</v>
      </c>
      <c r="E142" s="25" t="s">
        <v>3123</v>
      </c>
      <c r="F142" s="26" t="s">
        <v>113</v>
      </c>
      <c r="G142" s="27" t="s">
        <v>172</v>
      </c>
      <c r="H142" s="27" t="s">
        <v>589</v>
      </c>
      <c r="I142" s="27"/>
      <c r="J142" s="27" t="s">
        <v>3194</v>
      </c>
      <c r="K142" s="106" t="str">
        <f t="shared" si="8"/>
        <v>Б</v>
      </c>
      <c r="L142" s="106" t="str">
        <f t="shared" si="9"/>
        <v>В</v>
      </c>
      <c r="M142" s="107" t="str">
        <f t="shared" si="10"/>
        <v>Международный гостиничный бизнес</v>
      </c>
    </row>
    <row r="143" spans="1:13" customFormat="1" ht="30" hidden="1" customHeight="1" x14ac:dyDescent="0.25">
      <c r="A143" s="41" t="s">
        <v>2979</v>
      </c>
      <c r="B143" s="25" t="s">
        <v>1247</v>
      </c>
      <c r="C143" s="29" t="s">
        <v>663</v>
      </c>
      <c r="D143" s="29" t="s">
        <v>666</v>
      </c>
      <c r="E143" s="25" t="s">
        <v>3123</v>
      </c>
      <c r="F143" s="26" t="s">
        <v>113</v>
      </c>
      <c r="G143" s="27" t="s">
        <v>172</v>
      </c>
      <c r="H143" s="27" t="s">
        <v>588</v>
      </c>
      <c r="I143" s="27"/>
      <c r="J143" s="27" t="s">
        <v>3194</v>
      </c>
      <c r="K143" s="106" t="str">
        <f t="shared" si="8"/>
        <v>Б</v>
      </c>
      <c r="L143" s="106" t="str">
        <f t="shared" si="9"/>
        <v>В</v>
      </c>
      <c r="M143" s="107" t="str">
        <f t="shared" si="10"/>
        <v>Международный ресторанный бизнес</v>
      </c>
    </row>
    <row r="144" spans="1:13" customFormat="1" ht="30" hidden="1" customHeight="1" x14ac:dyDescent="0.25">
      <c r="A144" s="41" t="s">
        <v>2980</v>
      </c>
      <c r="B144" s="25" t="s">
        <v>1247</v>
      </c>
      <c r="C144" s="29" t="s">
        <v>663</v>
      </c>
      <c r="D144" s="29" t="s">
        <v>666</v>
      </c>
      <c r="E144" s="25" t="s">
        <v>3129</v>
      </c>
      <c r="F144" s="26" t="s">
        <v>113</v>
      </c>
      <c r="G144" s="27" t="s">
        <v>172</v>
      </c>
      <c r="H144" s="27" t="s">
        <v>172</v>
      </c>
      <c r="I144" s="27"/>
      <c r="J144" s="27" t="s">
        <v>3194</v>
      </c>
      <c r="K144" s="106" t="str">
        <f t="shared" si="8"/>
        <v>Б</v>
      </c>
      <c r="L144" s="106" t="str">
        <f t="shared" si="9"/>
        <v>В</v>
      </c>
      <c r="M144" s="107" t="str">
        <f t="shared" si="10"/>
        <v>Гостиничное дело</v>
      </c>
    </row>
    <row r="145" spans="1:13" customFormat="1" ht="30" hidden="1" customHeight="1" x14ac:dyDescent="0.25">
      <c r="A145" s="41" t="s">
        <v>2981</v>
      </c>
      <c r="B145" s="25" t="s">
        <v>1243</v>
      </c>
      <c r="C145" s="29" t="s">
        <v>665</v>
      </c>
      <c r="D145" s="29" t="s">
        <v>666</v>
      </c>
      <c r="E145" s="25" t="s">
        <v>3123</v>
      </c>
      <c r="F145" s="26" t="s">
        <v>113</v>
      </c>
      <c r="G145" s="27" t="s">
        <v>173</v>
      </c>
      <c r="H145" s="27" t="s">
        <v>591</v>
      </c>
      <c r="I145" s="27"/>
      <c r="J145" s="27" t="s">
        <v>3194</v>
      </c>
      <c r="K145" s="106" t="str">
        <f t="shared" si="8"/>
        <v>Б</v>
      </c>
      <c r="L145" s="106" t="str">
        <f t="shared" si="9"/>
        <v>З</v>
      </c>
      <c r="M145" s="107" t="str">
        <f t="shared" si="10"/>
        <v>Международный туризм</v>
      </c>
    </row>
    <row r="146" spans="1:13" customFormat="1" ht="30" hidden="1" customHeight="1" x14ac:dyDescent="0.25">
      <c r="A146" s="41" t="s">
        <v>2982</v>
      </c>
      <c r="B146" s="25" t="s">
        <v>1247</v>
      </c>
      <c r="C146" s="29" t="s">
        <v>665</v>
      </c>
      <c r="D146" s="29" t="s">
        <v>666</v>
      </c>
      <c r="E146" s="25" t="s">
        <v>3123</v>
      </c>
      <c r="F146" s="26" t="s">
        <v>113</v>
      </c>
      <c r="G146" s="27" t="s">
        <v>172</v>
      </c>
      <c r="H146" s="27" t="s">
        <v>589</v>
      </c>
      <c r="I146" s="27"/>
      <c r="J146" s="27" t="s">
        <v>3194</v>
      </c>
      <c r="K146" s="106" t="str">
        <f t="shared" si="8"/>
        <v>Б</v>
      </c>
      <c r="L146" s="106" t="str">
        <f t="shared" si="9"/>
        <v>З</v>
      </c>
      <c r="M146" s="107" t="str">
        <f t="shared" si="10"/>
        <v>Международный гостиничный бизнес</v>
      </c>
    </row>
    <row r="147" spans="1:13" customFormat="1" ht="30" hidden="1" customHeight="1" x14ac:dyDescent="0.25">
      <c r="A147" s="41" t="s">
        <v>2983</v>
      </c>
      <c r="B147" s="25" t="s">
        <v>1096</v>
      </c>
      <c r="C147" s="29" t="s">
        <v>664</v>
      </c>
      <c r="D147" s="29" t="s">
        <v>666</v>
      </c>
      <c r="E147" s="25" t="s">
        <v>3126</v>
      </c>
      <c r="F147" s="26" t="s">
        <v>115</v>
      </c>
      <c r="G147" s="27" t="s">
        <v>434</v>
      </c>
      <c r="H147" s="27" t="s">
        <v>645</v>
      </c>
      <c r="I147" s="27"/>
      <c r="J147" s="27" t="s">
        <v>3194</v>
      </c>
      <c r="K147" s="106" t="str">
        <f t="shared" si="8"/>
        <v>М</v>
      </c>
      <c r="L147" s="106" t="str">
        <f t="shared" si="9"/>
        <v>Д</v>
      </c>
      <c r="M147" s="107" t="str">
        <f t="shared" si="10"/>
        <v>Математическое моделирование инженерно-экономических систем</v>
      </c>
    </row>
    <row r="148" spans="1:13" customFormat="1" ht="30" hidden="1" customHeight="1" x14ac:dyDescent="0.25">
      <c r="A148" s="41" t="s">
        <v>2984</v>
      </c>
      <c r="B148" s="25" t="s">
        <v>1068</v>
      </c>
      <c r="C148" s="29" t="s">
        <v>664</v>
      </c>
      <c r="D148" s="29" t="s">
        <v>666</v>
      </c>
      <c r="E148" s="25" t="s">
        <v>3126</v>
      </c>
      <c r="F148" s="26" t="s">
        <v>115</v>
      </c>
      <c r="G148" s="27" t="s">
        <v>123</v>
      </c>
      <c r="H148" s="27" t="s">
        <v>1016</v>
      </c>
      <c r="I148" s="27"/>
      <c r="J148" s="27" t="s">
        <v>3194</v>
      </c>
      <c r="K148" s="106" t="str">
        <f t="shared" si="8"/>
        <v>М</v>
      </c>
      <c r="L148" s="106" t="str">
        <f t="shared" si="9"/>
        <v>Д</v>
      </c>
      <c r="M148" s="107" t="str">
        <f t="shared" si="10"/>
        <v>Принятие эффективных управленческих решений (Big Data Economics)</v>
      </c>
    </row>
    <row r="149" spans="1:13" customFormat="1" ht="30" hidden="1" customHeight="1" x14ac:dyDescent="0.25">
      <c r="A149" s="41" t="s">
        <v>2985</v>
      </c>
      <c r="B149" s="25" t="s">
        <v>1068</v>
      </c>
      <c r="C149" s="29" t="s">
        <v>664</v>
      </c>
      <c r="D149" s="29" t="s">
        <v>666</v>
      </c>
      <c r="E149" s="25" t="s">
        <v>3126</v>
      </c>
      <c r="F149" s="26" t="s">
        <v>115</v>
      </c>
      <c r="G149" s="27" t="s">
        <v>123</v>
      </c>
      <c r="H149" s="27" t="s">
        <v>178</v>
      </c>
      <c r="I149" s="27"/>
      <c r="J149" s="27" t="s">
        <v>3194</v>
      </c>
      <c r="K149" s="106" t="str">
        <f t="shared" si="8"/>
        <v>М</v>
      </c>
      <c r="L149" s="106" t="str">
        <f t="shared" si="9"/>
        <v>Д</v>
      </c>
      <c r="M149" s="107" t="str">
        <f t="shared" si="10"/>
        <v>Управление наукоемкими отраслями</v>
      </c>
    </row>
    <row r="150" spans="1:13" customFormat="1" ht="30" hidden="1" customHeight="1" x14ac:dyDescent="0.25">
      <c r="A150" s="41" t="s">
        <v>2986</v>
      </c>
      <c r="B150" s="25" t="s">
        <v>1068</v>
      </c>
      <c r="C150" s="29" t="s">
        <v>664</v>
      </c>
      <c r="D150" s="29" t="s">
        <v>666</v>
      </c>
      <c r="E150" s="25" t="s">
        <v>3126</v>
      </c>
      <c r="F150" s="26" t="s">
        <v>115</v>
      </c>
      <c r="G150" s="27" t="s">
        <v>123</v>
      </c>
      <c r="H150" s="27" t="s">
        <v>2117</v>
      </c>
      <c r="I150" s="27"/>
      <c r="J150" s="27" t="s">
        <v>3194</v>
      </c>
      <c r="K150" s="106" t="str">
        <f t="shared" si="8"/>
        <v>М</v>
      </c>
      <c r="L150" s="106" t="str">
        <f t="shared" si="9"/>
        <v>Д</v>
      </c>
      <c r="M150" s="107" t="str">
        <f t="shared" si="10"/>
        <v>Экономика и управление цифровым предприятием</v>
      </c>
    </row>
    <row r="151" spans="1:13" customFormat="1" ht="30" hidden="1" customHeight="1" x14ac:dyDescent="0.25">
      <c r="A151" s="41" t="s">
        <v>2987</v>
      </c>
      <c r="B151" s="25" t="s">
        <v>1068</v>
      </c>
      <c r="C151" s="29" t="s">
        <v>664</v>
      </c>
      <c r="D151" s="29" t="s">
        <v>666</v>
      </c>
      <c r="E151" s="25" t="s">
        <v>3126</v>
      </c>
      <c r="F151" s="26" t="s">
        <v>115</v>
      </c>
      <c r="G151" s="27" t="s">
        <v>123</v>
      </c>
      <c r="H151" s="27" t="s">
        <v>652</v>
      </c>
      <c r="I151" s="27"/>
      <c r="J151" s="27" t="s">
        <v>3194</v>
      </c>
      <c r="K151" s="106" t="str">
        <f t="shared" si="8"/>
        <v>М</v>
      </c>
      <c r="L151" s="106" t="str">
        <f t="shared" si="9"/>
        <v>Д</v>
      </c>
      <c r="M151" s="107" t="str">
        <f t="shared" si="10"/>
        <v>Экономика и управление цифровым предприятием в топливно-энергетическом комплексе</v>
      </c>
    </row>
    <row r="152" spans="1:13" customFormat="1" ht="30" hidden="1" customHeight="1" x14ac:dyDescent="0.25">
      <c r="A152" s="41" t="s">
        <v>2988</v>
      </c>
      <c r="B152" s="25" t="s">
        <v>1068</v>
      </c>
      <c r="C152" s="29" t="s">
        <v>664</v>
      </c>
      <c r="D152" s="29" t="s">
        <v>666</v>
      </c>
      <c r="E152" s="25" t="s">
        <v>3126</v>
      </c>
      <c r="F152" s="26" t="s">
        <v>115</v>
      </c>
      <c r="G152" s="27" t="s">
        <v>123</v>
      </c>
      <c r="H152" s="27" t="s">
        <v>1102</v>
      </c>
      <c r="I152" s="27"/>
      <c r="J152" s="27" t="s">
        <v>3194</v>
      </c>
      <c r="K152" s="106" t="str">
        <f t="shared" si="8"/>
        <v>М</v>
      </c>
      <c r="L152" s="106" t="str">
        <f t="shared" si="9"/>
        <v>Д</v>
      </c>
      <c r="M152" s="107" t="str">
        <f t="shared" si="10"/>
        <v>E-commerce – Электронная коммерция</v>
      </c>
    </row>
    <row r="153" spans="1:13" customFormat="1" ht="30" hidden="1" customHeight="1" x14ac:dyDescent="0.25">
      <c r="A153" s="41" t="s">
        <v>2989</v>
      </c>
      <c r="B153" s="25" t="s">
        <v>1068</v>
      </c>
      <c r="C153" s="29" t="s">
        <v>664</v>
      </c>
      <c r="D153" s="29" t="s">
        <v>666</v>
      </c>
      <c r="E153" s="25" t="s">
        <v>3126</v>
      </c>
      <c r="F153" s="26" t="s">
        <v>115</v>
      </c>
      <c r="G153" s="27" t="s">
        <v>123</v>
      </c>
      <c r="H153" s="27" t="s">
        <v>653</v>
      </c>
      <c r="I153" s="27"/>
      <c r="J153" s="27" t="s">
        <v>3194</v>
      </c>
      <c r="K153" s="106" t="str">
        <f t="shared" si="8"/>
        <v>М</v>
      </c>
      <c r="L153" s="106" t="str">
        <f t="shared" si="9"/>
        <v>Д</v>
      </c>
      <c r="M153" s="107" t="str">
        <f t="shared" si="10"/>
        <v>Комплаенс-контроль в деятельности организаций</v>
      </c>
    </row>
    <row r="154" spans="1:13" customFormat="1" ht="30" hidden="1" customHeight="1" x14ac:dyDescent="0.25">
      <c r="A154" s="41" t="s">
        <v>2990</v>
      </c>
      <c r="B154" s="25" t="s">
        <v>1068</v>
      </c>
      <c r="C154" s="29" t="s">
        <v>664</v>
      </c>
      <c r="D154" s="29" t="s">
        <v>666</v>
      </c>
      <c r="E154" s="25" t="s">
        <v>3126</v>
      </c>
      <c r="F154" s="26" t="s">
        <v>115</v>
      </c>
      <c r="G154" s="27" t="s">
        <v>123</v>
      </c>
      <c r="H154" s="27" t="s">
        <v>1102</v>
      </c>
      <c r="I154" s="27" t="s">
        <v>2802</v>
      </c>
      <c r="J154" s="27" t="s">
        <v>3194</v>
      </c>
      <c r="K154" s="106" t="str">
        <f t="shared" si="8"/>
        <v>М</v>
      </c>
      <c r="L154" s="106" t="str">
        <f t="shared" si="9"/>
        <v>Д</v>
      </c>
      <c r="M154" s="107" t="str">
        <f t="shared" si="10"/>
        <v>E-commerce – Электронная коммерция (Вуз-партнёр - ООО Нетология)</v>
      </c>
    </row>
    <row r="155" spans="1:13" customFormat="1" ht="30" hidden="1" customHeight="1" x14ac:dyDescent="0.25">
      <c r="A155" s="41" t="s">
        <v>2991</v>
      </c>
      <c r="B155" s="25" t="s">
        <v>1104</v>
      </c>
      <c r="C155" s="29" t="s">
        <v>664</v>
      </c>
      <c r="D155" s="29" t="s">
        <v>666</v>
      </c>
      <c r="E155" s="25" t="s">
        <v>3126</v>
      </c>
      <c r="F155" s="26" t="s">
        <v>115</v>
      </c>
      <c r="G155" s="27" t="s">
        <v>300</v>
      </c>
      <c r="H155" s="27" t="s">
        <v>1020</v>
      </c>
      <c r="I155" s="27"/>
      <c r="J155" s="27" t="s">
        <v>3194</v>
      </c>
      <c r="K155" s="106" t="str">
        <f t="shared" si="8"/>
        <v>М</v>
      </c>
      <c r="L155" s="106" t="str">
        <f t="shared" si="9"/>
        <v>Д</v>
      </c>
      <c r="M155" s="107" t="str">
        <f t="shared" si="10"/>
        <v>Управление клиентским опытом и инновации в сервисе</v>
      </c>
    </row>
    <row r="156" spans="1:13" customFormat="1" ht="30" hidden="1" customHeight="1" x14ac:dyDescent="0.25">
      <c r="A156" s="41" t="s">
        <v>2992</v>
      </c>
      <c r="B156" s="25" t="s">
        <v>1104</v>
      </c>
      <c r="C156" s="29" t="s">
        <v>664</v>
      </c>
      <c r="D156" s="29" t="s">
        <v>1730</v>
      </c>
      <c r="E156" s="25" t="s">
        <v>3126</v>
      </c>
      <c r="F156" s="26" t="s">
        <v>115</v>
      </c>
      <c r="G156" s="27" t="s">
        <v>300</v>
      </c>
      <c r="H156" s="27" t="s">
        <v>1107</v>
      </c>
      <c r="I156" s="27"/>
      <c r="J156" s="27" t="s">
        <v>3194</v>
      </c>
      <c r="K156" s="106" t="str">
        <f t="shared" si="8"/>
        <v>М</v>
      </c>
      <c r="L156" s="106" t="str">
        <f t="shared" si="9"/>
        <v>Д</v>
      </c>
      <c r="M156" s="107" t="str">
        <f t="shared" si="10"/>
        <v>Инженерный менеджмент (Английский язык)</v>
      </c>
    </row>
    <row r="157" spans="1:13" customFormat="1" ht="30" hidden="1" customHeight="1" x14ac:dyDescent="0.25">
      <c r="A157" s="41" t="s">
        <v>2993</v>
      </c>
      <c r="B157" s="25" t="s">
        <v>1104</v>
      </c>
      <c r="C157" s="29" t="s">
        <v>664</v>
      </c>
      <c r="D157" s="29" t="s">
        <v>666</v>
      </c>
      <c r="E157" s="25" t="s">
        <v>3126</v>
      </c>
      <c r="F157" s="26" t="s">
        <v>115</v>
      </c>
      <c r="G157" s="27" t="s">
        <v>300</v>
      </c>
      <c r="H157" s="27" t="s">
        <v>1105</v>
      </c>
      <c r="I157" s="27"/>
      <c r="J157" s="27" t="s">
        <v>3194</v>
      </c>
      <c r="K157" s="106" t="str">
        <f t="shared" si="8"/>
        <v>М</v>
      </c>
      <c r="L157" s="106" t="str">
        <f t="shared" si="9"/>
        <v>Д</v>
      </c>
      <c r="M157" s="107" t="str">
        <f t="shared" si="10"/>
        <v>Девелопмент и управление недвижимостью</v>
      </c>
    </row>
    <row r="158" spans="1:13" customFormat="1" ht="30" hidden="1" customHeight="1" x14ac:dyDescent="0.25">
      <c r="A158" s="41" t="s">
        <v>2994</v>
      </c>
      <c r="B158" s="25" t="s">
        <v>1104</v>
      </c>
      <c r="C158" s="29" t="s">
        <v>664</v>
      </c>
      <c r="D158" s="29" t="s">
        <v>666</v>
      </c>
      <c r="E158" s="25" t="s">
        <v>3126</v>
      </c>
      <c r="F158" s="26" t="s">
        <v>115</v>
      </c>
      <c r="G158" s="27" t="s">
        <v>300</v>
      </c>
      <c r="H158" s="27" t="s">
        <v>1107</v>
      </c>
      <c r="I158" s="27"/>
      <c r="J158" s="27" t="s">
        <v>3194</v>
      </c>
      <c r="K158" s="106" t="str">
        <f t="shared" si="8"/>
        <v>М</v>
      </c>
      <c r="L158" s="106" t="str">
        <f t="shared" si="9"/>
        <v>Д</v>
      </c>
      <c r="M158" s="107" t="str">
        <f t="shared" si="10"/>
        <v>Инженерный менеджмент</v>
      </c>
    </row>
    <row r="159" spans="1:13" customFormat="1" ht="30" hidden="1" customHeight="1" x14ac:dyDescent="0.25">
      <c r="A159" s="41" t="s">
        <v>2995</v>
      </c>
      <c r="B159" s="25" t="s">
        <v>1104</v>
      </c>
      <c r="C159" s="29" t="s">
        <v>664</v>
      </c>
      <c r="D159" s="29" t="s">
        <v>666</v>
      </c>
      <c r="E159" s="25" t="s">
        <v>3126</v>
      </c>
      <c r="F159" s="26" t="s">
        <v>115</v>
      </c>
      <c r="G159" s="27" t="s">
        <v>300</v>
      </c>
      <c r="H159" s="27" t="s">
        <v>283</v>
      </c>
      <c r="I159" s="27"/>
      <c r="J159" s="27" t="s">
        <v>3194</v>
      </c>
      <c r="K159" s="106" t="str">
        <f t="shared" si="8"/>
        <v>М</v>
      </c>
      <c r="L159" s="106" t="str">
        <f t="shared" si="9"/>
        <v>Д</v>
      </c>
      <c r="M159" s="107" t="str">
        <f t="shared" si="10"/>
        <v>Инновационный менеджмент в промышленности</v>
      </c>
    </row>
    <row r="160" spans="1:13" customFormat="1" ht="30" hidden="1" customHeight="1" x14ac:dyDescent="0.25">
      <c r="A160" s="41" t="s">
        <v>2996</v>
      </c>
      <c r="B160" s="25" t="s">
        <v>1104</v>
      </c>
      <c r="C160" s="29" t="s">
        <v>664</v>
      </c>
      <c r="D160" s="29" t="s">
        <v>666</v>
      </c>
      <c r="E160" s="25" t="s">
        <v>3126</v>
      </c>
      <c r="F160" s="26" t="s">
        <v>115</v>
      </c>
      <c r="G160" s="27" t="s">
        <v>300</v>
      </c>
      <c r="H160" s="27" t="s">
        <v>3138</v>
      </c>
      <c r="I160" s="27"/>
      <c r="J160" s="27" t="s">
        <v>3194</v>
      </c>
      <c r="K160" s="106" t="str">
        <f t="shared" si="8"/>
        <v>М</v>
      </c>
      <c r="L160" s="106" t="str">
        <f t="shared" si="9"/>
        <v>Д</v>
      </c>
      <c r="M160" s="107" t="str">
        <f t="shared" si="10"/>
        <v>Управление внешнеэкономической деятельностью</v>
      </c>
    </row>
    <row r="161" spans="1:13" customFormat="1" ht="30" hidden="1" customHeight="1" x14ac:dyDescent="0.25">
      <c r="A161" s="41" t="s">
        <v>2997</v>
      </c>
      <c r="B161" s="25" t="s">
        <v>1104</v>
      </c>
      <c r="C161" s="29" t="s">
        <v>664</v>
      </c>
      <c r="D161" s="29" t="s">
        <v>666</v>
      </c>
      <c r="E161" s="25" t="s">
        <v>3126</v>
      </c>
      <c r="F161" s="26" t="s">
        <v>115</v>
      </c>
      <c r="G161" s="27" t="s">
        <v>300</v>
      </c>
      <c r="H161" s="27" t="s">
        <v>3137</v>
      </c>
      <c r="I161" s="27"/>
      <c r="J161" s="27" t="s">
        <v>3194</v>
      </c>
      <c r="K161" s="106" t="str">
        <f t="shared" si="8"/>
        <v>М</v>
      </c>
      <c r="L161" s="106" t="str">
        <f t="shared" si="9"/>
        <v>Д</v>
      </c>
      <c r="M161" s="107" t="str">
        <f t="shared" si="10"/>
        <v>Цифровые технологии в управлении</v>
      </c>
    </row>
    <row r="162" spans="1:13" customFormat="1" ht="30" hidden="1" customHeight="1" x14ac:dyDescent="0.25">
      <c r="A162" s="41" t="s">
        <v>2998</v>
      </c>
      <c r="B162" s="25" t="s">
        <v>1104</v>
      </c>
      <c r="C162" s="29" t="s">
        <v>664</v>
      </c>
      <c r="D162" s="29" t="s">
        <v>666</v>
      </c>
      <c r="E162" s="25" t="s">
        <v>3126</v>
      </c>
      <c r="F162" s="26" t="s">
        <v>115</v>
      </c>
      <c r="G162" s="27" t="s">
        <v>300</v>
      </c>
      <c r="H162" s="27" t="s">
        <v>2119</v>
      </c>
      <c r="I162" s="27" t="s">
        <v>2803</v>
      </c>
      <c r="J162" s="27" t="s">
        <v>3194</v>
      </c>
      <c r="K162" s="106" t="str">
        <f t="shared" si="8"/>
        <v>М</v>
      </c>
      <c r="L162" s="106" t="str">
        <f t="shared" si="9"/>
        <v>Д</v>
      </c>
      <c r="M162" s="107" t="str">
        <f t="shared" si="10"/>
        <v>Управление продуктом (Вуз-партнёр - ООО "Сберобразование")</v>
      </c>
    </row>
    <row r="163" spans="1:13" customFormat="1" ht="30" hidden="1" customHeight="1" x14ac:dyDescent="0.25">
      <c r="A163" s="41" t="s">
        <v>2999</v>
      </c>
      <c r="B163" s="25" t="s">
        <v>1252</v>
      </c>
      <c r="C163" s="29" t="s">
        <v>664</v>
      </c>
      <c r="D163" s="29" t="s">
        <v>666</v>
      </c>
      <c r="E163" s="25" t="s">
        <v>3126</v>
      </c>
      <c r="F163" s="26" t="s">
        <v>115</v>
      </c>
      <c r="G163" s="27" t="s">
        <v>173</v>
      </c>
      <c r="H163" s="27" t="s">
        <v>2248</v>
      </c>
      <c r="I163" s="27" t="s">
        <v>915</v>
      </c>
      <c r="J163" s="27" t="s">
        <v>3194</v>
      </c>
      <c r="K163" s="106" t="str">
        <f t="shared" si="8"/>
        <v>М</v>
      </c>
      <c r="L163" s="106" t="str">
        <f t="shared" si="9"/>
        <v>Д</v>
      </c>
      <c r="M163" s="107" t="str">
        <f t="shared" si="10"/>
        <v>Планирование и развитие туризма на государственном уровне (Вуз-партнёр - Кыргызский национальный университет им. Ж. Баласагына)</v>
      </c>
    </row>
    <row r="164" spans="1:13" customFormat="1" ht="30" hidden="1" customHeight="1" x14ac:dyDescent="0.25">
      <c r="A164" s="41" t="s">
        <v>3000</v>
      </c>
      <c r="B164" s="25" t="s">
        <v>1252</v>
      </c>
      <c r="C164" s="29" t="s">
        <v>664</v>
      </c>
      <c r="D164" s="29" t="s">
        <v>666</v>
      </c>
      <c r="E164" s="25" t="s">
        <v>3126</v>
      </c>
      <c r="F164" s="26" t="s">
        <v>115</v>
      </c>
      <c r="G164" s="27" t="s">
        <v>173</v>
      </c>
      <c r="H164" s="27" t="s">
        <v>593</v>
      </c>
      <c r="I164" s="27"/>
      <c r="J164" s="27" t="s">
        <v>3194</v>
      </c>
      <c r="K164" s="106" t="str">
        <f t="shared" si="8"/>
        <v>М</v>
      </c>
      <c r="L164" s="106" t="str">
        <f t="shared" si="9"/>
        <v>Д</v>
      </c>
      <c r="M164" s="107" t="str">
        <f t="shared" si="10"/>
        <v>Бизнес-процессы в сфере туризма и гостеприимства</v>
      </c>
    </row>
    <row r="165" spans="1:13" customFormat="1" ht="30" hidden="1" customHeight="1" x14ac:dyDescent="0.25">
      <c r="A165" s="41" t="s">
        <v>3001</v>
      </c>
      <c r="B165" s="25" t="s">
        <v>1252</v>
      </c>
      <c r="C165" s="29" t="s">
        <v>664</v>
      </c>
      <c r="D165" s="29" t="s">
        <v>666</v>
      </c>
      <c r="E165" s="25" t="s">
        <v>3126</v>
      </c>
      <c r="F165" s="26" t="s">
        <v>115</v>
      </c>
      <c r="G165" s="27" t="s">
        <v>173</v>
      </c>
      <c r="H165" s="27" t="s">
        <v>2249</v>
      </c>
      <c r="I165" s="27" t="s">
        <v>909</v>
      </c>
      <c r="J165" s="27" t="s">
        <v>3194</v>
      </c>
      <c r="K165" s="106" t="str">
        <f t="shared" si="8"/>
        <v>М</v>
      </c>
      <c r="L165" s="106" t="str">
        <f t="shared" si="9"/>
        <v>Д</v>
      </c>
      <c r="M165" s="107" t="str">
        <f t="shared" si="10"/>
        <v>Межкультурные коммуникации в туризме (Вуз-партнёр - Ереванский государственный университет)</v>
      </c>
    </row>
    <row r="166" spans="1:13" customFormat="1" ht="30" hidden="1" customHeight="1" x14ac:dyDescent="0.25">
      <c r="A166" s="41" t="s">
        <v>3002</v>
      </c>
      <c r="B166" s="25" t="s">
        <v>1252</v>
      </c>
      <c r="C166" s="29" t="s">
        <v>664</v>
      </c>
      <c r="D166" s="29" t="s">
        <v>666</v>
      </c>
      <c r="E166" s="25" t="s">
        <v>3126</v>
      </c>
      <c r="F166" s="26" t="s">
        <v>115</v>
      </c>
      <c r="G166" s="27" t="s">
        <v>173</v>
      </c>
      <c r="H166" s="27" t="s">
        <v>2249</v>
      </c>
      <c r="I166" s="27" t="s">
        <v>910</v>
      </c>
      <c r="J166" s="27" t="s">
        <v>3194</v>
      </c>
      <c r="K166" s="106" t="str">
        <f t="shared" si="8"/>
        <v>М</v>
      </c>
      <c r="L166" s="106" t="str">
        <f t="shared" si="9"/>
        <v>Д</v>
      </c>
      <c r="M166" s="107" t="str">
        <f t="shared" si="10"/>
        <v>Межкультурные коммуникации в туризме (Вуз-партнёр - Ереванский Государственный университет языков и социальных наук имени В. Я. Брюсова)</v>
      </c>
    </row>
    <row r="167" spans="1:13" customFormat="1" ht="30" hidden="1" customHeight="1" x14ac:dyDescent="0.25">
      <c r="A167" s="41" t="s">
        <v>3003</v>
      </c>
      <c r="B167" s="25" t="s">
        <v>1252</v>
      </c>
      <c r="C167" s="29" t="s">
        <v>664</v>
      </c>
      <c r="D167" s="29" t="s">
        <v>666</v>
      </c>
      <c r="E167" s="25" t="s">
        <v>3126</v>
      </c>
      <c r="F167" s="26" t="s">
        <v>115</v>
      </c>
      <c r="G167" s="27" t="s">
        <v>173</v>
      </c>
      <c r="H167" s="27" t="s">
        <v>174</v>
      </c>
      <c r="I167" s="27"/>
      <c r="J167" s="27" t="s">
        <v>3194</v>
      </c>
      <c r="K167" s="106" t="str">
        <f t="shared" si="8"/>
        <v>М</v>
      </c>
      <c r="L167" s="106" t="str">
        <f t="shared" si="9"/>
        <v>Д</v>
      </c>
      <c r="M167" s="107" t="str">
        <f t="shared" si="10"/>
        <v>Планирование и развитие туризма</v>
      </c>
    </row>
    <row r="168" spans="1:13" customFormat="1" ht="30" hidden="1" customHeight="1" x14ac:dyDescent="0.25">
      <c r="A168" s="41" t="s">
        <v>3004</v>
      </c>
      <c r="B168" s="25" t="s">
        <v>1252</v>
      </c>
      <c r="C168" s="29" t="s">
        <v>664</v>
      </c>
      <c r="D168" s="29" t="s">
        <v>666</v>
      </c>
      <c r="E168" s="25" t="s">
        <v>3126</v>
      </c>
      <c r="F168" s="26" t="s">
        <v>115</v>
      </c>
      <c r="G168" s="27" t="s">
        <v>173</v>
      </c>
      <c r="H168" s="27" t="s">
        <v>2248</v>
      </c>
      <c r="I168" s="27" t="s">
        <v>908</v>
      </c>
      <c r="J168" s="27" t="s">
        <v>3194</v>
      </c>
      <c r="K168" s="106" t="str">
        <f t="shared" si="8"/>
        <v>М</v>
      </c>
      <c r="L168" s="106" t="str">
        <f t="shared" si="9"/>
        <v>Д</v>
      </c>
      <c r="M168" s="107" t="str">
        <f t="shared" si="10"/>
        <v>Планирование и развитие туризма на государственном уровне (Вуз-партнёр - Евразийский национальный университет имени Л. Н. Гумилёва)</v>
      </c>
    </row>
    <row r="169" spans="1:13" customFormat="1" ht="30" hidden="1" customHeight="1" x14ac:dyDescent="0.25">
      <c r="A169" s="41" t="s">
        <v>3005</v>
      </c>
      <c r="B169" s="25" t="s">
        <v>1252</v>
      </c>
      <c r="C169" s="29" t="s">
        <v>664</v>
      </c>
      <c r="D169" s="29" t="s">
        <v>666</v>
      </c>
      <c r="E169" s="25" t="s">
        <v>3126</v>
      </c>
      <c r="F169" s="26" t="s">
        <v>115</v>
      </c>
      <c r="G169" s="27" t="s">
        <v>173</v>
      </c>
      <c r="H169" s="27" t="s">
        <v>2248</v>
      </c>
      <c r="I169" s="27" t="s">
        <v>912</v>
      </c>
      <c r="J169" s="27" t="s">
        <v>3194</v>
      </c>
      <c r="K169" s="106" t="str">
        <f t="shared" si="8"/>
        <v>М</v>
      </c>
      <c r="L169" s="106" t="str">
        <f t="shared" si="9"/>
        <v>Д</v>
      </c>
      <c r="M169" s="107" t="str">
        <f t="shared" si="10"/>
        <v>Планирование и развитие туризма на государственном уровне (Вуз-партнёр - Казахский национальный университет им. Аль-Фараби)</v>
      </c>
    </row>
    <row r="170" spans="1:13" customFormat="1" ht="30" hidden="1" customHeight="1" x14ac:dyDescent="0.25">
      <c r="A170" s="41" t="s">
        <v>3006</v>
      </c>
      <c r="B170" s="25" t="s">
        <v>1104</v>
      </c>
      <c r="C170" s="29" t="s">
        <v>665</v>
      </c>
      <c r="D170" s="29" t="s">
        <v>666</v>
      </c>
      <c r="E170" s="25" t="s">
        <v>3130</v>
      </c>
      <c r="F170" s="26" t="s">
        <v>115</v>
      </c>
      <c r="G170" s="27" t="s">
        <v>300</v>
      </c>
      <c r="H170" s="27" t="s">
        <v>1020</v>
      </c>
      <c r="I170" s="27"/>
      <c r="J170" s="27" t="s">
        <v>3194</v>
      </c>
      <c r="K170" s="106" t="str">
        <f t="shared" si="8"/>
        <v>М</v>
      </c>
      <c r="L170" s="106" t="str">
        <f t="shared" si="9"/>
        <v>З</v>
      </c>
      <c r="M170" s="107" t="str">
        <f t="shared" si="10"/>
        <v>Управление клиентским опытом и инновации в сервисе</v>
      </c>
    </row>
    <row r="171" spans="1:13" customFormat="1" ht="30" hidden="1" customHeight="1" x14ac:dyDescent="0.25">
      <c r="A171" s="41" t="s">
        <v>3007</v>
      </c>
      <c r="B171" s="25" t="s">
        <v>2109</v>
      </c>
      <c r="C171" s="29" t="s">
        <v>664</v>
      </c>
      <c r="D171" s="29" t="s">
        <v>666</v>
      </c>
      <c r="E171" s="25" t="s">
        <v>3128</v>
      </c>
      <c r="F171" s="26" t="s">
        <v>179</v>
      </c>
      <c r="G171" s="27" t="s">
        <v>1814</v>
      </c>
      <c r="H171" s="27" t="s">
        <v>1815</v>
      </c>
      <c r="I171" s="27"/>
      <c r="J171" s="27" t="s">
        <v>3194</v>
      </c>
      <c r="K171" s="106" t="str">
        <f t="shared" si="8"/>
        <v>А</v>
      </c>
      <c r="L171" s="106" t="str">
        <f t="shared" si="9"/>
        <v>Д</v>
      </c>
      <c r="M171" s="107" t="str">
        <f t="shared" si="10"/>
        <v>Экономика инноваций</v>
      </c>
    </row>
    <row r="172" spans="1:13" customFormat="1" ht="30" hidden="1" customHeight="1" x14ac:dyDescent="0.25">
      <c r="A172" s="41" t="s">
        <v>3008</v>
      </c>
      <c r="B172" s="25" t="s">
        <v>2109</v>
      </c>
      <c r="C172" s="29" t="s">
        <v>664</v>
      </c>
      <c r="D172" s="29" t="s">
        <v>1730</v>
      </c>
      <c r="E172" s="25" t="s">
        <v>3128</v>
      </c>
      <c r="F172" s="26" t="s">
        <v>179</v>
      </c>
      <c r="G172" s="27" t="s">
        <v>1814</v>
      </c>
      <c r="H172" s="27" t="s">
        <v>1815</v>
      </c>
      <c r="I172" s="27"/>
      <c r="J172" s="27" t="s">
        <v>3194</v>
      </c>
      <c r="K172" s="106" t="str">
        <f t="shared" si="8"/>
        <v>А</v>
      </c>
      <c r="L172" s="106" t="str">
        <f t="shared" si="9"/>
        <v>Д</v>
      </c>
      <c r="M172" s="107" t="str">
        <f t="shared" si="10"/>
        <v>Экономика инноваций (Английский язык)</v>
      </c>
    </row>
    <row r="173" spans="1:13" customFormat="1" ht="30" hidden="1" customHeight="1" x14ac:dyDescent="0.25">
      <c r="A173" s="41" t="s">
        <v>3009</v>
      </c>
      <c r="B173" s="25" t="s">
        <v>2108</v>
      </c>
      <c r="C173" s="29" t="s">
        <v>664</v>
      </c>
      <c r="D173" s="29" t="s">
        <v>666</v>
      </c>
      <c r="E173" s="25" t="s">
        <v>3128</v>
      </c>
      <c r="F173" s="26" t="s">
        <v>179</v>
      </c>
      <c r="G173" s="27" t="s">
        <v>300</v>
      </c>
      <c r="H173" s="27" t="s">
        <v>300</v>
      </c>
      <c r="I173" s="27"/>
      <c r="J173" s="27" t="s">
        <v>3194</v>
      </c>
      <c r="K173" s="106" t="str">
        <f t="shared" si="8"/>
        <v>А</v>
      </c>
      <c r="L173" s="106" t="str">
        <f t="shared" si="9"/>
        <v>Д</v>
      </c>
      <c r="M173" s="107" t="str">
        <f t="shared" si="10"/>
        <v>Менеджмент</v>
      </c>
    </row>
    <row r="174" spans="1:13" customFormat="1" ht="30" hidden="1" customHeight="1" x14ac:dyDescent="0.25">
      <c r="A174" s="41" t="s">
        <v>1788</v>
      </c>
      <c r="B174" s="25" t="s">
        <v>1781</v>
      </c>
      <c r="C174" s="29" t="s">
        <v>664</v>
      </c>
      <c r="D174" s="29" t="s">
        <v>666</v>
      </c>
      <c r="E174" s="25" t="s">
        <v>3124</v>
      </c>
      <c r="F174" s="26" t="s">
        <v>662</v>
      </c>
      <c r="G174" s="27" t="s">
        <v>1791</v>
      </c>
      <c r="H174" s="27" t="s">
        <v>1777</v>
      </c>
      <c r="I174" s="27"/>
      <c r="J174" s="27" t="s">
        <v>989</v>
      </c>
      <c r="K174" s="106" t="str">
        <f t="shared" si="8"/>
        <v>С</v>
      </c>
      <c r="L174" s="106" t="str">
        <f t="shared" si="9"/>
        <v>Д</v>
      </c>
      <c r="M174" s="107" t="str">
        <f t="shared" si="10"/>
        <v>Прикладная геология, горное дело, нефтегазовое дело и геодезия (УГСН)</v>
      </c>
    </row>
    <row r="175" spans="1:13" customFormat="1" ht="30" hidden="1" customHeight="1" x14ac:dyDescent="0.25">
      <c r="A175" s="41" t="s">
        <v>1109</v>
      </c>
      <c r="B175" s="25" t="s">
        <v>1110</v>
      </c>
      <c r="C175" s="29" t="s">
        <v>664</v>
      </c>
      <c r="D175" s="29" t="s">
        <v>666</v>
      </c>
      <c r="E175" s="25" t="s">
        <v>3123</v>
      </c>
      <c r="F175" s="26" t="s">
        <v>662</v>
      </c>
      <c r="G175" s="27" t="s">
        <v>994</v>
      </c>
      <c r="H175" s="27" t="s">
        <v>429</v>
      </c>
      <c r="I175" s="27"/>
      <c r="J175" s="27" t="s">
        <v>989</v>
      </c>
      <c r="K175" s="106" t="str">
        <f t="shared" si="8"/>
        <v>С</v>
      </c>
      <c r="L175" s="106" t="str">
        <f t="shared" si="9"/>
        <v>Д</v>
      </c>
      <c r="M175" s="107" t="str">
        <f t="shared" si="10"/>
        <v>Геологическая съемка, поиски и разведка месторождений твердых полезных ископаемых</v>
      </c>
    </row>
    <row r="176" spans="1:13" customFormat="1" ht="30" hidden="1" customHeight="1" x14ac:dyDescent="0.25">
      <c r="A176" s="41" t="s">
        <v>1111</v>
      </c>
      <c r="B176" s="25" t="s">
        <v>1110</v>
      </c>
      <c r="C176" s="29" t="s">
        <v>664</v>
      </c>
      <c r="D176" s="29" t="s">
        <v>666</v>
      </c>
      <c r="E176" s="25" t="s">
        <v>3123</v>
      </c>
      <c r="F176" s="26" t="s">
        <v>662</v>
      </c>
      <c r="G176" s="27" t="s">
        <v>994</v>
      </c>
      <c r="H176" s="27" t="s">
        <v>430</v>
      </c>
      <c r="I176" s="27"/>
      <c r="J176" s="27" t="s">
        <v>989</v>
      </c>
      <c r="K176" s="106" t="str">
        <f t="shared" si="8"/>
        <v>С</v>
      </c>
      <c r="L176" s="106" t="str">
        <f t="shared" si="9"/>
        <v>Д</v>
      </c>
      <c r="M176" s="107" t="str">
        <f t="shared" si="10"/>
        <v>Геология нефти и газа</v>
      </c>
    </row>
    <row r="177" spans="1:13" customFormat="1" ht="30" hidden="1" customHeight="1" x14ac:dyDescent="0.25">
      <c r="A177" s="41" t="s">
        <v>2129</v>
      </c>
      <c r="B177" s="25" t="s">
        <v>1110</v>
      </c>
      <c r="C177" s="29" t="s">
        <v>664</v>
      </c>
      <c r="D177" s="29" t="s">
        <v>666</v>
      </c>
      <c r="E177" s="25" t="s">
        <v>3123</v>
      </c>
      <c r="F177" s="26" t="s">
        <v>662</v>
      </c>
      <c r="G177" s="27" t="s">
        <v>994</v>
      </c>
      <c r="H177" s="27" t="s">
        <v>994</v>
      </c>
      <c r="I177" s="27"/>
      <c r="J177" s="27" t="s">
        <v>989</v>
      </c>
      <c r="K177" s="106" t="str">
        <f t="shared" si="8"/>
        <v>С</v>
      </c>
      <c r="L177" s="106" t="str">
        <f t="shared" si="9"/>
        <v>Д</v>
      </c>
      <c r="M177" s="107" t="str">
        <f t="shared" si="10"/>
        <v>Прикладная геология</v>
      </c>
    </row>
    <row r="178" spans="1:13" customFormat="1" ht="30" hidden="1" customHeight="1" x14ac:dyDescent="0.25">
      <c r="A178" s="41" t="s">
        <v>1112</v>
      </c>
      <c r="B178" s="25" t="s">
        <v>1113</v>
      </c>
      <c r="C178" s="29" t="s">
        <v>664</v>
      </c>
      <c r="D178" s="29" t="s">
        <v>666</v>
      </c>
      <c r="E178" s="25" t="s">
        <v>3124</v>
      </c>
      <c r="F178" s="26" t="s">
        <v>662</v>
      </c>
      <c r="G178" s="27" t="s">
        <v>995</v>
      </c>
      <c r="H178" s="27" t="s">
        <v>431</v>
      </c>
      <c r="I178" s="27"/>
      <c r="J178" s="27" t="s">
        <v>989</v>
      </c>
      <c r="K178" s="106" t="str">
        <f t="shared" si="8"/>
        <v>С</v>
      </c>
      <c r="L178" s="106" t="str">
        <f t="shared" si="9"/>
        <v>Д</v>
      </c>
      <c r="M178" s="107" t="str">
        <f t="shared" si="10"/>
        <v>Маркшейдерское дело</v>
      </c>
    </row>
    <row r="179" spans="1:13" ht="30" hidden="1" customHeight="1" x14ac:dyDescent="0.25">
      <c r="A179" s="41" t="s">
        <v>2130</v>
      </c>
      <c r="B179" s="25" t="s">
        <v>1110</v>
      </c>
      <c r="C179" s="29" t="s">
        <v>663</v>
      </c>
      <c r="D179" s="29" t="s">
        <v>666</v>
      </c>
      <c r="E179" s="25" t="s">
        <v>3124</v>
      </c>
      <c r="F179" s="26" t="s">
        <v>662</v>
      </c>
      <c r="G179" s="27" t="s">
        <v>994</v>
      </c>
      <c r="H179" s="27" t="s">
        <v>994</v>
      </c>
      <c r="I179" s="27"/>
      <c r="J179" s="27" t="s">
        <v>989</v>
      </c>
      <c r="K179" s="106" t="str">
        <f t="shared" si="8"/>
        <v>С</v>
      </c>
      <c r="L179" s="106" t="str">
        <f t="shared" si="9"/>
        <v>В</v>
      </c>
      <c r="M179" s="107" t="str">
        <f t="shared" si="10"/>
        <v>Прикладная геология</v>
      </c>
    </row>
    <row r="180" spans="1:13" ht="30" hidden="1" customHeight="1" x14ac:dyDescent="0.25">
      <c r="A180" s="41" t="s">
        <v>1116</v>
      </c>
      <c r="B180" s="25" t="s">
        <v>1115</v>
      </c>
      <c r="C180" s="29" t="s">
        <v>664</v>
      </c>
      <c r="D180" s="29" t="s">
        <v>1730</v>
      </c>
      <c r="E180" s="25" t="s">
        <v>1732</v>
      </c>
      <c r="F180" s="26" t="s">
        <v>113</v>
      </c>
      <c r="G180" s="27" t="s">
        <v>127</v>
      </c>
      <c r="H180" s="27" t="s">
        <v>1000</v>
      </c>
      <c r="I180" s="27"/>
      <c r="J180" s="27" t="s">
        <v>989</v>
      </c>
      <c r="K180" s="106" t="str">
        <f t="shared" si="8"/>
        <v>Б</v>
      </c>
      <c r="L180" s="106" t="str">
        <f t="shared" si="9"/>
        <v>Д</v>
      </c>
      <c r="M180" s="107" t="str">
        <f t="shared" si="10"/>
        <v>Математические методы механики полета космических аппаратов и дистанционного зондирования Земли (Английский язык)</v>
      </c>
    </row>
    <row r="181" spans="1:13" ht="30" hidden="1" customHeight="1" x14ac:dyDescent="0.25">
      <c r="A181" s="41" t="s">
        <v>1114</v>
      </c>
      <c r="B181" s="25" t="s">
        <v>1115</v>
      </c>
      <c r="C181" s="29" t="s">
        <v>664</v>
      </c>
      <c r="D181" s="29" t="s">
        <v>666</v>
      </c>
      <c r="E181" s="25" t="s">
        <v>1732</v>
      </c>
      <c r="F181" s="26" t="s">
        <v>113</v>
      </c>
      <c r="G181" s="27" t="s">
        <v>127</v>
      </c>
      <c r="H181" s="27" t="s">
        <v>426</v>
      </c>
      <c r="I181" s="27"/>
      <c r="J181" s="27" t="s">
        <v>989</v>
      </c>
      <c r="K181" s="106" t="str">
        <f t="shared" si="8"/>
        <v>Б</v>
      </c>
      <c r="L181" s="106" t="str">
        <f t="shared" si="9"/>
        <v>Д</v>
      </c>
      <c r="M181" s="107" t="str">
        <f t="shared" si="10"/>
        <v>Математические методы механики полета ракет-носителей и космических аппаратов</v>
      </c>
    </row>
    <row r="182" spans="1:13" ht="30" hidden="1" customHeight="1" x14ac:dyDescent="0.25">
      <c r="A182" s="41" t="s">
        <v>2204</v>
      </c>
      <c r="B182" s="25" t="s">
        <v>1115</v>
      </c>
      <c r="C182" s="29" t="s">
        <v>664</v>
      </c>
      <c r="D182" s="29" t="s">
        <v>666</v>
      </c>
      <c r="E182" s="25" t="s">
        <v>1732</v>
      </c>
      <c r="F182" s="26" t="s">
        <v>113</v>
      </c>
      <c r="G182" s="27" t="s">
        <v>127</v>
      </c>
      <c r="H182" s="27" t="s">
        <v>2205</v>
      </c>
      <c r="I182" s="27"/>
      <c r="J182" s="27" t="s">
        <v>989</v>
      </c>
      <c r="K182" s="106" t="str">
        <f t="shared" si="8"/>
        <v>Б</v>
      </c>
      <c r="L182" s="106" t="str">
        <f t="shared" si="9"/>
        <v>Д</v>
      </c>
      <c r="M182" s="107" t="str">
        <f t="shared" si="10"/>
        <v>Математические методы механики космического полета и анализа геоинформационных данных</v>
      </c>
    </row>
    <row r="183" spans="1:13" ht="30" hidden="1" customHeight="1" x14ac:dyDescent="0.25">
      <c r="A183" s="41" t="s">
        <v>1787</v>
      </c>
      <c r="B183" s="25" t="s">
        <v>1780</v>
      </c>
      <c r="C183" s="29" t="s">
        <v>664</v>
      </c>
      <c r="D183" s="29" t="s">
        <v>666</v>
      </c>
      <c r="E183" s="25" t="s">
        <v>3123</v>
      </c>
      <c r="F183" s="26" t="s">
        <v>113</v>
      </c>
      <c r="G183" s="27" t="s">
        <v>121</v>
      </c>
      <c r="H183" s="27" t="s">
        <v>1776</v>
      </c>
      <c r="I183" s="27"/>
      <c r="J183" s="27" t="s">
        <v>989</v>
      </c>
      <c r="K183" s="106" t="str">
        <f t="shared" si="8"/>
        <v>Б</v>
      </c>
      <c r="L183" s="106" t="str">
        <f t="shared" si="9"/>
        <v>Д</v>
      </c>
      <c r="M183" s="107" t="str">
        <f t="shared" si="10"/>
        <v>Архитектура (УГСН)</v>
      </c>
    </row>
    <row r="184" spans="1:13" ht="30" hidden="1" customHeight="1" x14ac:dyDescent="0.25">
      <c r="A184" s="41" t="s">
        <v>1117</v>
      </c>
      <c r="B184" s="25" t="s">
        <v>1118</v>
      </c>
      <c r="C184" s="29" t="s">
        <v>664</v>
      </c>
      <c r="D184" s="29" t="s">
        <v>666</v>
      </c>
      <c r="E184" s="25" t="s">
        <v>3123</v>
      </c>
      <c r="F184" s="26" t="s">
        <v>113</v>
      </c>
      <c r="G184" s="27" t="s">
        <v>121</v>
      </c>
      <c r="H184" s="27" t="s">
        <v>121</v>
      </c>
      <c r="I184" s="27"/>
      <c r="J184" s="27" t="s">
        <v>989</v>
      </c>
      <c r="K184" s="106" t="str">
        <f t="shared" si="8"/>
        <v>Б</v>
      </c>
      <c r="L184" s="106" t="str">
        <f t="shared" si="9"/>
        <v>Д</v>
      </c>
      <c r="M184" s="107" t="str">
        <f t="shared" si="10"/>
        <v>Архитектура</v>
      </c>
    </row>
    <row r="185" spans="1:13" ht="30" hidden="1" customHeight="1" x14ac:dyDescent="0.25">
      <c r="A185" s="41" t="s">
        <v>1119</v>
      </c>
      <c r="B185" s="25" t="s">
        <v>1120</v>
      </c>
      <c r="C185" s="29" t="s">
        <v>664</v>
      </c>
      <c r="D185" s="29" t="s">
        <v>666</v>
      </c>
      <c r="E185" s="25" t="s">
        <v>3123</v>
      </c>
      <c r="F185" s="26" t="s">
        <v>113</v>
      </c>
      <c r="G185" s="27" t="s">
        <v>1121</v>
      </c>
      <c r="H185" s="27" t="s">
        <v>1121</v>
      </c>
      <c r="I185" s="27"/>
      <c r="J185" s="27" t="s">
        <v>989</v>
      </c>
      <c r="K185" s="106" t="str">
        <f t="shared" si="8"/>
        <v>Б</v>
      </c>
      <c r="L185" s="106" t="str">
        <f t="shared" si="9"/>
        <v>Д</v>
      </c>
      <c r="M185" s="107" t="str">
        <f t="shared" si="10"/>
        <v>Реконструкция и реставрация архитектурного наследия</v>
      </c>
    </row>
    <row r="186" spans="1:13" ht="30" hidden="1" customHeight="1" x14ac:dyDescent="0.25">
      <c r="A186" s="41" t="s">
        <v>1122</v>
      </c>
      <c r="B186" s="25" t="s">
        <v>1123</v>
      </c>
      <c r="C186" s="29" t="s">
        <v>664</v>
      </c>
      <c r="D186" s="29" t="s">
        <v>666</v>
      </c>
      <c r="E186" s="25" t="s">
        <v>3123</v>
      </c>
      <c r="F186" s="26" t="s">
        <v>113</v>
      </c>
      <c r="G186" s="27" t="s">
        <v>126</v>
      </c>
      <c r="H186" s="27" t="s">
        <v>668</v>
      </c>
      <c r="I186" s="27"/>
      <c r="J186" s="27" t="s">
        <v>989</v>
      </c>
      <c r="K186" s="106" t="str">
        <f t="shared" si="8"/>
        <v>Б</v>
      </c>
      <c r="L186" s="106" t="str">
        <f t="shared" si="9"/>
        <v>Д</v>
      </c>
      <c r="M186" s="107" t="str">
        <f t="shared" si="10"/>
        <v>Дизайн промышленных и социальных объектов</v>
      </c>
    </row>
    <row r="187" spans="1:13" ht="30" hidden="1" customHeight="1" x14ac:dyDescent="0.25">
      <c r="A187" s="41" t="s">
        <v>1124</v>
      </c>
      <c r="B187" s="25" t="s">
        <v>1125</v>
      </c>
      <c r="C187" s="29" t="s">
        <v>664</v>
      </c>
      <c r="D187" s="29" t="s">
        <v>666</v>
      </c>
      <c r="E187" s="25" t="s">
        <v>1732</v>
      </c>
      <c r="F187" s="26" t="s">
        <v>113</v>
      </c>
      <c r="G187" s="27" t="s">
        <v>116</v>
      </c>
      <c r="H187" s="27" t="s">
        <v>116</v>
      </c>
      <c r="I187" s="27"/>
      <c r="J187" s="27" t="s">
        <v>989</v>
      </c>
      <c r="K187" s="106" t="str">
        <f t="shared" si="8"/>
        <v>Б</v>
      </c>
      <c r="L187" s="106" t="str">
        <f t="shared" si="9"/>
        <v>Д</v>
      </c>
      <c r="M187" s="107" t="str">
        <f t="shared" si="10"/>
        <v>Строительство</v>
      </c>
    </row>
    <row r="188" spans="1:13" customFormat="1" ht="30" hidden="1" customHeight="1" x14ac:dyDescent="0.25">
      <c r="A188" s="41" t="s">
        <v>1129</v>
      </c>
      <c r="B188" s="25" t="s">
        <v>1127</v>
      </c>
      <c r="C188" s="29" t="s">
        <v>664</v>
      </c>
      <c r="D188" s="29" t="s">
        <v>666</v>
      </c>
      <c r="E188" s="25" t="s">
        <v>1732</v>
      </c>
      <c r="F188" s="26" t="s">
        <v>113</v>
      </c>
      <c r="G188" s="27" t="s">
        <v>992</v>
      </c>
      <c r="H188" s="27" t="s">
        <v>673</v>
      </c>
      <c r="I188" s="27"/>
      <c r="J188" s="27" t="s">
        <v>989</v>
      </c>
      <c r="K188" s="106" t="str">
        <f t="shared" si="8"/>
        <v>Б</v>
      </c>
      <c r="L188" s="106" t="str">
        <f t="shared" si="9"/>
        <v>Д</v>
      </c>
      <c r="M188" s="107" t="str">
        <f t="shared" si="10"/>
        <v>Паро-, газотурбинные установки и двигатели</v>
      </c>
    </row>
    <row r="189" spans="1:13" customFormat="1" ht="30" hidden="1" customHeight="1" x14ac:dyDescent="0.25">
      <c r="A189" s="41" t="s">
        <v>1130</v>
      </c>
      <c r="B189" s="25" t="s">
        <v>1127</v>
      </c>
      <c r="C189" s="29" t="s">
        <v>664</v>
      </c>
      <c r="D189" s="29" t="s">
        <v>666</v>
      </c>
      <c r="E189" s="25" t="s">
        <v>1732</v>
      </c>
      <c r="F189" s="26" t="s">
        <v>113</v>
      </c>
      <c r="G189" s="27" t="s">
        <v>992</v>
      </c>
      <c r="H189" s="27" t="s">
        <v>674</v>
      </c>
      <c r="I189" s="27"/>
      <c r="J189" s="27" t="s">
        <v>989</v>
      </c>
      <c r="K189" s="106" t="str">
        <f t="shared" si="8"/>
        <v>Б</v>
      </c>
      <c r="L189" s="106" t="str">
        <f t="shared" si="9"/>
        <v>Д</v>
      </c>
      <c r="M189" s="107" t="str">
        <f t="shared" si="10"/>
        <v>Гибридные и силовые двигательные установки</v>
      </c>
    </row>
    <row r="190" spans="1:13" ht="30" hidden="1" customHeight="1" x14ac:dyDescent="0.25">
      <c r="A190" s="41" t="s">
        <v>3010</v>
      </c>
      <c r="B190" s="25" t="s">
        <v>1127</v>
      </c>
      <c r="C190" s="29" t="s">
        <v>664</v>
      </c>
      <c r="D190" s="29" t="s">
        <v>666</v>
      </c>
      <c r="E190" s="25" t="s">
        <v>1732</v>
      </c>
      <c r="F190" s="26" t="s">
        <v>113</v>
      </c>
      <c r="G190" s="27" t="s">
        <v>992</v>
      </c>
      <c r="H190" s="27" t="s">
        <v>3139</v>
      </c>
      <c r="I190" s="27"/>
      <c r="J190" s="27" t="s">
        <v>989</v>
      </c>
      <c r="K190" s="106" t="str">
        <f t="shared" si="8"/>
        <v>Б</v>
      </c>
      <c r="L190" s="106" t="str">
        <f t="shared" si="9"/>
        <v>Д</v>
      </c>
      <c r="M190" s="107" t="str">
        <f t="shared" si="10"/>
        <v>Комбинированные энергетические установки и альтернативная энергетика</v>
      </c>
    </row>
    <row r="191" spans="1:13" customFormat="1" ht="30" hidden="1" customHeight="1" x14ac:dyDescent="0.25">
      <c r="A191" s="41" t="s">
        <v>1126</v>
      </c>
      <c r="B191" s="25" t="s">
        <v>1127</v>
      </c>
      <c r="C191" s="29" t="s">
        <v>664</v>
      </c>
      <c r="D191" s="29" t="s">
        <v>666</v>
      </c>
      <c r="E191" s="25" t="s">
        <v>1732</v>
      </c>
      <c r="F191" s="26" t="s">
        <v>113</v>
      </c>
      <c r="G191" s="27" t="s">
        <v>992</v>
      </c>
      <c r="H191" s="27" t="s">
        <v>992</v>
      </c>
      <c r="I191" s="27"/>
      <c r="J191" s="27" t="s">
        <v>989</v>
      </c>
      <c r="K191" s="106" t="str">
        <f t="shared" si="8"/>
        <v>Б</v>
      </c>
      <c r="L191" s="106" t="str">
        <f t="shared" si="9"/>
        <v>Д</v>
      </c>
      <c r="M191" s="107" t="str">
        <f t="shared" si="10"/>
        <v>Энергетическое машиностроение</v>
      </c>
    </row>
    <row r="192" spans="1:13" ht="30" hidden="1" customHeight="1" x14ac:dyDescent="0.25">
      <c r="A192" s="41" t="s">
        <v>1131</v>
      </c>
      <c r="B192" s="25" t="s">
        <v>1132</v>
      </c>
      <c r="C192" s="29" t="s">
        <v>664</v>
      </c>
      <c r="D192" s="29" t="s">
        <v>666</v>
      </c>
      <c r="E192" s="25" t="s">
        <v>1732</v>
      </c>
      <c r="F192" s="26" t="s">
        <v>113</v>
      </c>
      <c r="G192" s="27" t="s">
        <v>114</v>
      </c>
      <c r="H192" s="27" t="s">
        <v>114</v>
      </c>
      <c r="I192" s="27"/>
      <c r="J192" s="27" t="s">
        <v>989</v>
      </c>
      <c r="K192" s="106" t="str">
        <f t="shared" si="8"/>
        <v>Б</v>
      </c>
      <c r="L192" s="106" t="str">
        <f t="shared" si="9"/>
        <v>Д</v>
      </c>
      <c r="M192" s="107" t="str">
        <f t="shared" si="10"/>
        <v>Конструкторско-технологическое обеспечение машиностроительных производств</v>
      </c>
    </row>
    <row r="193" spans="1:13" ht="30" hidden="1" customHeight="1" x14ac:dyDescent="0.25">
      <c r="A193" s="41" t="s">
        <v>2218</v>
      </c>
      <c r="B193" s="25" t="s">
        <v>1132</v>
      </c>
      <c r="C193" s="29" t="s">
        <v>664</v>
      </c>
      <c r="D193" s="29" t="s">
        <v>666</v>
      </c>
      <c r="E193" s="25" t="s">
        <v>1732</v>
      </c>
      <c r="F193" s="26" t="s">
        <v>113</v>
      </c>
      <c r="G193" s="27" t="s">
        <v>114</v>
      </c>
      <c r="H193" s="27" t="s">
        <v>2219</v>
      </c>
      <c r="I193" s="27"/>
      <c r="J193" s="27" t="s">
        <v>989</v>
      </c>
      <c r="K193" s="106" t="str">
        <f t="shared" si="8"/>
        <v>Б</v>
      </c>
      <c r="L193" s="106" t="str">
        <f t="shared" si="9"/>
        <v>Д</v>
      </c>
      <c r="M193" s="107" t="str">
        <f t="shared" si="10"/>
        <v>Системная инженерия машиностроительных производств</v>
      </c>
    </row>
    <row r="194" spans="1:13" ht="30" hidden="1" customHeight="1" x14ac:dyDescent="0.25">
      <c r="A194" s="41" t="s">
        <v>1133</v>
      </c>
      <c r="B194" s="25" t="s">
        <v>1134</v>
      </c>
      <c r="C194" s="29" t="s">
        <v>664</v>
      </c>
      <c r="D194" s="29" t="s">
        <v>666</v>
      </c>
      <c r="E194" s="25" t="s">
        <v>1732</v>
      </c>
      <c r="F194" s="26" t="s">
        <v>113</v>
      </c>
      <c r="G194" s="27" t="s">
        <v>120</v>
      </c>
      <c r="H194" s="27" t="s">
        <v>678</v>
      </c>
      <c r="I194" s="27"/>
      <c r="J194" s="27" t="s">
        <v>989</v>
      </c>
      <c r="K194" s="106" t="str">
        <f t="shared" si="8"/>
        <v>Б</v>
      </c>
      <c r="L194" s="106" t="str">
        <f t="shared" si="9"/>
        <v>Д</v>
      </c>
      <c r="M194" s="107" t="str">
        <f t="shared" si="10"/>
        <v>Технологии трубопроводного транспорта и подземного хранения нефти и газа</v>
      </c>
    </row>
    <row r="195" spans="1:13" ht="30" hidden="1" customHeight="1" x14ac:dyDescent="0.25">
      <c r="A195" s="41" t="s">
        <v>1135</v>
      </c>
      <c r="B195" s="25" t="s">
        <v>1134</v>
      </c>
      <c r="C195" s="29" t="s">
        <v>664</v>
      </c>
      <c r="D195" s="29" t="s">
        <v>666</v>
      </c>
      <c r="E195" s="25" t="s">
        <v>1732</v>
      </c>
      <c r="F195" s="26" t="s">
        <v>113</v>
      </c>
      <c r="G195" s="27" t="s">
        <v>120</v>
      </c>
      <c r="H195" s="27" t="s">
        <v>1136</v>
      </c>
      <c r="I195" s="27"/>
      <c r="J195" s="27" t="s">
        <v>989</v>
      </c>
      <c r="K195" s="106" t="str">
        <f t="shared" si="8"/>
        <v>Б</v>
      </c>
      <c r="L195" s="106" t="str">
        <f t="shared" si="9"/>
        <v>Д</v>
      </c>
      <c r="M195" s="107" t="str">
        <f t="shared" si="10"/>
        <v>Разработка нефтяных и газовых месторождений, транспортировка, хранение и переработка нефти и газа</v>
      </c>
    </row>
    <row r="196" spans="1:13" ht="30" hidden="1" customHeight="1" x14ac:dyDescent="0.25">
      <c r="A196" s="41" t="s">
        <v>1137</v>
      </c>
      <c r="B196" s="25" t="s">
        <v>1134</v>
      </c>
      <c r="C196" s="29" t="s">
        <v>664</v>
      </c>
      <c r="D196" s="29" t="s">
        <v>666</v>
      </c>
      <c r="E196" s="25" t="s">
        <v>1732</v>
      </c>
      <c r="F196" s="26" t="s">
        <v>113</v>
      </c>
      <c r="G196" s="27" t="s">
        <v>120</v>
      </c>
      <c r="H196" s="27" t="s">
        <v>1010</v>
      </c>
      <c r="I196" s="27"/>
      <c r="J196" s="27" t="s">
        <v>989</v>
      </c>
      <c r="K196" s="106" t="str">
        <f t="shared" ref="K196:K259" si="11">LEFT(F196, 1)</f>
        <v>Б</v>
      </c>
      <c r="L196" s="106" t="str">
        <f t="shared" ref="L196:L259" si="12">IF(C196="очная","Д",IF(C196="Очно-заочная","В",IF(C196="Заочная","З","-")))</f>
        <v>Д</v>
      </c>
      <c r="M196" s="107" t="str">
        <f t="shared" ref="M196:M259" si="13">CONCATENATE(H196,IF(D196="Русский","",CONCATENATE(" (",D196," язык)")),IF(I196&gt;0,CONCATENATE(" (Вуз-партнёр - ",I196,")"),""))</f>
        <v>Технологии трубопроводного транспорта</v>
      </c>
    </row>
    <row r="197" spans="1:13" ht="30" hidden="1" customHeight="1" x14ac:dyDescent="0.25">
      <c r="A197" s="41" t="s">
        <v>1138</v>
      </c>
      <c r="B197" s="25" t="s">
        <v>1134</v>
      </c>
      <c r="C197" s="29" t="s">
        <v>664</v>
      </c>
      <c r="D197" s="29" t="s">
        <v>666</v>
      </c>
      <c r="E197" s="25" t="s">
        <v>1732</v>
      </c>
      <c r="F197" s="26" t="s">
        <v>113</v>
      </c>
      <c r="G197" s="27" t="s">
        <v>120</v>
      </c>
      <c r="H197" s="27" t="s">
        <v>679</v>
      </c>
      <c r="I197" s="27"/>
      <c r="J197" s="27" t="s">
        <v>989</v>
      </c>
      <c r="K197" s="106" t="str">
        <f t="shared" si="11"/>
        <v>Б</v>
      </c>
      <c r="L197" s="106" t="str">
        <f t="shared" si="12"/>
        <v>Д</v>
      </c>
      <c r="M197" s="107" t="str">
        <f t="shared" si="13"/>
        <v>Природоохранные технологии и геоэкология нефтегазового производства</v>
      </c>
    </row>
    <row r="198" spans="1:13" ht="30" hidden="1" customHeight="1" x14ac:dyDescent="0.25">
      <c r="A198" s="41" t="s">
        <v>1139</v>
      </c>
      <c r="B198" s="25" t="s">
        <v>1134</v>
      </c>
      <c r="C198" s="29" t="s">
        <v>664</v>
      </c>
      <c r="D198" s="29" t="s">
        <v>666</v>
      </c>
      <c r="E198" s="25" t="s">
        <v>1732</v>
      </c>
      <c r="F198" s="26" t="s">
        <v>113</v>
      </c>
      <c r="G198" s="27" t="s">
        <v>120</v>
      </c>
      <c r="H198" s="27" t="s">
        <v>680</v>
      </c>
      <c r="I198" s="27"/>
      <c r="J198" s="27" t="s">
        <v>989</v>
      </c>
      <c r="K198" s="106" t="str">
        <f t="shared" si="11"/>
        <v>Б</v>
      </c>
      <c r="L198" s="106" t="str">
        <f t="shared" si="12"/>
        <v>Д</v>
      </c>
      <c r="M198" s="107" t="str">
        <f t="shared" si="13"/>
        <v>Нанотехнологии в нефтегазовой отрасли</v>
      </c>
    </row>
    <row r="199" spans="1:13" ht="30" hidden="1" customHeight="1" x14ac:dyDescent="0.25">
      <c r="A199" s="41" t="s">
        <v>1140</v>
      </c>
      <c r="B199" s="25" t="s">
        <v>1134</v>
      </c>
      <c r="C199" s="29" t="s">
        <v>664</v>
      </c>
      <c r="D199" s="29" t="s">
        <v>666</v>
      </c>
      <c r="E199" s="25" t="s">
        <v>1732</v>
      </c>
      <c r="F199" s="26" t="s">
        <v>113</v>
      </c>
      <c r="G199" s="27" t="s">
        <v>120</v>
      </c>
      <c r="H199" s="27" t="s">
        <v>677</v>
      </c>
      <c r="I199" s="27"/>
      <c r="J199" s="27" t="s">
        <v>989</v>
      </c>
      <c r="K199" s="106" t="str">
        <f t="shared" si="11"/>
        <v>Б</v>
      </c>
      <c r="L199" s="106" t="str">
        <f t="shared" si="12"/>
        <v>Д</v>
      </c>
      <c r="M199" s="107" t="str">
        <f t="shared" si="13"/>
        <v>Разработка и эксплуатация нефтяных и газовых месторождений на суше и на море</v>
      </c>
    </row>
    <row r="200" spans="1:13" ht="30" hidden="1" customHeight="1" x14ac:dyDescent="0.25">
      <c r="A200" s="41" t="s">
        <v>1141</v>
      </c>
      <c r="B200" s="25" t="s">
        <v>1134</v>
      </c>
      <c r="C200" s="29" t="s">
        <v>664</v>
      </c>
      <c r="D200" s="29" t="s">
        <v>666</v>
      </c>
      <c r="E200" s="25" t="s">
        <v>1732</v>
      </c>
      <c r="F200" s="26" t="s">
        <v>113</v>
      </c>
      <c r="G200" s="27" t="s">
        <v>120</v>
      </c>
      <c r="H200" s="27" t="s">
        <v>968</v>
      </c>
      <c r="I200" s="27"/>
      <c r="J200" s="27" t="s">
        <v>989</v>
      </c>
      <c r="K200" s="106" t="str">
        <f t="shared" si="11"/>
        <v>Б</v>
      </c>
      <c r="L200" s="106" t="str">
        <f t="shared" si="12"/>
        <v>Д</v>
      </c>
      <c r="M200" s="107" t="str">
        <f t="shared" si="13"/>
        <v>Разработка и эксплуатация нефтяных и газовых месторождений</v>
      </c>
    </row>
    <row r="201" spans="1:13" customFormat="1" ht="30" hidden="1" customHeight="1" x14ac:dyDescent="0.25">
      <c r="A201" s="41" t="s">
        <v>1144</v>
      </c>
      <c r="B201" s="25" t="s">
        <v>1143</v>
      </c>
      <c r="C201" s="29" t="s">
        <v>664</v>
      </c>
      <c r="D201" s="29" t="s">
        <v>666</v>
      </c>
      <c r="E201" s="25" t="s">
        <v>1732</v>
      </c>
      <c r="F201" s="26" t="s">
        <v>113</v>
      </c>
      <c r="G201" s="27" t="s">
        <v>124</v>
      </c>
      <c r="H201" s="27" t="s">
        <v>683</v>
      </c>
      <c r="I201" s="27"/>
      <c r="J201" s="27" t="s">
        <v>989</v>
      </c>
      <c r="K201" s="106" t="str">
        <f t="shared" si="11"/>
        <v>Б</v>
      </c>
      <c r="L201" s="106" t="str">
        <f t="shared" si="12"/>
        <v>Д</v>
      </c>
      <c r="M201" s="107" t="str">
        <f t="shared" si="13"/>
        <v>Сервисное обслуживание транспортно-технологических машин</v>
      </c>
    </row>
    <row r="202" spans="1:13" ht="30" hidden="1" customHeight="1" x14ac:dyDescent="0.25">
      <c r="A202" s="41" t="s">
        <v>1145</v>
      </c>
      <c r="B202" s="25" t="s">
        <v>1143</v>
      </c>
      <c r="C202" s="29" t="s">
        <v>664</v>
      </c>
      <c r="D202" s="29" t="s">
        <v>666</v>
      </c>
      <c r="E202" s="25" t="s">
        <v>1732</v>
      </c>
      <c r="F202" s="26" t="s">
        <v>113</v>
      </c>
      <c r="G202" s="27" t="s">
        <v>124</v>
      </c>
      <c r="H202" s="27" t="s">
        <v>682</v>
      </c>
      <c r="I202" s="27"/>
      <c r="J202" s="27" t="s">
        <v>989</v>
      </c>
      <c r="K202" s="106" t="str">
        <f t="shared" si="11"/>
        <v>Б</v>
      </c>
      <c r="L202" s="106" t="str">
        <f t="shared" si="12"/>
        <v>Д</v>
      </c>
      <c r="M202" s="107" t="str">
        <f t="shared" si="13"/>
        <v>Транспортная логистика</v>
      </c>
    </row>
    <row r="203" spans="1:13" ht="30" hidden="1" customHeight="1" x14ac:dyDescent="0.25">
      <c r="A203" s="41" t="s">
        <v>3011</v>
      </c>
      <c r="B203" s="25" t="s">
        <v>1143</v>
      </c>
      <c r="C203" s="29" t="s">
        <v>664</v>
      </c>
      <c r="D203" s="29" t="s">
        <v>666</v>
      </c>
      <c r="E203" s="25" t="s">
        <v>1732</v>
      </c>
      <c r="F203" s="26" t="s">
        <v>113</v>
      </c>
      <c r="G203" s="27" t="s">
        <v>124</v>
      </c>
      <c r="H203" s="27" t="s">
        <v>3140</v>
      </c>
      <c r="I203" s="27"/>
      <c r="J203" s="27" t="s">
        <v>989</v>
      </c>
      <c r="K203" s="106" t="str">
        <f t="shared" si="11"/>
        <v>Б</v>
      </c>
      <c r="L203" s="106" t="str">
        <f t="shared" si="12"/>
        <v>Д</v>
      </c>
      <c r="M203" s="107" t="str">
        <f t="shared" si="13"/>
        <v>Эксплуатация автомобилей и электромобилей</v>
      </c>
    </row>
    <row r="204" spans="1:13" customFormat="1" ht="30" hidden="1" customHeight="1" x14ac:dyDescent="0.25">
      <c r="A204" s="41" t="s">
        <v>1142</v>
      </c>
      <c r="B204" s="25" t="s">
        <v>1143</v>
      </c>
      <c r="C204" s="29" t="s">
        <v>664</v>
      </c>
      <c r="D204" s="29" t="s">
        <v>666</v>
      </c>
      <c r="E204" s="25" t="s">
        <v>1732</v>
      </c>
      <c r="F204" s="26" t="s">
        <v>113</v>
      </c>
      <c r="G204" s="27" t="s">
        <v>124</v>
      </c>
      <c r="H204" s="27" t="s">
        <v>124</v>
      </c>
      <c r="I204" s="27"/>
      <c r="J204" s="27" t="s">
        <v>989</v>
      </c>
      <c r="K204" s="106" t="str">
        <f t="shared" si="11"/>
        <v>Б</v>
      </c>
      <c r="L204" s="106" t="str">
        <f t="shared" si="12"/>
        <v>Д</v>
      </c>
      <c r="M204" s="107" t="str">
        <f t="shared" si="13"/>
        <v>Эксплуатация транспортно-технологических машин и комплексов</v>
      </c>
    </row>
    <row r="205" spans="1:13" ht="30" hidden="1" customHeight="1" x14ac:dyDescent="0.25">
      <c r="A205" s="41" t="s">
        <v>1152</v>
      </c>
      <c r="B205" s="25" t="s">
        <v>1147</v>
      </c>
      <c r="C205" s="29" t="s">
        <v>664</v>
      </c>
      <c r="D205" s="29" t="s">
        <v>666</v>
      </c>
      <c r="E205" s="25" t="s">
        <v>1732</v>
      </c>
      <c r="F205" s="26" t="s">
        <v>113</v>
      </c>
      <c r="G205" s="27" t="s">
        <v>434</v>
      </c>
      <c r="H205" s="27" t="s">
        <v>432</v>
      </c>
      <c r="I205" s="27"/>
      <c r="J205" s="27" t="s">
        <v>989</v>
      </c>
      <c r="K205" s="106" t="str">
        <f t="shared" si="11"/>
        <v>Б</v>
      </c>
      <c r="L205" s="106" t="str">
        <f t="shared" si="12"/>
        <v>Д</v>
      </c>
      <c r="M205" s="107" t="str">
        <f t="shared" si="13"/>
        <v>Информационные технологии в управлении</v>
      </c>
    </row>
    <row r="206" spans="1:13" customFormat="1" ht="30" hidden="1" customHeight="1" x14ac:dyDescent="0.25">
      <c r="A206" s="41" t="s">
        <v>1146</v>
      </c>
      <c r="B206" s="25" t="s">
        <v>1147</v>
      </c>
      <c r="C206" s="29" t="s">
        <v>664</v>
      </c>
      <c r="D206" s="29" t="s">
        <v>666</v>
      </c>
      <c r="E206" s="25" t="s">
        <v>1732</v>
      </c>
      <c r="F206" s="26" t="s">
        <v>113</v>
      </c>
      <c r="G206" s="27" t="s">
        <v>434</v>
      </c>
      <c r="H206" s="27" t="s">
        <v>433</v>
      </c>
      <c r="I206" s="27"/>
      <c r="J206" s="27" t="s">
        <v>989</v>
      </c>
      <c r="K206" s="106" t="str">
        <f t="shared" si="11"/>
        <v>Б</v>
      </c>
      <c r="L206" s="106" t="str">
        <f t="shared" si="12"/>
        <v>Д</v>
      </c>
      <c r="M206" s="107" t="str">
        <f t="shared" si="13"/>
        <v>Управление инновациями в инженерном бизнесе</v>
      </c>
    </row>
    <row r="207" spans="1:13" ht="30" hidden="1" customHeight="1" x14ac:dyDescent="0.25">
      <c r="A207" s="41" t="s">
        <v>1148</v>
      </c>
      <c r="B207" s="25" t="s">
        <v>1147</v>
      </c>
      <c r="C207" s="29" t="s">
        <v>664</v>
      </c>
      <c r="D207" s="29" t="s">
        <v>1730</v>
      </c>
      <c r="E207" s="25" t="s">
        <v>1732</v>
      </c>
      <c r="F207" s="26" t="s">
        <v>113</v>
      </c>
      <c r="G207" s="27" t="s">
        <v>434</v>
      </c>
      <c r="H207" s="27" t="s">
        <v>1149</v>
      </c>
      <c r="I207" s="27"/>
      <c r="J207" s="27" t="s">
        <v>989</v>
      </c>
      <c r="K207" s="106" t="str">
        <f t="shared" si="11"/>
        <v>Б</v>
      </c>
      <c r="L207" s="106" t="str">
        <f t="shared" si="12"/>
        <v>Д</v>
      </c>
      <c r="M207" s="107" t="str">
        <f t="shared" si="13"/>
        <v>Механика полета и управление космическими системами (Английский язык)</v>
      </c>
    </row>
    <row r="208" spans="1:13" customFormat="1" ht="30" hidden="1" customHeight="1" x14ac:dyDescent="0.25">
      <c r="A208" s="41" t="s">
        <v>1150</v>
      </c>
      <c r="B208" s="25" t="s">
        <v>1147</v>
      </c>
      <c r="C208" s="29" t="s">
        <v>664</v>
      </c>
      <c r="D208" s="29" t="s">
        <v>666</v>
      </c>
      <c r="E208" s="25" t="s">
        <v>1732</v>
      </c>
      <c r="F208" s="26" t="s">
        <v>113</v>
      </c>
      <c r="G208" s="27" t="s">
        <v>434</v>
      </c>
      <c r="H208" s="27" t="s">
        <v>1151</v>
      </c>
      <c r="I208" s="27"/>
      <c r="J208" s="27" t="s">
        <v>989</v>
      </c>
      <c r="K208" s="106" t="str">
        <f t="shared" si="11"/>
        <v>Б</v>
      </c>
      <c r="L208" s="106" t="str">
        <f t="shared" si="12"/>
        <v>Д</v>
      </c>
      <c r="M208" s="107" t="str">
        <f t="shared" si="13"/>
        <v>Информационные технологии в управлении и кибербезопасность</v>
      </c>
    </row>
    <row r="209" spans="1:13" customFormat="1" ht="30" hidden="1" customHeight="1" x14ac:dyDescent="0.25">
      <c r="A209" s="41" t="s">
        <v>2206</v>
      </c>
      <c r="B209" s="25" t="s">
        <v>1147</v>
      </c>
      <c r="C209" s="29" t="s">
        <v>664</v>
      </c>
      <c r="D209" s="29" t="s">
        <v>1730</v>
      </c>
      <c r="E209" s="25" t="s">
        <v>1732</v>
      </c>
      <c r="F209" s="26" t="s">
        <v>113</v>
      </c>
      <c r="G209" s="27" t="s">
        <v>434</v>
      </c>
      <c r="H209" s="27" t="s">
        <v>2207</v>
      </c>
      <c r="I209" s="27"/>
      <c r="J209" s="27" t="s">
        <v>989</v>
      </c>
      <c r="K209" s="106" t="str">
        <f t="shared" si="11"/>
        <v>Б</v>
      </c>
      <c r="L209" s="106" t="str">
        <f t="shared" si="12"/>
        <v>Д</v>
      </c>
      <c r="M209" s="107" t="str">
        <f t="shared" si="13"/>
        <v>Data Engineering и управление космическими системами (Английский язык)</v>
      </c>
    </row>
    <row r="210" spans="1:13" customFormat="1" ht="30" hidden="1" customHeight="1" x14ac:dyDescent="0.25">
      <c r="A210" s="41" t="s">
        <v>2221</v>
      </c>
      <c r="B210" s="25" t="s">
        <v>1147</v>
      </c>
      <c r="C210" s="29" t="s">
        <v>664</v>
      </c>
      <c r="D210" s="29" t="s">
        <v>666</v>
      </c>
      <c r="E210" s="25" t="s">
        <v>1732</v>
      </c>
      <c r="F210" s="26" t="s">
        <v>113</v>
      </c>
      <c r="G210" s="27" t="s">
        <v>434</v>
      </c>
      <c r="H210" s="27" t="s">
        <v>2222</v>
      </c>
      <c r="I210" s="27"/>
      <c r="J210" s="27" t="s">
        <v>989</v>
      </c>
      <c r="K210" s="106" t="str">
        <f t="shared" si="11"/>
        <v>Б</v>
      </c>
      <c r="L210" s="106" t="str">
        <f t="shared" si="12"/>
        <v>Д</v>
      </c>
      <c r="M210" s="107" t="str">
        <f t="shared" si="13"/>
        <v>Управление информационными процессами, машинное обучение и кибербезопасность</v>
      </c>
    </row>
    <row r="211" spans="1:13" customFormat="1" ht="30" hidden="1" customHeight="1" x14ac:dyDescent="0.25">
      <c r="A211" s="41" t="s">
        <v>3012</v>
      </c>
      <c r="B211" s="25" t="s">
        <v>1147</v>
      </c>
      <c r="C211" s="29" t="s">
        <v>664</v>
      </c>
      <c r="D211" s="29" t="s">
        <v>666</v>
      </c>
      <c r="E211" s="25" t="s">
        <v>1732</v>
      </c>
      <c r="F211" s="26" t="s">
        <v>113</v>
      </c>
      <c r="G211" s="27" t="s">
        <v>434</v>
      </c>
      <c r="H211" s="27" t="s">
        <v>3141</v>
      </c>
      <c r="I211" s="27"/>
      <c r="J211" s="27" t="s">
        <v>989</v>
      </c>
      <c r="K211" s="106" t="str">
        <f t="shared" si="11"/>
        <v>Б</v>
      </c>
      <c r="L211" s="106" t="str">
        <f t="shared" si="12"/>
        <v>Д</v>
      </c>
      <c r="M211" s="107" t="str">
        <f t="shared" si="13"/>
        <v>Data Engineering, интеллектуальные системы и кибербезопасность</v>
      </c>
    </row>
    <row r="212" spans="1:13" ht="30" hidden="1" customHeight="1" x14ac:dyDescent="0.25">
      <c r="A212" s="41" t="s">
        <v>2202</v>
      </c>
      <c r="B212" s="25" t="s">
        <v>1147</v>
      </c>
      <c r="C212" s="29" t="s">
        <v>664</v>
      </c>
      <c r="D212" s="29" t="s">
        <v>666</v>
      </c>
      <c r="E212" s="25" t="s">
        <v>1732</v>
      </c>
      <c r="F212" s="26" t="s">
        <v>113</v>
      </c>
      <c r="G212" s="27" t="s">
        <v>434</v>
      </c>
      <c r="H212" s="27" t="s">
        <v>2203</v>
      </c>
      <c r="I212" s="27"/>
      <c r="J212" s="27" t="s">
        <v>989</v>
      </c>
      <c r="K212" s="106" t="str">
        <f t="shared" si="11"/>
        <v>Б</v>
      </c>
      <c r="L212" s="106" t="str">
        <f t="shared" si="12"/>
        <v>Д</v>
      </c>
      <c r="M212" s="107" t="str">
        <f t="shared" si="13"/>
        <v>Data Engineering, программирование и компьютерное моделирование интеллектуальных систем</v>
      </c>
    </row>
    <row r="213" spans="1:13" customFormat="1" ht="30" hidden="1" customHeight="1" x14ac:dyDescent="0.25">
      <c r="A213" s="41" t="s">
        <v>1153</v>
      </c>
      <c r="B213" s="25" t="s">
        <v>1154</v>
      </c>
      <c r="C213" s="29" t="s">
        <v>664</v>
      </c>
      <c r="D213" s="29" t="s">
        <v>666</v>
      </c>
      <c r="E213" s="25" t="s">
        <v>1732</v>
      </c>
      <c r="F213" s="26" t="s">
        <v>113</v>
      </c>
      <c r="G213" s="27" t="s">
        <v>1155</v>
      </c>
      <c r="H213" s="27" t="s">
        <v>1156</v>
      </c>
      <c r="I213" s="27"/>
      <c r="J213" s="27" t="s">
        <v>989</v>
      </c>
      <c r="K213" s="106" t="str">
        <f t="shared" si="11"/>
        <v>Б</v>
      </c>
      <c r="L213" s="106" t="str">
        <f t="shared" si="12"/>
        <v>Д</v>
      </c>
      <c r="M213" s="107" t="str">
        <f t="shared" si="13"/>
        <v>Управление инновациями в отраслях промышленности</v>
      </c>
    </row>
    <row r="214" spans="1:13" ht="30" hidden="1" customHeight="1" x14ac:dyDescent="0.25">
      <c r="A214" s="41" t="s">
        <v>1157</v>
      </c>
      <c r="B214" s="25" t="s">
        <v>1158</v>
      </c>
      <c r="C214" s="29" t="s">
        <v>664</v>
      </c>
      <c r="D214" s="29" t="s">
        <v>666</v>
      </c>
      <c r="E214" s="25" t="s">
        <v>1732</v>
      </c>
      <c r="F214" s="26" t="s">
        <v>113</v>
      </c>
      <c r="G214" s="27" t="s">
        <v>246</v>
      </c>
      <c r="H214" s="27" t="s">
        <v>246</v>
      </c>
      <c r="I214" s="27"/>
      <c r="J214" s="27" t="s">
        <v>989</v>
      </c>
      <c r="K214" s="106" t="str">
        <f t="shared" si="11"/>
        <v>Б</v>
      </c>
      <c r="L214" s="106" t="str">
        <f t="shared" si="12"/>
        <v>Д</v>
      </c>
      <c r="M214" s="107" t="str">
        <f t="shared" si="13"/>
        <v>Наноинженерия</v>
      </c>
    </row>
    <row r="215" spans="1:13" customFormat="1" ht="30" hidden="1" customHeight="1" x14ac:dyDescent="0.25">
      <c r="A215" s="41" t="s">
        <v>2208</v>
      </c>
      <c r="B215" s="25" t="s">
        <v>1158</v>
      </c>
      <c r="C215" s="29" t="s">
        <v>664</v>
      </c>
      <c r="D215" s="29" t="s">
        <v>666</v>
      </c>
      <c r="E215" s="25" t="s">
        <v>1732</v>
      </c>
      <c r="F215" s="26" t="s">
        <v>113</v>
      </c>
      <c r="G215" s="27" t="s">
        <v>246</v>
      </c>
      <c r="H215" s="27" t="s">
        <v>2209</v>
      </c>
      <c r="I215" s="27"/>
      <c r="J215" s="27" t="s">
        <v>989</v>
      </c>
      <c r="K215" s="106" t="str">
        <f t="shared" si="11"/>
        <v>Б</v>
      </c>
      <c r="L215" s="106" t="str">
        <f t="shared" si="12"/>
        <v>Д</v>
      </c>
      <c r="M215" s="107" t="str">
        <f t="shared" si="13"/>
        <v>Нанотехнологии и наноматериалы в приборостроении</v>
      </c>
    </row>
    <row r="216" spans="1:13" ht="30" hidden="1" customHeight="1" x14ac:dyDescent="0.25">
      <c r="A216" s="41" t="s">
        <v>1208</v>
      </c>
      <c r="B216" s="25" t="s">
        <v>1115</v>
      </c>
      <c r="C216" s="29" t="s">
        <v>663</v>
      </c>
      <c r="D216" s="29" t="s">
        <v>666</v>
      </c>
      <c r="E216" s="25" t="s">
        <v>3123</v>
      </c>
      <c r="F216" s="26" t="s">
        <v>113</v>
      </c>
      <c r="G216" s="27" t="s">
        <v>127</v>
      </c>
      <c r="H216" s="27" t="s">
        <v>436</v>
      </c>
      <c r="I216" s="27"/>
      <c r="J216" s="27" t="s">
        <v>989</v>
      </c>
      <c r="K216" s="106" t="str">
        <f t="shared" si="11"/>
        <v>Б</v>
      </c>
      <c r="L216" s="106" t="str">
        <f t="shared" si="12"/>
        <v>В</v>
      </c>
      <c r="M216" s="107" t="str">
        <f t="shared" si="13"/>
        <v>Эксплуатация вычислительных комплексов</v>
      </c>
    </row>
    <row r="217" spans="1:13" ht="30" hidden="1" customHeight="1" x14ac:dyDescent="0.25">
      <c r="A217" s="41" t="s">
        <v>2196</v>
      </c>
      <c r="B217" s="25" t="s">
        <v>1780</v>
      </c>
      <c r="C217" s="29" t="s">
        <v>663</v>
      </c>
      <c r="D217" s="29" t="s">
        <v>666</v>
      </c>
      <c r="E217" s="25" t="s">
        <v>3124</v>
      </c>
      <c r="F217" s="26" t="s">
        <v>113</v>
      </c>
      <c r="G217" s="27" t="s">
        <v>121</v>
      </c>
      <c r="H217" s="27" t="s">
        <v>1776</v>
      </c>
      <c r="I217" s="27"/>
      <c r="J217" s="27" t="s">
        <v>989</v>
      </c>
      <c r="K217" s="106" t="str">
        <f t="shared" si="11"/>
        <v>Б</v>
      </c>
      <c r="L217" s="106" t="str">
        <f t="shared" si="12"/>
        <v>В</v>
      </c>
      <c r="M217" s="107" t="str">
        <f t="shared" si="13"/>
        <v>Архитектура (УГСН)</v>
      </c>
    </row>
    <row r="218" spans="1:13" ht="30" hidden="1" customHeight="1" x14ac:dyDescent="0.25">
      <c r="A218" s="41" t="s">
        <v>1209</v>
      </c>
      <c r="B218" s="25" t="s">
        <v>1118</v>
      </c>
      <c r="C218" s="29" t="s">
        <v>663</v>
      </c>
      <c r="D218" s="29" t="s">
        <v>666</v>
      </c>
      <c r="E218" s="25" t="s">
        <v>3124</v>
      </c>
      <c r="F218" s="26" t="s">
        <v>113</v>
      </c>
      <c r="G218" s="27" t="s">
        <v>121</v>
      </c>
      <c r="H218" s="27" t="s">
        <v>121</v>
      </c>
      <c r="I218" s="27"/>
      <c r="J218" s="27" t="s">
        <v>989</v>
      </c>
      <c r="K218" s="106" t="str">
        <f t="shared" si="11"/>
        <v>Б</v>
      </c>
      <c r="L218" s="106" t="str">
        <f t="shared" si="12"/>
        <v>В</v>
      </c>
      <c r="M218" s="107" t="str">
        <f t="shared" si="13"/>
        <v>Архитектура</v>
      </c>
    </row>
    <row r="219" spans="1:13" ht="30" hidden="1" customHeight="1" x14ac:dyDescent="0.25">
      <c r="A219" s="41" t="s">
        <v>1210</v>
      </c>
      <c r="B219" s="25" t="s">
        <v>1120</v>
      </c>
      <c r="C219" s="29" t="s">
        <v>663</v>
      </c>
      <c r="D219" s="29" t="s">
        <v>666</v>
      </c>
      <c r="E219" s="25" t="s">
        <v>3124</v>
      </c>
      <c r="F219" s="26" t="s">
        <v>113</v>
      </c>
      <c r="G219" s="27" t="s">
        <v>1121</v>
      </c>
      <c r="H219" s="27" t="s">
        <v>1121</v>
      </c>
      <c r="I219" s="27"/>
      <c r="J219" s="27" t="s">
        <v>989</v>
      </c>
      <c r="K219" s="106" t="str">
        <f t="shared" si="11"/>
        <v>Б</v>
      </c>
      <c r="L219" s="106" t="str">
        <f t="shared" si="12"/>
        <v>В</v>
      </c>
      <c r="M219" s="107" t="str">
        <f t="shared" si="13"/>
        <v>Реконструкция и реставрация архитектурного наследия</v>
      </c>
    </row>
    <row r="220" spans="1:13" ht="30" hidden="1" customHeight="1" x14ac:dyDescent="0.25">
      <c r="A220" s="41" t="s">
        <v>1211</v>
      </c>
      <c r="B220" s="25" t="s">
        <v>1123</v>
      </c>
      <c r="C220" s="29" t="s">
        <v>663</v>
      </c>
      <c r="D220" s="29" t="s">
        <v>666</v>
      </c>
      <c r="E220" s="25" t="s">
        <v>3124</v>
      </c>
      <c r="F220" s="26" t="s">
        <v>113</v>
      </c>
      <c r="G220" s="27" t="s">
        <v>126</v>
      </c>
      <c r="H220" s="27" t="s">
        <v>668</v>
      </c>
      <c r="I220" s="27"/>
      <c r="J220" s="27" t="s">
        <v>989</v>
      </c>
      <c r="K220" s="106" t="str">
        <f t="shared" si="11"/>
        <v>Б</v>
      </c>
      <c r="L220" s="106" t="str">
        <f t="shared" si="12"/>
        <v>В</v>
      </c>
      <c r="M220" s="107" t="str">
        <f t="shared" si="13"/>
        <v>Дизайн промышленных и социальных объектов</v>
      </c>
    </row>
    <row r="221" spans="1:13" customFormat="1" ht="30" hidden="1" customHeight="1" x14ac:dyDescent="0.25">
      <c r="A221" s="41" t="s">
        <v>1212</v>
      </c>
      <c r="B221" s="25" t="s">
        <v>1125</v>
      </c>
      <c r="C221" s="29" t="s">
        <v>663</v>
      </c>
      <c r="D221" s="29" t="s">
        <v>666</v>
      </c>
      <c r="E221" s="25" t="s">
        <v>3123</v>
      </c>
      <c r="F221" s="26" t="s">
        <v>113</v>
      </c>
      <c r="G221" s="27" t="s">
        <v>116</v>
      </c>
      <c r="H221" s="27" t="s">
        <v>116</v>
      </c>
      <c r="I221" s="27"/>
      <c r="J221" s="27" t="s">
        <v>989</v>
      </c>
      <c r="K221" s="106" t="str">
        <f t="shared" si="11"/>
        <v>Б</v>
      </c>
      <c r="L221" s="106" t="str">
        <f t="shared" si="12"/>
        <v>В</v>
      </c>
      <c r="M221" s="107" t="str">
        <f t="shared" si="13"/>
        <v>Строительство</v>
      </c>
    </row>
    <row r="222" spans="1:13" ht="30" hidden="1" customHeight="1" x14ac:dyDescent="0.25">
      <c r="A222" s="41" t="s">
        <v>1213</v>
      </c>
      <c r="B222" s="25" t="s">
        <v>1134</v>
      </c>
      <c r="C222" s="29" t="s">
        <v>663</v>
      </c>
      <c r="D222" s="29" t="s">
        <v>666</v>
      </c>
      <c r="E222" s="25" t="s">
        <v>3125</v>
      </c>
      <c r="F222" s="26" t="s">
        <v>113</v>
      </c>
      <c r="G222" s="27" t="s">
        <v>120</v>
      </c>
      <c r="H222" s="27" t="s">
        <v>120</v>
      </c>
      <c r="I222" s="27"/>
      <c r="J222" s="27" t="s">
        <v>989</v>
      </c>
      <c r="K222" s="106" t="str">
        <f t="shared" si="11"/>
        <v>Б</v>
      </c>
      <c r="L222" s="106" t="str">
        <f t="shared" si="12"/>
        <v>В</v>
      </c>
      <c r="M222" s="107" t="str">
        <f t="shared" si="13"/>
        <v>Нефтегазовое дело</v>
      </c>
    </row>
    <row r="223" spans="1:13" ht="30" hidden="1" customHeight="1" x14ac:dyDescent="0.25">
      <c r="A223" s="41" t="s">
        <v>1214</v>
      </c>
      <c r="B223" s="25" t="s">
        <v>1134</v>
      </c>
      <c r="C223" s="29" t="s">
        <v>663</v>
      </c>
      <c r="D223" s="29" t="s">
        <v>666</v>
      </c>
      <c r="E223" s="25" t="s">
        <v>3125</v>
      </c>
      <c r="F223" s="26" t="s">
        <v>113</v>
      </c>
      <c r="G223" s="27" t="s">
        <v>120</v>
      </c>
      <c r="H223" s="27" t="s">
        <v>1136</v>
      </c>
      <c r="I223" s="27"/>
      <c r="J223" s="27" t="s">
        <v>989</v>
      </c>
      <c r="K223" s="106" t="str">
        <f t="shared" si="11"/>
        <v>Б</v>
      </c>
      <c r="L223" s="106" t="str">
        <f t="shared" si="12"/>
        <v>В</v>
      </c>
      <c r="M223" s="107" t="str">
        <f t="shared" si="13"/>
        <v>Разработка нефтяных и газовых месторождений, транспортировка, хранение и переработка нефти и газа</v>
      </c>
    </row>
    <row r="224" spans="1:13" customFormat="1" ht="30" hidden="1" customHeight="1" x14ac:dyDescent="0.25">
      <c r="A224" s="41" t="s">
        <v>1215</v>
      </c>
      <c r="B224" s="25" t="s">
        <v>1134</v>
      </c>
      <c r="C224" s="29" t="s">
        <v>663</v>
      </c>
      <c r="D224" s="29" t="s">
        <v>666</v>
      </c>
      <c r="E224" s="25" t="s">
        <v>3125</v>
      </c>
      <c r="F224" s="26" t="s">
        <v>113</v>
      </c>
      <c r="G224" s="27" t="s">
        <v>120</v>
      </c>
      <c r="H224" s="27" t="s">
        <v>968</v>
      </c>
      <c r="I224" s="27"/>
      <c r="J224" s="27" t="s">
        <v>989</v>
      </c>
      <c r="K224" s="106" t="str">
        <f t="shared" si="11"/>
        <v>Б</v>
      </c>
      <c r="L224" s="106" t="str">
        <f t="shared" si="12"/>
        <v>В</v>
      </c>
      <c r="M224" s="107" t="str">
        <f t="shared" si="13"/>
        <v>Разработка и эксплуатация нефтяных и газовых месторождений</v>
      </c>
    </row>
    <row r="225" spans="1:13" ht="30" hidden="1" customHeight="1" x14ac:dyDescent="0.25">
      <c r="A225" s="41" t="s">
        <v>1217</v>
      </c>
      <c r="B225" s="25" t="s">
        <v>1147</v>
      </c>
      <c r="C225" s="29" t="s">
        <v>663</v>
      </c>
      <c r="D225" s="29" t="s">
        <v>666</v>
      </c>
      <c r="E225" s="25" t="s">
        <v>3123</v>
      </c>
      <c r="F225" s="26" t="s">
        <v>113</v>
      </c>
      <c r="G225" s="27" t="s">
        <v>434</v>
      </c>
      <c r="H225" s="27" t="s">
        <v>432</v>
      </c>
      <c r="I225" s="27"/>
      <c r="J225" s="27" t="s">
        <v>989</v>
      </c>
      <c r="K225" s="106" t="str">
        <f t="shared" si="11"/>
        <v>Б</v>
      </c>
      <c r="L225" s="106" t="str">
        <f t="shared" si="12"/>
        <v>В</v>
      </c>
      <c r="M225" s="107" t="str">
        <f t="shared" si="13"/>
        <v>Информационные технологии в управлении</v>
      </c>
    </row>
    <row r="226" spans="1:13" ht="30" hidden="1" customHeight="1" x14ac:dyDescent="0.25">
      <c r="A226" s="41" t="s">
        <v>1216</v>
      </c>
      <c r="B226" s="25" t="s">
        <v>1147</v>
      </c>
      <c r="C226" s="29" t="s">
        <v>663</v>
      </c>
      <c r="D226" s="29" t="s">
        <v>666</v>
      </c>
      <c r="E226" s="25" t="s">
        <v>3123</v>
      </c>
      <c r="F226" s="26" t="s">
        <v>113</v>
      </c>
      <c r="G226" s="27" t="s">
        <v>434</v>
      </c>
      <c r="H226" s="27" t="s">
        <v>1151</v>
      </c>
      <c r="I226" s="27"/>
      <c r="J226" s="27" t="s">
        <v>989</v>
      </c>
      <c r="K226" s="106" t="str">
        <f t="shared" si="11"/>
        <v>Б</v>
      </c>
      <c r="L226" s="106" t="str">
        <f t="shared" si="12"/>
        <v>В</v>
      </c>
      <c r="M226" s="107" t="str">
        <f t="shared" si="13"/>
        <v>Информационные технологии в управлении и кибербезопасность</v>
      </c>
    </row>
    <row r="227" spans="1:13" ht="30" hidden="1" customHeight="1" x14ac:dyDescent="0.25">
      <c r="A227" s="41" t="s">
        <v>1222</v>
      </c>
      <c r="B227" s="25" t="s">
        <v>1125</v>
      </c>
      <c r="C227" s="29" t="s">
        <v>665</v>
      </c>
      <c r="D227" s="29" t="s">
        <v>666</v>
      </c>
      <c r="E227" s="25" t="s">
        <v>3123</v>
      </c>
      <c r="F227" s="26" t="s">
        <v>113</v>
      </c>
      <c r="G227" s="27" t="s">
        <v>116</v>
      </c>
      <c r="H227" s="27" t="s">
        <v>116</v>
      </c>
      <c r="I227" s="27"/>
      <c r="J227" s="27" t="s">
        <v>989</v>
      </c>
      <c r="K227" s="106" t="str">
        <f t="shared" si="11"/>
        <v>Б</v>
      </c>
      <c r="L227" s="106" t="str">
        <f t="shared" si="12"/>
        <v>З</v>
      </c>
      <c r="M227" s="107" t="str">
        <f t="shared" si="13"/>
        <v>Строительство</v>
      </c>
    </row>
    <row r="228" spans="1:13" ht="30" hidden="1" customHeight="1" x14ac:dyDescent="0.25">
      <c r="A228" s="41" t="s">
        <v>3013</v>
      </c>
      <c r="B228" s="25" t="s">
        <v>1127</v>
      </c>
      <c r="C228" s="29" t="s">
        <v>665</v>
      </c>
      <c r="D228" s="29" t="s">
        <v>666</v>
      </c>
      <c r="E228" s="25" t="s">
        <v>3123</v>
      </c>
      <c r="F228" s="26" t="s">
        <v>113</v>
      </c>
      <c r="G228" s="27" t="s">
        <v>992</v>
      </c>
      <c r="H228" s="27" t="s">
        <v>3139</v>
      </c>
      <c r="I228" s="27"/>
      <c r="J228" s="27" t="s">
        <v>989</v>
      </c>
      <c r="K228" s="106" t="str">
        <f t="shared" si="11"/>
        <v>Б</v>
      </c>
      <c r="L228" s="106" t="str">
        <f t="shared" si="12"/>
        <v>З</v>
      </c>
      <c r="M228" s="107" t="str">
        <f t="shared" si="13"/>
        <v>Комбинированные энергетические установки и альтернативная энергетика</v>
      </c>
    </row>
    <row r="229" spans="1:13" ht="30" hidden="1" customHeight="1" x14ac:dyDescent="0.25">
      <c r="A229" s="41" t="s">
        <v>1223</v>
      </c>
      <c r="B229" s="25" t="s">
        <v>1127</v>
      </c>
      <c r="C229" s="29" t="s">
        <v>665</v>
      </c>
      <c r="D229" s="29" t="s">
        <v>666</v>
      </c>
      <c r="E229" s="25" t="s">
        <v>3123</v>
      </c>
      <c r="F229" s="26" t="s">
        <v>113</v>
      </c>
      <c r="G229" s="27" t="s">
        <v>992</v>
      </c>
      <c r="H229" s="27" t="s">
        <v>992</v>
      </c>
      <c r="I229" s="27"/>
      <c r="J229" s="27" t="s">
        <v>989</v>
      </c>
      <c r="K229" s="106" t="str">
        <f t="shared" si="11"/>
        <v>Б</v>
      </c>
      <c r="L229" s="106" t="str">
        <f t="shared" si="12"/>
        <v>З</v>
      </c>
      <c r="M229" s="107" t="str">
        <f t="shared" si="13"/>
        <v>Энергетическое машиностроение</v>
      </c>
    </row>
    <row r="230" spans="1:13" ht="30" hidden="1" customHeight="1" x14ac:dyDescent="0.25">
      <c r="A230" s="41" t="s">
        <v>1224</v>
      </c>
      <c r="B230" s="25" t="s">
        <v>1132</v>
      </c>
      <c r="C230" s="29" t="s">
        <v>665</v>
      </c>
      <c r="D230" s="29" t="s">
        <v>666</v>
      </c>
      <c r="E230" s="25" t="s">
        <v>3123</v>
      </c>
      <c r="F230" s="26" t="s">
        <v>113</v>
      </c>
      <c r="G230" s="27" t="s">
        <v>114</v>
      </c>
      <c r="H230" s="27" t="s">
        <v>114</v>
      </c>
      <c r="I230" s="27"/>
      <c r="J230" s="27" t="s">
        <v>989</v>
      </c>
      <c r="K230" s="106" t="str">
        <f t="shared" si="11"/>
        <v>Б</v>
      </c>
      <c r="L230" s="106" t="str">
        <f t="shared" si="12"/>
        <v>З</v>
      </c>
      <c r="M230" s="107" t="str">
        <f t="shared" si="13"/>
        <v>Конструкторско-технологическое обеспечение машиностроительных производств</v>
      </c>
    </row>
    <row r="231" spans="1:13" ht="30" hidden="1" customHeight="1" x14ac:dyDescent="0.25">
      <c r="A231" s="41" t="s">
        <v>2220</v>
      </c>
      <c r="B231" s="25" t="s">
        <v>1132</v>
      </c>
      <c r="C231" s="29" t="s">
        <v>665</v>
      </c>
      <c r="D231" s="29" t="s">
        <v>666</v>
      </c>
      <c r="E231" s="25" t="s">
        <v>3123</v>
      </c>
      <c r="F231" s="26" t="s">
        <v>113</v>
      </c>
      <c r="G231" s="27" t="s">
        <v>114</v>
      </c>
      <c r="H231" s="27" t="s">
        <v>2219</v>
      </c>
      <c r="I231" s="27"/>
      <c r="J231" s="27" t="s">
        <v>989</v>
      </c>
      <c r="K231" s="106" t="str">
        <f t="shared" si="11"/>
        <v>Б</v>
      </c>
      <c r="L231" s="106" t="str">
        <f t="shared" si="12"/>
        <v>З</v>
      </c>
      <c r="M231" s="107" t="str">
        <f t="shared" si="13"/>
        <v>Системная инженерия машиностроительных производств</v>
      </c>
    </row>
    <row r="232" spans="1:13" customFormat="1" ht="30" hidden="1" customHeight="1" x14ac:dyDescent="0.25">
      <c r="A232" s="41" t="s">
        <v>3014</v>
      </c>
      <c r="B232" s="25" t="s">
        <v>1143</v>
      </c>
      <c r="C232" s="29" t="s">
        <v>665</v>
      </c>
      <c r="D232" s="29" t="s">
        <v>666</v>
      </c>
      <c r="E232" s="25" t="s">
        <v>3123</v>
      </c>
      <c r="F232" s="26" t="s">
        <v>113</v>
      </c>
      <c r="G232" s="27" t="s">
        <v>124</v>
      </c>
      <c r="H232" s="27" t="s">
        <v>3140</v>
      </c>
      <c r="I232" s="27"/>
      <c r="J232" s="27" t="s">
        <v>989</v>
      </c>
      <c r="K232" s="106" t="str">
        <f t="shared" si="11"/>
        <v>Б</v>
      </c>
      <c r="L232" s="106" t="str">
        <f t="shared" si="12"/>
        <v>З</v>
      </c>
      <c r="M232" s="107" t="str">
        <f t="shared" si="13"/>
        <v>Эксплуатация автомобилей и электромобилей</v>
      </c>
    </row>
    <row r="233" spans="1:13" customFormat="1" ht="30" hidden="1" customHeight="1" x14ac:dyDescent="0.25">
      <c r="A233" s="41" t="s">
        <v>1225</v>
      </c>
      <c r="B233" s="25" t="s">
        <v>1143</v>
      </c>
      <c r="C233" s="29" t="s">
        <v>665</v>
      </c>
      <c r="D233" s="29" t="s">
        <v>666</v>
      </c>
      <c r="E233" s="25" t="s">
        <v>3123</v>
      </c>
      <c r="F233" s="26" t="s">
        <v>113</v>
      </c>
      <c r="G233" s="27" t="s">
        <v>124</v>
      </c>
      <c r="H233" s="27" t="s">
        <v>124</v>
      </c>
      <c r="I233" s="27"/>
      <c r="J233" s="27" t="s">
        <v>989</v>
      </c>
      <c r="K233" s="106" t="str">
        <f t="shared" si="11"/>
        <v>Б</v>
      </c>
      <c r="L233" s="106" t="str">
        <f t="shared" si="12"/>
        <v>З</v>
      </c>
      <c r="M233" s="107" t="str">
        <f t="shared" si="13"/>
        <v>Эксплуатация транспортно-технологических машин и комплексов</v>
      </c>
    </row>
    <row r="234" spans="1:13" customFormat="1" ht="30" hidden="1" customHeight="1" x14ac:dyDescent="0.25">
      <c r="A234" s="41" t="s">
        <v>1226</v>
      </c>
      <c r="B234" s="25" t="s">
        <v>1147</v>
      </c>
      <c r="C234" s="29" t="s">
        <v>665</v>
      </c>
      <c r="D234" s="29" t="s">
        <v>666</v>
      </c>
      <c r="E234" s="25" t="s">
        <v>3123</v>
      </c>
      <c r="F234" s="26" t="s">
        <v>113</v>
      </c>
      <c r="G234" s="27" t="s">
        <v>434</v>
      </c>
      <c r="H234" s="27" t="s">
        <v>433</v>
      </c>
      <c r="I234" s="27"/>
      <c r="J234" s="27" t="s">
        <v>989</v>
      </c>
      <c r="K234" s="106" t="str">
        <f t="shared" si="11"/>
        <v>Б</v>
      </c>
      <c r="L234" s="106" t="str">
        <f t="shared" si="12"/>
        <v>З</v>
      </c>
      <c r="M234" s="107" t="str">
        <f t="shared" si="13"/>
        <v>Управление инновациями в инженерном бизнесе</v>
      </c>
    </row>
    <row r="235" spans="1:13" customFormat="1" ht="30" hidden="1" customHeight="1" x14ac:dyDescent="0.25">
      <c r="A235" s="41" t="s">
        <v>2223</v>
      </c>
      <c r="B235" s="25" t="s">
        <v>1147</v>
      </c>
      <c r="C235" s="29" t="s">
        <v>665</v>
      </c>
      <c r="D235" s="29" t="s">
        <v>666</v>
      </c>
      <c r="E235" s="25" t="s">
        <v>3123</v>
      </c>
      <c r="F235" s="26" t="s">
        <v>113</v>
      </c>
      <c r="G235" s="27" t="s">
        <v>434</v>
      </c>
      <c r="H235" s="27" t="s">
        <v>2222</v>
      </c>
      <c r="I235" s="27"/>
      <c r="J235" s="27" t="s">
        <v>989</v>
      </c>
      <c r="K235" s="106" t="str">
        <f t="shared" si="11"/>
        <v>Б</v>
      </c>
      <c r="L235" s="106" t="str">
        <f t="shared" si="12"/>
        <v>З</v>
      </c>
      <c r="M235" s="107" t="str">
        <f t="shared" si="13"/>
        <v>Управление информационными процессами, машинное обучение и кибербезопасность</v>
      </c>
    </row>
    <row r="236" spans="1:13" customFormat="1" ht="30" hidden="1" customHeight="1" x14ac:dyDescent="0.25">
      <c r="A236" s="41" t="s">
        <v>3015</v>
      </c>
      <c r="B236" s="25" t="s">
        <v>1147</v>
      </c>
      <c r="C236" s="29" t="s">
        <v>665</v>
      </c>
      <c r="D236" s="29" t="s">
        <v>666</v>
      </c>
      <c r="E236" s="25" t="s">
        <v>3123</v>
      </c>
      <c r="F236" s="26" t="s">
        <v>113</v>
      </c>
      <c r="G236" s="27" t="s">
        <v>434</v>
      </c>
      <c r="H236" s="27" t="s">
        <v>3141</v>
      </c>
      <c r="I236" s="27"/>
      <c r="J236" s="27" t="s">
        <v>989</v>
      </c>
      <c r="K236" s="106" t="str">
        <f t="shared" si="11"/>
        <v>Б</v>
      </c>
      <c r="L236" s="106" t="str">
        <f t="shared" si="12"/>
        <v>З</v>
      </c>
      <c r="M236" s="107" t="str">
        <f t="shared" si="13"/>
        <v>Data Engineering, интеллектуальные системы и кибербезопасность</v>
      </c>
    </row>
    <row r="237" spans="1:13" customFormat="1" ht="30" hidden="1" customHeight="1" x14ac:dyDescent="0.25">
      <c r="A237" s="41" t="s">
        <v>2201</v>
      </c>
      <c r="B237" s="25" t="s">
        <v>1154</v>
      </c>
      <c r="C237" s="29" t="s">
        <v>665</v>
      </c>
      <c r="D237" s="29" t="s">
        <v>666</v>
      </c>
      <c r="E237" s="25" t="s">
        <v>3123</v>
      </c>
      <c r="F237" s="26" t="s">
        <v>113</v>
      </c>
      <c r="G237" s="27" t="s">
        <v>1155</v>
      </c>
      <c r="H237" s="27" t="s">
        <v>1156</v>
      </c>
      <c r="I237" s="27"/>
      <c r="J237" s="27" t="s">
        <v>989</v>
      </c>
      <c r="K237" s="106" t="str">
        <f t="shared" si="11"/>
        <v>Б</v>
      </c>
      <c r="L237" s="106" t="str">
        <f t="shared" si="12"/>
        <v>З</v>
      </c>
      <c r="M237" s="107" t="str">
        <f t="shared" si="13"/>
        <v>Управление инновациями в отраслях промышленности</v>
      </c>
    </row>
    <row r="238" spans="1:13" customFormat="1" ht="30" hidden="1" customHeight="1" x14ac:dyDescent="0.25">
      <c r="A238" s="41" t="s">
        <v>1227</v>
      </c>
      <c r="B238" s="25" t="s">
        <v>1158</v>
      </c>
      <c r="C238" s="29" t="s">
        <v>665</v>
      </c>
      <c r="D238" s="29" t="s">
        <v>666</v>
      </c>
      <c r="E238" s="25" t="s">
        <v>3123</v>
      </c>
      <c r="F238" s="26" t="s">
        <v>113</v>
      </c>
      <c r="G238" s="27" t="s">
        <v>246</v>
      </c>
      <c r="H238" s="27" t="s">
        <v>246</v>
      </c>
      <c r="I238" s="27"/>
      <c r="J238" s="27" t="s">
        <v>989</v>
      </c>
      <c r="K238" s="106" t="str">
        <f t="shared" si="11"/>
        <v>Б</v>
      </c>
      <c r="L238" s="106" t="str">
        <f t="shared" si="12"/>
        <v>З</v>
      </c>
      <c r="M238" s="107" t="str">
        <f t="shared" si="13"/>
        <v>Наноинженерия</v>
      </c>
    </row>
    <row r="239" spans="1:13" customFormat="1" ht="30" hidden="1" customHeight="1" x14ac:dyDescent="0.25">
      <c r="A239" s="41" t="s">
        <v>2210</v>
      </c>
      <c r="B239" s="25" t="s">
        <v>1158</v>
      </c>
      <c r="C239" s="29" t="s">
        <v>665</v>
      </c>
      <c r="D239" s="29" t="s">
        <v>666</v>
      </c>
      <c r="E239" s="25" t="s">
        <v>3123</v>
      </c>
      <c r="F239" s="26" t="s">
        <v>113</v>
      </c>
      <c r="G239" s="27" t="s">
        <v>246</v>
      </c>
      <c r="H239" s="27" t="s">
        <v>2209</v>
      </c>
      <c r="I239" s="27"/>
      <c r="J239" s="27" t="s">
        <v>989</v>
      </c>
      <c r="K239" s="106" t="str">
        <f t="shared" si="11"/>
        <v>Б</v>
      </c>
      <c r="L239" s="106" t="str">
        <f t="shared" si="12"/>
        <v>З</v>
      </c>
      <c r="M239" s="107" t="str">
        <f t="shared" si="13"/>
        <v>Нанотехнологии и наноматериалы в приборостроении</v>
      </c>
    </row>
    <row r="240" spans="1:13" customFormat="1" ht="30" hidden="1" customHeight="1" x14ac:dyDescent="0.25">
      <c r="A240" s="41" t="s">
        <v>1159</v>
      </c>
      <c r="B240" s="25" t="s">
        <v>1160</v>
      </c>
      <c r="C240" s="29" t="s">
        <v>664</v>
      </c>
      <c r="D240" s="29" t="s">
        <v>666</v>
      </c>
      <c r="E240" s="25" t="s">
        <v>3126</v>
      </c>
      <c r="F240" s="26" t="s">
        <v>115</v>
      </c>
      <c r="G240" s="27" t="s">
        <v>127</v>
      </c>
      <c r="H240" s="27" t="s">
        <v>247</v>
      </c>
      <c r="I240" s="27"/>
      <c r="J240" s="27" t="s">
        <v>989</v>
      </c>
      <c r="K240" s="106" t="str">
        <f t="shared" si="11"/>
        <v>М</v>
      </c>
      <c r="L240" s="106" t="str">
        <f t="shared" si="12"/>
        <v>Д</v>
      </c>
      <c r="M240" s="107" t="str">
        <f t="shared" si="13"/>
        <v>Баллистическое проектирование космических комплексов и систем</v>
      </c>
    </row>
    <row r="241" spans="1:13" customFormat="1" ht="30" hidden="1" customHeight="1" x14ac:dyDescent="0.25">
      <c r="A241" s="41" t="s">
        <v>1161</v>
      </c>
      <c r="B241" s="25" t="s">
        <v>1160</v>
      </c>
      <c r="C241" s="29" t="s">
        <v>664</v>
      </c>
      <c r="D241" s="29" t="s">
        <v>1730</v>
      </c>
      <c r="E241" s="25" t="s">
        <v>3126</v>
      </c>
      <c r="F241" s="26" t="s">
        <v>115</v>
      </c>
      <c r="G241" s="27" t="s">
        <v>127</v>
      </c>
      <c r="H241" s="27" t="s">
        <v>247</v>
      </c>
      <c r="I241" s="27" t="s">
        <v>904</v>
      </c>
      <c r="J241" s="27" t="s">
        <v>989</v>
      </c>
      <c r="K241" s="106" t="str">
        <f t="shared" si="11"/>
        <v>М</v>
      </c>
      <c r="L241" s="106" t="str">
        <f t="shared" si="12"/>
        <v>Д</v>
      </c>
      <c r="M241" s="107" t="str">
        <f t="shared" si="13"/>
        <v>Баллистическое проектирование космических комплексов и систем (Английский язык) (Вуз-партнёр - EPF Graduate School of Engineering)</v>
      </c>
    </row>
    <row r="242" spans="1:13" customFormat="1" ht="30" hidden="1" customHeight="1" x14ac:dyDescent="0.25">
      <c r="A242" s="41" t="s">
        <v>1162</v>
      </c>
      <c r="B242" s="25" t="s">
        <v>1160</v>
      </c>
      <c r="C242" s="29" t="s">
        <v>664</v>
      </c>
      <c r="D242" s="29" t="s">
        <v>666</v>
      </c>
      <c r="E242" s="25" t="s">
        <v>3126</v>
      </c>
      <c r="F242" s="26" t="s">
        <v>115</v>
      </c>
      <c r="G242" s="27" t="s">
        <v>127</v>
      </c>
      <c r="H242" s="27" t="s">
        <v>1001</v>
      </c>
      <c r="I242" s="27"/>
      <c r="J242" s="27" t="s">
        <v>989</v>
      </c>
      <c r="K242" s="106" t="str">
        <f t="shared" si="11"/>
        <v>М</v>
      </c>
      <c r="L242" s="106" t="str">
        <f t="shared" si="12"/>
        <v>Д</v>
      </c>
      <c r="M242" s="107" t="str">
        <f t="shared" si="13"/>
        <v>Data Science и цифровая трансформация</v>
      </c>
    </row>
    <row r="243" spans="1:13" customFormat="1" ht="30" hidden="1" customHeight="1" x14ac:dyDescent="0.25">
      <c r="A243" s="41" t="s">
        <v>1163</v>
      </c>
      <c r="B243" s="25" t="s">
        <v>1160</v>
      </c>
      <c r="C243" s="29" t="s">
        <v>664</v>
      </c>
      <c r="D243" s="29" t="s">
        <v>1730</v>
      </c>
      <c r="E243" s="25" t="s">
        <v>3126</v>
      </c>
      <c r="F243" s="26" t="s">
        <v>115</v>
      </c>
      <c r="G243" s="27" t="s">
        <v>127</v>
      </c>
      <c r="H243" s="27" t="s">
        <v>1001</v>
      </c>
      <c r="I243" s="27"/>
      <c r="J243" s="27" t="s">
        <v>989</v>
      </c>
      <c r="K243" s="106" t="str">
        <f t="shared" si="11"/>
        <v>М</v>
      </c>
      <c r="L243" s="106" t="str">
        <f t="shared" si="12"/>
        <v>Д</v>
      </c>
      <c r="M243" s="107" t="str">
        <f t="shared" si="13"/>
        <v>Data Science и цифровая трансформация (Английский язык)</v>
      </c>
    </row>
    <row r="244" spans="1:13" customFormat="1" ht="30" hidden="1" customHeight="1" x14ac:dyDescent="0.25">
      <c r="A244" s="41" t="s">
        <v>1164</v>
      </c>
      <c r="B244" s="25" t="s">
        <v>1165</v>
      </c>
      <c r="C244" s="29" t="s">
        <v>664</v>
      </c>
      <c r="D244" s="29" t="s">
        <v>666</v>
      </c>
      <c r="E244" s="25" t="s">
        <v>3126</v>
      </c>
      <c r="F244" s="26" t="s">
        <v>115</v>
      </c>
      <c r="G244" s="27" t="s">
        <v>236</v>
      </c>
      <c r="H244" s="27" t="s">
        <v>1003</v>
      </c>
      <c r="I244" s="27"/>
      <c r="J244" s="27" t="s">
        <v>989</v>
      </c>
      <c r="K244" s="106" t="str">
        <f t="shared" si="11"/>
        <v>М</v>
      </c>
      <c r="L244" s="106" t="str">
        <f t="shared" si="12"/>
        <v>Д</v>
      </c>
      <c r="M244" s="107" t="str">
        <f t="shared" si="13"/>
        <v>Технологии защиты информации</v>
      </c>
    </row>
    <row r="245" spans="1:13" customFormat="1" ht="30" hidden="1" customHeight="1" x14ac:dyDescent="0.25">
      <c r="A245" s="41" t="s">
        <v>2213</v>
      </c>
      <c r="B245" s="25" t="s">
        <v>1165</v>
      </c>
      <c r="C245" s="29" t="s">
        <v>664</v>
      </c>
      <c r="D245" s="29" t="s">
        <v>666</v>
      </c>
      <c r="E245" s="25" t="s">
        <v>3126</v>
      </c>
      <c r="F245" s="26" t="s">
        <v>115</v>
      </c>
      <c r="G245" s="27" t="s">
        <v>236</v>
      </c>
      <c r="H245" s="27" t="s">
        <v>2214</v>
      </c>
      <c r="I245" s="27"/>
      <c r="J245" s="27" t="s">
        <v>989</v>
      </c>
      <c r="K245" s="106" t="str">
        <f t="shared" si="11"/>
        <v>М</v>
      </c>
      <c r="L245" s="106" t="str">
        <f t="shared" si="12"/>
        <v>Д</v>
      </c>
      <c r="M245" s="107" t="str">
        <f t="shared" si="13"/>
        <v>Анализ больших данных и технологии защиты информации</v>
      </c>
    </row>
    <row r="246" spans="1:13" customFormat="1" ht="30" hidden="1" customHeight="1" x14ac:dyDescent="0.25">
      <c r="A246" s="41" t="s">
        <v>1166</v>
      </c>
      <c r="B246" s="25" t="s">
        <v>1167</v>
      </c>
      <c r="C246" s="29" t="s">
        <v>664</v>
      </c>
      <c r="D246" s="29" t="s">
        <v>666</v>
      </c>
      <c r="E246" s="25" t="s">
        <v>3126</v>
      </c>
      <c r="F246" s="26" t="s">
        <v>115</v>
      </c>
      <c r="G246" s="27" t="s">
        <v>990</v>
      </c>
      <c r="H246" s="27" t="s">
        <v>427</v>
      </c>
      <c r="I246" s="27"/>
      <c r="J246" s="27" t="s">
        <v>989</v>
      </c>
      <c r="K246" s="106" t="str">
        <f t="shared" si="11"/>
        <v>М</v>
      </c>
      <c r="L246" s="106" t="str">
        <f t="shared" si="12"/>
        <v>Д</v>
      </c>
      <c r="M246" s="107" t="str">
        <f t="shared" si="13"/>
        <v>Инновационные технологии в поиске и разведке месторождений нефти и газа</v>
      </c>
    </row>
    <row r="247" spans="1:13" customFormat="1" ht="30" hidden="1" customHeight="1" x14ac:dyDescent="0.25">
      <c r="A247" s="41" t="s">
        <v>1168</v>
      </c>
      <c r="B247" s="25" t="s">
        <v>1167</v>
      </c>
      <c r="C247" s="29" t="s">
        <v>664</v>
      </c>
      <c r="D247" s="29" t="s">
        <v>666</v>
      </c>
      <c r="E247" s="25" t="s">
        <v>3126</v>
      </c>
      <c r="F247" s="26" t="s">
        <v>115</v>
      </c>
      <c r="G247" s="27" t="s">
        <v>990</v>
      </c>
      <c r="H247" s="27" t="s">
        <v>428</v>
      </c>
      <c r="I247" s="27"/>
      <c r="J247" s="27" t="s">
        <v>989</v>
      </c>
      <c r="K247" s="106" t="str">
        <f t="shared" si="11"/>
        <v>М</v>
      </c>
      <c r="L247" s="106" t="str">
        <f t="shared" si="12"/>
        <v>Д</v>
      </c>
      <c r="M247" s="107" t="str">
        <f t="shared" si="13"/>
        <v>Инновационные технологии в поиске и разведке твердых полезных ископаемых</v>
      </c>
    </row>
    <row r="248" spans="1:13" customFormat="1" ht="30" hidden="1" customHeight="1" x14ac:dyDescent="0.25">
      <c r="A248" s="41" t="s">
        <v>2236</v>
      </c>
      <c r="B248" s="25" t="s">
        <v>1167</v>
      </c>
      <c r="C248" s="29" t="s">
        <v>664</v>
      </c>
      <c r="D248" s="29" t="s">
        <v>1730</v>
      </c>
      <c r="E248" s="25" t="s">
        <v>3126</v>
      </c>
      <c r="F248" s="26" t="s">
        <v>115</v>
      </c>
      <c r="G248" s="27" t="s">
        <v>990</v>
      </c>
      <c r="H248" s="27" t="s">
        <v>2237</v>
      </c>
      <c r="I248" s="27" t="s">
        <v>2806</v>
      </c>
      <c r="J248" s="27" t="s">
        <v>989</v>
      </c>
      <c r="K248" s="106" t="str">
        <f t="shared" si="11"/>
        <v>М</v>
      </c>
      <c r="L248" s="106" t="str">
        <f t="shared" si="12"/>
        <v>Д</v>
      </c>
      <c r="M248" s="107" t="str">
        <f t="shared" si="13"/>
        <v>Горнопромышленная геология (Английский язык) (Вуз-партнёр - ФГАОУ ВО «Национальный исследовательский технологический университет «МИСИС»)</v>
      </c>
    </row>
    <row r="249" spans="1:13" customFormat="1" ht="30" hidden="1" customHeight="1" x14ac:dyDescent="0.25">
      <c r="A249" s="41" t="s">
        <v>1169</v>
      </c>
      <c r="B249" s="25" t="s">
        <v>1170</v>
      </c>
      <c r="C249" s="29" t="s">
        <v>664</v>
      </c>
      <c r="D249" s="29" t="s">
        <v>666</v>
      </c>
      <c r="E249" s="25" t="s">
        <v>3126</v>
      </c>
      <c r="F249" s="26" t="s">
        <v>115</v>
      </c>
      <c r="G249" s="27" t="s">
        <v>121</v>
      </c>
      <c r="H249" s="27" t="s">
        <v>122</v>
      </c>
      <c r="I249" s="27"/>
      <c r="J249" s="27" t="s">
        <v>989</v>
      </c>
      <c r="K249" s="106" t="str">
        <f t="shared" si="11"/>
        <v>М</v>
      </c>
      <c r="L249" s="106" t="str">
        <f t="shared" si="12"/>
        <v>Д</v>
      </c>
      <c r="M249" s="107" t="str">
        <f t="shared" si="13"/>
        <v>Архитектура жилых, общественных и промышленных зданий</v>
      </c>
    </row>
    <row r="250" spans="1:13" customFormat="1" ht="30" hidden="1" customHeight="1" x14ac:dyDescent="0.25">
      <c r="A250" s="41" t="s">
        <v>1171</v>
      </c>
      <c r="B250" s="25" t="s">
        <v>1172</v>
      </c>
      <c r="C250" s="29" t="s">
        <v>664</v>
      </c>
      <c r="D250" s="29" t="s">
        <v>666</v>
      </c>
      <c r="E250" s="25" t="s">
        <v>3126</v>
      </c>
      <c r="F250" s="26" t="s">
        <v>115</v>
      </c>
      <c r="G250" s="27" t="s">
        <v>1121</v>
      </c>
      <c r="H250" s="27" t="s">
        <v>1173</v>
      </c>
      <c r="I250" s="27"/>
      <c r="J250" s="27" t="s">
        <v>989</v>
      </c>
      <c r="K250" s="106" t="str">
        <f t="shared" si="11"/>
        <v>М</v>
      </c>
      <c r="L250" s="106" t="str">
        <f t="shared" si="12"/>
        <v>Д</v>
      </c>
      <c r="M250" s="107" t="str">
        <f t="shared" si="13"/>
        <v>Архитектура историко-культурных объектов</v>
      </c>
    </row>
    <row r="251" spans="1:13" customFormat="1" ht="30" hidden="1" customHeight="1" x14ac:dyDescent="0.25">
      <c r="A251" s="41" t="s">
        <v>1174</v>
      </c>
      <c r="B251" s="25" t="s">
        <v>1175</v>
      </c>
      <c r="C251" s="29" t="s">
        <v>664</v>
      </c>
      <c r="D251" s="29" t="s">
        <v>666</v>
      </c>
      <c r="E251" s="25" t="s">
        <v>3126</v>
      </c>
      <c r="F251" s="26" t="s">
        <v>115</v>
      </c>
      <c r="G251" s="27" t="s">
        <v>126</v>
      </c>
      <c r="H251" s="27" t="s">
        <v>1009</v>
      </c>
      <c r="I251" s="27"/>
      <c r="J251" s="27" t="s">
        <v>989</v>
      </c>
      <c r="K251" s="106" t="str">
        <f t="shared" si="11"/>
        <v>М</v>
      </c>
      <c r="L251" s="106" t="str">
        <f t="shared" si="12"/>
        <v>Д</v>
      </c>
      <c r="M251" s="107" t="str">
        <f t="shared" si="13"/>
        <v>Параметрический дизайн в архитектурной среде</v>
      </c>
    </row>
    <row r="252" spans="1:13" customFormat="1" ht="30" hidden="1" customHeight="1" x14ac:dyDescent="0.25">
      <c r="A252" s="41" t="s">
        <v>2226</v>
      </c>
      <c r="B252" s="25" t="s">
        <v>1175</v>
      </c>
      <c r="C252" s="29" t="s">
        <v>664</v>
      </c>
      <c r="D252" s="29" t="s">
        <v>666</v>
      </c>
      <c r="E252" s="25" t="s">
        <v>3126</v>
      </c>
      <c r="F252" s="26" t="s">
        <v>115</v>
      </c>
      <c r="G252" s="27" t="s">
        <v>126</v>
      </c>
      <c r="H252" s="27" t="s">
        <v>2227</v>
      </c>
      <c r="I252" s="27"/>
      <c r="J252" s="27" t="s">
        <v>989</v>
      </c>
      <c r="K252" s="108" t="s">
        <v>2828</v>
      </c>
      <c r="L252" s="106" t="str">
        <f t="shared" si="12"/>
        <v>Д</v>
      </c>
      <c r="M252" s="107" t="str">
        <f t="shared" si="13"/>
        <v>Параметрический цифровой дизайн в архитектурной среде</v>
      </c>
    </row>
    <row r="253" spans="1:13" ht="30" hidden="1" customHeight="1" x14ac:dyDescent="0.25">
      <c r="A253" s="41" t="s">
        <v>1179</v>
      </c>
      <c r="B253" s="25" t="s">
        <v>1177</v>
      </c>
      <c r="C253" s="29" t="s">
        <v>664</v>
      </c>
      <c r="D253" s="29" t="s">
        <v>666</v>
      </c>
      <c r="E253" s="25" t="s">
        <v>3126</v>
      </c>
      <c r="F253" s="26" t="s">
        <v>115</v>
      </c>
      <c r="G253" s="27" t="s">
        <v>116</v>
      </c>
      <c r="H253" s="27" t="s">
        <v>669</v>
      </c>
      <c r="I253" s="27"/>
      <c r="J253" s="27" t="s">
        <v>989</v>
      </c>
      <c r="K253" s="106" t="str">
        <f t="shared" si="11"/>
        <v>М</v>
      </c>
      <c r="L253" s="106" t="str">
        <f t="shared" si="12"/>
        <v>Д</v>
      </c>
      <c r="M253" s="107" t="str">
        <f t="shared" si="13"/>
        <v>Гидротехническое строительство и технологии водопользования</v>
      </c>
    </row>
    <row r="254" spans="1:13" ht="30" hidden="1" customHeight="1" x14ac:dyDescent="0.25">
      <c r="A254" s="41" t="s">
        <v>1180</v>
      </c>
      <c r="B254" s="25" t="s">
        <v>1177</v>
      </c>
      <c r="C254" s="29" t="s">
        <v>664</v>
      </c>
      <c r="D254" s="29" t="s">
        <v>1730</v>
      </c>
      <c r="E254" s="25" t="s">
        <v>3126</v>
      </c>
      <c r="F254" s="26" t="s">
        <v>115</v>
      </c>
      <c r="G254" s="27" t="s">
        <v>116</v>
      </c>
      <c r="H254" s="27" t="s">
        <v>670</v>
      </c>
      <c r="I254" s="27"/>
      <c r="J254" s="27" t="s">
        <v>989</v>
      </c>
      <c r="K254" s="106" t="str">
        <f t="shared" si="11"/>
        <v>М</v>
      </c>
      <c r="L254" s="106" t="str">
        <f t="shared" si="12"/>
        <v>Д</v>
      </c>
      <c r="M254" s="107" t="str">
        <f t="shared" si="13"/>
        <v>Строительная инженерия и построенная среда (Английский язык)</v>
      </c>
    </row>
    <row r="255" spans="1:13" customFormat="1" ht="30" hidden="1" customHeight="1" x14ac:dyDescent="0.25">
      <c r="A255" s="41" t="s">
        <v>2127</v>
      </c>
      <c r="B255" s="25" t="s">
        <v>1177</v>
      </c>
      <c r="C255" s="29" t="s">
        <v>664</v>
      </c>
      <c r="D255" s="29" t="s">
        <v>666</v>
      </c>
      <c r="E255" s="25" t="s">
        <v>3126</v>
      </c>
      <c r="F255" s="26" t="s">
        <v>115</v>
      </c>
      <c r="G255" s="27" t="s">
        <v>116</v>
      </c>
      <c r="H255" s="27" t="s">
        <v>2128</v>
      </c>
      <c r="I255" s="27"/>
      <c r="J255" s="27" t="s">
        <v>989</v>
      </c>
      <c r="K255" s="106" t="str">
        <f t="shared" si="11"/>
        <v>М</v>
      </c>
      <c r="L255" s="106" t="str">
        <f t="shared" si="12"/>
        <v>Д</v>
      </c>
      <c r="M255" s="107" t="str">
        <f t="shared" si="13"/>
        <v>Архитектура, геометрия и расчет большепролетных пространственных структур</v>
      </c>
    </row>
    <row r="256" spans="1:13" ht="30" hidden="1" customHeight="1" x14ac:dyDescent="0.25">
      <c r="A256" s="41" t="s">
        <v>1181</v>
      </c>
      <c r="B256" s="25" t="s">
        <v>1177</v>
      </c>
      <c r="C256" s="29" t="s">
        <v>664</v>
      </c>
      <c r="D256" s="29" t="s">
        <v>1730</v>
      </c>
      <c r="E256" s="25" t="s">
        <v>3126</v>
      </c>
      <c r="F256" s="26" t="s">
        <v>115</v>
      </c>
      <c r="G256" s="27" t="s">
        <v>116</v>
      </c>
      <c r="H256" s="27" t="s">
        <v>671</v>
      </c>
      <c r="I256" s="27"/>
      <c r="J256" s="27" t="s">
        <v>989</v>
      </c>
      <c r="K256" s="106" t="str">
        <f t="shared" si="11"/>
        <v>М</v>
      </c>
      <c r="L256" s="106" t="str">
        <f t="shared" si="12"/>
        <v>Д</v>
      </c>
      <c r="M256" s="107" t="str">
        <f t="shared" si="13"/>
        <v>Городская среда Умного города (Английский язык)</v>
      </c>
    </row>
    <row r="257" spans="1:13" ht="30" hidden="1" customHeight="1" x14ac:dyDescent="0.25">
      <c r="A257" s="41" t="s">
        <v>3016</v>
      </c>
      <c r="B257" s="25" t="s">
        <v>1177</v>
      </c>
      <c r="C257" s="29" t="s">
        <v>664</v>
      </c>
      <c r="D257" s="29" t="s">
        <v>666</v>
      </c>
      <c r="E257" s="25" t="s">
        <v>3126</v>
      </c>
      <c r="F257" s="26" t="s">
        <v>115</v>
      </c>
      <c r="G257" s="27" t="s">
        <v>116</v>
      </c>
      <c r="H257" s="27" t="s">
        <v>3142</v>
      </c>
      <c r="I257" s="27"/>
      <c r="J257" s="27" t="s">
        <v>989</v>
      </c>
      <c r="K257" s="106" t="str">
        <f t="shared" si="11"/>
        <v>М</v>
      </c>
      <c r="L257" s="106" t="str">
        <f t="shared" si="12"/>
        <v>Д</v>
      </c>
      <c r="M257" s="107" t="str">
        <f t="shared" si="13"/>
        <v>Технология, организация и экономика строительства</v>
      </c>
    </row>
    <row r="258" spans="1:13" ht="30" hidden="1" customHeight="1" x14ac:dyDescent="0.25">
      <c r="A258" s="41" t="s">
        <v>3017</v>
      </c>
      <c r="B258" s="25" t="s">
        <v>1177</v>
      </c>
      <c r="C258" s="29" t="s">
        <v>664</v>
      </c>
      <c r="D258" s="29" t="s">
        <v>666</v>
      </c>
      <c r="E258" s="25" t="s">
        <v>3126</v>
      </c>
      <c r="F258" s="26" t="s">
        <v>115</v>
      </c>
      <c r="G258" s="27" t="s">
        <v>116</v>
      </c>
      <c r="H258" s="27" t="s">
        <v>3143</v>
      </c>
      <c r="I258" s="27"/>
      <c r="J258" s="27" t="s">
        <v>989</v>
      </c>
      <c r="K258" s="106" t="str">
        <f t="shared" si="11"/>
        <v>М</v>
      </c>
      <c r="L258" s="106" t="str">
        <f t="shared" si="12"/>
        <v>Д</v>
      </c>
      <c r="M258" s="107" t="str">
        <f t="shared" si="13"/>
        <v>Проектирование зданий и специальных сооружений</v>
      </c>
    </row>
    <row r="259" spans="1:13" ht="30" hidden="1" customHeight="1" x14ac:dyDescent="0.25">
      <c r="A259" s="41" t="s">
        <v>1176</v>
      </c>
      <c r="B259" s="25" t="s">
        <v>1177</v>
      </c>
      <c r="C259" s="29" t="s">
        <v>664</v>
      </c>
      <c r="D259" s="29" t="s">
        <v>666</v>
      </c>
      <c r="E259" s="25" t="s">
        <v>3126</v>
      </c>
      <c r="F259" s="26" t="s">
        <v>115</v>
      </c>
      <c r="G259" s="27" t="s">
        <v>116</v>
      </c>
      <c r="H259" s="27" t="s">
        <v>117</v>
      </c>
      <c r="I259" s="27"/>
      <c r="J259" s="27" t="s">
        <v>989</v>
      </c>
      <c r="K259" s="106" t="str">
        <f t="shared" si="11"/>
        <v>М</v>
      </c>
      <c r="L259" s="106" t="str">
        <f t="shared" si="12"/>
        <v>Д</v>
      </c>
      <c r="M259" s="107" t="str">
        <f t="shared" si="13"/>
        <v>Теория и проектирование зданий и сооружений</v>
      </c>
    </row>
    <row r="260" spans="1:13" ht="30" hidden="1" customHeight="1" x14ac:dyDescent="0.25">
      <c r="A260" s="41" t="s">
        <v>1178</v>
      </c>
      <c r="B260" s="25" t="s">
        <v>1177</v>
      </c>
      <c r="C260" s="29" t="s">
        <v>664</v>
      </c>
      <c r="D260" s="29" t="s">
        <v>666</v>
      </c>
      <c r="E260" s="25" t="s">
        <v>3126</v>
      </c>
      <c r="F260" s="26" t="s">
        <v>115</v>
      </c>
      <c r="G260" s="27" t="s">
        <v>116</v>
      </c>
      <c r="H260" s="27" t="s">
        <v>118</v>
      </c>
      <c r="I260" s="27"/>
      <c r="J260" s="27" t="s">
        <v>989</v>
      </c>
      <c r="K260" s="106" t="str">
        <f t="shared" ref="K260:K323" si="14">LEFT(F260, 1)</f>
        <v>М</v>
      </c>
      <c r="L260" s="106" t="str">
        <f t="shared" ref="L260:L323" si="15">IF(C260="очная","Д",IF(C260="Очно-заочная","В",IF(C260="Заочная","З","-")))</f>
        <v>Д</v>
      </c>
      <c r="M260" s="107" t="str">
        <f t="shared" ref="M260:M323" si="16">CONCATENATE(H260,IF(D260="Русский","",CONCATENATE(" (",D260," язык)")),IF(I260&gt;0,CONCATENATE(" (Вуз-партнёр - ",I260,")"),""))</f>
        <v>Теория и практика организационно-технологических и экономических решений в строительстве</v>
      </c>
    </row>
    <row r="261" spans="1:13" ht="30" hidden="1" customHeight="1" x14ac:dyDescent="0.25">
      <c r="A261" s="41" t="s">
        <v>3018</v>
      </c>
      <c r="B261" s="25" t="s">
        <v>1177</v>
      </c>
      <c r="C261" s="29" t="s">
        <v>664</v>
      </c>
      <c r="D261" s="29" t="s">
        <v>666</v>
      </c>
      <c r="E261" s="25" t="s">
        <v>3126</v>
      </c>
      <c r="F261" s="26" t="s">
        <v>115</v>
      </c>
      <c r="G261" s="27" t="s">
        <v>116</v>
      </c>
      <c r="H261" s="27" t="s">
        <v>3144</v>
      </c>
      <c r="I261" s="27" t="s">
        <v>946</v>
      </c>
      <c r="J261" s="27" t="s">
        <v>989</v>
      </c>
      <c r="K261" s="106" t="str">
        <f t="shared" si="14"/>
        <v>М</v>
      </c>
      <c r="L261" s="106" t="str">
        <f t="shared" si="15"/>
        <v>Д</v>
      </c>
      <c r="M261" s="107" t="str">
        <f t="shared" si="16"/>
        <v>Инновационные и энергосберегающие технологии в строительстве (Вуз-партнёр - Южно-Казахстанский государственный университет им. М.Ауезова)</v>
      </c>
    </row>
    <row r="262" spans="1:13" ht="30" hidden="1" customHeight="1" x14ac:dyDescent="0.25">
      <c r="A262" s="41" t="s">
        <v>1185</v>
      </c>
      <c r="B262" s="25" t="s">
        <v>1183</v>
      </c>
      <c r="C262" s="29" t="s">
        <v>664</v>
      </c>
      <c r="D262" s="29" t="s">
        <v>1730</v>
      </c>
      <c r="E262" s="25" t="s">
        <v>3126</v>
      </c>
      <c r="F262" s="26" t="s">
        <v>115</v>
      </c>
      <c r="G262" s="27" t="s">
        <v>992</v>
      </c>
      <c r="H262" s="27" t="s">
        <v>525</v>
      </c>
      <c r="I262" s="27"/>
      <c r="J262" s="27" t="s">
        <v>989</v>
      </c>
      <c r="K262" s="106" t="str">
        <f t="shared" si="14"/>
        <v>М</v>
      </c>
      <c r="L262" s="106" t="str">
        <f t="shared" si="15"/>
        <v>Д</v>
      </c>
      <c r="M262" s="107" t="str">
        <f t="shared" si="16"/>
        <v>Машиностроение (Английский язык)</v>
      </c>
    </row>
    <row r="263" spans="1:13" customFormat="1" ht="30" hidden="1" customHeight="1" x14ac:dyDescent="0.25">
      <c r="A263" s="41" t="s">
        <v>1184</v>
      </c>
      <c r="B263" s="25" t="s">
        <v>1183</v>
      </c>
      <c r="C263" s="29" t="s">
        <v>664</v>
      </c>
      <c r="D263" s="29" t="s">
        <v>666</v>
      </c>
      <c r="E263" s="25" t="s">
        <v>3126</v>
      </c>
      <c r="F263" s="26" t="s">
        <v>115</v>
      </c>
      <c r="G263" s="27" t="s">
        <v>992</v>
      </c>
      <c r="H263" s="27" t="s">
        <v>119</v>
      </c>
      <c r="I263" s="27"/>
      <c r="J263" s="27" t="s">
        <v>989</v>
      </c>
      <c r="K263" s="106" t="str">
        <f t="shared" si="14"/>
        <v>М</v>
      </c>
      <c r="L263" s="106" t="str">
        <f t="shared" si="15"/>
        <v>Д</v>
      </c>
      <c r="M263" s="107" t="str">
        <f t="shared" si="16"/>
        <v>Двигатели внутреннего сгорания</v>
      </c>
    </row>
    <row r="264" spans="1:13" customFormat="1" ht="30" hidden="1" customHeight="1" x14ac:dyDescent="0.25">
      <c r="A264" s="41" t="s">
        <v>1182</v>
      </c>
      <c r="B264" s="25" t="s">
        <v>1183</v>
      </c>
      <c r="C264" s="29" t="s">
        <v>664</v>
      </c>
      <c r="D264" s="29" t="s">
        <v>666</v>
      </c>
      <c r="E264" s="25" t="s">
        <v>3126</v>
      </c>
      <c r="F264" s="26" t="s">
        <v>115</v>
      </c>
      <c r="G264" s="27" t="s">
        <v>992</v>
      </c>
      <c r="H264" s="27" t="s">
        <v>675</v>
      </c>
      <c r="I264" s="27"/>
      <c r="J264" s="27" t="s">
        <v>989</v>
      </c>
      <c r="K264" s="106" t="str">
        <f t="shared" si="14"/>
        <v>М</v>
      </c>
      <c r="L264" s="106" t="str">
        <f t="shared" si="15"/>
        <v>Д</v>
      </c>
      <c r="M264" s="107" t="str">
        <f t="shared" si="16"/>
        <v>Паро- и газотурбинные установки и двигатели</v>
      </c>
    </row>
    <row r="265" spans="1:13" customFormat="1" ht="30" hidden="1" customHeight="1" x14ac:dyDescent="0.25">
      <c r="A265" s="41" t="s">
        <v>2215</v>
      </c>
      <c r="B265" s="25" t="s">
        <v>1183</v>
      </c>
      <c r="C265" s="29" t="s">
        <v>664</v>
      </c>
      <c r="D265" s="29" t="s">
        <v>666</v>
      </c>
      <c r="E265" s="25" t="s">
        <v>3126</v>
      </c>
      <c r="F265" s="26" t="s">
        <v>115</v>
      </c>
      <c r="G265" s="27" t="s">
        <v>992</v>
      </c>
      <c r="H265" s="27" t="s">
        <v>2216</v>
      </c>
      <c r="I265" s="27"/>
      <c r="J265" s="27" t="s">
        <v>989</v>
      </c>
      <c r="K265" s="106" t="str">
        <f t="shared" si="14"/>
        <v>М</v>
      </c>
      <c r="L265" s="106" t="str">
        <f t="shared" si="15"/>
        <v>Д</v>
      </c>
      <c r="M265" s="107" t="str">
        <f t="shared" si="16"/>
        <v>Эксплуатация оборудования энергетических систем</v>
      </c>
    </row>
    <row r="266" spans="1:13" customFormat="1" ht="30" hidden="1" customHeight="1" x14ac:dyDescent="0.25">
      <c r="A266" s="41" t="s">
        <v>3019</v>
      </c>
      <c r="B266" s="25" t="s">
        <v>1187</v>
      </c>
      <c r="C266" s="29" t="s">
        <v>664</v>
      </c>
      <c r="D266" s="29" t="s">
        <v>666</v>
      </c>
      <c r="E266" s="25" t="s">
        <v>3126</v>
      </c>
      <c r="F266" s="26" t="s">
        <v>115</v>
      </c>
      <c r="G266" s="27" t="s">
        <v>114</v>
      </c>
      <c r="H266" s="27" t="s">
        <v>3145</v>
      </c>
      <c r="I266" s="27"/>
      <c r="J266" s="27" t="s">
        <v>989</v>
      </c>
      <c r="K266" s="106" t="str">
        <f t="shared" si="14"/>
        <v>М</v>
      </c>
      <c r="L266" s="106" t="str">
        <f t="shared" si="15"/>
        <v>Д</v>
      </c>
      <c r="M266" s="107" t="str">
        <f t="shared" si="16"/>
        <v>Технологии машиностроения и автоматизации производства</v>
      </c>
    </row>
    <row r="267" spans="1:13" customFormat="1" ht="30" hidden="1" customHeight="1" x14ac:dyDescent="0.25">
      <c r="A267" s="41" t="s">
        <v>1186</v>
      </c>
      <c r="B267" s="25" t="s">
        <v>1187</v>
      </c>
      <c r="C267" s="29" t="s">
        <v>664</v>
      </c>
      <c r="D267" s="29" t="s">
        <v>666</v>
      </c>
      <c r="E267" s="25" t="s">
        <v>3126</v>
      </c>
      <c r="F267" s="26" t="s">
        <v>115</v>
      </c>
      <c r="G267" s="27" t="s">
        <v>114</v>
      </c>
      <c r="H267" s="27" t="s">
        <v>676</v>
      </c>
      <c r="I267" s="27"/>
      <c r="J267" s="27" t="s">
        <v>989</v>
      </c>
      <c r="K267" s="106" t="str">
        <f t="shared" si="14"/>
        <v>М</v>
      </c>
      <c r="L267" s="106" t="str">
        <f t="shared" si="15"/>
        <v>Д</v>
      </c>
      <c r="M267" s="107" t="str">
        <f t="shared" si="16"/>
        <v>Технологии автоматизации промышленных систем</v>
      </c>
    </row>
    <row r="268" spans="1:13" customFormat="1" ht="30" hidden="1" customHeight="1" x14ac:dyDescent="0.25">
      <c r="A268" s="41" t="s">
        <v>3020</v>
      </c>
      <c r="B268" s="25" t="s">
        <v>1187</v>
      </c>
      <c r="C268" s="29" t="s">
        <v>664</v>
      </c>
      <c r="D268" s="29" t="s">
        <v>666</v>
      </c>
      <c r="E268" s="25" t="s">
        <v>3126</v>
      </c>
      <c r="F268" s="26" t="s">
        <v>115</v>
      </c>
      <c r="G268" s="27" t="s">
        <v>114</v>
      </c>
      <c r="H268" s="27" t="s">
        <v>3146</v>
      </c>
      <c r="I268" s="27"/>
      <c r="J268" s="27" t="s">
        <v>989</v>
      </c>
      <c r="K268" s="106" t="str">
        <f t="shared" si="14"/>
        <v>М</v>
      </c>
      <c r="L268" s="106" t="str">
        <f t="shared" si="15"/>
        <v>Д</v>
      </c>
      <c r="M268" s="107" t="str">
        <f t="shared" si="16"/>
        <v>Проектирование энергетических установок</v>
      </c>
    </row>
    <row r="269" spans="1:13" customFormat="1" ht="30" hidden="1" customHeight="1" x14ac:dyDescent="0.25">
      <c r="A269" s="41" t="s">
        <v>2944</v>
      </c>
      <c r="B269" s="25" t="s">
        <v>1187</v>
      </c>
      <c r="C269" s="29" t="s">
        <v>664</v>
      </c>
      <c r="D269" s="29" t="s">
        <v>666</v>
      </c>
      <c r="E269" s="25" t="s">
        <v>3126</v>
      </c>
      <c r="F269" s="26" t="s">
        <v>115</v>
      </c>
      <c r="G269" s="27" t="s">
        <v>114</v>
      </c>
      <c r="H269" s="27" t="s">
        <v>2945</v>
      </c>
      <c r="I269" s="27"/>
      <c r="J269" s="27" t="s">
        <v>989</v>
      </c>
      <c r="K269" s="106" t="str">
        <f t="shared" si="14"/>
        <v>М</v>
      </c>
      <c r="L269" s="106" t="str">
        <f t="shared" si="15"/>
        <v>Д</v>
      </c>
      <c r="M269" s="107" t="str">
        <f t="shared" si="16"/>
        <v>Конструкторско-технологическое обеспечение энергетических производств</v>
      </c>
    </row>
    <row r="270" spans="1:13" customFormat="1" ht="30" hidden="1" customHeight="1" x14ac:dyDescent="0.25">
      <c r="A270" s="41" t="s">
        <v>1188</v>
      </c>
      <c r="B270" s="25" t="s">
        <v>1189</v>
      </c>
      <c r="C270" s="29" t="s">
        <v>664</v>
      </c>
      <c r="D270" s="29" t="s">
        <v>1730</v>
      </c>
      <c r="E270" s="25" t="s">
        <v>3126</v>
      </c>
      <c r="F270" s="26" t="s">
        <v>115</v>
      </c>
      <c r="G270" s="27" t="s">
        <v>120</v>
      </c>
      <c r="H270" s="27" t="s">
        <v>681</v>
      </c>
      <c r="I270" s="27"/>
      <c r="J270" s="27" t="s">
        <v>989</v>
      </c>
      <c r="K270" s="106" t="str">
        <f t="shared" si="14"/>
        <v>М</v>
      </c>
      <c r="L270" s="106" t="str">
        <f t="shared" si="15"/>
        <v>Д</v>
      </c>
      <c r="M270" s="107" t="str">
        <f t="shared" si="16"/>
        <v>Технологии добычи и транспортировки нефти и газа (Английский язык)</v>
      </c>
    </row>
    <row r="271" spans="1:13" customFormat="1" ht="30" hidden="1" customHeight="1" x14ac:dyDescent="0.25">
      <c r="A271" s="41" t="s">
        <v>1190</v>
      </c>
      <c r="B271" s="25" t="s">
        <v>1189</v>
      </c>
      <c r="C271" s="29" t="s">
        <v>664</v>
      </c>
      <c r="D271" s="29" t="s">
        <v>666</v>
      </c>
      <c r="E271" s="25" t="s">
        <v>3126</v>
      </c>
      <c r="F271" s="26" t="s">
        <v>115</v>
      </c>
      <c r="G271" s="27" t="s">
        <v>120</v>
      </c>
      <c r="H271" s="27" t="s">
        <v>1191</v>
      </c>
      <c r="I271" s="27"/>
      <c r="J271" s="27" t="s">
        <v>989</v>
      </c>
      <c r="K271" s="106" t="str">
        <f t="shared" si="14"/>
        <v>М</v>
      </c>
      <c r="L271" s="106" t="str">
        <f t="shared" si="15"/>
        <v>Д</v>
      </c>
      <c r="M271" s="107" t="str">
        <f t="shared" si="16"/>
        <v>Технологии добычи, транспортировки и переработки нефти и газа</v>
      </c>
    </row>
    <row r="272" spans="1:13" customFormat="1" ht="30" hidden="1" customHeight="1" x14ac:dyDescent="0.25">
      <c r="A272" s="41" t="s">
        <v>3021</v>
      </c>
      <c r="B272" s="25" t="s">
        <v>3105</v>
      </c>
      <c r="C272" s="29" t="s">
        <v>664</v>
      </c>
      <c r="D272" s="29" t="s">
        <v>666</v>
      </c>
      <c r="E272" s="25" t="s">
        <v>3126</v>
      </c>
      <c r="F272" s="26" t="s">
        <v>115</v>
      </c>
      <c r="G272" s="27" t="s">
        <v>3189</v>
      </c>
      <c r="H272" s="27" t="s">
        <v>3147</v>
      </c>
      <c r="I272" s="27"/>
      <c r="J272" s="27" t="s">
        <v>989</v>
      </c>
      <c r="K272" s="106" t="str">
        <f t="shared" si="14"/>
        <v>М</v>
      </c>
      <c r="L272" s="106" t="str">
        <f t="shared" si="15"/>
        <v>Д</v>
      </c>
      <c r="M272" s="107" t="str">
        <f t="shared" si="16"/>
        <v>Современные конструкционные материалы</v>
      </c>
    </row>
    <row r="273" spans="1:13" customFormat="1" ht="30" hidden="1" customHeight="1" x14ac:dyDescent="0.25">
      <c r="A273" s="41" t="s">
        <v>1192</v>
      </c>
      <c r="B273" s="25" t="s">
        <v>1193</v>
      </c>
      <c r="C273" s="29" t="s">
        <v>664</v>
      </c>
      <c r="D273" s="29" t="s">
        <v>666</v>
      </c>
      <c r="E273" s="25" t="s">
        <v>3126</v>
      </c>
      <c r="F273" s="26" t="s">
        <v>115</v>
      </c>
      <c r="G273" s="27" t="s">
        <v>124</v>
      </c>
      <c r="H273" s="27" t="s">
        <v>437</v>
      </c>
      <c r="I273" s="27"/>
      <c r="J273" s="27" t="s">
        <v>989</v>
      </c>
      <c r="K273" s="106" t="str">
        <f t="shared" si="14"/>
        <v>М</v>
      </c>
      <c r="L273" s="106" t="str">
        <f t="shared" si="15"/>
        <v>Д</v>
      </c>
      <c r="M273" s="107" t="str">
        <f t="shared" si="16"/>
        <v>Эксплуатация и техническая экспертиза автотранспортных средств</v>
      </c>
    </row>
    <row r="274" spans="1:13" customFormat="1" ht="30" hidden="1" customHeight="1" x14ac:dyDescent="0.25">
      <c r="A274" s="41" t="s">
        <v>2133</v>
      </c>
      <c r="B274" s="25" t="s">
        <v>1193</v>
      </c>
      <c r="C274" s="29" t="s">
        <v>664</v>
      </c>
      <c r="D274" s="29" t="s">
        <v>666</v>
      </c>
      <c r="E274" s="25" t="s">
        <v>3126</v>
      </c>
      <c r="F274" s="26" t="s">
        <v>115</v>
      </c>
      <c r="G274" s="27" t="s">
        <v>124</v>
      </c>
      <c r="H274" s="27" t="s">
        <v>124</v>
      </c>
      <c r="I274" s="27"/>
      <c r="J274" s="27" t="s">
        <v>989</v>
      </c>
      <c r="K274" s="106" t="str">
        <f t="shared" si="14"/>
        <v>М</v>
      </c>
      <c r="L274" s="106" t="str">
        <f t="shared" si="15"/>
        <v>Д</v>
      </c>
      <c r="M274" s="107" t="str">
        <f t="shared" si="16"/>
        <v>Эксплуатация транспортно-технологических машин и комплексов</v>
      </c>
    </row>
    <row r="275" spans="1:13" customFormat="1" ht="30" hidden="1" customHeight="1" x14ac:dyDescent="0.25">
      <c r="A275" s="41" t="s">
        <v>1194</v>
      </c>
      <c r="B275" s="25" t="s">
        <v>1193</v>
      </c>
      <c r="C275" s="29" t="s">
        <v>664</v>
      </c>
      <c r="D275" s="29" t="s">
        <v>1730</v>
      </c>
      <c r="E275" s="25" t="s">
        <v>3126</v>
      </c>
      <c r="F275" s="26" t="s">
        <v>115</v>
      </c>
      <c r="G275" s="27" t="s">
        <v>124</v>
      </c>
      <c r="H275" s="27" t="s">
        <v>1195</v>
      </c>
      <c r="I275" s="27"/>
      <c r="J275" s="27" t="s">
        <v>989</v>
      </c>
      <c r="K275" s="106" t="str">
        <f t="shared" si="14"/>
        <v>М</v>
      </c>
      <c r="L275" s="106" t="str">
        <f t="shared" si="15"/>
        <v>Д</v>
      </c>
      <c r="M275" s="107" t="str">
        <f t="shared" si="16"/>
        <v>Безопасность и прочность транспортных средств (Английский язык)</v>
      </c>
    </row>
    <row r="276" spans="1:13" customFormat="1" ht="30" hidden="1" customHeight="1" x14ac:dyDescent="0.25">
      <c r="A276" s="41" t="s">
        <v>1196</v>
      </c>
      <c r="B276" s="25" t="s">
        <v>1096</v>
      </c>
      <c r="C276" s="29" t="s">
        <v>664</v>
      </c>
      <c r="D276" s="29" t="s">
        <v>666</v>
      </c>
      <c r="E276" s="25" t="s">
        <v>3126</v>
      </c>
      <c r="F276" s="26" t="s">
        <v>115</v>
      </c>
      <c r="G276" s="27" t="s">
        <v>434</v>
      </c>
      <c r="H276" s="27" t="s">
        <v>685</v>
      </c>
      <c r="I276" s="27"/>
      <c r="J276" s="27" t="s">
        <v>989</v>
      </c>
      <c r="K276" s="106" t="str">
        <f t="shared" si="14"/>
        <v>М</v>
      </c>
      <c r="L276" s="106" t="str">
        <f t="shared" si="15"/>
        <v>Д</v>
      </c>
      <c r="M276" s="107" t="str">
        <f t="shared" si="16"/>
        <v>Искусственный интеллект и робототехнические системы</v>
      </c>
    </row>
    <row r="277" spans="1:13" customFormat="1" ht="30" hidden="1" customHeight="1" x14ac:dyDescent="0.25">
      <c r="A277" s="41" t="s">
        <v>2125</v>
      </c>
      <c r="B277" s="25" t="s">
        <v>1096</v>
      </c>
      <c r="C277" s="29" t="s">
        <v>664</v>
      </c>
      <c r="D277" s="29" t="s">
        <v>1730</v>
      </c>
      <c r="E277" s="25" t="s">
        <v>3126</v>
      </c>
      <c r="F277" s="26" t="s">
        <v>115</v>
      </c>
      <c r="G277" s="27" t="s">
        <v>434</v>
      </c>
      <c r="H277" s="27" t="s">
        <v>2126</v>
      </c>
      <c r="I277" s="27" t="s">
        <v>2804</v>
      </c>
      <c r="J277" s="27" t="s">
        <v>989</v>
      </c>
      <c r="K277" s="106" t="str">
        <f t="shared" si="14"/>
        <v>М</v>
      </c>
      <c r="L277" s="106" t="str">
        <f t="shared" si="15"/>
        <v>Д</v>
      </c>
      <c r="M277" s="107" t="str">
        <f t="shared" si="16"/>
        <v>Космическая инженерия (Английский язык) (Вуз-партнёр - Технологический университет имени Насир ад-Дина Туси)</v>
      </c>
    </row>
    <row r="278" spans="1:13" customFormat="1" ht="30" hidden="1" customHeight="1" x14ac:dyDescent="0.25">
      <c r="A278" s="41" t="s">
        <v>2131</v>
      </c>
      <c r="B278" s="25" t="s">
        <v>1096</v>
      </c>
      <c r="C278" s="29" t="s">
        <v>664</v>
      </c>
      <c r="D278" s="29" t="s">
        <v>1730</v>
      </c>
      <c r="E278" s="25" t="s">
        <v>3126</v>
      </c>
      <c r="F278" s="26" t="s">
        <v>115</v>
      </c>
      <c r="G278" s="27" t="s">
        <v>434</v>
      </c>
      <c r="H278" s="27" t="s">
        <v>2132</v>
      </c>
      <c r="I278" s="27"/>
      <c r="J278" s="27" t="s">
        <v>989</v>
      </c>
      <c r="K278" s="106" t="str">
        <f t="shared" si="14"/>
        <v>М</v>
      </c>
      <c r="L278" s="106" t="str">
        <f t="shared" si="15"/>
        <v>Д</v>
      </c>
      <c r="M278" s="107" t="str">
        <f t="shared" si="16"/>
        <v>Аддитивные технологии 3D печати в машиностроительной и аэрокосмической отраслях (Английский язык)</v>
      </c>
    </row>
    <row r="279" spans="1:13" customFormat="1" ht="30" hidden="1" customHeight="1" x14ac:dyDescent="0.25">
      <c r="A279" s="41" t="s">
        <v>1198</v>
      </c>
      <c r="B279" s="25" t="s">
        <v>1096</v>
      </c>
      <c r="C279" s="29" t="s">
        <v>664</v>
      </c>
      <c r="D279" s="29" t="s">
        <v>1730</v>
      </c>
      <c r="E279" s="25" t="s">
        <v>3126</v>
      </c>
      <c r="F279" s="26" t="s">
        <v>115</v>
      </c>
      <c r="G279" s="27" t="s">
        <v>434</v>
      </c>
      <c r="H279" s="27" t="s">
        <v>1199</v>
      </c>
      <c r="I279" s="27"/>
      <c r="J279" s="27" t="s">
        <v>989</v>
      </c>
      <c r="K279" s="106" t="str">
        <f t="shared" si="14"/>
        <v>М</v>
      </c>
      <c r="L279" s="106" t="str">
        <f t="shared" si="15"/>
        <v>Д</v>
      </c>
      <c r="M279" s="107" t="str">
        <f t="shared" si="16"/>
        <v>Технологии управления аэрокосмическими системами (Английский язык)</v>
      </c>
    </row>
    <row r="280" spans="1:13" customFormat="1" ht="30" hidden="1" customHeight="1" x14ac:dyDescent="0.25">
      <c r="A280" s="41" t="s">
        <v>2211</v>
      </c>
      <c r="B280" s="25" t="s">
        <v>1096</v>
      </c>
      <c r="C280" s="29" t="s">
        <v>664</v>
      </c>
      <c r="D280" s="29" t="s">
        <v>1730</v>
      </c>
      <c r="E280" s="25" t="s">
        <v>3126</v>
      </c>
      <c r="F280" s="26" t="s">
        <v>115</v>
      </c>
      <c r="G280" s="27" t="s">
        <v>434</v>
      </c>
      <c r="H280" s="27" t="s">
        <v>2212</v>
      </c>
      <c r="I280" s="27"/>
      <c r="J280" s="27" t="s">
        <v>989</v>
      </c>
      <c r="K280" s="106" t="str">
        <f t="shared" si="14"/>
        <v>М</v>
      </c>
      <c r="L280" s="106" t="str">
        <f t="shared" si="15"/>
        <v>Д</v>
      </c>
      <c r="M280" s="107" t="str">
        <f t="shared" si="16"/>
        <v>Data Science и космическая инженерия (Английский язык)</v>
      </c>
    </row>
    <row r="281" spans="1:13" customFormat="1" ht="30" hidden="1" customHeight="1" x14ac:dyDescent="0.25">
      <c r="A281" s="41" t="s">
        <v>1197</v>
      </c>
      <c r="B281" s="25" t="s">
        <v>1096</v>
      </c>
      <c r="C281" s="29" t="s">
        <v>664</v>
      </c>
      <c r="D281" s="29" t="s">
        <v>666</v>
      </c>
      <c r="E281" s="25" t="s">
        <v>3126</v>
      </c>
      <c r="F281" s="26" t="s">
        <v>115</v>
      </c>
      <c r="G281" s="27" t="s">
        <v>434</v>
      </c>
      <c r="H281" s="27" t="s">
        <v>2122</v>
      </c>
      <c r="I281" s="27" t="s">
        <v>940</v>
      </c>
      <c r="J281" s="27" t="s">
        <v>989</v>
      </c>
      <c r="K281" s="106" t="str">
        <f t="shared" si="14"/>
        <v>М</v>
      </c>
      <c r="L281" s="106" t="str">
        <f t="shared" si="15"/>
        <v>Д</v>
      </c>
      <c r="M281" s="107" t="str">
        <f t="shared" si="16"/>
        <v>Геоинформационные системы в развитии территорий (Вуз-партнёр - ФГБОУ ВО "Уфимский государственный нефтяной технический университет")</v>
      </c>
    </row>
    <row r="282" spans="1:13" customFormat="1" ht="30" hidden="1" customHeight="1" x14ac:dyDescent="0.25">
      <c r="A282" s="41" t="s">
        <v>2198</v>
      </c>
      <c r="B282" s="25" t="s">
        <v>1201</v>
      </c>
      <c r="C282" s="29" t="s">
        <v>664</v>
      </c>
      <c r="D282" s="29" t="s">
        <v>1730</v>
      </c>
      <c r="E282" s="25" t="s">
        <v>3126</v>
      </c>
      <c r="F282" s="26" t="s">
        <v>115</v>
      </c>
      <c r="G282" s="27" t="s">
        <v>1155</v>
      </c>
      <c r="H282" s="27" t="s">
        <v>2199</v>
      </c>
      <c r="I282" s="27"/>
      <c r="J282" s="27" t="s">
        <v>989</v>
      </c>
      <c r="K282" s="106" t="str">
        <f t="shared" si="14"/>
        <v>М</v>
      </c>
      <c r="L282" s="106" t="str">
        <f t="shared" si="15"/>
        <v>Д</v>
      </c>
      <c r="M282" s="107" t="str">
        <f t="shared" si="16"/>
        <v>Педагогика в инженерном деле (Английский язык)</v>
      </c>
    </row>
    <row r="283" spans="1:13" customFormat="1" ht="30" hidden="1" customHeight="1" x14ac:dyDescent="0.25">
      <c r="A283" s="41" t="s">
        <v>3022</v>
      </c>
      <c r="B283" s="25" t="s">
        <v>1201</v>
      </c>
      <c r="C283" s="29" t="s">
        <v>664</v>
      </c>
      <c r="D283" s="29" t="s">
        <v>666</v>
      </c>
      <c r="E283" s="25" t="s">
        <v>3126</v>
      </c>
      <c r="F283" s="26" t="s">
        <v>115</v>
      </c>
      <c r="G283" s="27" t="s">
        <v>1155</v>
      </c>
      <c r="H283" s="27" t="s">
        <v>3148</v>
      </c>
      <c r="I283" s="27"/>
      <c r="J283" s="27" t="s">
        <v>989</v>
      </c>
      <c r="K283" s="106" t="str">
        <f t="shared" si="14"/>
        <v>М</v>
      </c>
      <c r="L283" s="106" t="str">
        <f t="shared" si="15"/>
        <v>Д</v>
      </c>
      <c r="M283" s="107" t="str">
        <f t="shared" si="16"/>
        <v>Цифровая трансформация в управлении производством</v>
      </c>
    </row>
    <row r="284" spans="1:13" ht="30" hidden="1" customHeight="1" x14ac:dyDescent="0.25">
      <c r="A284" s="41" t="s">
        <v>3023</v>
      </c>
      <c r="B284" s="25" t="s">
        <v>1201</v>
      </c>
      <c r="C284" s="29" t="s">
        <v>664</v>
      </c>
      <c r="D284" s="29" t="s">
        <v>1730</v>
      </c>
      <c r="E284" s="25" t="s">
        <v>3126</v>
      </c>
      <c r="F284" s="26" t="s">
        <v>115</v>
      </c>
      <c r="G284" s="27" t="s">
        <v>1155</v>
      </c>
      <c r="H284" s="27" t="s">
        <v>3148</v>
      </c>
      <c r="I284" s="27"/>
      <c r="J284" s="27" t="s">
        <v>989</v>
      </c>
      <c r="K284" s="106" t="str">
        <f t="shared" si="14"/>
        <v>М</v>
      </c>
      <c r="L284" s="106" t="str">
        <f t="shared" si="15"/>
        <v>Д</v>
      </c>
      <c r="M284" s="107" t="str">
        <f t="shared" si="16"/>
        <v>Цифровая трансформация в управлении производством (Английский язык)</v>
      </c>
    </row>
    <row r="285" spans="1:13" ht="30" hidden="1" customHeight="1" x14ac:dyDescent="0.25">
      <c r="A285" s="41" t="s">
        <v>2123</v>
      </c>
      <c r="B285" s="25" t="s">
        <v>1201</v>
      </c>
      <c r="C285" s="29" t="s">
        <v>664</v>
      </c>
      <c r="D285" s="29" t="s">
        <v>666</v>
      </c>
      <c r="E285" s="25" t="s">
        <v>3126</v>
      </c>
      <c r="F285" s="26" t="s">
        <v>115</v>
      </c>
      <c r="G285" s="27" t="s">
        <v>1155</v>
      </c>
      <c r="H285" s="27" t="s">
        <v>301</v>
      </c>
      <c r="I285" s="27"/>
      <c r="J285" s="27" t="s">
        <v>989</v>
      </c>
      <c r="K285" s="106" t="str">
        <f t="shared" si="14"/>
        <v>М</v>
      </c>
      <c r="L285" s="106" t="str">
        <f t="shared" si="15"/>
        <v>Д</v>
      </c>
      <c r="M285" s="107" t="str">
        <f t="shared" si="16"/>
        <v>Управление инновациями</v>
      </c>
    </row>
    <row r="286" spans="1:13" ht="30" hidden="1" customHeight="1" x14ac:dyDescent="0.25">
      <c r="A286" s="41" t="s">
        <v>1200</v>
      </c>
      <c r="B286" s="25" t="s">
        <v>1201</v>
      </c>
      <c r="C286" s="29" t="s">
        <v>664</v>
      </c>
      <c r="D286" s="29" t="s">
        <v>1730</v>
      </c>
      <c r="E286" s="25" t="s">
        <v>3126</v>
      </c>
      <c r="F286" s="26" t="s">
        <v>115</v>
      </c>
      <c r="G286" s="27" t="s">
        <v>1155</v>
      </c>
      <c r="H286" s="27" t="s">
        <v>301</v>
      </c>
      <c r="I286" s="27"/>
      <c r="J286" s="27" t="s">
        <v>989</v>
      </c>
      <c r="K286" s="106" t="str">
        <f t="shared" si="14"/>
        <v>М</v>
      </c>
      <c r="L286" s="106" t="str">
        <f t="shared" si="15"/>
        <v>Д</v>
      </c>
      <c r="M286" s="107" t="str">
        <f t="shared" si="16"/>
        <v>Управление инновациями (Английский язык)</v>
      </c>
    </row>
    <row r="287" spans="1:13" customFormat="1" ht="30" hidden="1" customHeight="1" x14ac:dyDescent="0.25">
      <c r="A287" s="41" t="s">
        <v>1202</v>
      </c>
      <c r="B287" s="25" t="s">
        <v>1203</v>
      </c>
      <c r="C287" s="29" t="s">
        <v>664</v>
      </c>
      <c r="D287" s="29" t="s">
        <v>666</v>
      </c>
      <c r="E287" s="25" t="s">
        <v>3126</v>
      </c>
      <c r="F287" s="26" t="s">
        <v>115</v>
      </c>
      <c r="G287" s="27" t="s">
        <v>435</v>
      </c>
      <c r="H287" s="27" t="s">
        <v>125</v>
      </c>
      <c r="I287" s="27"/>
      <c r="J287" s="27" t="s">
        <v>989</v>
      </c>
      <c r="K287" s="106" t="str">
        <f t="shared" si="14"/>
        <v>М</v>
      </c>
      <c r="L287" s="106" t="str">
        <f t="shared" si="15"/>
        <v>Д</v>
      </c>
      <c r="M287" s="107" t="str">
        <f t="shared" si="16"/>
        <v>Инженерно-физические технологии в наноиндустрии</v>
      </c>
    </row>
    <row r="288" spans="1:13" ht="30" hidden="1" customHeight="1" x14ac:dyDescent="0.25">
      <c r="A288" s="41" t="s">
        <v>1205</v>
      </c>
      <c r="B288" s="25" t="s">
        <v>1203</v>
      </c>
      <c r="C288" s="29" t="s">
        <v>664</v>
      </c>
      <c r="D288" s="29" t="s">
        <v>666</v>
      </c>
      <c r="E288" s="25" t="s">
        <v>3126</v>
      </c>
      <c r="F288" s="26" t="s">
        <v>115</v>
      </c>
      <c r="G288" s="27" t="s">
        <v>435</v>
      </c>
      <c r="H288" s="27" t="s">
        <v>2121</v>
      </c>
      <c r="I288" s="27" t="s">
        <v>912</v>
      </c>
      <c r="J288" s="27" t="s">
        <v>989</v>
      </c>
      <c r="K288" s="106" t="str">
        <f t="shared" si="14"/>
        <v>М</v>
      </c>
      <c r="L288" s="106" t="str">
        <f t="shared" si="15"/>
        <v>Д</v>
      </c>
      <c r="M288" s="107" t="str">
        <f t="shared" si="16"/>
        <v>Нанотехнологии (Вуз-партнёр - Казахский национальный университет им. Аль-Фараби)</v>
      </c>
    </row>
    <row r="289" spans="1:13" ht="30" hidden="1" customHeight="1" x14ac:dyDescent="0.25">
      <c r="A289" s="41" t="s">
        <v>1206</v>
      </c>
      <c r="B289" s="25" t="s">
        <v>1203</v>
      </c>
      <c r="C289" s="29" t="s">
        <v>664</v>
      </c>
      <c r="D289" s="29" t="s">
        <v>666</v>
      </c>
      <c r="E289" s="25" t="s">
        <v>3126</v>
      </c>
      <c r="F289" s="26" t="s">
        <v>115</v>
      </c>
      <c r="G289" s="27" t="s">
        <v>435</v>
      </c>
      <c r="H289" s="27" t="s">
        <v>125</v>
      </c>
      <c r="I289" s="27" t="s">
        <v>908</v>
      </c>
      <c r="J289" s="27" t="s">
        <v>989</v>
      </c>
      <c r="K289" s="106" t="str">
        <f t="shared" si="14"/>
        <v>М</v>
      </c>
      <c r="L289" s="106" t="str">
        <f t="shared" si="15"/>
        <v>Д</v>
      </c>
      <c r="M289" s="107" t="str">
        <f t="shared" si="16"/>
        <v>Инженерно-физические технологии в наноиндустрии (Вуз-партнёр - Евразийский национальный университет имени Л. Н. Гумилёва)</v>
      </c>
    </row>
    <row r="290" spans="1:13" customFormat="1" ht="30" hidden="1" customHeight="1" x14ac:dyDescent="0.25">
      <c r="A290" s="41" t="s">
        <v>2134</v>
      </c>
      <c r="B290" s="25" t="s">
        <v>1104</v>
      </c>
      <c r="C290" s="29" t="s">
        <v>664</v>
      </c>
      <c r="D290" s="29" t="s">
        <v>1730</v>
      </c>
      <c r="E290" s="25" t="s">
        <v>3126</v>
      </c>
      <c r="F290" s="26" t="s">
        <v>115</v>
      </c>
      <c r="G290" s="27" t="s">
        <v>300</v>
      </c>
      <c r="H290" s="27" t="s">
        <v>2135</v>
      </c>
      <c r="I290" s="27" t="s">
        <v>2805</v>
      </c>
      <c r="J290" s="27" t="s">
        <v>989</v>
      </c>
      <c r="K290" s="106" t="str">
        <f t="shared" si="14"/>
        <v>М</v>
      </c>
      <c r="L290" s="106" t="str">
        <f t="shared" si="15"/>
        <v>Д</v>
      </c>
      <c r="M290" s="107" t="str">
        <f t="shared" si="16"/>
        <v>Инновации в создании и управлении бизнесом (Английский язык) (Вуз-партнёр - Университет Тренто)</v>
      </c>
    </row>
    <row r="291" spans="1:13" customFormat="1" ht="30" hidden="1" customHeight="1" x14ac:dyDescent="0.25">
      <c r="A291" s="41" t="s">
        <v>1207</v>
      </c>
      <c r="B291" s="25" t="s">
        <v>1104</v>
      </c>
      <c r="C291" s="29" t="s">
        <v>664</v>
      </c>
      <c r="D291" s="29" t="s">
        <v>666</v>
      </c>
      <c r="E291" s="25" t="s">
        <v>3126</v>
      </c>
      <c r="F291" s="26" t="s">
        <v>115</v>
      </c>
      <c r="G291" s="27" t="s">
        <v>300</v>
      </c>
      <c r="H291" s="27" t="s">
        <v>2197</v>
      </c>
      <c r="I291" s="27" t="s">
        <v>940</v>
      </c>
      <c r="J291" s="27" t="s">
        <v>989</v>
      </c>
      <c r="K291" s="106" t="str">
        <f t="shared" si="14"/>
        <v>М</v>
      </c>
      <c r="L291" s="106" t="str">
        <f t="shared" si="15"/>
        <v>Д</v>
      </c>
      <c r="M291" s="107" t="str">
        <f t="shared" si="16"/>
        <v>Менеджмент в горном и нефтегазовом деле (Вуз-партнёр - ФГБОУ ВО "Уфимский государственный нефтяной технический университет")</v>
      </c>
    </row>
    <row r="292" spans="1:13" ht="30" hidden="1" customHeight="1" x14ac:dyDescent="0.25">
      <c r="A292" s="41" t="s">
        <v>2224</v>
      </c>
      <c r="B292" s="25" t="s">
        <v>1279</v>
      </c>
      <c r="C292" s="29" t="s">
        <v>664</v>
      </c>
      <c r="D292" s="29" t="s">
        <v>666</v>
      </c>
      <c r="E292" s="25" t="s">
        <v>3126</v>
      </c>
      <c r="F292" s="26" t="s">
        <v>115</v>
      </c>
      <c r="G292" s="27" t="s">
        <v>166</v>
      </c>
      <c r="H292" s="27" t="s">
        <v>2199</v>
      </c>
      <c r="I292" s="27"/>
      <c r="J292" s="27" t="s">
        <v>989</v>
      </c>
      <c r="K292" s="106" t="str">
        <f t="shared" si="14"/>
        <v>М</v>
      </c>
      <c r="L292" s="106" t="str">
        <f t="shared" si="15"/>
        <v>Д</v>
      </c>
      <c r="M292" s="107" t="str">
        <f t="shared" si="16"/>
        <v>Педагогика в инженерном деле</v>
      </c>
    </row>
    <row r="293" spans="1:13" customFormat="1" ht="30" hidden="1" customHeight="1" x14ac:dyDescent="0.25">
      <c r="A293" s="41" t="s">
        <v>2225</v>
      </c>
      <c r="B293" s="25" t="s">
        <v>1279</v>
      </c>
      <c r="C293" s="29" t="s">
        <v>664</v>
      </c>
      <c r="D293" s="29" t="s">
        <v>1730</v>
      </c>
      <c r="E293" s="25" t="s">
        <v>3126</v>
      </c>
      <c r="F293" s="26" t="s">
        <v>115</v>
      </c>
      <c r="G293" s="27" t="s">
        <v>166</v>
      </c>
      <c r="H293" s="27" t="s">
        <v>2199</v>
      </c>
      <c r="I293" s="27"/>
      <c r="J293" s="27" t="s">
        <v>989</v>
      </c>
      <c r="K293" s="106" t="str">
        <f t="shared" si="14"/>
        <v>М</v>
      </c>
      <c r="L293" s="106" t="str">
        <f t="shared" si="15"/>
        <v>Д</v>
      </c>
      <c r="M293" s="107" t="str">
        <f t="shared" si="16"/>
        <v>Педагогика в инженерном деле (Английский язык)</v>
      </c>
    </row>
    <row r="294" spans="1:13" ht="30" hidden="1" customHeight="1" x14ac:dyDescent="0.25">
      <c r="A294" s="41" t="s">
        <v>1218</v>
      </c>
      <c r="B294" s="25" t="s">
        <v>1170</v>
      </c>
      <c r="C294" s="29" t="s">
        <v>663</v>
      </c>
      <c r="D294" s="29" t="s">
        <v>666</v>
      </c>
      <c r="E294" s="25" t="s">
        <v>3127</v>
      </c>
      <c r="F294" s="26" t="s">
        <v>115</v>
      </c>
      <c r="G294" s="27" t="s">
        <v>121</v>
      </c>
      <c r="H294" s="27" t="s">
        <v>122</v>
      </c>
      <c r="I294" s="27"/>
      <c r="J294" s="27" t="s">
        <v>989</v>
      </c>
      <c r="K294" s="106" t="str">
        <f t="shared" si="14"/>
        <v>М</v>
      </c>
      <c r="L294" s="106" t="str">
        <f t="shared" si="15"/>
        <v>В</v>
      </c>
      <c r="M294" s="107" t="str">
        <f t="shared" si="16"/>
        <v>Архитектура жилых, общественных и промышленных зданий</v>
      </c>
    </row>
    <row r="295" spans="1:13" ht="30" hidden="1" customHeight="1" x14ac:dyDescent="0.25">
      <c r="A295" s="41" t="s">
        <v>1219</v>
      </c>
      <c r="B295" s="25" t="s">
        <v>1177</v>
      </c>
      <c r="C295" s="29" t="s">
        <v>663</v>
      </c>
      <c r="D295" s="29" t="s">
        <v>666</v>
      </c>
      <c r="E295" s="25" t="s">
        <v>3127</v>
      </c>
      <c r="F295" s="26" t="s">
        <v>115</v>
      </c>
      <c r="G295" s="27" t="s">
        <v>116</v>
      </c>
      <c r="H295" s="27" t="s">
        <v>118</v>
      </c>
      <c r="I295" s="27"/>
      <c r="J295" s="27" t="s">
        <v>989</v>
      </c>
      <c r="K295" s="106" t="str">
        <f t="shared" si="14"/>
        <v>М</v>
      </c>
      <c r="L295" s="106" t="str">
        <f t="shared" si="15"/>
        <v>В</v>
      </c>
      <c r="M295" s="107" t="str">
        <f t="shared" si="16"/>
        <v>Теория и практика организационно-технологических и экономических решений в строительстве</v>
      </c>
    </row>
    <row r="296" spans="1:13" customFormat="1" ht="30" hidden="1" customHeight="1" x14ac:dyDescent="0.25">
      <c r="A296" s="41" t="s">
        <v>1220</v>
      </c>
      <c r="B296" s="25" t="s">
        <v>1177</v>
      </c>
      <c r="C296" s="29" t="s">
        <v>663</v>
      </c>
      <c r="D296" s="29" t="s">
        <v>666</v>
      </c>
      <c r="E296" s="25" t="s">
        <v>3127</v>
      </c>
      <c r="F296" s="26" t="s">
        <v>115</v>
      </c>
      <c r="G296" s="27" t="s">
        <v>116</v>
      </c>
      <c r="H296" s="27" t="s">
        <v>672</v>
      </c>
      <c r="I296" s="27"/>
      <c r="J296" s="27" t="s">
        <v>989</v>
      </c>
      <c r="K296" s="106" t="str">
        <f t="shared" si="14"/>
        <v>М</v>
      </c>
      <c r="L296" s="106" t="str">
        <f t="shared" si="15"/>
        <v>В</v>
      </c>
      <c r="M296" s="107" t="str">
        <f t="shared" si="16"/>
        <v>Городская среда и жилищно-коммунальное хозяйство Умного города</v>
      </c>
    </row>
    <row r="297" spans="1:13" customFormat="1" ht="30" hidden="1" customHeight="1" x14ac:dyDescent="0.25">
      <c r="A297" s="41" t="s">
        <v>3024</v>
      </c>
      <c r="B297" s="25" t="s">
        <v>1187</v>
      </c>
      <c r="C297" s="29" t="s">
        <v>663</v>
      </c>
      <c r="D297" s="29" t="s">
        <v>666</v>
      </c>
      <c r="E297" s="25" t="s">
        <v>3127</v>
      </c>
      <c r="F297" s="26" t="s">
        <v>115</v>
      </c>
      <c r="G297" s="27" t="s">
        <v>114</v>
      </c>
      <c r="H297" s="27" t="s">
        <v>3145</v>
      </c>
      <c r="I297" s="27"/>
      <c r="J297" s="27" t="s">
        <v>989</v>
      </c>
      <c r="K297" s="106" t="str">
        <f t="shared" si="14"/>
        <v>М</v>
      </c>
      <c r="L297" s="106" t="str">
        <f t="shared" si="15"/>
        <v>В</v>
      </c>
      <c r="M297" s="107" t="str">
        <f t="shared" si="16"/>
        <v>Технологии машиностроения и автоматизации производства</v>
      </c>
    </row>
    <row r="298" spans="1:13" ht="30" hidden="1" customHeight="1" x14ac:dyDescent="0.25">
      <c r="A298" s="41" t="s">
        <v>2200</v>
      </c>
      <c r="B298" s="25" t="s">
        <v>1187</v>
      </c>
      <c r="C298" s="29" t="s">
        <v>663</v>
      </c>
      <c r="D298" s="29" t="s">
        <v>666</v>
      </c>
      <c r="E298" s="25" t="s">
        <v>3127</v>
      </c>
      <c r="F298" s="26" t="s">
        <v>115</v>
      </c>
      <c r="G298" s="27" t="s">
        <v>114</v>
      </c>
      <c r="H298" s="27" t="s">
        <v>676</v>
      </c>
      <c r="I298" s="27"/>
      <c r="J298" s="27" t="s">
        <v>989</v>
      </c>
      <c r="K298" s="106" t="str">
        <f t="shared" si="14"/>
        <v>М</v>
      </c>
      <c r="L298" s="106" t="str">
        <f t="shared" si="15"/>
        <v>В</v>
      </c>
      <c r="M298" s="107" t="str">
        <f t="shared" si="16"/>
        <v>Технологии автоматизации промышленных систем</v>
      </c>
    </row>
    <row r="299" spans="1:13" ht="30" hidden="1" customHeight="1" x14ac:dyDescent="0.25">
      <c r="A299" s="41" t="s">
        <v>1221</v>
      </c>
      <c r="B299" s="25" t="s">
        <v>1189</v>
      </c>
      <c r="C299" s="29" t="s">
        <v>663</v>
      </c>
      <c r="D299" s="29" t="s">
        <v>666</v>
      </c>
      <c r="E299" s="25" t="s">
        <v>3127</v>
      </c>
      <c r="F299" s="26" t="s">
        <v>115</v>
      </c>
      <c r="G299" s="27" t="s">
        <v>120</v>
      </c>
      <c r="H299" s="27" t="s">
        <v>1191</v>
      </c>
      <c r="I299" s="27"/>
      <c r="J299" s="27" t="s">
        <v>989</v>
      </c>
      <c r="K299" s="106" t="str">
        <f t="shared" si="14"/>
        <v>М</v>
      </c>
      <c r="L299" s="106" t="str">
        <f t="shared" si="15"/>
        <v>В</v>
      </c>
      <c r="M299" s="107" t="str">
        <f t="shared" si="16"/>
        <v>Технологии добычи, транспортировки и переработки нефти и газа</v>
      </c>
    </row>
    <row r="300" spans="1:13" ht="30" hidden="1" customHeight="1" x14ac:dyDescent="0.25">
      <c r="A300" s="41" t="s">
        <v>3025</v>
      </c>
      <c r="B300" s="25" t="s">
        <v>1177</v>
      </c>
      <c r="C300" s="29" t="s">
        <v>665</v>
      </c>
      <c r="D300" s="29" t="s">
        <v>666</v>
      </c>
      <c r="E300" s="25" t="s">
        <v>3127</v>
      </c>
      <c r="F300" s="26" t="s">
        <v>115</v>
      </c>
      <c r="G300" s="27" t="s">
        <v>116</v>
      </c>
      <c r="H300" s="27" t="s">
        <v>3142</v>
      </c>
      <c r="I300" s="27"/>
      <c r="J300" s="27" t="s">
        <v>989</v>
      </c>
      <c r="K300" s="106" t="str">
        <f t="shared" si="14"/>
        <v>М</v>
      </c>
      <c r="L300" s="106" t="str">
        <f t="shared" si="15"/>
        <v>З</v>
      </c>
      <c r="M300" s="107" t="str">
        <f t="shared" si="16"/>
        <v>Технология, организация и экономика строительства</v>
      </c>
    </row>
    <row r="301" spans="1:13" customFormat="1" ht="30" hidden="1" customHeight="1" x14ac:dyDescent="0.25">
      <c r="A301" s="41" t="s">
        <v>1228</v>
      </c>
      <c r="B301" s="25" t="s">
        <v>1177</v>
      </c>
      <c r="C301" s="29" t="s">
        <v>665</v>
      </c>
      <c r="D301" s="29" t="s">
        <v>666</v>
      </c>
      <c r="E301" s="25" t="s">
        <v>3127</v>
      </c>
      <c r="F301" s="26" t="s">
        <v>115</v>
      </c>
      <c r="G301" s="27" t="s">
        <v>116</v>
      </c>
      <c r="H301" s="27" t="s">
        <v>118</v>
      </c>
      <c r="I301" s="27"/>
      <c r="J301" s="27" t="s">
        <v>989</v>
      </c>
      <c r="K301" s="106" t="str">
        <f t="shared" si="14"/>
        <v>М</v>
      </c>
      <c r="L301" s="106" t="str">
        <f t="shared" si="15"/>
        <v>З</v>
      </c>
      <c r="M301" s="107" t="str">
        <f t="shared" si="16"/>
        <v>Теория и практика организационно-технологических и экономических решений в строительстве</v>
      </c>
    </row>
    <row r="302" spans="1:13" customFormat="1" ht="30" hidden="1" customHeight="1" x14ac:dyDescent="0.25">
      <c r="A302" s="41" t="s">
        <v>1229</v>
      </c>
      <c r="B302" s="25" t="s">
        <v>1183</v>
      </c>
      <c r="C302" s="29" t="s">
        <v>665</v>
      </c>
      <c r="D302" s="29" t="s">
        <v>666</v>
      </c>
      <c r="E302" s="25" t="s">
        <v>3127</v>
      </c>
      <c r="F302" s="26" t="s">
        <v>115</v>
      </c>
      <c r="G302" s="27" t="s">
        <v>992</v>
      </c>
      <c r="H302" s="27" t="s">
        <v>675</v>
      </c>
      <c r="I302" s="27"/>
      <c r="J302" s="27" t="s">
        <v>989</v>
      </c>
      <c r="K302" s="106" t="str">
        <f t="shared" si="14"/>
        <v>М</v>
      </c>
      <c r="L302" s="106" t="str">
        <f t="shared" si="15"/>
        <v>З</v>
      </c>
      <c r="M302" s="107" t="str">
        <f t="shared" si="16"/>
        <v>Паро- и газотурбинные установки и двигатели</v>
      </c>
    </row>
    <row r="303" spans="1:13" customFormat="1" ht="30" hidden="1" customHeight="1" x14ac:dyDescent="0.25">
      <c r="A303" s="41" t="s">
        <v>2217</v>
      </c>
      <c r="B303" s="25" t="s">
        <v>1183</v>
      </c>
      <c r="C303" s="29" t="s">
        <v>665</v>
      </c>
      <c r="D303" s="29" t="s">
        <v>666</v>
      </c>
      <c r="E303" s="25" t="s">
        <v>3127</v>
      </c>
      <c r="F303" s="26" t="s">
        <v>115</v>
      </c>
      <c r="G303" s="27" t="s">
        <v>992</v>
      </c>
      <c r="H303" s="27" t="s">
        <v>2216</v>
      </c>
      <c r="I303" s="27"/>
      <c r="J303" s="27" t="s">
        <v>989</v>
      </c>
      <c r="K303" s="106" t="str">
        <f t="shared" si="14"/>
        <v>М</v>
      </c>
      <c r="L303" s="106" t="str">
        <f t="shared" si="15"/>
        <v>З</v>
      </c>
      <c r="M303" s="107" t="str">
        <f t="shared" si="16"/>
        <v>Эксплуатация оборудования энергетических систем</v>
      </c>
    </row>
    <row r="304" spans="1:13" customFormat="1" ht="30" hidden="1" customHeight="1" x14ac:dyDescent="0.25">
      <c r="A304" s="41" t="s">
        <v>1230</v>
      </c>
      <c r="B304" s="25" t="s">
        <v>1193</v>
      </c>
      <c r="C304" s="29" t="s">
        <v>665</v>
      </c>
      <c r="D304" s="29" t="s">
        <v>666</v>
      </c>
      <c r="E304" s="25" t="s">
        <v>3127</v>
      </c>
      <c r="F304" s="26" t="s">
        <v>115</v>
      </c>
      <c r="G304" s="27" t="s">
        <v>124</v>
      </c>
      <c r="H304" s="27" t="s">
        <v>437</v>
      </c>
      <c r="I304" s="27"/>
      <c r="J304" s="27" t="s">
        <v>989</v>
      </c>
      <c r="K304" s="106" t="str">
        <f t="shared" si="14"/>
        <v>М</v>
      </c>
      <c r="L304" s="106" t="str">
        <f t="shared" si="15"/>
        <v>З</v>
      </c>
      <c r="M304" s="107" t="str">
        <f t="shared" si="16"/>
        <v>Эксплуатация и техническая экспертиза автотранспортных средств</v>
      </c>
    </row>
    <row r="305" spans="1:13" customFormat="1" ht="30" hidden="1" customHeight="1" x14ac:dyDescent="0.25">
      <c r="A305" s="41" t="s">
        <v>1231</v>
      </c>
      <c r="B305" s="25" t="s">
        <v>1096</v>
      </c>
      <c r="C305" s="29" t="s">
        <v>665</v>
      </c>
      <c r="D305" s="29" t="s">
        <v>666</v>
      </c>
      <c r="E305" s="25" t="s">
        <v>3127</v>
      </c>
      <c r="F305" s="26" t="s">
        <v>115</v>
      </c>
      <c r="G305" s="27" t="s">
        <v>434</v>
      </c>
      <c r="H305" s="27" t="s">
        <v>684</v>
      </c>
      <c r="I305" s="27"/>
      <c r="J305" s="27" t="s">
        <v>989</v>
      </c>
      <c r="K305" s="106" t="str">
        <f t="shared" si="14"/>
        <v>М</v>
      </c>
      <c r="L305" s="106" t="str">
        <f t="shared" si="15"/>
        <v>З</v>
      </c>
      <c r="M305" s="107" t="str">
        <f t="shared" si="16"/>
        <v>Инновационный менеджмент в отраслях промышленности</v>
      </c>
    </row>
    <row r="306" spans="1:13" customFormat="1" ht="30" hidden="1" customHeight="1" x14ac:dyDescent="0.25">
      <c r="A306" s="41" t="s">
        <v>3026</v>
      </c>
      <c r="B306" s="25" t="s">
        <v>1201</v>
      </c>
      <c r="C306" s="29" t="s">
        <v>665</v>
      </c>
      <c r="D306" s="29" t="s">
        <v>666</v>
      </c>
      <c r="E306" s="25" t="s">
        <v>3127</v>
      </c>
      <c r="F306" s="26" t="s">
        <v>115</v>
      </c>
      <c r="G306" s="27" t="s">
        <v>1155</v>
      </c>
      <c r="H306" s="27" t="s">
        <v>3148</v>
      </c>
      <c r="I306" s="27"/>
      <c r="J306" s="27" t="s">
        <v>989</v>
      </c>
      <c r="K306" s="106" t="str">
        <f t="shared" si="14"/>
        <v>М</v>
      </c>
      <c r="L306" s="106" t="str">
        <f t="shared" si="15"/>
        <v>З</v>
      </c>
      <c r="M306" s="107" t="str">
        <f t="shared" si="16"/>
        <v>Цифровая трансформация в управлении производством</v>
      </c>
    </row>
    <row r="307" spans="1:13" customFormat="1" ht="30" hidden="1" customHeight="1" x14ac:dyDescent="0.25">
      <c r="A307" s="41" t="s">
        <v>2124</v>
      </c>
      <c r="B307" s="25" t="s">
        <v>1201</v>
      </c>
      <c r="C307" s="29" t="s">
        <v>665</v>
      </c>
      <c r="D307" s="29" t="s">
        <v>666</v>
      </c>
      <c r="E307" s="25" t="s">
        <v>3127</v>
      </c>
      <c r="F307" s="26" t="s">
        <v>115</v>
      </c>
      <c r="G307" s="27" t="s">
        <v>1155</v>
      </c>
      <c r="H307" s="27" t="s">
        <v>301</v>
      </c>
      <c r="I307" s="27"/>
      <c r="J307" s="27" t="s">
        <v>989</v>
      </c>
      <c r="K307" s="106" t="str">
        <f t="shared" si="14"/>
        <v>М</v>
      </c>
      <c r="L307" s="106" t="str">
        <f t="shared" si="15"/>
        <v>З</v>
      </c>
      <c r="M307" s="107" t="str">
        <f t="shared" si="16"/>
        <v>Управление инновациями</v>
      </c>
    </row>
    <row r="308" spans="1:13" customFormat="1" ht="30" hidden="1" customHeight="1" x14ac:dyDescent="0.25">
      <c r="A308" s="41" t="s">
        <v>2150</v>
      </c>
      <c r="B308" s="25" t="s">
        <v>1655</v>
      </c>
      <c r="C308" s="29" t="s">
        <v>664</v>
      </c>
      <c r="D308" s="29" t="s">
        <v>666</v>
      </c>
      <c r="E308" s="25" t="s">
        <v>1732</v>
      </c>
      <c r="F308" s="26" t="s">
        <v>179</v>
      </c>
      <c r="G308" s="27" t="s">
        <v>526</v>
      </c>
      <c r="H308" s="27" t="s">
        <v>965</v>
      </c>
      <c r="I308" s="27"/>
      <c r="J308" s="27" t="s">
        <v>989</v>
      </c>
      <c r="K308" s="106" t="str">
        <f t="shared" si="14"/>
        <v>А</v>
      </c>
      <c r="L308" s="106" t="str">
        <f t="shared" si="15"/>
        <v>Д</v>
      </c>
      <c r="M308" s="107" t="str">
        <f t="shared" si="16"/>
        <v>Динамика, баллистика, управление движением летательных аппаратов (технические науки)</v>
      </c>
    </row>
    <row r="309" spans="1:13" customFormat="1" ht="30" hidden="1" customHeight="1" x14ac:dyDescent="0.25">
      <c r="A309" s="41" t="s">
        <v>2151</v>
      </c>
      <c r="B309" s="25" t="s">
        <v>1655</v>
      </c>
      <c r="C309" s="29" t="s">
        <v>664</v>
      </c>
      <c r="D309" s="29" t="s">
        <v>1730</v>
      </c>
      <c r="E309" s="25" t="s">
        <v>1732</v>
      </c>
      <c r="F309" s="26" t="s">
        <v>179</v>
      </c>
      <c r="G309" s="27" t="s">
        <v>526</v>
      </c>
      <c r="H309" s="27" t="s">
        <v>965</v>
      </c>
      <c r="I309" s="27"/>
      <c r="J309" s="27" t="s">
        <v>989</v>
      </c>
      <c r="K309" s="106" t="str">
        <f t="shared" si="14"/>
        <v>А</v>
      </c>
      <c r="L309" s="106" t="str">
        <f t="shared" si="15"/>
        <v>Д</v>
      </c>
      <c r="M309" s="107" t="str">
        <f t="shared" si="16"/>
        <v>Динамика, баллистика, управление движением летательных аппаратов (технические науки) (Английский язык)</v>
      </c>
    </row>
    <row r="310" spans="1:13" customFormat="1" ht="30" hidden="1" customHeight="1" x14ac:dyDescent="0.25">
      <c r="A310" s="41" t="s">
        <v>2194</v>
      </c>
      <c r="B310" s="25" t="s">
        <v>1655</v>
      </c>
      <c r="C310" s="29" t="s">
        <v>664</v>
      </c>
      <c r="D310" s="29" t="s">
        <v>666</v>
      </c>
      <c r="E310" s="25" t="s">
        <v>1732</v>
      </c>
      <c r="F310" s="26" t="s">
        <v>179</v>
      </c>
      <c r="G310" s="27" t="s">
        <v>526</v>
      </c>
      <c r="H310" s="27" t="s">
        <v>1002</v>
      </c>
      <c r="I310" s="27"/>
      <c r="J310" s="27" t="s">
        <v>989</v>
      </c>
      <c r="K310" s="106" t="str">
        <f t="shared" si="14"/>
        <v>А</v>
      </c>
      <c r="L310" s="106" t="str">
        <f t="shared" si="15"/>
        <v>Д</v>
      </c>
      <c r="M310" s="107" t="str">
        <f t="shared" si="16"/>
        <v>Динамика, прочность машин, приборов и аппаратуры (технические науки)</v>
      </c>
    </row>
    <row r="311" spans="1:13" customFormat="1" ht="30" hidden="1" customHeight="1" x14ac:dyDescent="0.25">
      <c r="A311" s="41" t="s">
        <v>2195</v>
      </c>
      <c r="B311" s="25" t="s">
        <v>1655</v>
      </c>
      <c r="C311" s="29" t="s">
        <v>664</v>
      </c>
      <c r="D311" s="29" t="s">
        <v>1730</v>
      </c>
      <c r="E311" s="25" t="s">
        <v>1732</v>
      </c>
      <c r="F311" s="26" t="s">
        <v>179</v>
      </c>
      <c r="G311" s="27" t="s">
        <v>526</v>
      </c>
      <c r="H311" s="27" t="s">
        <v>1002</v>
      </c>
      <c r="I311" s="27"/>
      <c r="J311" s="27" t="s">
        <v>989</v>
      </c>
      <c r="K311" s="106" t="str">
        <f t="shared" si="14"/>
        <v>А</v>
      </c>
      <c r="L311" s="106" t="str">
        <f t="shared" si="15"/>
        <v>Д</v>
      </c>
      <c r="M311" s="107" t="str">
        <f t="shared" si="16"/>
        <v>Динамика, прочность машин, приборов и аппаратуры (технические науки) (Английский язык)</v>
      </c>
    </row>
    <row r="312" spans="1:13" ht="30" hidden="1" customHeight="1" x14ac:dyDescent="0.25">
      <c r="A312" s="41" t="s">
        <v>2152</v>
      </c>
      <c r="B312" s="25" t="s">
        <v>1657</v>
      </c>
      <c r="C312" s="29" t="s">
        <v>664</v>
      </c>
      <c r="D312" s="29" t="s">
        <v>666</v>
      </c>
      <c r="E312" s="25" t="s">
        <v>1732</v>
      </c>
      <c r="F312" s="26" t="s">
        <v>179</v>
      </c>
      <c r="G312" s="27" t="s">
        <v>991</v>
      </c>
      <c r="H312" s="27" t="s">
        <v>971</v>
      </c>
      <c r="I312" s="27"/>
      <c r="J312" s="27" t="s">
        <v>989</v>
      </c>
      <c r="K312" s="106" t="str">
        <f t="shared" si="14"/>
        <v>А</v>
      </c>
      <c r="L312" s="106" t="str">
        <f t="shared" si="15"/>
        <v>Д</v>
      </c>
      <c r="M312" s="107" t="str">
        <f t="shared" si="16"/>
        <v>Строительные конструкции, здания и сооружения</v>
      </c>
    </row>
    <row r="313" spans="1:13" ht="30" hidden="1" customHeight="1" x14ac:dyDescent="0.25">
      <c r="A313" s="41" t="s">
        <v>2153</v>
      </c>
      <c r="B313" s="25" t="s">
        <v>1657</v>
      </c>
      <c r="C313" s="29" t="s">
        <v>664</v>
      </c>
      <c r="D313" s="29" t="s">
        <v>666</v>
      </c>
      <c r="E313" s="25" t="s">
        <v>1732</v>
      </c>
      <c r="F313" s="26" t="s">
        <v>179</v>
      </c>
      <c r="G313" s="27" t="s">
        <v>991</v>
      </c>
      <c r="H313" s="27" t="s">
        <v>958</v>
      </c>
      <c r="I313" s="27"/>
      <c r="J313" s="27" t="s">
        <v>989</v>
      </c>
      <c r="K313" s="106" t="str">
        <f t="shared" si="14"/>
        <v>А</v>
      </c>
      <c r="L313" s="106" t="str">
        <f t="shared" si="15"/>
        <v>Д</v>
      </c>
      <c r="M313" s="107" t="str">
        <f t="shared" si="16"/>
        <v>Водоснабжение, канализация, строительные системы охраны водных ресурсов</v>
      </c>
    </row>
    <row r="314" spans="1:13" ht="30" hidden="1" customHeight="1" x14ac:dyDescent="0.25">
      <c r="A314" s="41" t="s">
        <v>2154</v>
      </c>
      <c r="B314" s="25" t="s">
        <v>1657</v>
      </c>
      <c r="C314" s="29" t="s">
        <v>664</v>
      </c>
      <c r="D314" s="29" t="s">
        <v>666</v>
      </c>
      <c r="E314" s="25" t="s">
        <v>1732</v>
      </c>
      <c r="F314" s="26" t="s">
        <v>179</v>
      </c>
      <c r="G314" s="27" t="s">
        <v>991</v>
      </c>
      <c r="H314" s="27" t="s">
        <v>963</v>
      </c>
      <c r="I314" s="27"/>
      <c r="J314" s="27" t="s">
        <v>989</v>
      </c>
      <c r="K314" s="106" t="str">
        <f t="shared" si="14"/>
        <v>А</v>
      </c>
      <c r="L314" s="106" t="str">
        <f t="shared" si="15"/>
        <v>Д</v>
      </c>
      <c r="M314" s="107" t="str">
        <f t="shared" si="16"/>
        <v>Гидротехническое строительство</v>
      </c>
    </row>
    <row r="315" spans="1:13" ht="30" hidden="1" customHeight="1" x14ac:dyDescent="0.25">
      <c r="A315" s="41" t="s">
        <v>2155</v>
      </c>
      <c r="B315" s="25" t="s">
        <v>1657</v>
      </c>
      <c r="C315" s="29" t="s">
        <v>664</v>
      </c>
      <c r="D315" s="29" t="s">
        <v>666</v>
      </c>
      <c r="E315" s="25" t="s">
        <v>1732</v>
      </c>
      <c r="F315" s="26" t="s">
        <v>179</v>
      </c>
      <c r="G315" s="27" t="s">
        <v>991</v>
      </c>
      <c r="H315" s="27" t="s">
        <v>975</v>
      </c>
      <c r="I315" s="27"/>
      <c r="J315" s="27" t="s">
        <v>989</v>
      </c>
      <c r="K315" s="106" t="str">
        <f t="shared" si="14"/>
        <v>А</v>
      </c>
      <c r="L315" s="106" t="str">
        <f t="shared" si="15"/>
        <v>Д</v>
      </c>
      <c r="M315" s="107" t="str">
        <f t="shared" si="16"/>
        <v>Технология и организация строительства</v>
      </c>
    </row>
    <row r="316" spans="1:13" ht="30" hidden="1" customHeight="1" x14ac:dyDescent="0.25">
      <c r="A316" s="41" t="s">
        <v>2156</v>
      </c>
      <c r="B316" s="25" t="s">
        <v>1657</v>
      </c>
      <c r="C316" s="29" t="s">
        <v>664</v>
      </c>
      <c r="D316" s="29" t="s">
        <v>666</v>
      </c>
      <c r="E316" s="25" t="s">
        <v>1732</v>
      </c>
      <c r="F316" s="26" t="s">
        <v>179</v>
      </c>
      <c r="G316" s="27" t="s">
        <v>991</v>
      </c>
      <c r="H316" s="27" t="s">
        <v>962</v>
      </c>
      <c r="I316" s="27"/>
      <c r="J316" s="27" t="s">
        <v>989</v>
      </c>
      <c r="K316" s="106" t="str">
        <f t="shared" si="14"/>
        <v>А</v>
      </c>
      <c r="L316" s="106" t="str">
        <f t="shared" si="15"/>
        <v>Д</v>
      </c>
      <c r="M316" s="107" t="str">
        <f t="shared" si="16"/>
        <v>Гидравлика и инженерная гидрология</v>
      </c>
    </row>
    <row r="317" spans="1:13" ht="30" hidden="1" customHeight="1" x14ac:dyDescent="0.25">
      <c r="A317" s="41" t="s">
        <v>2157</v>
      </c>
      <c r="B317" s="25" t="s">
        <v>1657</v>
      </c>
      <c r="C317" s="29" t="s">
        <v>664</v>
      </c>
      <c r="D317" s="29" t="s">
        <v>666</v>
      </c>
      <c r="E317" s="25" t="s">
        <v>1732</v>
      </c>
      <c r="F317" s="26" t="s">
        <v>179</v>
      </c>
      <c r="G317" s="27" t="s">
        <v>991</v>
      </c>
      <c r="H317" s="27" t="s">
        <v>970</v>
      </c>
      <c r="I317" s="27"/>
      <c r="J317" s="27" t="s">
        <v>989</v>
      </c>
      <c r="K317" s="106" t="str">
        <f t="shared" si="14"/>
        <v>А</v>
      </c>
      <c r="L317" s="106" t="str">
        <f t="shared" si="15"/>
        <v>Д</v>
      </c>
      <c r="M317" s="107" t="str">
        <f t="shared" si="16"/>
        <v>Строительная механика</v>
      </c>
    </row>
    <row r="318" spans="1:13" ht="30" hidden="1" customHeight="1" x14ac:dyDescent="0.25">
      <c r="A318" s="41" t="s">
        <v>2158</v>
      </c>
      <c r="B318" s="25" t="s">
        <v>1657</v>
      </c>
      <c r="C318" s="29" t="s">
        <v>664</v>
      </c>
      <c r="D318" s="29" t="s">
        <v>1730</v>
      </c>
      <c r="E318" s="25" t="s">
        <v>1732</v>
      </c>
      <c r="F318" s="26" t="s">
        <v>179</v>
      </c>
      <c r="G318" s="27" t="s">
        <v>991</v>
      </c>
      <c r="H318" s="27" t="s">
        <v>972</v>
      </c>
      <c r="I318" s="27"/>
      <c r="J318" s="27" t="s">
        <v>989</v>
      </c>
      <c r="K318" s="106" t="str">
        <f t="shared" si="14"/>
        <v>А</v>
      </c>
      <c r="L318" s="106" t="str">
        <f t="shared" si="15"/>
        <v>Д</v>
      </c>
      <c r="M318" s="107" t="str">
        <f t="shared" si="16"/>
        <v>Строительные конструкции, здания и сооружения: теория зданий и сооружений (Английский язык)</v>
      </c>
    </row>
    <row r="319" spans="1:13" ht="30" hidden="1" customHeight="1" x14ac:dyDescent="0.25">
      <c r="A319" s="41" t="s">
        <v>2159</v>
      </c>
      <c r="B319" s="25" t="s">
        <v>1657</v>
      </c>
      <c r="C319" s="29" t="s">
        <v>664</v>
      </c>
      <c r="D319" s="29" t="s">
        <v>1730</v>
      </c>
      <c r="E319" s="25" t="s">
        <v>1732</v>
      </c>
      <c r="F319" s="26" t="s">
        <v>179</v>
      </c>
      <c r="G319" s="27" t="s">
        <v>991</v>
      </c>
      <c r="H319" s="27" t="s">
        <v>970</v>
      </c>
      <c r="I319" s="27"/>
      <c r="J319" s="27" t="s">
        <v>989</v>
      </c>
      <c r="K319" s="106" t="str">
        <f t="shared" si="14"/>
        <v>А</v>
      </c>
      <c r="L319" s="106" t="str">
        <f t="shared" si="15"/>
        <v>Д</v>
      </c>
      <c r="M319" s="107" t="str">
        <f t="shared" si="16"/>
        <v>Строительная механика (Английский язык)</v>
      </c>
    </row>
    <row r="320" spans="1:13" customFormat="1" ht="30" hidden="1" customHeight="1" x14ac:dyDescent="0.25">
      <c r="A320" s="41" t="s">
        <v>2160</v>
      </c>
      <c r="B320" s="25" t="s">
        <v>1658</v>
      </c>
      <c r="C320" s="29" t="s">
        <v>664</v>
      </c>
      <c r="D320" s="29" t="s">
        <v>666</v>
      </c>
      <c r="E320" s="25" t="s">
        <v>1732</v>
      </c>
      <c r="F320" s="26" t="s">
        <v>179</v>
      </c>
      <c r="G320" s="27" t="s">
        <v>524</v>
      </c>
      <c r="H320" s="27" t="s">
        <v>969</v>
      </c>
      <c r="I320" s="27"/>
      <c r="J320" s="27" t="s">
        <v>989</v>
      </c>
      <c r="K320" s="106" t="str">
        <f t="shared" si="14"/>
        <v>А</v>
      </c>
      <c r="L320" s="106" t="str">
        <f t="shared" si="15"/>
        <v>Д</v>
      </c>
      <c r="M320" s="107" t="str">
        <f t="shared" si="16"/>
        <v>Системный анализ, управление и обработка информации (технические науки)</v>
      </c>
    </row>
    <row r="321" spans="1:13" ht="30" hidden="1" customHeight="1" x14ac:dyDescent="0.25">
      <c r="A321" s="41" t="s">
        <v>2161</v>
      </c>
      <c r="B321" s="25" t="s">
        <v>1658</v>
      </c>
      <c r="C321" s="29" t="s">
        <v>664</v>
      </c>
      <c r="D321" s="29" t="s">
        <v>1730</v>
      </c>
      <c r="E321" s="25" t="s">
        <v>1732</v>
      </c>
      <c r="F321" s="26" t="s">
        <v>179</v>
      </c>
      <c r="G321" s="27" t="s">
        <v>524</v>
      </c>
      <c r="H321" s="27" t="s">
        <v>969</v>
      </c>
      <c r="I321" s="27"/>
      <c r="J321" s="27" t="s">
        <v>989</v>
      </c>
      <c r="K321" s="106" t="str">
        <f t="shared" si="14"/>
        <v>А</v>
      </c>
      <c r="L321" s="106" t="str">
        <f t="shared" si="15"/>
        <v>Д</v>
      </c>
      <c r="M321" s="107" t="str">
        <f t="shared" si="16"/>
        <v>Системный анализ, управление и обработка информации (технические науки) (Английский язык)</v>
      </c>
    </row>
    <row r="322" spans="1:13" ht="30" hidden="1" customHeight="1" x14ac:dyDescent="0.25">
      <c r="A322" s="41" t="s">
        <v>2162</v>
      </c>
      <c r="B322" s="25" t="s">
        <v>1658</v>
      </c>
      <c r="C322" s="29" t="s">
        <v>664</v>
      </c>
      <c r="D322" s="29" t="s">
        <v>666</v>
      </c>
      <c r="E322" s="25" t="s">
        <v>1732</v>
      </c>
      <c r="F322" s="26" t="s">
        <v>179</v>
      </c>
      <c r="G322" s="27" t="s">
        <v>524</v>
      </c>
      <c r="H322" s="27" t="s">
        <v>980</v>
      </c>
      <c r="I322" s="27"/>
      <c r="J322" s="27" t="s">
        <v>989</v>
      </c>
      <c r="K322" s="106" t="str">
        <f t="shared" si="14"/>
        <v>А</v>
      </c>
      <c r="L322" s="106" t="str">
        <f t="shared" si="15"/>
        <v>Д</v>
      </c>
      <c r="M322" s="107" t="str">
        <f t="shared" si="16"/>
        <v>Элементы и устройства вычислительной техники и систем управления (технические науки)</v>
      </c>
    </row>
    <row r="323" spans="1:13" customFormat="1" ht="30" hidden="1" customHeight="1" x14ac:dyDescent="0.25">
      <c r="A323" s="41" t="s">
        <v>2163</v>
      </c>
      <c r="B323" s="25" t="s">
        <v>1658</v>
      </c>
      <c r="C323" s="29" t="s">
        <v>664</v>
      </c>
      <c r="D323" s="29" t="s">
        <v>1730</v>
      </c>
      <c r="E323" s="25" t="s">
        <v>1732</v>
      </c>
      <c r="F323" s="26" t="s">
        <v>179</v>
      </c>
      <c r="G323" s="27" t="s">
        <v>524</v>
      </c>
      <c r="H323" s="27" t="s">
        <v>966</v>
      </c>
      <c r="I323" s="27"/>
      <c r="J323" s="27" t="s">
        <v>989</v>
      </c>
      <c r="K323" s="106" t="str">
        <f t="shared" si="14"/>
        <v>А</v>
      </c>
      <c r="L323" s="106" t="str">
        <f t="shared" si="15"/>
        <v>Д</v>
      </c>
      <c r="M323" s="107" t="str">
        <f t="shared" si="16"/>
        <v>Математическое моделирование, комплексы программ и численные методы (технические науки) (Английский язык)</v>
      </c>
    </row>
    <row r="324" spans="1:13" ht="30" hidden="1" customHeight="1" x14ac:dyDescent="0.25">
      <c r="A324" s="41" t="s">
        <v>2164</v>
      </c>
      <c r="B324" s="25" t="s">
        <v>1658</v>
      </c>
      <c r="C324" s="29" t="s">
        <v>664</v>
      </c>
      <c r="D324" s="29" t="s">
        <v>666</v>
      </c>
      <c r="E324" s="25" t="s">
        <v>1732</v>
      </c>
      <c r="F324" s="26" t="s">
        <v>179</v>
      </c>
      <c r="G324" s="27" t="s">
        <v>524</v>
      </c>
      <c r="H324" s="27" t="s">
        <v>966</v>
      </c>
      <c r="I324" s="27"/>
      <c r="J324" s="27" t="s">
        <v>989</v>
      </c>
      <c r="K324" s="106" t="str">
        <f t="shared" ref="K324:K387" si="17">LEFT(F324, 1)</f>
        <v>А</v>
      </c>
      <c r="L324" s="106" t="str">
        <f t="shared" ref="L324:L387" si="18">IF(C324="очная","Д",IF(C324="Очно-заочная","В",IF(C324="Заочная","З","-")))</f>
        <v>Д</v>
      </c>
      <c r="M324" s="107" t="str">
        <f t="shared" ref="M324:M387" si="19">CONCATENATE(H324,IF(D324="Русский","",CONCATENATE(" (",D324," язык)")),IF(I324&gt;0,CONCATENATE(" (Вуз-партнёр - ",I324,")"),""))</f>
        <v>Математическое моделирование, комплексы программ и численные методы (технические науки)</v>
      </c>
    </row>
    <row r="325" spans="1:13" ht="30" hidden="1" customHeight="1" x14ac:dyDescent="0.25">
      <c r="A325" s="41" t="s">
        <v>2165</v>
      </c>
      <c r="B325" s="25" t="s">
        <v>1658</v>
      </c>
      <c r="C325" s="29" t="s">
        <v>664</v>
      </c>
      <c r="D325" s="29" t="s">
        <v>666</v>
      </c>
      <c r="E325" s="25" t="s">
        <v>1732</v>
      </c>
      <c r="F325" s="26" t="s">
        <v>179</v>
      </c>
      <c r="G325" s="27" t="s">
        <v>524</v>
      </c>
      <c r="H325" s="27" t="s">
        <v>977</v>
      </c>
      <c r="I325" s="27"/>
      <c r="J325" s="27" t="s">
        <v>989</v>
      </c>
      <c r="K325" s="106" t="str">
        <f t="shared" si="17"/>
        <v>А</v>
      </c>
      <c r="L325" s="106" t="str">
        <f t="shared" si="18"/>
        <v>Д</v>
      </c>
      <c r="M325" s="107" t="str">
        <f t="shared" si="19"/>
        <v>Управление в социальных и экономических системах (технические науки)</v>
      </c>
    </row>
    <row r="326" spans="1:13" customFormat="1" ht="30" hidden="1" customHeight="1" x14ac:dyDescent="0.25">
      <c r="A326" s="41" t="s">
        <v>2166</v>
      </c>
      <c r="B326" s="25" t="s">
        <v>1658</v>
      </c>
      <c r="C326" s="29" t="s">
        <v>664</v>
      </c>
      <c r="D326" s="29" t="s">
        <v>1730</v>
      </c>
      <c r="E326" s="25" t="s">
        <v>1732</v>
      </c>
      <c r="F326" s="26" t="s">
        <v>179</v>
      </c>
      <c r="G326" s="27" t="s">
        <v>524</v>
      </c>
      <c r="H326" s="27" t="s">
        <v>978</v>
      </c>
      <c r="I326" s="27"/>
      <c r="J326" s="27" t="s">
        <v>989</v>
      </c>
      <c r="K326" s="106" t="str">
        <f t="shared" si="17"/>
        <v>А</v>
      </c>
      <c r="L326" s="106" t="str">
        <f t="shared" si="18"/>
        <v>Д</v>
      </c>
      <c r="M326" s="107" t="str">
        <f t="shared" si="19"/>
        <v>Управление в социальных и экономических системах (технические науки): стратегическое управление (Английский язык)</v>
      </c>
    </row>
    <row r="327" spans="1:13" ht="30" hidden="1" customHeight="1" x14ac:dyDescent="0.25">
      <c r="A327" s="41" t="s">
        <v>3027</v>
      </c>
      <c r="B327" s="25" t="s">
        <v>2228</v>
      </c>
      <c r="C327" s="29" t="s">
        <v>664</v>
      </c>
      <c r="D327" s="29" t="s">
        <v>666</v>
      </c>
      <c r="E327" s="25" t="s">
        <v>1732</v>
      </c>
      <c r="F327" s="26" t="s">
        <v>179</v>
      </c>
      <c r="G327" s="27" t="s">
        <v>1817</v>
      </c>
      <c r="H327" s="27" t="s">
        <v>1817</v>
      </c>
      <c r="I327" s="27"/>
      <c r="J327" s="27" t="s">
        <v>989</v>
      </c>
      <c r="K327" s="106" t="str">
        <f t="shared" si="17"/>
        <v>А</v>
      </c>
      <c r="L327" s="106" t="str">
        <f t="shared" si="18"/>
        <v>Д</v>
      </c>
      <c r="M327" s="107" t="str">
        <f t="shared" si="19"/>
        <v>Теоретическая механика, динамика машин</v>
      </c>
    </row>
    <row r="328" spans="1:13" ht="30" hidden="1" customHeight="1" x14ac:dyDescent="0.25">
      <c r="A328" s="41" t="s">
        <v>3028</v>
      </c>
      <c r="B328" s="25" t="s">
        <v>2228</v>
      </c>
      <c r="C328" s="29" t="s">
        <v>664</v>
      </c>
      <c r="D328" s="29" t="s">
        <v>1730</v>
      </c>
      <c r="E328" s="25" t="s">
        <v>1732</v>
      </c>
      <c r="F328" s="26" t="s">
        <v>179</v>
      </c>
      <c r="G328" s="27" t="s">
        <v>1817</v>
      </c>
      <c r="H328" s="27" t="s">
        <v>1817</v>
      </c>
      <c r="I328" s="27"/>
      <c r="J328" s="27" t="s">
        <v>989</v>
      </c>
      <c r="K328" s="106" t="str">
        <f t="shared" si="17"/>
        <v>А</v>
      </c>
      <c r="L328" s="106" t="str">
        <f t="shared" si="18"/>
        <v>Д</v>
      </c>
      <c r="M328" s="107" t="str">
        <f t="shared" si="19"/>
        <v>Теоретическая механика, динамика машин (Английский язык)</v>
      </c>
    </row>
    <row r="329" spans="1:13" customFormat="1" ht="30" hidden="1" customHeight="1" x14ac:dyDescent="0.25">
      <c r="A329" s="41" t="s">
        <v>3029</v>
      </c>
      <c r="B329" s="25" t="s">
        <v>3106</v>
      </c>
      <c r="C329" s="29" t="s">
        <v>664</v>
      </c>
      <c r="D329" s="29" t="s">
        <v>666</v>
      </c>
      <c r="E329" s="25" t="s">
        <v>3128</v>
      </c>
      <c r="F329" s="26" t="s">
        <v>179</v>
      </c>
      <c r="G329" s="27" t="s">
        <v>3149</v>
      </c>
      <c r="H329" s="27" t="s">
        <v>3149</v>
      </c>
      <c r="I329" s="27"/>
      <c r="J329" s="27" t="s">
        <v>989</v>
      </c>
      <c r="K329" s="106" t="str">
        <f t="shared" si="17"/>
        <v>А</v>
      </c>
      <c r="L329" s="106" t="str">
        <f t="shared" si="18"/>
        <v>Д</v>
      </c>
      <c r="M329" s="107" t="str">
        <f t="shared" si="19"/>
        <v>Искусственный интеллект и машинное обучение</v>
      </c>
    </row>
    <row r="330" spans="1:13" ht="30" hidden="1" customHeight="1" x14ac:dyDescent="0.25">
      <c r="A330" s="41" t="s">
        <v>3030</v>
      </c>
      <c r="B330" s="25" t="s">
        <v>3106</v>
      </c>
      <c r="C330" s="29" t="s">
        <v>664</v>
      </c>
      <c r="D330" s="29" t="s">
        <v>1730</v>
      </c>
      <c r="E330" s="25" t="s">
        <v>3128</v>
      </c>
      <c r="F330" s="26" t="s">
        <v>179</v>
      </c>
      <c r="G330" s="27" t="s">
        <v>3149</v>
      </c>
      <c r="H330" s="27" t="s">
        <v>3149</v>
      </c>
      <c r="I330" s="27"/>
      <c r="J330" s="27" t="s">
        <v>989</v>
      </c>
      <c r="K330" s="106" t="str">
        <f t="shared" si="17"/>
        <v>А</v>
      </c>
      <c r="L330" s="106" t="str">
        <f t="shared" si="18"/>
        <v>Д</v>
      </c>
      <c r="M330" s="107" t="str">
        <f t="shared" si="19"/>
        <v>Искусственный интеллект и машинное обучение (Английский язык)</v>
      </c>
    </row>
    <row r="331" spans="1:13" ht="30" hidden="1" customHeight="1" x14ac:dyDescent="0.25">
      <c r="A331" s="41" t="s">
        <v>1819</v>
      </c>
      <c r="B331" s="25" t="s">
        <v>2229</v>
      </c>
      <c r="C331" s="29" t="s">
        <v>664</v>
      </c>
      <c r="D331" s="29" t="s">
        <v>666</v>
      </c>
      <c r="E331" s="25" t="s">
        <v>3128</v>
      </c>
      <c r="F331" s="26" t="s">
        <v>179</v>
      </c>
      <c r="G331" s="27" t="s">
        <v>1820</v>
      </c>
      <c r="H331" s="27" t="s">
        <v>1820</v>
      </c>
      <c r="I331" s="27"/>
      <c r="J331" s="27" t="s">
        <v>989</v>
      </c>
      <c r="K331" s="106" t="str">
        <f t="shared" si="17"/>
        <v>А</v>
      </c>
      <c r="L331" s="106" t="str">
        <f t="shared" si="18"/>
        <v>Д</v>
      </c>
      <c r="M331" s="107" t="str">
        <f t="shared" si="19"/>
        <v>Общая и региональная геология. Геотектоника и геодинамика</v>
      </c>
    </row>
    <row r="332" spans="1:13" customFormat="1" ht="30" hidden="1" customHeight="1" x14ac:dyDescent="0.25">
      <c r="A332" s="41" t="s">
        <v>1821</v>
      </c>
      <c r="B332" s="25" t="s">
        <v>2136</v>
      </c>
      <c r="C332" s="29" t="s">
        <v>664</v>
      </c>
      <c r="D332" s="29" t="s">
        <v>666</v>
      </c>
      <c r="E332" s="25" t="s">
        <v>3128</v>
      </c>
      <c r="F332" s="26" t="s">
        <v>179</v>
      </c>
      <c r="G332" s="27" t="s">
        <v>960</v>
      </c>
      <c r="H332" s="27" t="s">
        <v>960</v>
      </c>
      <c r="I332" s="27"/>
      <c r="J332" s="27" t="s">
        <v>989</v>
      </c>
      <c r="K332" s="106" t="str">
        <f t="shared" si="17"/>
        <v>А</v>
      </c>
      <c r="L332" s="106" t="str">
        <f t="shared" si="18"/>
        <v>Д</v>
      </c>
      <c r="M332" s="107" t="str">
        <f t="shared" si="19"/>
        <v>Геология, поиски и разведка твердых полезных ископаемых, минерагения</v>
      </c>
    </row>
    <row r="333" spans="1:13" customFormat="1" ht="30" hidden="1" customHeight="1" x14ac:dyDescent="0.25">
      <c r="A333" s="41" t="s">
        <v>3031</v>
      </c>
      <c r="B333" s="25" t="s">
        <v>2136</v>
      </c>
      <c r="C333" s="29" t="s">
        <v>664</v>
      </c>
      <c r="D333" s="29" t="s">
        <v>1730</v>
      </c>
      <c r="E333" s="25" t="s">
        <v>3128</v>
      </c>
      <c r="F333" s="26" t="s">
        <v>179</v>
      </c>
      <c r="G333" s="27" t="s">
        <v>960</v>
      </c>
      <c r="H333" s="27" t="s">
        <v>960</v>
      </c>
      <c r="I333" s="27"/>
      <c r="J333" s="27" t="s">
        <v>989</v>
      </c>
      <c r="K333" s="106" t="str">
        <f t="shared" si="17"/>
        <v>А</v>
      </c>
      <c r="L333" s="106" t="str">
        <f t="shared" si="18"/>
        <v>Д</v>
      </c>
      <c r="M333" s="107" t="str">
        <f t="shared" si="19"/>
        <v>Геология, поиски и разведка твердых полезных ископаемых, минерагения (Английский язык)</v>
      </c>
    </row>
    <row r="334" spans="1:13" customFormat="1" ht="30" hidden="1" customHeight="1" x14ac:dyDescent="0.25">
      <c r="A334" s="41" t="s">
        <v>1822</v>
      </c>
      <c r="B334" s="25" t="s">
        <v>2137</v>
      </c>
      <c r="C334" s="29" t="s">
        <v>664</v>
      </c>
      <c r="D334" s="29" t="s">
        <v>666</v>
      </c>
      <c r="E334" s="25" t="s">
        <v>3128</v>
      </c>
      <c r="F334" s="26" t="s">
        <v>179</v>
      </c>
      <c r="G334" s="27" t="s">
        <v>1823</v>
      </c>
      <c r="H334" s="27" t="s">
        <v>1823</v>
      </c>
      <c r="I334" s="27"/>
      <c r="J334" s="27" t="s">
        <v>989</v>
      </c>
      <c r="K334" s="106" t="str">
        <f t="shared" si="17"/>
        <v>А</v>
      </c>
      <c r="L334" s="106" t="str">
        <f t="shared" si="18"/>
        <v>Д</v>
      </c>
      <c r="M334" s="107" t="str">
        <f t="shared" si="19"/>
        <v>Геология, поиски, разведка и эксплуатация нефтяных и газовых месторождений</v>
      </c>
    </row>
    <row r="335" spans="1:13" ht="30" hidden="1" customHeight="1" x14ac:dyDescent="0.25">
      <c r="A335" s="41" t="s">
        <v>3032</v>
      </c>
      <c r="B335" s="25" t="s">
        <v>2137</v>
      </c>
      <c r="C335" s="29" t="s">
        <v>664</v>
      </c>
      <c r="D335" s="29" t="s">
        <v>1730</v>
      </c>
      <c r="E335" s="25" t="s">
        <v>3128</v>
      </c>
      <c r="F335" s="26" t="s">
        <v>179</v>
      </c>
      <c r="G335" s="27" t="s">
        <v>1823</v>
      </c>
      <c r="H335" s="27" t="s">
        <v>1823</v>
      </c>
      <c r="I335" s="27"/>
      <c r="J335" s="27" t="s">
        <v>989</v>
      </c>
      <c r="K335" s="106" t="str">
        <f t="shared" si="17"/>
        <v>А</v>
      </c>
      <c r="L335" s="106" t="str">
        <f t="shared" si="18"/>
        <v>Д</v>
      </c>
      <c r="M335" s="107" t="str">
        <f t="shared" si="19"/>
        <v>Геология, поиски, разведка и эксплуатация нефтяных и газовых месторождений (Английский язык)</v>
      </c>
    </row>
    <row r="336" spans="1:13" customFormat="1" ht="30" hidden="1" customHeight="1" x14ac:dyDescent="0.25">
      <c r="A336" s="41" t="s">
        <v>3033</v>
      </c>
      <c r="B336" s="25" t="s">
        <v>3107</v>
      </c>
      <c r="C336" s="29" t="s">
        <v>664</v>
      </c>
      <c r="D336" s="29" t="s">
        <v>666</v>
      </c>
      <c r="E336" s="25" t="s">
        <v>3128</v>
      </c>
      <c r="F336" s="26" t="s">
        <v>179</v>
      </c>
      <c r="G336" s="27" t="s">
        <v>3150</v>
      </c>
      <c r="H336" s="27" t="s">
        <v>3150</v>
      </c>
      <c r="I336" s="27"/>
      <c r="J336" s="27" t="s">
        <v>989</v>
      </c>
      <c r="K336" s="106" t="str">
        <f t="shared" si="17"/>
        <v>А</v>
      </c>
      <c r="L336" s="106" t="str">
        <f t="shared" si="18"/>
        <v>Д</v>
      </c>
      <c r="M336" s="107" t="str">
        <f t="shared" si="19"/>
        <v>Геофизика</v>
      </c>
    </row>
    <row r="337" spans="1:13" customFormat="1" ht="30" hidden="1" customHeight="1" x14ac:dyDescent="0.25">
      <c r="A337" s="41" t="s">
        <v>3034</v>
      </c>
      <c r="B337" s="25" t="s">
        <v>3107</v>
      </c>
      <c r="C337" s="29" t="s">
        <v>664</v>
      </c>
      <c r="D337" s="29" t="s">
        <v>1730</v>
      </c>
      <c r="E337" s="25" t="s">
        <v>3128</v>
      </c>
      <c r="F337" s="26" t="s">
        <v>179</v>
      </c>
      <c r="G337" s="27" t="s">
        <v>3150</v>
      </c>
      <c r="H337" s="27" t="s">
        <v>3150</v>
      </c>
      <c r="I337" s="27"/>
      <c r="J337" s="27" t="s">
        <v>989</v>
      </c>
      <c r="K337" s="106" t="str">
        <f t="shared" si="17"/>
        <v>А</v>
      </c>
      <c r="L337" s="106" t="str">
        <f t="shared" si="18"/>
        <v>Д</v>
      </c>
      <c r="M337" s="107" t="str">
        <f t="shared" si="19"/>
        <v>Геофизика (Английский язык)</v>
      </c>
    </row>
    <row r="338" spans="1:13" customFormat="1" ht="30" hidden="1" customHeight="1" x14ac:dyDescent="0.25">
      <c r="A338" s="41" t="s">
        <v>2167</v>
      </c>
      <c r="B338" s="25" t="s">
        <v>1659</v>
      </c>
      <c r="C338" s="29" t="s">
        <v>664</v>
      </c>
      <c r="D338" s="29" t="s">
        <v>666</v>
      </c>
      <c r="E338" s="25" t="s">
        <v>1732</v>
      </c>
      <c r="F338" s="26" t="s">
        <v>179</v>
      </c>
      <c r="G338" s="27" t="s">
        <v>993</v>
      </c>
      <c r="H338" s="27" t="s">
        <v>973</v>
      </c>
      <c r="I338" s="27"/>
      <c r="J338" s="27" t="s">
        <v>989</v>
      </c>
      <c r="K338" s="106" t="str">
        <f t="shared" si="17"/>
        <v>А</v>
      </c>
      <c r="L338" s="106" t="str">
        <f t="shared" si="18"/>
        <v>Д</v>
      </c>
      <c r="M338" s="107" t="str">
        <f t="shared" si="19"/>
        <v>Тепловые двигатели</v>
      </c>
    </row>
    <row r="339" spans="1:13" customFormat="1" ht="30" hidden="1" customHeight="1" x14ac:dyDescent="0.25">
      <c r="A339" s="41" t="s">
        <v>2168</v>
      </c>
      <c r="B339" s="25" t="s">
        <v>1659</v>
      </c>
      <c r="C339" s="29" t="s">
        <v>664</v>
      </c>
      <c r="D339" s="29" t="s">
        <v>666</v>
      </c>
      <c r="E339" s="25" t="s">
        <v>1732</v>
      </c>
      <c r="F339" s="26" t="s">
        <v>179</v>
      </c>
      <c r="G339" s="27" t="s">
        <v>993</v>
      </c>
      <c r="H339" s="27" t="s">
        <v>976</v>
      </c>
      <c r="I339" s="27"/>
      <c r="J339" s="27" t="s">
        <v>989</v>
      </c>
      <c r="K339" s="106" t="str">
        <f t="shared" si="17"/>
        <v>А</v>
      </c>
      <c r="L339" s="106" t="str">
        <f t="shared" si="18"/>
        <v>Д</v>
      </c>
      <c r="M339" s="107" t="str">
        <f t="shared" si="19"/>
        <v>Турбомашины и комбинированные турбоустановки</v>
      </c>
    </row>
    <row r="340" spans="1:13" customFormat="1" ht="30" hidden="1" customHeight="1" x14ac:dyDescent="0.25">
      <c r="A340" s="41" t="s">
        <v>2169</v>
      </c>
      <c r="B340" s="25" t="s">
        <v>1660</v>
      </c>
      <c r="C340" s="29" t="s">
        <v>664</v>
      </c>
      <c r="D340" s="29" t="s">
        <v>666</v>
      </c>
      <c r="E340" s="25" t="s">
        <v>1732</v>
      </c>
      <c r="F340" s="26" t="s">
        <v>179</v>
      </c>
      <c r="G340" s="27" t="s">
        <v>525</v>
      </c>
      <c r="H340" s="27" t="s">
        <v>974</v>
      </c>
      <c r="I340" s="27"/>
      <c r="J340" s="27" t="s">
        <v>989</v>
      </c>
      <c r="K340" s="106" t="str">
        <f t="shared" si="17"/>
        <v>А</v>
      </c>
      <c r="L340" s="106" t="str">
        <f t="shared" si="18"/>
        <v>Д</v>
      </c>
      <c r="M340" s="107" t="str">
        <f t="shared" si="19"/>
        <v>Технология и оборудование механической и физико-технической обработки</v>
      </c>
    </row>
    <row r="341" spans="1:13" customFormat="1" ht="30" hidden="1" customHeight="1" x14ac:dyDescent="0.25">
      <c r="A341" s="41" t="s">
        <v>1824</v>
      </c>
      <c r="B341" s="25" t="s">
        <v>2138</v>
      </c>
      <c r="C341" s="29" t="s">
        <v>664</v>
      </c>
      <c r="D341" s="29" t="s">
        <v>666</v>
      </c>
      <c r="E341" s="25" t="s">
        <v>1732</v>
      </c>
      <c r="F341" s="26" t="s">
        <v>179</v>
      </c>
      <c r="G341" s="27" t="s">
        <v>971</v>
      </c>
      <c r="H341" s="27" t="s">
        <v>971</v>
      </c>
      <c r="I341" s="27"/>
      <c r="J341" s="27" t="s">
        <v>989</v>
      </c>
      <c r="K341" s="106" t="str">
        <f t="shared" si="17"/>
        <v>А</v>
      </c>
      <c r="L341" s="106" t="str">
        <f t="shared" si="18"/>
        <v>Д</v>
      </c>
      <c r="M341" s="107" t="str">
        <f t="shared" si="19"/>
        <v>Строительные конструкции, здания и сооружения</v>
      </c>
    </row>
    <row r="342" spans="1:13" customFormat="1" ht="30" hidden="1" customHeight="1" x14ac:dyDescent="0.25">
      <c r="A342" s="41" t="s">
        <v>1825</v>
      </c>
      <c r="B342" s="25" t="s">
        <v>2138</v>
      </c>
      <c r="C342" s="29" t="s">
        <v>664</v>
      </c>
      <c r="D342" s="29" t="s">
        <v>1730</v>
      </c>
      <c r="E342" s="25" t="s">
        <v>1732</v>
      </c>
      <c r="F342" s="26" t="s">
        <v>179</v>
      </c>
      <c r="G342" s="27" t="s">
        <v>971</v>
      </c>
      <c r="H342" s="27" t="s">
        <v>971</v>
      </c>
      <c r="I342" s="27"/>
      <c r="J342" s="27" t="s">
        <v>989</v>
      </c>
      <c r="K342" s="106" t="str">
        <f t="shared" si="17"/>
        <v>А</v>
      </c>
      <c r="L342" s="106" t="str">
        <f t="shared" si="18"/>
        <v>Д</v>
      </c>
      <c r="M342" s="107" t="str">
        <f t="shared" si="19"/>
        <v>Строительные конструкции, здания и сооружения (Английский язык)</v>
      </c>
    </row>
    <row r="343" spans="1:13" customFormat="1" ht="30" hidden="1" customHeight="1" x14ac:dyDescent="0.25">
      <c r="A343" s="41" t="s">
        <v>3035</v>
      </c>
      <c r="B343" s="25" t="s">
        <v>3108</v>
      </c>
      <c r="C343" s="29" t="s">
        <v>664</v>
      </c>
      <c r="D343" s="29" t="s">
        <v>666</v>
      </c>
      <c r="E343" s="25" t="s">
        <v>3128</v>
      </c>
      <c r="F343" s="26" t="s">
        <v>179</v>
      </c>
      <c r="G343" s="27" t="s">
        <v>3151</v>
      </c>
      <c r="H343" s="27" t="s">
        <v>3151</v>
      </c>
      <c r="I343" s="27"/>
      <c r="J343" s="27" t="s">
        <v>989</v>
      </c>
      <c r="K343" s="106" t="str">
        <f t="shared" si="17"/>
        <v>А</v>
      </c>
      <c r="L343" s="106" t="str">
        <f t="shared" si="18"/>
        <v>Д</v>
      </c>
      <c r="M343" s="107" t="str">
        <f t="shared" si="19"/>
        <v>Теория и история архитектуры, реставрация и реконструкция историко-архитектурного наследия</v>
      </c>
    </row>
    <row r="344" spans="1:13" customFormat="1" ht="30" hidden="1" customHeight="1" x14ac:dyDescent="0.25">
      <c r="A344" s="41" t="s">
        <v>3036</v>
      </c>
      <c r="B344" s="25" t="s">
        <v>3108</v>
      </c>
      <c r="C344" s="29" t="s">
        <v>664</v>
      </c>
      <c r="D344" s="29" t="s">
        <v>1730</v>
      </c>
      <c r="E344" s="25" t="s">
        <v>3128</v>
      </c>
      <c r="F344" s="26" t="s">
        <v>179</v>
      </c>
      <c r="G344" s="27" t="s">
        <v>3151</v>
      </c>
      <c r="H344" s="27" t="s">
        <v>3151</v>
      </c>
      <c r="I344" s="27"/>
      <c r="J344" s="27" t="s">
        <v>989</v>
      </c>
      <c r="K344" s="106" t="str">
        <f t="shared" si="17"/>
        <v>А</v>
      </c>
      <c r="L344" s="106" t="str">
        <f t="shared" si="18"/>
        <v>Д</v>
      </c>
      <c r="M344" s="107" t="str">
        <f t="shared" si="19"/>
        <v>Теория и история архитектуры, реставрация и реконструкция историко-архитектурного наследия (Английский язык)</v>
      </c>
    </row>
    <row r="345" spans="1:13" customFormat="1" ht="30" hidden="1" customHeight="1" x14ac:dyDescent="0.25">
      <c r="A345" s="41" t="s">
        <v>1832</v>
      </c>
      <c r="B345" s="25" t="s">
        <v>2142</v>
      </c>
      <c r="C345" s="29" t="s">
        <v>664</v>
      </c>
      <c r="D345" s="29" t="s">
        <v>666</v>
      </c>
      <c r="E345" s="25" t="s">
        <v>3128</v>
      </c>
      <c r="F345" s="26" t="s">
        <v>179</v>
      </c>
      <c r="G345" s="27" t="s">
        <v>957</v>
      </c>
      <c r="H345" s="27" t="s">
        <v>957</v>
      </c>
      <c r="I345" s="27"/>
      <c r="J345" s="27" t="s">
        <v>989</v>
      </c>
      <c r="K345" s="106" t="str">
        <f t="shared" si="17"/>
        <v>А</v>
      </c>
      <c r="L345" s="106" t="str">
        <f t="shared" si="18"/>
        <v>Д</v>
      </c>
      <c r="M345" s="107" t="str">
        <f t="shared" si="19"/>
        <v>Архитектура зданий и сооружений. Творческие концепции архитектурной деятельности</v>
      </c>
    </row>
    <row r="346" spans="1:13" customFormat="1" ht="30" hidden="1" customHeight="1" x14ac:dyDescent="0.25">
      <c r="A346" s="41" t="s">
        <v>3037</v>
      </c>
      <c r="B346" s="25" t="s">
        <v>2142</v>
      </c>
      <c r="C346" s="29" t="s">
        <v>664</v>
      </c>
      <c r="D346" s="29" t="s">
        <v>1730</v>
      </c>
      <c r="E346" s="25" t="s">
        <v>3128</v>
      </c>
      <c r="F346" s="26" t="s">
        <v>179</v>
      </c>
      <c r="G346" s="27" t="s">
        <v>957</v>
      </c>
      <c r="H346" s="27" t="s">
        <v>957</v>
      </c>
      <c r="I346" s="27"/>
      <c r="J346" s="27" t="s">
        <v>989</v>
      </c>
      <c r="K346" s="106" t="str">
        <f t="shared" si="17"/>
        <v>А</v>
      </c>
      <c r="L346" s="106" t="str">
        <f t="shared" si="18"/>
        <v>Д</v>
      </c>
      <c r="M346" s="107" t="str">
        <f t="shared" si="19"/>
        <v>Архитектура зданий и сооружений. Творческие концепции архитектурной деятельности (Английский язык)</v>
      </c>
    </row>
    <row r="347" spans="1:13" customFormat="1" ht="30" hidden="1" customHeight="1" x14ac:dyDescent="0.25">
      <c r="A347" s="41" t="s">
        <v>1826</v>
      </c>
      <c r="B347" s="25" t="s">
        <v>2230</v>
      </c>
      <c r="C347" s="29" t="s">
        <v>664</v>
      </c>
      <c r="D347" s="29" t="s">
        <v>666</v>
      </c>
      <c r="E347" s="25" t="s">
        <v>1732</v>
      </c>
      <c r="F347" s="26" t="s">
        <v>179</v>
      </c>
      <c r="G347" s="27" t="s">
        <v>958</v>
      </c>
      <c r="H347" s="27" t="s">
        <v>958</v>
      </c>
      <c r="I347" s="27"/>
      <c r="J347" s="27" t="s">
        <v>989</v>
      </c>
      <c r="K347" s="106" t="str">
        <f t="shared" si="17"/>
        <v>А</v>
      </c>
      <c r="L347" s="106" t="str">
        <f t="shared" si="18"/>
        <v>Д</v>
      </c>
      <c r="M347" s="107" t="str">
        <f t="shared" si="19"/>
        <v>Водоснабжение, канализация, строительные системы охраны водных ресурсов</v>
      </c>
    </row>
    <row r="348" spans="1:13" customFormat="1" ht="30" hidden="1" customHeight="1" x14ac:dyDescent="0.25">
      <c r="A348" s="41" t="s">
        <v>1827</v>
      </c>
      <c r="B348" s="25" t="s">
        <v>2139</v>
      </c>
      <c r="C348" s="29" t="s">
        <v>664</v>
      </c>
      <c r="D348" s="29" t="s">
        <v>666</v>
      </c>
      <c r="E348" s="25" t="s">
        <v>1732</v>
      </c>
      <c r="F348" s="26" t="s">
        <v>179</v>
      </c>
      <c r="G348" s="27" t="s">
        <v>1828</v>
      </c>
      <c r="H348" s="27" t="s">
        <v>1828</v>
      </c>
      <c r="I348" s="27"/>
      <c r="J348" s="27" t="s">
        <v>989</v>
      </c>
      <c r="K348" s="106" t="str">
        <f t="shared" si="17"/>
        <v>А</v>
      </c>
      <c r="L348" s="106" t="str">
        <f t="shared" si="18"/>
        <v>Д</v>
      </c>
      <c r="M348" s="107" t="str">
        <f t="shared" si="19"/>
        <v>Гидротехническое строительство, гидравлика и инженерная гидрология</v>
      </c>
    </row>
    <row r="349" spans="1:13" customFormat="1" ht="30" hidden="1" customHeight="1" x14ac:dyDescent="0.25">
      <c r="A349" s="41" t="s">
        <v>3038</v>
      </c>
      <c r="B349" s="25" t="s">
        <v>2139</v>
      </c>
      <c r="C349" s="29" t="s">
        <v>664</v>
      </c>
      <c r="D349" s="29" t="s">
        <v>1730</v>
      </c>
      <c r="E349" s="25" t="s">
        <v>1732</v>
      </c>
      <c r="F349" s="26" t="s">
        <v>179</v>
      </c>
      <c r="G349" s="27" t="s">
        <v>1828</v>
      </c>
      <c r="H349" s="27" t="s">
        <v>1828</v>
      </c>
      <c r="I349" s="27"/>
      <c r="J349" s="27" t="s">
        <v>989</v>
      </c>
      <c r="K349" s="106" t="str">
        <f t="shared" si="17"/>
        <v>А</v>
      </c>
      <c r="L349" s="106" t="str">
        <f t="shared" si="18"/>
        <v>Д</v>
      </c>
      <c r="M349" s="107" t="str">
        <f t="shared" si="19"/>
        <v>Гидротехническое строительство, гидравлика и инженерная гидрология (Английский язык)</v>
      </c>
    </row>
    <row r="350" spans="1:13" customFormat="1" ht="30" hidden="1" customHeight="1" x14ac:dyDescent="0.25">
      <c r="A350" s="41" t="s">
        <v>1829</v>
      </c>
      <c r="B350" s="25" t="s">
        <v>2140</v>
      </c>
      <c r="C350" s="29" t="s">
        <v>664</v>
      </c>
      <c r="D350" s="29" t="s">
        <v>666</v>
      </c>
      <c r="E350" s="25" t="s">
        <v>1732</v>
      </c>
      <c r="F350" s="26" t="s">
        <v>179</v>
      </c>
      <c r="G350" s="27" t="s">
        <v>975</v>
      </c>
      <c r="H350" s="27" t="s">
        <v>975</v>
      </c>
      <c r="I350" s="27"/>
      <c r="J350" s="27" t="s">
        <v>989</v>
      </c>
      <c r="K350" s="106" t="str">
        <f t="shared" si="17"/>
        <v>А</v>
      </c>
      <c r="L350" s="106" t="str">
        <f t="shared" si="18"/>
        <v>Д</v>
      </c>
      <c r="M350" s="107" t="str">
        <f t="shared" si="19"/>
        <v>Технология и организация строительства</v>
      </c>
    </row>
    <row r="351" spans="1:13" customFormat="1" ht="30" hidden="1" customHeight="1" x14ac:dyDescent="0.25">
      <c r="A351" s="41" t="s">
        <v>3039</v>
      </c>
      <c r="B351" s="25" t="s">
        <v>2140</v>
      </c>
      <c r="C351" s="29" t="s">
        <v>664</v>
      </c>
      <c r="D351" s="29" t="s">
        <v>1730</v>
      </c>
      <c r="E351" s="25" t="s">
        <v>1732</v>
      </c>
      <c r="F351" s="26" t="s">
        <v>179</v>
      </c>
      <c r="G351" s="27" t="s">
        <v>975</v>
      </c>
      <c r="H351" s="27" t="s">
        <v>975</v>
      </c>
      <c r="I351" s="27"/>
      <c r="J351" s="27" t="s">
        <v>989</v>
      </c>
      <c r="K351" s="106" t="str">
        <f t="shared" si="17"/>
        <v>А</v>
      </c>
      <c r="L351" s="106" t="str">
        <f t="shared" si="18"/>
        <v>Д</v>
      </c>
      <c r="M351" s="107" t="str">
        <f t="shared" si="19"/>
        <v>Технология и организация строительства (Английский язык)</v>
      </c>
    </row>
    <row r="352" spans="1:13" customFormat="1" ht="30" hidden="1" customHeight="1" x14ac:dyDescent="0.25">
      <c r="A352" s="41" t="s">
        <v>1830</v>
      </c>
      <c r="B352" s="25" t="s">
        <v>2141</v>
      </c>
      <c r="C352" s="29" t="s">
        <v>664</v>
      </c>
      <c r="D352" s="29" t="s">
        <v>666</v>
      </c>
      <c r="E352" s="25" t="s">
        <v>1732</v>
      </c>
      <c r="F352" s="26" t="s">
        <v>179</v>
      </c>
      <c r="G352" s="27" t="s">
        <v>970</v>
      </c>
      <c r="H352" s="27" t="s">
        <v>970</v>
      </c>
      <c r="I352" s="27"/>
      <c r="J352" s="27" t="s">
        <v>989</v>
      </c>
      <c r="K352" s="106" t="str">
        <f t="shared" si="17"/>
        <v>А</v>
      </c>
      <c r="L352" s="106" t="str">
        <f t="shared" si="18"/>
        <v>Д</v>
      </c>
      <c r="M352" s="107" t="str">
        <f t="shared" si="19"/>
        <v>Строительная механика</v>
      </c>
    </row>
    <row r="353" spans="1:13" customFormat="1" ht="30" hidden="1" customHeight="1" x14ac:dyDescent="0.25">
      <c r="A353" s="41" t="s">
        <v>1831</v>
      </c>
      <c r="B353" s="25" t="s">
        <v>2141</v>
      </c>
      <c r="C353" s="29" t="s">
        <v>664</v>
      </c>
      <c r="D353" s="29" t="s">
        <v>1730</v>
      </c>
      <c r="E353" s="25" t="s">
        <v>1732</v>
      </c>
      <c r="F353" s="26" t="s">
        <v>179</v>
      </c>
      <c r="G353" s="27" t="s">
        <v>970</v>
      </c>
      <c r="H353" s="27" t="s">
        <v>970</v>
      </c>
      <c r="I353" s="27"/>
      <c r="J353" s="27" t="s">
        <v>989</v>
      </c>
      <c r="K353" s="106" t="str">
        <f t="shared" si="17"/>
        <v>А</v>
      </c>
      <c r="L353" s="106" t="str">
        <f t="shared" si="18"/>
        <v>Д</v>
      </c>
      <c r="M353" s="107" t="str">
        <f t="shared" si="19"/>
        <v>Строительная механика (Английский язык)</v>
      </c>
    </row>
    <row r="354" spans="1:13" customFormat="1" ht="30" hidden="1" customHeight="1" x14ac:dyDescent="0.25">
      <c r="A354" s="41" t="s">
        <v>3040</v>
      </c>
      <c r="B354" s="25" t="s">
        <v>3109</v>
      </c>
      <c r="C354" s="29" t="s">
        <v>664</v>
      </c>
      <c r="D354" s="29" t="s">
        <v>666</v>
      </c>
      <c r="E354" s="25" t="s">
        <v>1732</v>
      </c>
      <c r="F354" s="26" t="s">
        <v>179</v>
      </c>
      <c r="G354" s="27" t="s">
        <v>3152</v>
      </c>
      <c r="H354" s="27" t="s">
        <v>3152</v>
      </c>
      <c r="I354" s="27"/>
      <c r="J354" s="27" t="s">
        <v>989</v>
      </c>
      <c r="K354" s="106" t="str">
        <f t="shared" si="17"/>
        <v>А</v>
      </c>
      <c r="L354" s="106" t="str">
        <f t="shared" si="18"/>
        <v>Д</v>
      </c>
      <c r="M354" s="107" t="str">
        <f t="shared" si="19"/>
        <v>Проектирование и технология приборостроения и радиоэлектронной аппаратуры</v>
      </c>
    </row>
    <row r="355" spans="1:13" customFormat="1" ht="30" hidden="1" customHeight="1" x14ac:dyDescent="0.25">
      <c r="A355" s="41" t="s">
        <v>3041</v>
      </c>
      <c r="B355" s="25" t="s">
        <v>3109</v>
      </c>
      <c r="C355" s="29" t="s">
        <v>664</v>
      </c>
      <c r="D355" s="29" t="s">
        <v>1730</v>
      </c>
      <c r="E355" s="25" t="s">
        <v>1732</v>
      </c>
      <c r="F355" s="26" t="s">
        <v>179</v>
      </c>
      <c r="G355" s="27" t="s">
        <v>3152</v>
      </c>
      <c r="H355" s="27" t="s">
        <v>3152</v>
      </c>
      <c r="I355" s="27"/>
      <c r="J355" s="27" t="s">
        <v>989</v>
      </c>
      <c r="K355" s="106" t="str">
        <f t="shared" si="17"/>
        <v>А</v>
      </c>
      <c r="L355" s="106" t="str">
        <f t="shared" si="18"/>
        <v>Д</v>
      </c>
      <c r="M355" s="107" t="str">
        <f t="shared" si="19"/>
        <v>Проектирование и технология приборостроения и радиоэлектронной аппаратуры (Английский язык)</v>
      </c>
    </row>
    <row r="356" spans="1:13" customFormat="1" ht="30" hidden="1" customHeight="1" x14ac:dyDescent="0.25">
      <c r="A356" s="41" t="s">
        <v>1833</v>
      </c>
      <c r="B356" s="25" t="s">
        <v>2143</v>
      </c>
      <c r="C356" s="29" t="s">
        <v>664</v>
      </c>
      <c r="D356" s="29" t="s">
        <v>666</v>
      </c>
      <c r="E356" s="25" t="s">
        <v>3128</v>
      </c>
      <c r="F356" s="26" t="s">
        <v>179</v>
      </c>
      <c r="G356" s="27" t="s">
        <v>2144</v>
      </c>
      <c r="H356" s="27" t="s">
        <v>1834</v>
      </c>
      <c r="I356" s="27"/>
      <c r="J356" s="27" t="s">
        <v>989</v>
      </c>
      <c r="K356" s="106" t="str">
        <f t="shared" si="17"/>
        <v>А</v>
      </c>
      <c r="L356" s="106" t="str">
        <f t="shared" si="18"/>
        <v>Д</v>
      </c>
      <c r="M356" s="107" t="str">
        <f t="shared" si="19"/>
        <v>Системный анализ, управление и обработка информации</v>
      </c>
    </row>
    <row r="357" spans="1:13" customFormat="1" ht="30" hidden="1" customHeight="1" x14ac:dyDescent="0.25">
      <c r="A357" s="41" t="s">
        <v>1835</v>
      </c>
      <c r="B357" s="25" t="s">
        <v>2143</v>
      </c>
      <c r="C357" s="29" t="s">
        <v>664</v>
      </c>
      <c r="D357" s="29" t="s">
        <v>1730</v>
      </c>
      <c r="E357" s="25" t="s">
        <v>3128</v>
      </c>
      <c r="F357" s="26" t="s">
        <v>179</v>
      </c>
      <c r="G357" s="27" t="s">
        <v>2144</v>
      </c>
      <c r="H357" s="27" t="s">
        <v>1834</v>
      </c>
      <c r="I357" s="27"/>
      <c r="J357" s="27" t="s">
        <v>989</v>
      </c>
      <c r="K357" s="106" t="str">
        <f t="shared" si="17"/>
        <v>А</v>
      </c>
      <c r="L357" s="106" t="str">
        <f t="shared" si="18"/>
        <v>Д</v>
      </c>
      <c r="M357" s="107" t="str">
        <f t="shared" si="19"/>
        <v>Системный анализ, управление и обработка информации (Английский язык)</v>
      </c>
    </row>
    <row r="358" spans="1:13" customFormat="1" ht="30" hidden="1" customHeight="1" x14ac:dyDescent="0.25">
      <c r="A358" s="41" t="s">
        <v>1836</v>
      </c>
      <c r="B358" s="25" t="s">
        <v>2231</v>
      </c>
      <c r="C358" s="29" t="s">
        <v>664</v>
      </c>
      <c r="D358" s="29" t="s">
        <v>666</v>
      </c>
      <c r="E358" s="25" t="s">
        <v>3128</v>
      </c>
      <c r="F358" s="26" t="s">
        <v>179</v>
      </c>
      <c r="G358" s="27" t="s">
        <v>1837</v>
      </c>
      <c r="H358" s="27" t="s">
        <v>1837</v>
      </c>
      <c r="I358" s="27"/>
      <c r="J358" s="27" t="s">
        <v>989</v>
      </c>
      <c r="K358" s="106" t="str">
        <f t="shared" si="17"/>
        <v>А</v>
      </c>
      <c r="L358" s="106" t="str">
        <f t="shared" si="18"/>
        <v>Д</v>
      </c>
      <c r="M358" s="107" t="str">
        <f t="shared" si="19"/>
        <v>Вычислительные системы и их элементы</v>
      </c>
    </row>
    <row r="359" spans="1:13" ht="30" hidden="1" customHeight="1" x14ac:dyDescent="0.25">
      <c r="A359" s="41" t="s">
        <v>1838</v>
      </c>
      <c r="B359" s="25" t="s">
        <v>2145</v>
      </c>
      <c r="C359" s="29" t="s">
        <v>664</v>
      </c>
      <c r="D359" s="29" t="s">
        <v>666</v>
      </c>
      <c r="E359" s="25" t="s">
        <v>3128</v>
      </c>
      <c r="F359" s="26" t="s">
        <v>179</v>
      </c>
      <c r="G359" s="27" t="s">
        <v>1839</v>
      </c>
      <c r="H359" s="27" t="s">
        <v>1839</v>
      </c>
      <c r="I359" s="27"/>
      <c r="J359" s="27" t="s">
        <v>989</v>
      </c>
      <c r="K359" s="106" t="str">
        <f t="shared" si="17"/>
        <v>А</v>
      </c>
      <c r="L359" s="106" t="str">
        <f t="shared" si="18"/>
        <v>Д</v>
      </c>
      <c r="M359" s="107" t="str">
        <f t="shared" si="19"/>
        <v>Управление в организационных системах</v>
      </c>
    </row>
    <row r="360" spans="1:13" ht="30" hidden="1" customHeight="1" x14ac:dyDescent="0.25">
      <c r="A360" s="41" t="s">
        <v>1840</v>
      </c>
      <c r="B360" s="25" t="s">
        <v>2145</v>
      </c>
      <c r="C360" s="29" t="s">
        <v>664</v>
      </c>
      <c r="D360" s="29" t="s">
        <v>1730</v>
      </c>
      <c r="E360" s="25" t="s">
        <v>3128</v>
      </c>
      <c r="F360" s="26" t="s">
        <v>179</v>
      </c>
      <c r="G360" s="27" t="s">
        <v>1839</v>
      </c>
      <c r="H360" s="27" t="s">
        <v>1839</v>
      </c>
      <c r="I360" s="27"/>
      <c r="J360" s="27" t="s">
        <v>989</v>
      </c>
      <c r="K360" s="106" t="str">
        <f t="shared" si="17"/>
        <v>А</v>
      </c>
      <c r="L360" s="106" t="str">
        <f t="shared" si="18"/>
        <v>Д</v>
      </c>
      <c r="M360" s="107" t="str">
        <f t="shared" si="19"/>
        <v>Управление в организационных системах (Английский язык)</v>
      </c>
    </row>
    <row r="361" spans="1:13" ht="30" hidden="1" customHeight="1" x14ac:dyDescent="0.25">
      <c r="A361" s="41" t="s">
        <v>1841</v>
      </c>
      <c r="B361" s="25" t="s">
        <v>2232</v>
      </c>
      <c r="C361" s="29" t="s">
        <v>664</v>
      </c>
      <c r="D361" s="29" t="s">
        <v>666</v>
      </c>
      <c r="E361" s="25" t="s">
        <v>3128</v>
      </c>
      <c r="F361" s="26" t="s">
        <v>179</v>
      </c>
      <c r="G361" s="27" t="s">
        <v>1842</v>
      </c>
      <c r="H361" s="27" t="s">
        <v>1842</v>
      </c>
      <c r="I361" s="27"/>
      <c r="J361" s="27" t="s">
        <v>989</v>
      </c>
      <c r="K361" s="106" t="str">
        <f t="shared" si="17"/>
        <v>А</v>
      </c>
      <c r="L361" s="106" t="str">
        <f t="shared" si="18"/>
        <v>Д</v>
      </c>
      <c r="M361" s="107" t="str">
        <f t="shared" si="19"/>
        <v>Математическое и программное обеспечение вычислительных систем, комплексов и компьютерных сетей</v>
      </c>
    </row>
    <row r="362" spans="1:13" ht="30" hidden="1" customHeight="1" x14ac:dyDescent="0.25">
      <c r="A362" s="41" t="s">
        <v>1843</v>
      </c>
      <c r="B362" s="25" t="s">
        <v>2232</v>
      </c>
      <c r="C362" s="29" t="s">
        <v>664</v>
      </c>
      <c r="D362" s="29" t="s">
        <v>1730</v>
      </c>
      <c r="E362" s="25" t="s">
        <v>3128</v>
      </c>
      <c r="F362" s="26" t="s">
        <v>179</v>
      </c>
      <c r="G362" s="27" t="s">
        <v>1842</v>
      </c>
      <c r="H362" s="27" t="s">
        <v>1842</v>
      </c>
      <c r="I362" s="27"/>
      <c r="J362" s="27" t="s">
        <v>989</v>
      </c>
      <c r="K362" s="106" t="str">
        <f t="shared" si="17"/>
        <v>А</v>
      </c>
      <c r="L362" s="106" t="str">
        <f t="shared" si="18"/>
        <v>Д</v>
      </c>
      <c r="M362" s="107" t="str">
        <f t="shared" si="19"/>
        <v>Математическое и программное обеспечение вычислительных систем, комплексов и компьютерных сетей (Английский язык)</v>
      </c>
    </row>
    <row r="363" spans="1:13" ht="30" hidden="1" customHeight="1" x14ac:dyDescent="0.25">
      <c r="A363" s="41" t="s">
        <v>1844</v>
      </c>
      <c r="B363" s="25" t="s">
        <v>2146</v>
      </c>
      <c r="C363" s="29" t="s">
        <v>664</v>
      </c>
      <c r="D363" s="29" t="s">
        <v>666</v>
      </c>
      <c r="E363" s="25" t="s">
        <v>1732</v>
      </c>
      <c r="F363" s="26" t="s">
        <v>179</v>
      </c>
      <c r="G363" s="27" t="s">
        <v>1845</v>
      </c>
      <c r="H363" s="27" t="s">
        <v>1845</v>
      </c>
      <c r="I363" s="27"/>
      <c r="J363" s="27" t="s">
        <v>989</v>
      </c>
      <c r="K363" s="106" t="str">
        <f t="shared" si="17"/>
        <v>А</v>
      </c>
      <c r="L363" s="106" t="str">
        <f t="shared" si="18"/>
        <v>Д</v>
      </c>
      <c r="M363" s="107" t="str">
        <f t="shared" si="19"/>
        <v>Турбомашины и поршневые двигатели</v>
      </c>
    </row>
    <row r="364" spans="1:13" ht="30" hidden="1" customHeight="1" x14ac:dyDescent="0.25">
      <c r="A364" s="41" t="s">
        <v>3042</v>
      </c>
      <c r="B364" s="25" t="s">
        <v>2146</v>
      </c>
      <c r="C364" s="29" t="s">
        <v>664</v>
      </c>
      <c r="D364" s="29" t="s">
        <v>1730</v>
      </c>
      <c r="E364" s="25" t="s">
        <v>1732</v>
      </c>
      <c r="F364" s="26" t="s">
        <v>179</v>
      </c>
      <c r="G364" s="27" t="s">
        <v>1845</v>
      </c>
      <c r="H364" s="27" t="s">
        <v>1845</v>
      </c>
      <c r="I364" s="27"/>
      <c r="J364" s="27" t="s">
        <v>989</v>
      </c>
      <c r="K364" s="106" t="str">
        <f t="shared" si="17"/>
        <v>А</v>
      </c>
      <c r="L364" s="106" t="str">
        <f t="shared" si="18"/>
        <v>Д</v>
      </c>
      <c r="M364" s="107" t="str">
        <f t="shared" si="19"/>
        <v>Турбомашины и поршневые двигатели (Английский язык)</v>
      </c>
    </row>
    <row r="365" spans="1:13" customFormat="1" ht="30" hidden="1" customHeight="1" x14ac:dyDescent="0.25">
      <c r="A365" s="41" t="s">
        <v>1847</v>
      </c>
      <c r="B365" s="25" t="s">
        <v>2147</v>
      </c>
      <c r="C365" s="29" t="s">
        <v>664</v>
      </c>
      <c r="D365" s="29" t="s">
        <v>666</v>
      </c>
      <c r="E365" s="25" t="s">
        <v>1732</v>
      </c>
      <c r="F365" s="26" t="s">
        <v>179</v>
      </c>
      <c r="G365" s="27" t="s">
        <v>1848</v>
      </c>
      <c r="H365" s="27" t="s">
        <v>1849</v>
      </c>
      <c r="I365" s="27"/>
      <c r="J365" s="27" t="s">
        <v>989</v>
      </c>
      <c r="K365" s="106" t="str">
        <f t="shared" si="17"/>
        <v>А</v>
      </c>
      <c r="L365" s="106" t="str">
        <f t="shared" si="18"/>
        <v>Д</v>
      </c>
      <c r="M365" s="107" t="str">
        <f t="shared" si="19"/>
        <v>Динамика, баллистика и управление движением летательных аппаратов</v>
      </c>
    </row>
    <row r="366" spans="1:13" ht="30" hidden="1" customHeight="1" x14ac:dyDescent="0.25">
      <c r="A366" s="41" t="s">
        <v>1850</v>
      </c>
      <c r="B366" s="25" t="s">
        <v>2147</v>
      </c>
      <c r="C366" s="29" t="s">
        <v>664</v>
      </c>
      <c r="D366" s="29" t="s">
        <v>1730</v>
      </c>
      <c r="E366" s="25" t="s">
        <v>1732</v>
      </c>
      <c r="F366" s="26" t="s">
        <v>179</v>
      </c>
      <c r="G366" s="27" t="s">
        <v>1848</v>
      </c>
      <c r="H366" s="27" t="s">
        <v>1849</v>
      </c>
      <c r="I366" s="27"/>
      <c r="J366" s="27" t="s">
        <v>989</v>
      </c>
      <c r="K366" s="106" t="str">
        <f t="shared" si="17"/>
        <v>А</v>
      </c>
      <c r="L366" s="106" t="str">
        <f t="shared" si="18"/>
        <v>Д</v>
      </c>
      <c r="M366" s="107" t="str">
        <f t="shared" si="19"/>
        <v>Динамика, баллистика и управление движением летательных аппаратов (Английский язык)</v>
      </c>
    </row>
    <row r="367" spans="1:13" ht="30" hidden="1" customHeight="1" x14ac:dyDescent="0.25">
      <c r="A367" s="41" t="s">
        <v>1846</v>
      </c>
      <c r="B367" s="25" t="s">
        <v>2233</v>
      </c>
      <c r="C367" s="29" t="s">
        <v>664</v>
      </c>
      <c r="D367" s="29" t="s">
        <v>666</v>
      </c>
      <c r="E367" s="25" t="s">
        <v>1732</v>
      </c>
      <c r="F367" s="26" t="s">
        <v>179</v>
      </c>
      <c r="G367" s="27" t="s">
        <v>974</v>
      </c>
      <c r="H367" s="27" t="s">
        <v>974</v>
      </c>
      <c r="I367" s="27"/>
      <c r="J367" s="27" t="s">
        <v>989</v>
      </c>
      <c r="K367" s="106" t="str">
        <f t="shared" si="17"/>
        <v>А</v>
      </c>
      <c r="L367" s="106" t="str">
        <f t="shared" si="18"/>
        <v>Д</v>
      </c>
      <c r="M367" s="107" t="str">
        <f t="shared" si="19"/>
        <v>Технология и оборудование механической и физико-технической обработки</v>
      </c>
    </row>
    <row r="368" spans="1:13" customFormat="1" ht="30" hidden="1" customHeight="1" x14ac:dyDescent="0.25">
      <c r="A368" s="41" t="s">
        <v>1816</v>
      </c>
      <c r="B368" s="25" t="s">
        <v>3110</v>
      </c>
      <c r="C368" s="29" t="s">
        <v>664</v>
      </c>
      <c r="D368" s="29" t="s">
        <v>666</v>
      </c>
      <c r="E368" s="25" t="s">
        <v>1732</v>
      </c>
      <c r="F368" s="26" t="s">
        <v>179</v>
      </c>
      <c r="G368" s="27" t="s">
        <v>594</v>
      </c>
      <c r="H368" s="27" t="s">
        <v>594</v>
      </c>
      <c r="I368" s="27"/>
      <c r="J368" s="27" t="s">
        <v>989</v>
      </c>
      <c r="K368" s="106" t="str">
        <f t="shared" si="17"/>
        <v>А</v>
      </c>
      <c r="L368" s="106" t="str">
        <f t="shared" si="18"/>
        <v>Д</v>
      </c>
      <c r="M368" s="107" t="str">
        <f t="shared" si="19"/>
        <v>Технология машиностроения</v>
      </c>
    </row>
    <row r="369" spans="1:13" customFormat="1" ht="30" hidden="1" customHeight="1" x14ac:dyDescent="0.25">
      <c r="A369" s="41" t="s">
        <v>1818</v>
      </c>
      <c r="B369" s="25" t="s">
        <v>3110</v>
      </c>
      <c r="C369" s="29" t="s">
        <v>664</v>
      </c>
      <c r="D369" s="29" t="s">
        <v>1730</v>
      </c>
      <c r="E369" s="25" t="s">
        <v>1732</v>
      </c>
      <c r="F369" s="26" t="s">
        <v>179</v>
      </c>
      <c r="G369" s="27" t="s">
        <v>594</v>
      </c>
      <c r="H369" s="27" t="s">
        <v>594</v>
      </c>
      <c r="I369" s="27"/>
      <c r="J369" s="27" t="s">
        <v>989</v>
      </c>
      <c r="K369" s="106" t="str">
        <f t="shared" si="17"/>
        <v>А</v>
      </c>
      <c r="L369" s="106" t="str">
        <f t="shared" si="18"/>
        <v>Д</v>
      </c>
      <c r="M369" s="107" t="str">
        <f t="shared" si="19"/>
        <v>Технология машиностроения (Английский язык)</v>
      </c>
    </row>
    <row r="370" spans="1:13" customFormat="1" ht="30" hidden="1" customHeight="1" x14ac:dyDescent="0.25">
      <c r="A370" s="41" t="s">
        <v>3043</v>
      </c>
      <c r="B370" s="25" t="s">
        <v>3111</v>
      </c>
      <c r="C370" s="29" t="s">
        <v>664</v>
      </c>
      <c r="D370" s="29" t="s">
        <v>666</v>
      </c>
      <c r="E370" s="25" t="s">
        <v>1732</v>
      </c>
      <c r="F370" s="26" t="s">
        <v>179</v>
      </c>
      <c r="G370" s="27" t="s">
        <v>3153</v>
      </c>
      <c r="H370" s="27" t="s">
        <v>3153</v>
      </c>
      <c r="I370" s="27"/>
      <c r="J370" s="27" t="s">
        <v>989</v>
      </c>
      <c r="K370" s="106" t="str">
        <f t="shared" si="17"/>
        <v>А</v>
      </c>
      <c r="L370" s="106" t="str">
        <f t="shared" si="18"/>
        <v>Д</v>
      </c>
      <c r="M370" s="107" t="str">
        <f t="shared" si="19"/>
        <v>Химическая технология топлива и высокоэнергетических веществ</v>
      </c>
    </row>
    <row r="371" spans="1:13" customFormat="1" ht="30" hidden="1" customHeight="1" x14ac:dyDescent="0.25">
      <c r="A371" s="41" t="s">
        <v>3044</v>
      </c>
      <c r="B371" s="25" t="s">
        <v>3111</v>
      </c>
      <c r="C371" s="29" t="s">
        <v>664</v>
      </c>
      <c r="D371" s="29" t="s">
        <v>1730</v>
      </c>
      <c r="E371" s="25" t="s">
        <v>1732</v>
      </c>
      <c r="F371" s="26" t="s">
        <v>179</v>
      </c>
      <c r="G371" s="27" t="s">
        <v>3153</v>
      </c>
      <c r="H371" s="27" t="s">
        <v>3153</v>
      </c>
      <c r="I371" s="27"/>
      <c r="J371" s="27" t="s">
        <v>989</v>
      </c>
      <c r="K371" s="106" t="str">
        <f t="shared" si="17"/>
        <v>А</v>
      </c>
      <c r="L371" s="106" t="str">
        <f t="shared" si="18"/>
        <v>Д</v>
      </c>
      <c r="M371" s="107" t="str">
        <f t="shared" si="19"/>
        <v>Химическая технология топлива и высокоэнергетических веществ (Английский язык)</v>
      </c>
    </row>
    <row r="372" spans="1:13" ht="30" hidden="1" customHeight="1" x14ac:dyDescent="0.25">
      <c r="A372" s="41" t="s">
        <v>1851</v>
      </c>
      <c r="B372" s="25" t="s">
        <v>2234</v>
      </c>
      <c r="C372" s="29" t="s">
        <v>664</v>
      </c>
      <c r="D372" s="29" t="s">
        <v>666</v>
      </c>
      <c r="E372" s="25" t="s">
        <v>1732</v>
      </c>
      <c r="F372" s="26" t="s">
        <v>179</v>
      </c>
      <c r="G372" s="27" t="s">
        <v>964</v>
      </c>
      <c r="H372" s="27" t="s">
        <v>964</v>
      </c>
      <c r="I372" s="27"/>
      <c r="J372" s="27" t="s">
        <v>989</v>
      </c>
      <c r="K372" s="106" t="str">
        <f t="shared" si="17"/>
        <v>А</v>
      </c>
      <c r="L372" s="106" t="str">
        <f t="shared" si="18"/>
        <v>Д</v>
      </c>
      <c r="M372" s="107" t="str">
        <f t="shared" si="19"/>
        <v>Горнопромышленная и нефтегазопромысловая геология, геофизика, маркшейдерское дело и геометрия недр</v>
      </c>
    </row>
    <row r="373" spans="1:13" ht="30" hidden="1" customHeight="1" x14ac:dyDescent="0.25">
      <c r="A373" s="41" t="s">
        <v>1852</v>
      </c>
      <c r="B373" s="25" t="s">
        <v>2148</v>
      </c>
      <c r="C373" s="29" t="s">
        <v>664</v>
      </c>
      <c r="D373" s="29" t="s">
        <v>666</v>
      </c>
      <c r="E373" s="25" t="s">
        <v>1732</v>
      </c>
      <c r="F373" s="26" t="s">
        <v>179</v>
      </c>
      <c r="G373" s="27" t="s">
        <v>968</v>
      </c>
      <c r="H373" s="27" t="s">
        <v>968</v>
      </c>
      <c r="I373" s="27"/>
      <c r="J373" s="27" t="s">
        <v>989</v>
      </c>
      <c r="K373" s="106" t="str">
        <f t="shared" si="17"/>
        <v>А</v>
      </c>
      <c r="L373" s="106" t="str">
        <f t="shared" si="18"/>
        <v>Д</v>
      </c>
      <c r="M373" s="107" t="str">
        <f t="shared" si="19"/>
        <v>Разработка и эксплуатация нефтяных и газовых месторождений</v>
      </c>
    </row>
    <row r="374" spans="1:13" ht="30" hidden="1" customHeight="1" x14ac:dyDescent="0.25">
      <c r="A374" s="41" t="s">
        <v>3045</v>
      </c>
      <c r="B374" s="25" t="s">
        <v>2148</v>
      </c>
      <c r="C374" s="29" t="s">
        <v>664</v>
      </c>
      <c r="D374" s="29" t="s">
        <v>1730</v>
      </c>
      <c r="E374" s="25" t="s">
        <v>1732</v>
      </c>
      <c r="F374" s="26" t="s">
        <v>179</v>
      </c>
      <c r="G374" s="27" t="s">
        <v>968</v>
      </c>
      <c r="H374" s="27" t="s">
        <v>968</v>
      </c>
      <c r="I374" s="27"/>
      <c r="J374" s="27" t="s">
        <v>989</v>
      </c>
      <c r="K374" s="106" t="str">
        <f t="shared" si="17"/>
        <v>А</v>
      </c>
      <c r="L374" s="106" t="str">
        <f t="shared" si="18"/>
        <v>Д</v>
      </c>
      <c r="M374" s="107" t="str">
        <f t="shared" si="19"/>
        <v>Разработка и эксплуатация нефтяных и газовых месторождений (Английский язык)</v>
      </c>
    </row>
    <row r="375" spans="1:13" ht="30" hidden="1" customHeight="1" x14ac:dyDescent="0.25">
      <c r="A375" s="41" t="s">
        <v>1853</v>
      </c>
      <c r="B375" s="25" t="s">
        <v>2235</v>
      </c>
      <c r="C375" s="29" t="s">
        <v>664</v>
      </c>
      <c r="D375" s="29" t="s">
        <v>666</v>
      </c>
      <c r="E375" s="25" t="s">
        <v>1732</v>
      </c>
      <c r="F375" s="26" t="s">
        <v>179</v>
      </c>
      <c r="G375" s="27" t="s">
        <v>1854</v>
      </c>
      <c r="H375" s="27" t="s">
        <v>1854</v>
      </c>
      <c r="I375" s="27"/>
      <c r="J375" s="27" t="s">
        <v>989</v>
      </c>
      <c r="K375" s="106" t="str">
        <f t="shared" si="17"/>
        <v>А</v>
      </c>
      <c r="L375" s="106" t="str">
        <f t="shared" si="18"/>
        <v>Д</v>
      </c>
      <c r="M375" s="107" t="str">
        <f t="shared" si="19"/>
        <v>Геотехнология, горные машины</v>
      </c>
    </row>
    <row r="376" spans="1:13" ht="30" hidden="1" customHeight="1" x14ac:dyDescent="0.25">
      <c r="A376" s="41" t="s">
        <v>1855</v>
      </c>
      <c r="B376" s="25" t="s">
        <v>2149</v>
      </c>
      <c r="C376" s="29" t="s">
        <v>664</v>
      </c>
      <c r="D376" s="29" t="s">
        <v>666</v>
      </c>
      <c r="E376" s="25" t="s">
        <v>1732</v>
      </c>
      <c r="F376" s="26" t="s">
        <v>179</v>
      </c>
      <c r="G376" s="27" t="s">
        <v>979</v>
      </c>
      <c r="H376" s="27" t="s">
        <v>979</v>
      </c>
      <c r="I376" s="27"/>
      <c r="J376" s="27" t="s">
        <v>989</v>
      </c>
      <c r="K376" s="106" t="str">
        <f t="shared" si="17"/>
        <v>А</v>
      </c>
      <c r="L376" s="106" t="str">
        <f t="shared" si="18"/>
        <v>Д</v>
      </c>
      <c r="M376" s="107" t="str">
        <f t="shared" si="19"/>
        <v>Эксплуатация автомобильного транспорта</v>
      </c>
    </row>
    <row r="377" spans="1:13" ht="30" hidden="1" customHeight="1" x14ac:dyDescent="0.25">
      <c r="A377" s="41" t="s">
        <v>3046</v>
      </c>
      <c r="B377" s="25" t="s">
        <v>2149</v>
      </c>
      <c r="C377" s="29" t="s">
        <v>664</v>
      </c>
      <c r="D377" s="29" t="s">
        <v>1730</v>
      </c>
      <c r="E377" s="25" t="s">
        <v>1732</v>
      </c>
      <c r="F377" s="26" t="s">
        <v>179</v>
      </c>
      <c r="G377" s="27" t="s">
        <v>979</v>
      </c>
      <c r="H377" s="27" t="s">
        <v>979</v>
      </c>
      <c r="I377" s="27"/>
      <c r="J377" s="27" t="s">
        <v>989</v>
      </c>
      <c r="K377" s="106" t="str">
        <f t="shared" si="17"/>
        <v>А</v>
      </c>
      <c r="L377" s="106" t="str">
        <f t="shared" si="18"/>
        <v>Д</v>
      </c>
      <c r="M377" s="107" t="str">
        <f t="shared" si="19"/>
        <v>Эксплуатация автомобильного транспорта (Английский язык)</v>
      </c>
    </row>
    <row r="378" spans="1:13" customFormat="1" ht="30" hidden="1" customHeight="1" x14ac:dyDescent="0.25">
      <c r="A378" s="41" t="s">
        <v>3047</v>
      </c>
      <c r="B378" s="25" t="s">
        <v>3112</v>
      </c>
      <c r="C378" s="29" t="s">
        <v>664</v>
      </c>
      <c r="D378" s="29" t="s">
        <v>666</v>
      </c>
      <c r="E378" s="25" t="s">
        <v>3128</v>
      </c>
      <c r="F378" s="26" t="s">
        <v>179</v>
      </c>
      <c r="G378" s="27" t="s">
        <v>3154</v>
      </c>
      <c r="H378" s="27" t="s">
        <v>3154</v>
      </c>
      <c r="I378" s="27"/>
      <c r="J378" s="27" t="s">
        <v>989</v>
      </c>
      <c r="K378" s="106" t="str">
        <f t="shared" si="17"/>
        <v>А</v>
      </c>
      <c r="L378" s="106" t="str">
        <f t="shared" si="18"/>
        <v>Д</v>
      </c>
      <c r="M378" s="107" t="str">
        <f t="shared" si="19"/>
        <v>Логистические транспортные системы</v>
      </c>
    </row>
    <row r="379" spans="1:13" ht="30" hidden="1" customHeight="1" x14ac:dyDescent="0.25">
      <c r="A379" s="41" t="s">
        <v>3048</v>
      </c>
      <c r="B379" s="25" t="s">
        <v>3112</v>
      </c>
      <c r="C379" s="29" t="s">
        <v>664</v>
      </c>
      <c r="D379" s="29" t="s">
        <v>1730</v>
      </c>
      <c r="E379" s="25" t="s">
        <v>3128</v>
      </c>
      <c r="F379" s="26" t="s">
        <v>179</v>
      </c>
      <c r="G379" s="27" t="s">
        <v>3154</v>
      </c>
      <c r="H379" s="27" t="s">
        <v>3154</v>
      </c>
      <c r="I379" s="27"/>
      <c r="J379" s="27" t="s">
        <v>989</v>
      </c>
      <c r="K379" s="106" t="str">
        <f t="shared" si="17"/>
        <v>А</v>
      </c>
      <c r="L379" s="106" t="str">
        <f t="shared" si="18"/>
        <v>Д</v>
      </c>
      <c r="M379" s="107" t="str">
        <f t="shared" si="19"/>
        <v>Логистические транспортные системы (Английский язык)</v>
      </c>
    </row>
    <row r="380" spans="1:13" ht="30" hidden="1" customHeight="1" x14ac:dyDescent="0.25">
      <c r="A380" s="41" t="s">
        <v>2171</v>
      </c>
      <c r="B380" s="25" t="s">
        <v>1661</v>
      </c>
      <c r="C380" s="29" t="s">
        <v>664</v>
      </c>
      <c r="D380" s="29" t="s">
        <v>666</v>
      </c>
      <c r="E380" s="25" t="s">
        <v>1732</v>
      </c>
      <c r="F380" s="26" t="s">
        <v>179</v>
      </c>
      <c r="G380" s="27" t="s">
        <v>996</v>
      </c>
      <c r="H380" s="27" t="s">
        <v>964</v>
      </c>
      <c r="I380" s="27"/>
      <c r="J380" s="27" t="s">
        <v>989</v>
      </c>
      <c r="K380" s="106" t="str">
        <f t="shared" si="17"/>
        <v>А</v>
      </c>
      <c r="L380" s="106" t="str">
        <f t="shared" si="18"/>
        <v>Д</v>
      </c>
      <c r="M380" s="107" t="str">
        <f t="shared" si="19"/>
        <v>Горнопромышленная и нефтегазопромысловая геология, геофизика, маркшейдерское дело и геометрия недр</v>
      </c>
    </row>
    <row r="381" spans="1:13" ht="30" hidden="1" customHeight="1" x14ac:dyDescent="0.25">
      <c r="A381" s="41" t="s">
        <v>2172</v>
      </c>
      <c r="B381" s="25" t="s">
        <v>1661</v>
      </c>
      <c r="C381" s="29" t="s">
        <v>664</v>
      </c>
      <c r="D381" s="29" t="s">
        <v>666</v>
      </c>
      <c r="E381" s="25" t="s">
        <v>1732</v>
      </c>
      <c r="F381" s="26" t="s">
        <v>179</v>
      </c>
      <c r="G381" s="27" t="s">
        <v>996</v>
      </c>
      <c r="H381" s="27" t="s">
        <v>968</v>
      </c>
      <c r="I381" s="27"/>
      <c r="J381" s="27" t="s">
        <v>989</v>
      </c>
      <c r="K381" s="106" t="str">
        <f t="shared" si="17"/>
        <v>А</v>
      </c>
      <c r="L381" s="106" t="str">
        <f t="shared" si="18"/>
        <v>Д</v>
      </c>
      <c r="M381" s="107" t="str">
        <f t="shared" si="19"/>
        <v>Разработка и эксплуатация нефтяных и газовых месторождений</v>
      </c>
    </row>
    <row r="382" spans="1:13" customFormat="1" ht="30" hidden="1" customHeight="1" x14ac:dyDescent="0.25">
      <c r="A382" s="41" t="s">
        <v>2173</v>
      </c>
      <c r="B382" s="25" t="s">
        <v>1661</v>
      </c>
      <c r="C382" s="29" t="s">
        <v>664</v>
      </c>
      <c r="D382" s="29" t="s">
        <v>666</v>
      </c>
      <c r="E382" s="25" t="s">
        <v>1732</v>
      </c>
      <c r="F382" s="26" t="s">
        <v>179</v>
      </c>
      <c r="G382" s="27" t="s">
        <v>996</v>
      </c>
      <c r="H382" s="27" t="s">
        <v>961</v>
      </c>
      <c r="I382" s="27"/>
      <c r="J382" s="27" t="s">
        <v>989</v>
      </c>
      <c r="K382" s="106" t="str">
        <f t="shared" si="17"/>
        <v>А</v>
      </c>
      <c r="L382" s="106" t="str">
        <f t="shared" si="18"/>
        <v>Д</v>
      </c>
      <c r="M382" s="107" t="str">
        <f t="shared" si="19"/>
        <v>Геотехнология (подземная, открытая и строительная)</v>
      </c>
    </row>
    <row r="383" spans="1:13" ht="30" hidden="1" customHeight="1" x14ac:dyDescent="0.25">
      <c r="A383" s="41" t="s">
        <v>2170</v>
      </c>
      <c r="B383" s="25" t="s">
        <v>1662</v>
      </c>
      <c r="C383" s="29" t="s">
        <v>664</v>
      </c>
      <c r="D383" s="29" t="s">
        <v>666</v>
      </c>
      <c r="E383" s="25" t="s">
        <v>1732</v>
      </c>
      <c r="F383" s="26" t="s">
        <v>179</v>
      </c>
      <c r="G383" s="27" t="s">
        <v>997</v>
      </c>
      <c r="H383" s="27" t="s">
        <v>979</v>
      </c>
      <c r="I383" s="27"/>
      <c r="J383" s="27" t="s">
        <v>989</v>
      </c>
      <c r="K383" s="106" t="str">
        <f t="shared" si="17"/>
        <v>А</v>
      </c>
      <c r="L383" s="106" t="str">
        <f t="shared" si="18"/>
        <v>Д</v>
      </c>
      <c r="M383" s="107" t="str">
        <f t="shared" si="19"/>
        <v>Эксплуатация автомобильного транспорта</v>
      </c>
    </row>
    <row r="384" spans="1:13" ht="30" hidden="1" customHeight="1" x14ac:dyDescent="0.25">
      <c r="A384" s="41" t="s">
        <v>3049</v>
      </c>
      <c r="B384" s="25" t="s">
        <v>3113</v>
      </c>
      <c r="C384" s="29" t="s">
        <v>664</v>
      </c>
      <c r="D384" s="29" t="s">
        <v>666</v>
      </c>
      <c r="E384" s="25" t="s">
        <v>3128</v>
      </c>
      <c r="F384" s="26" t="s">
        <v>179</v>
      </c>
      <c r="G384" s="27" t="s">
        <v>3155</v>
      </c>
      <c r="H384" s="27" t="s">
        <v>3155</v>
      </c>
      <c r="I384" s="27"/>
      <c r="J384" s="27" t="s">
        <v>989</v>
      </c>
      <c r="K384" s="106" t="str">
        <f t="shared" si="17"/>
        <v>А</v>
      </c>
      <c r="L384" s="106" t="str">
        <f t="shared" si="18"/>
        <v>Д</v>
      </c>
      <c r="M384" s="107" t="str">
        <f t="shared" si="19"/>
        <v>Математические, статистические и инструментальные методы в экономике</v>
      </c>
    </row>
    <row r="385" spans="1:13" ht="30" hidden="1" customHeight="1" x14ac:dyDescent="0.25">
      <c r="A385" s="41" t="s">
        <v>3050</v>
      </c>
      <c r="B385" s="25" t="s">
        <v>3113</v>
      </c>
      <c r="C385" s="29" t="s">
        <v>664</v>
      </c>
      <c r="D385" s="29" t="s">
        <v>1730</v>
      </c>
      <c r="E385" s="25" t="s">
        <v>3128</v>
      </c>
      <c r="F385" s="26" t="s">
        <v>179</v>
      </c>
      <c r="G385" s="27" t="s">
        <v>3155</v>
      </c>
      <c r="H385" s="27" t="s">
        <v>3155</v>
      </c>
      <c r="I385" s="27"/>
      <c r="J385" s="27" t="s">
        <v>989</v>
      </c>
      <c r="K385" s="106" t="str">
        <f t="shared" si="17"/>
        <v>А</v>
      </c>
      <c r="L385" s="106" t="str">
        <f t="shared" si="18"/>
        <v>Д</v>
      </c>
      <c r="M385" s="107" t="str">
        <f t="shared" si="19"/>
        <v>Математические, статистические и инструментальные методы в экономике (Английский язык)</v>
      </c>
    </row>
    <row r="386" spans="1:13" customFormat="1" ht="30" hidden="1" customHeight="1" x14ac:dyDescent="0.25">
      <c r="A386" s="41" t="s">
        <v>2174</v>
      </c>
      <c r="B386" s="25" t="s">
        <v>1649</v>
      </c>
      <c r="C386" s="29" t="s">
        <v>665</v>
      </c>
      <c r="D386" s="29" t="s">
        <v>666</v>
      </c>
      <c r="E386" s="25" t="s">
        <v>1732</v>
      </c>
      <c r="F386" s="26" t="s">
        <v>179</v>
      </c>
      <c r="G386" s="27" t="s">
        <v>523</v>
      </c>
      <c r="H386" s="27" t="s">
        <v>967</v>
      </c>
      <c r="I386" s="27"/>
      <c r="J386" s="27" t="s">
        <v>989</v>
      </c>
      <c r="K386" s="106" t="str">
        <f t="shared" si="17"/>
        <v>А</v>
      </c>
      <c r="L386" s="106" t="str">
        <f t="shared" si="18"/>
        <v>З</v>
      </c>
      <c r="M386" s="107" t="str">
        <f t="shared" si="19"/>
        <v>Общая и региональная геология</v>
      </c>
    </row>
    <row r="387" spans="1:13" ht="30" hidden="1" customHeight="1" x14ac:dyDescent="0.25">
      <c r="A387" s="41" t="s">
        <v>2175</v>
      </c>
      <c r="B387" s="25" t="s">
        <v>1649</v>
      </c>
      <c r="C387" s="29" t="s">
        <v>665</v>
      </c>
      <c r="D387" s="29" t="s">
        <v>666</v>
      </c>
      <c r="E387" s="25" t="s">
        <v>1732</v>
      </c>
      <c r="F387" s="26" t="s">
        <v>179</v>
      </c>
      <c r="G387" s="27" t="s">
        <v>523</v>
      </c>
      <c r="H387" s="27" t="s">
        <v>960</v>
      </c>
      <c r="I387" s="27"/>
      <c r="J387" s="27" t="s">
        <v>989</v>
      </c>
      <c r="K387" s="106" t="str">
        <f t="shared" si="17"/>
        <v>А</v>
      </c>
      <c r="L387" s="106" t="str">
        <f t="shared" si="18"/>
        <v>З</v>
      </c>
      <c r="M387" s="107" t="str">
        <f t="shared" si="19"/>
        <v>Геология, поиски и разведка твердых полезных ископаемых, минерагения</v>
      </c>
    </row>
    <row r="388" spans="1:13" ht="30" hidden="1" customHeight="1" x14ac:dyDescent="0.25">
      <c r="A388" s="41" t="s">
        <v>2176</v>
      </c>
      <c r="B388" s="25" t="s">
        <v>1649</v>
      </c>
      <c r="C388" s="29" t="s">
        <v>665</v>
      </c>
      <c r="D388" s="29" t="s">
        <v>666</v>
      </c>
      <c r="E388" s="25" t="s">
        <v>1732</v>
      </c>
      <c r="F388" s="26" t="s">
        <v>179</v>
      </c>
      <c r="G388" s="27" t="s">
        <v>523</v>
      </c>
      <c r="H388" s="27" t="s">
        <v>959</v>
      </c>
      <c r="I388" s="27"/>
      <c r="J388" s="27" t="s">
        <v>989</v>
      </c>
      <c r="K388" s="106" t="str">
        <f t="shared" ref="K388:K451" si="20">LEFT(F388, 1)</f>
        <v>А</v>
      </c>
      <c r="L388" s="106" t="str">
        <f t="shared" ref="L388:L451" si="21">IF(C388="очная","Д",IF(C388="Очно-заочная","В",IF(C388="Заочная","З","-")))</f>
        <v>З</v>
      </c>
      <c r="M388" s="107" t="str">
        <f t="shared" ref="M388:M451" si="22">CONCATENATE(H388,IF(D388="Русский","",CONCATENATE(" (",D388," язык)")),IF(I388&gt;0,CONCATENATE(" (Вуз-партнёр - ",I388,")"),""))</f>
        <v>Геология, поиски и разведка нефтяных и газовых месторождений</v>
      </c>
    </row>
    <row r="389" spans="1:13" ht="30" hidden="1" customHeight="1" x14ac:dyDescent="0.25">
      <c r="A389" s="41" t="s">
        <v>2177</v>
      </c>
      <c r="B389" s="25" t="s">
        <v>1656</v>
      </c>
      <c r="C389" s="29" t="s">
        <v>665</v>
      </c>
      <c r="D389" s="29" t="s">
        <v>666</v>
      </c>
      <c r="E389" s="25" t="s">
        <v>1732</v>
      </c>
      <c r="F389" s="26" t="s">
        <v>179</v>
      </c>
      <c r="G389" s="27" t="s">
        <v>121</v>
      </c>
      <c r="H389" s="27" t="s">
        <v>957</v>
      </c>
      <c r="I389" s="27"/>
      <c r="J389" s="27" t="s">
        <v>989</v>
      </c>
      <c r="K389" s="106" t="str">
        <f t="shared" si="20"/>
        <v>А</v>
      </c>
      <c r="L389" s="106" t="str">
        <f t="shared" si="21"/>
        <v>З</v>
      </c>
      <c r="M389" s="107" t="str">
        <f t="shared" si="22"/>
        <v>Архитектура зданий и сооружений. Творческие концепции архитектурной деятельности</v>
      </c>
    </row>
    <row r="390" spans="1:13" customFormat="1" ht="30" hidden="1" customHeight="1" x14ac:dyDescent="0.25">
      <c r="A390" s="41" t="s">
        <v>2178</v>
      </c>
      <c r="B390" s="25" t="s">
        <v>1657</v>
      </c>
      <c r="C390" s="29" t="s">
        <v>665</v>
      </c>
      <c r="D390" s="29" t="s">
        <v>666</v>
      </c>
      <c r="E390" s="25" t="s">
        <v>3123</v>
      </c>
      <c r="F390" s="26" t="s">
        <v>179</v>
      </c>
      <c r="G390" s="27" t="s">
        <v>991</v>
      </c>
      <c r="H390" s="27" t="s">
        <v>970</v>
      </c>
      <c r="I390" s="27"/>
      <c r="J390" s="27" t="s">
        <v>989</v>
      </c>
      <c r="K390" s="106" t="str">
        <f t="shared" si="20"/>
        <v>А</v>
      </c>
      <c r="L390" s="106" t="str">
        <f t="shared" si="21"/>
        <v>З</v>
      </c>
      <c r="M390" s="107" t="str">
        <f t="shared" si="22"/>
        <v>Строительная механика</v>
      </c>
    </row>
    <row r="391" spans="1:13" ht="30" hidden="1" customHeight="1" x14ac:dyDescent="0.25">
      <c r="A391" s="41" t="s">
        <v>2179</v>
      </c>
      <c r="B391" s="25" t="s">
        <v>1657</v>
      </c>
      <c r="C391" s="29" t="s">
        <v>665</v>
      </c>
      <c r="D391" s="29" t="s">
        <v>666</v>
      </c>
      <c r="E391" s="25" t="s">
        <v>3123</v>
      </c>
      <c r="F391" s="26" t="s">
        <v>179</v>
      </c>
      <c r="G391" s="27" t="s">
        <v>991</v>
      </c>
      <c r="H391" s="27" t="s">
        <v>958</v>
      </c>
      <c r="I391" s="27"/>
      <c r="J391" s="27" t="s">
        <v>989</v>
      </c>
      <c r="K391" s="106" t="str">
        <f t="shared" si="20"/>
        <v>А</v>
      </c>
      <c r="L391" s="106" t="str">
        <f t="shared" si="21"/>
        <v>З</v>
      </c>
      <c r="M391" s="107" t="str">
        <f t="shared" si="22"/>
        <v>Водоснабжение, канализация, строительные системы охраны водных ресурсов</v>
      </c>
    </row>
    <row r="392" spans="1:13" ht="30" hidden="1" customHeight="1" x14ac:dyDescent="0.25">
      <c r="A392" s="41" t="s">
        <v>2180</v>
      </c>
      <c r="B392" s="25" t="s">
        <v>1657</v>
      </c>
      <c r="C392" s="29" t="s">
        <v>665</v>
      </c>
      <c r="D392" s="29" t="s">
        <v>666</v>
      </c>
      <c r="E392" s="25" t="s">
        <v>3123</v>
      </c>
      <c r="F392" s="26" t="s">
        <v>179</v>
      </c>
      <c r="G392" s="27" t="s">
        <v>991</v>
      </c>
      <c r="H392" s="27" t="s">
        <v>962</v>
      </c>
      <c r="I392" s="27"/>
      <c r="J392" s="27" t="s">
        <v>989</v>
      </c>
      <c r="K392" s="106" t="str">
        <f t="shared" si="20"/>
        <v>А</v>
      </c>
      <c r="L392" s="106" t="str">
        <f t="shared" si="21"/>
        <v>З</v>
      </c>
      <c r="M392" s="107" t="str">
        <f t="shared" si="22"/>
        <v>Гидравлика и инженерная гидрология</v>
      </c>
    </row>
    <row r="393" spans="1:13" customFormat="1" ht="30" hidden="1" customHeight="1" x14ac:dyDescent="0.25">
      <c r="A393" s="41" t="s">
        <v>2181</v>
      </c>
      <c r="B393" s="25" t="s">
        <v>1657</v>
      </c>
      <c r="C393" s="29" t="s">
        <v>665</v>
      </c>
      <c r="D393" s="29" t="s">
        <v>666</v>
      </c>
      <c r="E393" s="25" t="s">
        <v>3123</v>
      </c>
      <c r="F393" s="26" t="s">
        <v>179</v>
      </c>
      <c r="G393" s="27" t="s">
        <v>991</v>
      </c>
      <c r="H393" s="27" t="s">
        <v>963</v>
      </c>
      <c r="I393" s="27"/>
      <c r="J393" s="27" t="s">
        <v>989</v>
      </c>
      <c r="K393" s="106" t="str">
        <f t="shared" si="20"/>
        <v>А</v>
      </c>
      <c r="L393" s="106" t="str">
        <f t="shared" si="21"/>
        <v>З</v>
      </c>
      <c r="M393" s="107" t="str">
        <f t="shared" si="22"/>
        <v>Гидротехническое строительство</v>
      </c>
    </row>
    <row r="394" spans="1:13" customFormat="1" ht="30" hidden="1" customHeight="1" x14ac:dyDescent="0.25">
      <c r="A394" s="41" t="s">
        <v>2182</v>
      </c>
      <c r="B394" s="25" t="s">
        <v>1657</v>
      </c>
      <c r="C394" s="29" t="s">
        <v>665</v>
      </c>
      <c r="D394" s="29" t="s">
        <v>666</v>
      </c>
      <c r="E394" s="25" t="s">
        <v>3123</v>
      </c>
      <c r="F394" s="26" t="s">
        <v>179</v>
      </c>
      <c r="G394" s="27" t="s">
        <v>991</v>
      </c>
      <c r="H394" s="27" t="s">
        <v>971</v>
      </c>
      <c r="I394" s="27"/>
      <c r="J394" s="27" t="s">
        <v>989</v>
      </c>
      <c r="K394" s="106" t="str">
        <f t="shared" si="20"/>
        <v>А</v>
      </c>
      <c r="L394" s="106" t="str">
        <f t="shared" si="21"/>
        <v>З</v>
      </c>
      <c r="M394" s="107" t="str">
        <f t="shared" si="22"/>
        <v>Строительные конструкции, здания и сооружения</v>
      </c>
    </row>
    <row r="395" spans="1:13" customFormat="1" ht="30" hidden="1" customHeight="1" x14ac:dyDescent="0.25">
      <c r="A395" s="41" t="s">
        <v>2183</v>
      </c>
      <c r="B395" s="25" t="s">
        <v>1657</v>
      </c>
      <c r="C395" s="29" t="s">
        <v>665</v>
      </c>
      <c r="D395" s="29" t="s">
        <v>666</v>
      </c>
      <c r="E395" s="25" t="s">
        <v>3123</v>
      </c>
      <c r="F395" s="26" t="s">
        <v>179</v>
      </c>
      <c r="G395" s="27" t="s">
        <v>991</v>
      </c>
      <c r="H395" s="27" t="s">
        <v>975</v>
      </c>
      <c r="I395" s="27"/>
      <c r="J395" s="27" t="s">
        <v>989</v>
      </c>
      <c r="K395" s="106" t="str">
        <f t="shared" si="20"/>
        <v>А</v>
      </c>
      <c r="L395" s="106" t="str">
        <f t="shared" si="21"/>
        <v>З</v>
      </c>
      <c r="M395" s="107" t="str">
        <f t="shared" si="22"/>
        <v>Технология и организация строительства</v>
      </c>
    </row>
    <row r="396" spans="1:13" customFormat="1" ht="30" hidden="1" customHeight="1" x14ac:dyDescent="0.25">
      <c r="A396" s="41" t="s">
        <v>2184</v>
      </c>
      <c r="B396" s="25" t="s">
        <v>1658</v>
      </c>
      <c r="C396" s="29" t="s">
        <v>665</v>
      </c>
      <c r="D396" s="29" t="s">
        <v>666</v>
      </c>
      <c r="E396" s="25" t="s">
        <v>3123</v>
      </c>
      <c r="F396" s="26" t="s">
        <v>179</v>
      </c>
      <c r="G396" s="27" t="s">
        <v>524</v>
      </c>
      <c r="H396" s="27" t="s">
        <v>969</v>
      </c>
      <c r="I396" s="27"/>
      <c r="J396" s="27" t="s">
        <v>989</v>
      </c>
      <c r="K396" s="106" t="str">
        <f t="shared" si="20"/>
        <v>А</v>
      </c>
      <c r="L396" s="106" t="str">
        <f t="shared" si="21"/>
        <v>З</v>
      </c>
      <c r="M396" s="107" t="str">
        <f t="shared" si="22"/>
        <v>Системный анализ, управление и обработка информации (технические науки)</v>
      </c>
    </row>
    <row r="397" spans="1:13" customFormat="1" ht="30" hidden="1" customHeight="1" x14ac:dyDescent="0.25">
      <c r="A397" s="41" t="s">
        <v>2185</v>
      </c>
      <c r="B397" s="25" t="s">
        <v>1658</v>
      </c>
      <c r="C397" s="29" t="s">
        <v>665</v>
      </c>
      <c r="D397" s="29" t="s">
        <v>666</v>
      </c>
      <c r="E397" s="25" t="s">
        <v>3123</v>
      </c>
      <c r="F397" s="26" t="s">
        <v>179</v>
      </c>
      <c r="G397" s="27" t="s">
        <v>524</v>
      </c>
      <c r="H397" s="27" t="s">
        <v>980</v>
      </c>
      <c r="I397" s="27"/>
      <c r="J397" s="27" t="s">
        <v>989</v>
      </c>
      <c r="K397" s="106" t="str">
        <f t="shared" si="20"/>
        <v>А</v>
      </c>
      <c r="L397" s="106" t="str">
        <f t="shared" si="21"/>
        <v>З</v>
      </c>
      <c r="M397" s="107" t="str">
        <f t="shared" si="22"/>
        <v>Элементы и устройства вычислительной техники и систем управления (технические науки)</v>
      </c>
    </row>
    <row r="398" spans="1:13" customFormat="1" ht="30" hidden="1" customHeight="1" x14ac:dyDescent="0.25">
      <c r="A398" s="41" t="s">
        <v>2193</v>
      </c>
      <c r="B398" s="25" t="s">
        <v>1658</v>
      </c>
      <c r="C398" s="29" t="s">
        <v>665</v>
      </c>
      <c r="D398" s="29" t="s">
        <v>666</v>
      </c>
      <c r="E398" s="25" t="s">
        <v>3123</v>
      </c>
      <c r="F398" s="26" t="s">
        <v>179</v>
      </c>
      <c r="G398" s="27" t="s">
        <v>524</v>
      </c>
      <c r="H398" s="27" t="s">
        <v>977</v>
      </c>
      <c r="I398" s="27"/>
      <c r="J398" s="27" t="s">
        <v>989</v>
      </c>
      <c r="K398" s="106" t="str">
        <f t="shared" si="20"/>
        <v>А</v>
      </c>
      <c r="L398" s="106" t="str">
        <f t="shared" si="21"/>
        <v>З</v>
      </c>
      <c r="M398" s="107" t="str">
        <f t="shared" si="22"/>
        <v>Управление в социальных и экономических системах (технические науки)</v>
      </c>
    </row>
    <row r="399" spans="1:13" customFormat="1" ht="30" hidden="1" customHeight="1" x14ac:dyDescent="0.25">
      <c r="A399" s="41" t="s">
        <v>2191</v>
      </c>
      <c r="B399" s="25" t="s">
        <v>1659</v>
      </c>
      <c r="C399" s="29" t="s">
        <v>665</v>
      </c>
      <c r="D399" s="29" t="s">
        <v>666</v>
      </c>
      <c r="E399" s="25" t="s">
        <v>3123</v>
      </c>
      <c r="F399" s="26" t="s">
        <v>179</v>
      </c>
      <c r="G399" s="27" t="s">
        <v>993</v>
      </c>
      <c r="H399" s="27" t="s">
        <v>973</v>
      </c>
      <c r="I399" s="27"/>
      <c r="J399" s="27" t="s">
        <v>989</v>
      </c>
      <c r="K399" s="106" t="str">
        <f t="shared" si="20"/>
        <v>А</v>
      </c>
      <c r="L399" s="106" t="str">
        <f t="shared" si="21"/>
        <v>З</v>
      </c>
      <c r="M399" s="107" t="str">
        <f t="shared" si="22"/>
        <v>Тепловые двигатели</v>
      </c>
    </row>
    <row r="400" spans="1:13" customFormat="1" ht="30" hidden="1" customHeight="1" x14ac:dyDescent="0.25">
      <c r="A400" s="41" t="s">
        <v>2192</v>
      </c>
      <c r="B400" s="25" t="s">
        <v>1659</v>
      </c>
      <c r="C400" s="29" t="s">
        <v>665</v>
      </c>
      <c r="D400" s="29" t="s">
        <v>666</v>
      </c>
      <c r="E400" s="25" t="s">
        <v>3123</v>
      </c>
      <c r="F400" s="26" t="s">
        <v>179</v>
      </c>
      <c r="G400" s="27" t="s">
        <v>993</v>
      </c>
      <c r="H400" s="27" t="s">
        <v>976</v>
      </c>
      <c r="I400" s="27"/>
      <c r="J400" s="27" t="s">
        <v>989</v>
      </c>
      <c r="K400" s="106" t="str">
        <f t="shared" si="20"/>
        <v>А</v>
      </c>
      <c r="L400" s="106" t="str">
        <f t="shared" si="21"/>
        <v>З</v>
      </c>
      <c r="M400" s="107" t="str">
        <f t="shared" si="22"/>
        <v>Турбомашины и комбинированные турбоустановки</v>
      </c>
    </row>
    <row r="401" spans="1:13" customFormat="1" ht="30" hidden="1" customHeight="1" x14ac:dyDescent="0.25">
      <c r="A401" s="41" t="s">
        <v>2190</v>
      </c>
      <c r="B401" s="25" t="s">
        <v>1660</v>
      </c>
      <c r="C401" s="29" t="s">
        <v>665</v>
      </c>
      <c r="D401" s="29" t="s">
        <v>666</v>
      </c>
      <c r="E401" s="25" t="s">
        <v>3123</v>
      </c>
      <c r="F401" s="26" t="s">
        <v>179</v>
      </c>
      <c r="G401" s="27" t="s">
        <v>525</v>
      </c>
      <c r="H401" s="27" t="s">
        <v>974</v>
      </c>
      <c r="I401" s="27"/>
      <c r="J401" s="27" t="s">
        <v>989</v>
      </c>
      <c r="K401" s="106" t="str">
        <f t="shared" si="20"/>
        <v>А</v>
      </c>
      <c r="L401" s="106" t="str">
        <f t="shared" si="21"/>
        <v>З</v>
      </c>
      <c r="M401" s="107" t="str">
        <f t="shared" si="22"/>
        <v>Технология и оборудование механической и физико-технической обработки</v>
      </c>
    </row>
    <row r="402" spans="1:13" customFormat="1" ht="30" hidden="1" customHeight="1" x14ac:dyDescent="0.25">
      <c r="A402" s="41" t="s">
        <v>2186</v>
      </c>
      <c r="B402" s="25" t="s">
        <v>1661</v>
      </c>
      <c r="C402" s="29" t="s">
        <v>665</v>
      </c>
      <c r="D402" s="29" t="s">
        <v>666</v>
      </c>
      <c r="E402" s="25" t="s">
        <v>3123</v>
      </c>
      <c r="F402" s="26" t="s">
        <v>179</v>
      </c>
      <c r="G402" s="27" t="s">
        <v>996</v>
      </c>
      <c r="H402" s="27" t="s">
        <v>964</v>
      </c>
      <c r="I402" s="27"/>
      <c r="J402" s="27" t="s">
        <v>989</v>
      </c>
      <c r="K402" s="106" t="str">
        <f t="shared" si="20"/>
        <v>А</v>
      </c>
      <c r="L402" s="106" t="str">
        <f t="shared" si="21"/>
        <v>З</v>
      </c>
      <c r="M402" s="107" t="str">
        <f t="shared" si="22"/>
        <v>Горнопромышленная и нефтегазопромысловая геология, геофизика, маркшейдерское дело и геометрия недр</v>
      </c>
    </row>
    <row r="403" spans="1:13" customFormat="1" ht="30" hidden="1" customHeight="1" x14ac:dyDescent="0.25">
      <c r="A403" s="41" t="s">
        <v>2187</v>
      </c>
      <c r="B403" s="25" t="s">
        <v>1661</v>
      </c>
      <c r="C403" s="29" t="s">
        <v>665</v>
      </c>
      <c r="D403" s="29" t="s">
        <v>666</v>
      </c>
      <c r="E403" s="25" t="s">
        <v>3123</v>
      </c>
      <c r="F403" s="26" t="s">
        <v>179</v>
      </c>
      <c r="G403" s="27" t="s">
        <v>996</v>
      </c>
      <c r="H403" s="27" t="s">
        <v>968</v>
      </c>
      <c r="I403" s="27"/>
      <c r="J403" s="27" t="s">
        <v>989</v>
      </c>
      <c r="K403" s="106" t="str">
        <f t="shared" si="20"/>
        <v>А</v>
      </c>
      <c r="L403" s="106" t="str">
        <f t="shared" si="21"/>
        <v>З</v>
      </c>
      <c r="M403" s="107" t="str">
        <f t="shared" si="22"/>
        <v>Разработка и эксплуатация нефтяных и газовых месторождений</v>
      </c>
    </row>
    <row r="404" spans="1:13" customFormat="1" ht="30" hidden="1" customHeight="1" x14ac:dyDescent="0.25">
      <c r="A404" s="41" t="s">
        <v>2188</v>
      </c>
      <c r="B404" s="25" t="s">
        <v>1661</v>
      </c>
      <c r="C404" s="29" t="s">
        <v>665</v>
      </c>
      <c r="D404" s="29" t="s">
        <v>666</v>
      </c>
      <c r="E404" s="25" t="s">
        <v>3123</v>
      </c>
      <c r="F404" s="26" t="s">
        <v>179</v>
      </c>
      <c r="G404" s="27" t="s">
        <v>996</v>
      </c>
      <c r="H404" s="27" t="s">
        <v>961</v>
      </c>
      <c r="I404" s="27"/>
      <c r="J404" s="27" t="s">
        <v>989</v>
      </c>
      <c r="K404" s="106" t="str">
        <f t="shared" si="20"/>
        <v>А</v>
      </c>
      <c r="L404" s="106" t="str">
        <f t="shared" si="21"/>
        <v>З</v>
      </c>
      <c r="M404" s="107" t="str">
        <f t="shared" si="22"/>
        <v>Геотехнология (подземная, открытая и строительная)</v>
      </c>
    </row>
    <row r="405" spans="1:13" customFormat="1" ht="30" hidden="1" customHeight="1" x14ac:dyDescent="0.25">
      <c r="A405" s="41" t="s">
        <v>2189</v>
      </c>
      <c r="B405" s="25" t="s">
        <v>1662</v>
      </c>
      <c r="C405" s="29" t="s">
        <v>665</v>
      </c>
      <c r="D405" s="29" t="s">
        <v>666</v>
      </c>
      <c r="E405" s="25" t="s">
        <v>3123</v>
      </c>
      <c r="F405" s="26" t="s">
        <v>179</v>
      </c>
      <c r="G405" s="27" t="s">
        <v>997</v>
      </c>
      <c r="H405" s="27" t="s">
        <v>979</v>
      </c>
      <c r="I405" s="27"/>
      <c r="J405" s="27" t="s">
        <v>989</v>
      </c>
      <c r="K405" s="106" t="str">
        <f t="shared" si="20"/>
        <v>А</v>
      </c>
      <c r="L405" s="106" t="str">
        <f t="shared" si="21"/>
        <v>З</v>
      </c>
      <c r="M405" s="107" t="str">
        <f t="shared" si="22"/>
        <v>Эксплуатация автомобильного транспорта</v>
      </c>
    </row>
    <row r="406" spans="1:13" customFormat="1" ht="30" hidden="1" customHeight="1" x14ac:dyDescent="0.25">
      <c r="A406" s="41" t="s">
        <v>1232</v>
      </c>
      <c r="B406" s="25" t="s">
        <v>1233</v>
      </c>
      <c r="C406" s="29" t="s">
        <v>664</v>
      </c>
      <c r="D406" s="29" t="s">
        <v>666</v>
      </c>
      <c r="E406" s="25" t="s">
        <v>3126</v>
      </c>
      <c r="F406" s="26" t="s">
        <v>115</v>
      </c>
      <c r="G406" s="27" t="s">
        <v>101</v>
      </c>
      <c r="H406" s="27" t="s">
        <v>177</v>
      </c>
      <c r="I406" s="27"/>
      <c r="J406" s="27" t="s">
        <v>1004</v>
      </c>
      <c r="K406" s="106" t="str">
        <f t="shared" si="20"/>
        <v>М</v>
      </c>
      <c r="L406" s="106" t="str">
        <f t="shared" si="21"/>
        <v>Д</v>
      </c>
      <c r="M406" s="107" t="str">
        <f t="shared" si="22"/>
        <v>Биохимические технологии и нанотехнологии</v>
      </c>
    </row>
    <row r="407" spans="1:13" customFormat="1" ht="30" hidden="1" customHeight="1" x14ac:dyDescent="0.25">
      <c r="A407" s="41" t="s">
        <v>1234</v>
      </c>
      <c r="B407" s="25" t="s">
        <v>1203</v>
      </c>
      <c r="C407" s="29" t="s">
        <v>664</v>
      </c>
      <c r="D407" s="29" t="s">
        <v>666</v>
      </c>
      <c r="E407" s="25" t="s">
        <v>3126</v>
      </c>
      <c r="F407" s="26" t="s">
        <v>115</v>
      </c>
      <c r="G407" s="27" t="s">
        <v>435</v>
      </c>
      <c r="H407" s="27" t="s">
        <v>586</v>
      </c>
      <c r="I407" s="27"/>
      <c r="J407" s="27" t="s">
        <v>1004</v>
      </c>
      <c r="K407" s="106" t="str">
        <f t="shared" si="20"/>
        <v>М</v>
      </c>
      <c r="L407" s="106" t="str">
        <f t="shared" si="21"/>
        <v>Д</v>
      </c>
      <c r="M407" s="107" t="str">
        <f t="shared" si="22"/>
        <v>Инновационные технологии и нанотехнологии в медицине, фармацевтике и биотехнологии</v>
      </c>
    </row>
    <row r="408" spans="1:13" customFormat="1" ht="30" hidden="1" customHeight="1" x14ac:dyDescent="0.25">
      <c r="A408" s="41" t="s">
        <v>1235</v>
      </c>
      <c r="B408" s="25" t="s">
        <v>1236</v>
      </c>
      <c r="C408" s="29" t="s">
        <v>664</v>
      </c>
      <c r="D408" s="29" t="s">
        <v>666</v>
      </c>
      <c r="E408" s="25" t="s">
        <v>3126</v>
      </c>
      <c r="F408" s="26" t="s">
        <v>115</v>
      </c>
      <c r="G408" s="27" t="s">
        <v>569</v>
      </c>
      <c r="H408" s="27" t="s">
        <v>587</v>
      </c>
      <c r="I408" s="27"/>
      <c r="J408" s="27" t="s">
        <v>1004</v>
      </c>
      <c r="K408" s="106" t="str">
        <f t="shared" si="20"/>
        <v>М</v>
      </c>
      <c r="L408" s="106" t="str">
        <f t="shared" si="21"/>
        <v>Д</v>
      </c>
      <c r="M408" s="107" t="str">
        <f t="shared" si="22"/>
        <v>Биофармацевтические технологии и управление фармпроизводством</v>
      </c>
    </row>
    <row r="409" spans="1:13" customFormat="1" ht="30" hidden="1" customHeight="1" x14ac:dyDescent="0.25">
      <c r="A409" s="41" t="s">
        <v>1237</v>
      </c>
      <c r="B409" s="25" t="s">
        <v>1233</v>
      </c>
      <c r="C409" s="29" t="s">
        <v>663</v>
      </c>
      <c r="D409" s="29" t="s">
        <v>666</v>
      </c>
      <c r="E409" s="25" t="s">
        <v>3127</v>
      </c>
      <c r="F409" s="26" t="s">
        <v>115</v>
      </c>
      <c r="G409" s="27" t="s">
        <v>101</v>
      </c>
      <c r="H409" s="27" t="s">
        <v>177</v>
      </c>
      <c r="I409" s="27"/>
      <c r="J409" s="27" t="s">
        <v>1004</v>
      </c>
      <c r="K409" s="106" t="str">
        <f t="shared" si="20"/>
        <v>М</v>
      </c>
      <c r="L409" s="106" t="str">
        <f t="shared" si="21"/>
        <v>В</v>
      </c>
      <c r="M409" s="107" t="str">
        <f t="shared" si="22"/>
        <v>Биохимические технологии и нанотехнологии</v>
      </c>
    </row>
    <row r="410" spans="1:13" customFormat="1" ht="30" hidden="1" customHeight="1" x14ac:dyDescent="0.25">
      <c r="A410" s="41" t="s">
        <v>1238</v>
      </c>
      <c r="B410" s="25" t="s">
        <v>1236</v>
      </c>
      <c r="C410" s="29" t="s">
        <v>665</v>
      </c>
      <c r="D410" s="29" t="s">
        <v>666</v>
      </c>
      <c r="E410" s="25" t="s">
        <v>3127</v>
      </c>
      <c r="F410" s="26" t="s">
        <v>115</v>
      </c>
      <c r="G410" s="27" t="s">
        <v>569</v>
      </c>
      <c r="H410" s="27" t="s">
        <v>587</v>
      </c>
      <c r="I410" s="27"/>
      <c r="J410" s="27" t="s">
        <v>1004</v>
      </c>
      <c r="K410" s="106" t="str">
        <f t="shared" si="20"/>
        <v>М</v>
      </c>
      <c r="L410" s="106" t="str">
        <f t="shared" si="21"/>
        <v>З</v>
      </c>
      <c r="M410" s="107" t="str">
        <f t="shared" si="22"/>
        <v>Биофармацевтические технологии и управление фармпроизводством</v>
      </c>
    </row>
    <row r="411" spans="1:13" customFormat="1" ht="30" hidden="1" customHeight="1" x14ac:dyDescent="0.25">
      <c r="A411" s="41" t="s">
        <v>2239</v>
      </c>
      <c r="B411" s="25" t="s">
        <v>1650</v>
      </c>
      <c r="C411" s="29" t="s">
        <v>664</v>
      </c>
      <c r="D411" s="29" t="s">
        <v>666</v>
      </c>
      <c r="E411" s="25" t="s">
        <v>1732</v>
      </c>
      <c r="F411" s="26" t="s">
        <v>179</v>
      </c>
      <c r="G411" s="27" t="s">
        <v>530</v>
      </c>
      <c r="H411" s="27" t="s">
        <v>404</v>
      </c>
      <c r="I411" s="27"/>
      <c r="J411" s="27" t="s">
        <v>1004</v>
      </c>
      <c r="K411" s="106" t="str">
        <f t="shared" si="20"/>
        <v>А</v>
      </c>
      <c r="L411" s="106" t="str">
        <f t="shared" si="21"/>
        <v>Д</v>
      </c>
      <c r="M411" s="107" t="str">
        <f t="shared" si="22"/>
        <v>Биотехнология (в т.ч. бионанотехнологии)</v>
      </c>
    </row>
    <row r="412" spans="1:13" customFormat="1" ht="30" hidden="1" customHeight="1" x14ac:dyDescent="0.25">
      <c r="A412" s="41" t="s">
        <v>1856</v>
      </c>
      <c r="B412" s="25" t="s">
        <v>2238</v>
      </c>
      <c r="C412" s="29" t="s">
        <v>664</v>
      </c>
      <c r="D412" s="29" t="s">
        <v>666</v>
      </c>
      <c r="E412" s="25" t="s">
        <v>1732</v>
      </c>
      <c r="F412" s="26" t="s">
        <v>179</v>
      </c>
      <c r="G412" s="27" t="s">
        <v>1857</v>
      </c>
      <c r="H412" s="27" t="s">
        <v>1857</v>
      </c>
      <c r="I412" s="27"/>
      <c r="J412" s="27" t="s">
        <v>1004</v>
      </c>
      <c r="K412" s="106" t="str">
        <f t="shared" si="20"/>
        <v>А</v>
      </c>
      <c r="L412" s="106" t="str">
        <f t="shared" si="21"/>
        <v>Д</v>
      </c>
      <c r="M412" s="107" t="str">
        <f t="shared" si="22"/>
        <v>Биотехнология</v>
      </c>
    </row>
    <row r="413" spans="1:13" customFormat="1" ht="30" hidden="1" customHeight="1" x14ac:dyDescent="0.25">
      <c r="A413" s="41" t="s">
        <v>2240</v>
      </c>
      <c r="B413" s="25" t="s">
        <v>1586</v>
      </c>
      <c r="C413" s="29" t="s">
        <v>664</v>
      </c>
      <c r="D413" s="29" t="s">
        <v>666</v>
      </c>
      <c r="E413" s="25" t="s">
        <v>3123</v>
      </c>
      <c r="F413" s="26" t="s">
        <v>662</v>
      </c>
      <c r="G413" s="27" t="s">
        <v>161</v>
      </c>
      <c r="H413" s="27" t="s">
        <v>985</v>
      </c>
      <c r="I413" s="27"/>
      <c r="J413" s="27" t="s">
        <v>2241</v>
      </c>
      <c r="K413" s="106" t="str">
        <f t="shared" si="20"/>
        <v>С</v>
      </c>
      <c r="L413" s="106" t="str">
        <f t="shared" si="21"/>
        <v>Д</v>
      </c>
      <c r="M413" s="107" t="str">
        <f t="shared" si="22"/>
        <v>Таможенное регулирование внешнеэкономической деятельности</v>
      </c>
    </row>
    <row r="414" spans="1:13" ht="30" hidden="1" customHeight="1" x14ac:dyDescent="0.25">
      <c r="A414" s="41" t="s">
        <v>2242</v>
      </c>
      <c r="B414" s="25" t="s">
        <v>1586</v>
      </c>
      <c r="C414" s="29" t="s">
        <v>664</v>
      </c>
      <c r="D414" s="29" t="s">
        <v>666</v>
      </c>
      <c r="E414" s="25" t="s">
        <v>3123</v>
      </c>
      <c r="F414" s="26" t="s">
        <v>662</v>
      </c>
      <c r="G414" s="27" t="s">
        <v>161</v>
      </c>
      <c r="H414" s="27" t="s">
        <v>1021</v>
      </c>
      <c r="I414" s="27"/>
      <c r="J414" s="27" t="s">
        <v>2241</v>
      </c>
      <c r="K414" s="106" t="str">
        <f t="shared" si="20"/>
        <v>С</v>
      </c>
      <c r="L414" s="106" t="str">
        <f t="shared" si="21"/>
        <v>Д</v>
      </c>
      <c r="M414" s="107" t="str">
        <f t="shared" si="22"/>
        <v>ВЭД в условиях цифровизации экономики</v>
      </c>
    </row>
    <row r="415" spans="1:13" ht="30" hidden="1" customHeight="1" x14ac:dyDescent="0.25">
      <c r="A415" s="41" t="s">
        <v>2245</v>
      </c>
      <c r="B415" s="25" t="s">
        <v>1586</v>
      </c>
      <c r="C415" s="29" t="s">
        <v>664</v>
      </c>
      <c r="D415" s="29" t="s">
        <v>666</v>
      </c>
      <c r="E415" s="25" t="s">
        <v>3123</v>
      </c>
      <c r="F415" s="26" t="s">
        <v>662</v>
      </c>
      <c r="G415" s="27" t="s">
        <v>161</v>
      </c>
      <c r="H415" s="27" t="s">
        <v>987</v>
      </c>
      <c r="I415" s="27"/>
      <c r="J415" s="27" t="s">
        <v>2241</v>
      </c>
      <c r="K415" s="106" t="str">
        <f t="shared" si="20"/>
        <v>С</v>
      </c>
      <c r="L415" s="106" t="str">
        <f t="shared" si="21"/>
        <v>Д</v>
      </c>
      <c r="M415" s="107" t="str">
        <f t="shared" si="22"/>
        <v>Таможенный контроль</v>
      </c>
    </row>
    <row r="416" spans="1:13" customFormat="1" ht="30" hidden="1" customHeight="1" x14ac:dyDescent="0.25">
      <c r="A416" s="41" t="s">
        <v>2243</v>
      </c>
      <c r="B416" s="25" t="s">
        <v>1586</v>
      </c>
      <c r="C416" s="29" t="s">
        <v>663</v>
      </c>
      <c r="D416" s="29" t="s">
        <v>666</v>
      </c>
      <c r="E416" s="25" t="s">
        <v>3124</v>
      </c>
      <c r="F416" s="26" t="s">
        <v>662</v>
      </c>
      <c r="G416" s="27" t="s">
        <v>161</v>
      </c>
      <c r="H416" s="27" t="s">
        <v>1021</v>
      </c>
      <c r="I416" s="27"/>
      <c r="J416" s="27" t="s">
        <v>2241</v>
      </c>
      <c r="K416" s="106" t="str">
        <f t="shared" si="20"/>
        <v>С</v>
      </c>
      <c r="L416" s="106" t="str">
        <f t="shared" si="21"/>
        <v>В</v>
      </c>
      <c r="M416" s="107" t="str">
        <f t="shared" si="22"/>
        <v>ВЭД в условиях цифровизации экономики</v>
      </c>
    </row>
    <row r="417" spans="1:13" ht="30" hidden="1" customHeight="1" x14ac:dyDescent="0.25">
      <c r="A417" s="41" t="s">
        <v>2246</v>
      </c>
      <c r="B417" s="25" t="s">
        <v>1586</v>
      </c>
      <c r="C417" s="29" t="s">
        <v>663</v>
      </c>
      <c r="D417" s="29" t="s">
        <v>666</v>
      </c>
      <c r="E417" s="25" t="s">
        <v>3124</v>
      </c>
      <c r="F417" s="26" t="s">
        <v>662</v>
      </c>
      <c r="G417" s="27" t="s">
        <v>161</v>
      </c>
      <c r="H417" s="27" t="s">
        <v>987</v>
      </c>
      <c r="I417" s="27"/>
      <c r="J417" s="27" t="s">
        <v>2241</v>
      </c>
      <c r="K417" s="106" t="str">
        <f t="shared" si="20"/>
        <v>С</v>
      </c>
      <c r="L417" s="106" t="str">
        <f t="shared" si="21"/>
        <v>В</v>
      </c>
      <c r="M417" s="107" t="str">
        <f t="shared" si="22"/>
        <v>Таможенный контроль</v>
      </c>
    </row>
    <row r="418" spans="1:13" ht="30" hidden="1" customHeight="1" x14ac:dyDescent="0.25">
      <c r="A418" s="41" t="s">
        <v>2244</v>
      </c>
      <c r="B418" s="25" t="s">
        <v>1586</v>
      </c>
      <c r="C418" s="29" t="s">
        <v>665</v>
      </c>
      <c r="D418" s="29" t="s">
        <v>666</v>
      </c>
      <c r="E418" s="25" t="s">
        <v>3124</v>
      </c>
      <c r="F418" s="26" t="s">
        <v>662</v>
      </c>
      <c r="G418" s="27" t="s">
        <v>161</v>
      </c>
      <c r="H418" s="27" t="s">
        <v>1021</v>
      </c>
      <c r="I418" s="27"/>
      <c r="J418" s="27" t="s">
        <v>2241</v>
      </c>
      <c r="K418" s="106" t="str">
        <f t="shared" si="20"/>
        <v>С</v>
      </c>
      <c r="L418" s="106" t="str">
        <f t="shared" si="21"/>
        <v>З</v>
      </c>
      <c r="M418" s="107" t="str">
        <f t="shared" si="22"/>
        <v>ВЭД в условиях цифровизации экономики</v>
      </c>
    </row>
    <row r="419" spans="1:13" ht="30" hidden="1" customHeight="1" x14ac:dyDescent="0.25">
      <c r="A419" s="41" t="s">
        <v>2247</v>
      </c>
      <c r="B419" s="25" t="s">
        <v>1586</v>
      </c>
      <c r="C419" s="29" t="s">
        <v>665</v>
      </c>
      <c r="D419" s="29" t="s">
        <v>666</v>
      </c>
      <c r="E419" s="25" t="s">
        <v>3124</v>
      </c>
      <c r="F419" s="26" t="s">
        <v>662</v>
      </c>
      <c r="G419" s="27" t="s">
        <v>161</v>
      </c>
      <c r="H419" s="27" t="s">
        <v>987</v>
      </c>
      <c r="I419" s="27"/>
      <c r="J419" s="27" t="s">
        <v>2241</v>
      </c>
      <c r="K419" s="106" t="str">
        <f t="shared" si="20"/>
        <v>С</v>
      </c>
      <c r="L419" s="106" t="str">
        <f t="shared" si="21"/>
        <v>З</v>
      </c>
      <c r="M419" s="107" t="str">
        <f t="shared" si="22"/>
        <v>Таможенный контроль</v>
      </c>
    </row>
    <row r="420" spans="1:13" ht="30" hidden="1" customHeight="1" x14ac:dyDescent="0.25">
      <c r="A420" s="41" t="s">
        <v>1241</v>
      </c>
      <c r="B420" s="25" t="s">
        <v>1240</v>
      </c>
      <c r="C420" s="29" t="s">
        <v>664</v>
      </c>
      <c r="D420" s="29" t="s">
        <v>666</v>
      </c>
      <c r="E420" s="25" t="s">
        <v>1732</v>
      </c>
      <c r="F420" s="26" t="s">
        <v>113</v>
      </c>
      <c r="G420" s="27" t="s">
        <v>543</v>
      </c>
      <c r="H420" s="27" t="s">
        <v>543</v>
      </c>
      <c r="I420" s="27"/>
      <c r="J420" s="27" t="s">
        <v>558</v>
      </c>
      <c r="K420" s="106" t="str">
        <f t="shared" si="20"/>
        <v>Б</v>
      </c>
      <c r="L420" s="106" t="str">
        <f t="shared" si="21"/>
        <v>Д</v>
      </c>
      <c r="M420" s="107" t="str">
        <f t="shared" si="22"/>
        <v>Сервис</v>
      </c>
    </row>
    <row r="421" spans="1:13" ht="30" hidden="1" customHeight="1" x14ac:dyDescent="0.25">
      <c r="A421" s="41" t="s">
        <v>1239</v>
      </c>
      <c r="B421" s="25" t="s">
        <v>1240</v>
      </c>
      <c r="C421" s="29" t="s">
        <v>664</v>
      </c>
      <c r="D421" s="29" t="s">
        <v>666</v>
      </c>
      <c r="E421" s="25" t="s">
        <v>1732</v>
      </c>
      <c r="F421" s="26" t="s">
        <v>113</v>
      </c>
      <c r="G421" s="27" t="s">
        <v>543</v>
      </c>
      <c r="H421" s="27" t="s">
        <v>590</v>
      </c>
      <c r="I421" s="27"/>
      <c r="J421" s="27" t="s">
        <v>558</v>
      </c>
      <c r="K421" s="106" t="str">
        <f t="shared" si="20"/>
        <v>Б</v>
      </c>
      <c r="L421" s="106" t="str">
        <f t="shared" si="21"/>
        <v>Д</v>
      </c>
      <c r="M421" s="107" t="str">
        <f t="shared" si="22"/>
        <v>Сервис международной сферы гостеприимства</v>
      </c>
    </row>
    <row r="422" spans="1:13" customFormat="1" ht="30" hidden="1" customHeight="1" x14ac:dyDescent="0.25">
      <c r="A422" s="41" t="s">
        <v>1242</v>
      </c>
      <c r="B422" s="25" t="s">
        <v>1243</v>
      </c>
      <c r="C422" s="29" t="s">
        <v>664</v>
      </c>
      <c r="D422" s="29" t="s">
        <v>666</v>
      </c>
      <c r="E422" s="25" t="s">
        <v>1732</v>
      </c>
      <c r="F422" s="26" t="s">
        <v>113</v>
      </c>
      <c r="G422" s="27" t="s">
        <v>173</v>
      </c>
      <c r="H422" s="27" t="s">
        <v>173</v>
      </c>
      <c r="I422" s="27"/>
      <c r="J422" s="27" t="s">
        <v>558</v>
      </c>
      <c r="K422" s="106" t="str">
        <f t="shared" si="20"/>
        <v>Б</v>
      </c>
      <c r="L422" s="106" t="str">
        <f t="shared" si="21"/>
        <v>Д</v>
      </c>
      <c r="M422" s="107" t="str">
        <f t="shared" si="22"/>
        <v>Туризм</v>
      </c>
    </row>
    <row r="423" spans="1:13" ht="30" hidden="1" customHeight="1" x14ac:dyDescent="0.25">
      <c r="A423" s="41" t="s">
        <v>1245</v>
      </c>
      <c r="B423" s="25" t="s">
        <v>1243</v>
      </c>
      <c r="C423" s="29" t="s">
        <v>664</v>
      </c>
      <c r="D423" s="29" t="s">
        <v>666</v>
      </c>
      <c r="E423" s="25" t="s">
        <v>1732</v>
      </c>
      <c r="F423" s="26" t="s">
        <v>113</v>
      </c>
      <c r="G423" s="27" t="s">
        <v>173</v>
      </c>
      <c r="H423" s="27" t="s">
        <v>592</v>
      </c>
      <c r="I423" s="27"/>
      <c r="J423" s="27" t="s">
        <v>558</v>
      </c>
      <c r="K423" s="106" t="str">
        <f t="shared" si="20"/>
        <v>Б</v>
      </c>
      <c r="L423" s="106" t="str">
        <f t="shared" si="21"/>
        <v>Д</v>
      </c>
      <c r="M423" s="107" t="str">
        <f t="shared" si="22"/>
        <v>Туроператорская и турагентская деятельность</v>
      </c>
    </row>
    <row r="424" spans="1:13" ht="30" hidden="1" customHeight="1" x14ac:dyDescent="0.25">
      <c r="A424" s="41" t="s">
        <v>1244</v>
      </c>
      <c r="B424" s="25" t="s">
        <v>1243</v>
      </c>
      <c r="C424" s="29" t="s">
        <v>664</v>
      </c>
      <c r="D424" s="29" t="s">
        <v>666</v>
      </c>
      <c r="E424" s="25" t="s">
        <v>1732</v>
      </c>
      <c r="F424" s="26" t="s">
        <v>113</v>
      </c>
      <c r="G424" s="27" t="s">
        <v>173</v>
      </c>
      <c r="H424" s="27" t="s">
        <v>591</v>
      </c>
      <c r="I424" s="27"/>
      <c r="J424" s="27" t="s">
        <v>558</v>
      </c>
      <c r="K424" s="106" t="str">
        <f t="shared" si="20"/>
        <v>Б</v>
      </c>
      <c r="L424" s="106" t="str">
        <f t="shared" si="21"/>
        <v>Д</v>
      </c>
      <c r="M424" s="107" t="str">
        <f t="shared" si="22"/>
        <v>Международный туризм</v>
      </c>
    </row>
    <row r="425" spans="1:13" ht="30" hidden="1" customHeight="1" x14ac:dyDescent="0.25">
      <c r="A425" s="41" t="s">
        <v>1246</v>
      </c>
      <c r="B425" s="25" t="s">
        <v>1247</v>
      </c>
      <c r="C425" s="29" t="s">
        <v>664</v>
      </c>
      <c r="D425" s="29" t="s">
        <v>666</v>
      </c>
      <c r="E425" s="25" t="s">
        <v>1732</v>
      </c>
      <c r="F425" s="26" t="s">
        <v>113</v>
      </c>
      <c r="G425" s="27" t="s">
        <v>172</v>
      </c>
      <c r="H425" s="27" t="s">
        <v>172</v>
      </c>
      <c r="I425" s="27"/>
      <c r="J425" s="27" t="s">
        <v>558</v>
      </c>
      <c r="K425" s="106" t="str">
        <f t="shared" si="20"/>
        <v>Б</v>
      </c>
      <c r="L425" s="106" t="str">
        <f t="shared" si="21"/>
        <v>Д</v>
      </c>
      <c r="M425" s="107" t="str">
        <f t="shared" si="22"/>
        <v>Гостиничное дело</v>
      </c>
    </row>
    <row r="426" spans="1:13" customFormat="1" ht="30" hidden="1" customHeight="1" x14ac:dyDescent="0.25">
      <c r="A426" s="41" t="s">
        <v>1248</v>
      </c>
      <c r="B426" s="25" t="s">
        <v>1247</v>
      </c>
      <c r="C426" s="29" t="s">
        <v>664</v>
      </c>
      <c r="D426" s="29" t="s">
        <v>666</v>
      </c>
      <c r="E426" s="25" t="s">
        <v>1732</v>
      </c>
      <c r="F426" s="26" t="s">
        <v>113</v>
      </c>
      <c r="G426" s="27" t="s">
        <v>172</v>
      </c>
      <c r="H426" s="27" t="s">
        <v>588</v>
      </c>
      <c r="I426" s="27"/>
      <c r="J426" s="27" t="s">
        <v>558</v>
      </c>
      <c r="K426" s="106" t="str">
        <f t="shared" si="20"/>
        <v>Б</v>
      </c>
      <c r="L426" s="106" t="str">
        <f t="shared" si="21"/>
        <v>Д</v>
      </c>
      <c r="M426" s="107" t="str">
        <f t="shared" si="22"/>
        <v>Международный ресторанный бизнес</v>
      </c>
    </row>
    <row r="427" spans="1:13" ht="30" hidden="1" customHeight="1" x14ac:dyDescent="0.25">
      <c r="A427" s="41" t="s">
        <v>1249</v>
      </c>
      <c r="B427" s="25" t="s">
        <v>1247</v>
      </c>
      <c r="C427" s="29" t="s">
        <v>664</v>
      </c>
      <c r="D427" s="29" t="s">
        <v>666</v>
      </c>
      <c r="E427" s="25" t="s">
        <v>1732</v>
      </c>
      <c r="F427" s="26" t="s">
        <v>113</v>
      </c>
      <c r="G427" s="27" t="s">
        <v>172</v>
      </c>
      <c r="H427" s="27" t="s">
        <v>589</v>
      </c>
      <c r="I427" s="27"/>
      <c r="J427" s="27" t="s">
        <v>558</v>
      </c>
      <c r="K427" s="106" t="str">
        <f t="shared" si="20"/>
        <v>Б</v>
      </c>
      <c r="L427" s="106" t="str">
        <f t="shared" si="21"/>
        <v>Д</v>
      </c>
      <c r="M427" s="107" t="str">
        <f t="shared" si="22"/>
        <v>Международный гостиничный бизнес</v>
      </c>
    </row>
    <row r="428" spans="1:13" ht="30" hidden="1" customHeight="1" x14ac:dyDescent="0.25">
      <c r="A428" s="41" t="s">
        <v>1259</v>
      </c>
      <c r="B428" s="25" t="s">
        <v>1240</v>
      </c>
      <c r="C428" s="29" t="s">
        <v>663</v>
      </c>
      <c r="D428" s="29" t="s">
        <v>666</v>
      </c>
      <c r="E428" s="25" t="s">
        <v>3129</v>
      </c>
      <c r="F428" s="26" t="s">
        <v>113</v>
      </c>
      <c r="G428" s="27" t="s">
        <v>543</v>
      </c>
      <c r="H428" s="27" t="s">
        <v>543</v>
      </c>
      <c r="I428" s="27"/>
      <c r="J428" s="27" t="s">
        <v>558</v>
      </c>
      <c r="K428" s="106" t="str">
        <f t="shared" si="20"/>
        <v>Б</v>
      </c>
      <c r="L428" s="106" t="str">
        <f t="shared" si="21"/>
        <v>В</v>
      </c>
      <c r="M428" s="107" t="str">
        <f t="shared" si="22"/>
        <v>Сервис</v>
      </c>
    </row>
    <row r="429" spans="1:13" ht="30" hidden="1" customHeight="1" x14ac:dyDescent="0.25">
      <c r="A429" s="41" t="s">
        <v>2250</v>
      </c>
      <c r="B429" s="25" t="s">
        <v>1240</v>
      </c>
      <c r="C429" s="29" t="s">
        <v>663</v>
      </c>
      <c r="D429" s="29" t="s">
        <v>666</v>
      </c>
      <c r="E429" s="25" t="s">
        <v>3123</v>
      </c>
      <c r="F429" s="26" t="s">
        <v>113</v>
      </c>
      <c r="G429" s="27" t="s">
        <v>543</v>
      </c>
      <c r="H429" s="27" t="s">
        <v>590</v>
      </c>
      <c r="I429" s="27"/>
      <c r="J429" s="27" t="s">
        <v>558</v>
      </c>
      <c r="K429" s="106" t="str">
        <f t="shared" si="20"/>
        <v>Б</v>
      </c>
      <c r="L429" s="106" t="str">
        <f t="shared" si="21"/>
        <v>В</v>
      </c>
      <c r="M429" s="107" t="str">
        <f t="shared" si="22"/>
        <v>Сервис международной сферы гостеприимства</v>
      </c>
    </row>
    <row r="430" spans="1:13" ht="30" hidden="1" customHeight="1" x14ac:dyDescent="0.25">
      <c r="A430" s="41" t="s">
        <v>1260</v>
      </c>
      <c r="B430" s="25" t="s">
        <v>1243</v>
      </c>
      <c r="C430" s="29" t="s">
        <v>663</v>
      </c>
      <c r="D430" s="29" t="s">
        <v>666</v>
      </c>
      <c r="E430" s="25" t="s">
        <v>3129</v>
      </c>
      <c r="F430" s="26" t="s">
        <v>113</v>
      </c>
      <c r="G430" s="27" t="s">
        <v>173</v>
      </c>
      <c r="H430" s="27" t="s">
        <v>173</v>
      </c>
      <c r="I430" s="27"/>
      <c r="J430" s="27" t="s">
        <v>558</v>
      </c>
      <c r="K430" s="106" t="str">
        <f t="shared" si="20"/>
        <v>Б</v>
      </c>
      <c r="L430" s="106" t="str">
        <f t="shared" si="21"/>
        <v>В</v>
      </c>
      <c r="M430" s="107" t="str">
        <f t="shared" si="22"/>
        <v>Туризм</v>
      </c>
    </row>
    <row r="431" spans="1:13" ht="30" hidden="1" customHeight="1" x14ac:dyDescent="0.25">
      <c r="A431" s="41" t="s">
        <v>1262</v>
      </c>
      <c r="B431" s="25" t="s">
        <v>1243</v>
      </c>
      <c r="C431" s="29" t="s">
        <v>663</v>
      </c>
      <c r="D431" s="29" t="s">
        <v>666</v>
      </c>
      <c r="E431" s="25" t="s">
        <v>3123</v>
      </c>
      <c r="F431" s="26" t="s">
        <v>113</v>
      </c>
      <c r="G431" s="27" t="s">
        <v>173</v>
      </c>
      <c r="H431" s="27" t="s">
        <v>592</v>
      </c>
      <c r="I431" s="27"/>
      <c r="J431" s="27" t="s">
        <v>558</v>
      </c>
      <c r="K431" s="106" t="str">
        <f t="shared" si="20"/>
        <v>Б</v>
      </c>
      <c r="L431" s="106" t="str">
        <f t="shared" si="21"/>
        <v>В</v>
      </c>
      <c r="M431" s="107" t="str">
        <f t="shared" si="22"/>
        <v>Туроператорская и турагентская деятельность</v>
      </c>
    </row>
    <row r="432" spans="1:13" ht="30" hidden="1" customHeight="1" x14ac:dyDescent="0.25">
      <c r="A432" s="41" t="s">
        <v>1261</v>
      </c>
      <c r="B432" s="25" t="s">
        <v>1243</v>
      </c>
      <c r="C432" s="29" t="s">
        <v>663</v>
      </c>
      <c r="D432" s="29" t="s">
        <v>666</v>
      </c>
      <c r="E432" s="25" t="s">
        <v>3123</v>
      </c>
      <c r="F432" s="26" t="s">
        <v>113</v>
      </c>
      <c r="G432" s="27" t="s">
        <v>173</v>
      </c>
      <c r="H432" s="27" t="s">
        <v>591</v>
      </c>
      <c r="I432" s="27"/>
      <c r="J432" s="27" t="s">
        <v>558</v>
      </c>
      <c r="K432" s="106" t="str">
        <f t="shared" si="20"/>
        <v>Б</v>
      </c>
      <c r="L432" s="106" t="str">
        <f t="shared" si="21"/>
        <v>В</v>
      </c>
      <c r="M432" s="107" t="str">
        <f t="shared" si="22"/>
        <v>Международный туризм</v>
      </c>
    </row>
    <row r="433" spans="1:13" customFormat="1" ht="30" hidden="1" customHeight="1" x14ac:dyDescent="0.25">
      <c r="A433" s="41" t="s">
        <v>1263</v>
      </c>
      <c r="B433" s="25" t="s">
        <v>1247</v>
      </c>
      <c r="C433" s="29" t="s">
        <v>663</v>
      </c>
      <c r="D433" s="29" t="s">
        <v>666</v>
      </c>
      <c r="E433" s="25" t="s">
        <v>3129</v>
      </c>
      <c r="F433" s="26" t="s">
        <v>113</v>
      </c>
      <c r="G433" s="27" t="s">
        <v>172</v>
      </c>
      <c r="H433" s="27" t="s">
        <v>172</v>
      </c>
      <c r="I433" s="27"/>
      <c r="J433" s="27" t="s">
        <v>558</v>
      </c>
      <c r="K433" s="106" t="str">
        <f t="shared" si="20"/>
        <v>Б</v>
      </c>
      <c r="L433" s="106" t="str">
        <f t="shared" si="21"/>
        <v>В</v>
      </c>
      <c r="M433" s="107" t="str">
        <f t="shared" si="22"/>
        <v>Гостиничное дело</v>
      </c>
    </row>
    <row r="434" spans="1:13" ht="30" hidden="1" customHeight="1" x14ac:dyDescent="0.25">
      <c r="A434" s="41" t="s">
        <v>1264</v>
      </c>
      <c r="B434" s="25" t="s">
        <v>1247</v>
      </c>
      <c r="C434" s="29" t="s">
        <v>663</v>
      </c>
      <c r="D434" s="29" t="s">
        <v>666</v>
      </c>
      <c r="E434" s="25" t="s">
        <v>3123</v>
      </c>
      <c r="F434" s="26" t="s">
        <v>113</v>
      </c>
      <c r="G434" s="27" t="s">
        <v>172</v>
      </c>
      <c r="H434" s="27" t="s">
        <v>588</v>
      </c>
      <c r="I434" s="27"/>
      <c r="J434" s="27" t="s">
        <v>558</v>
      </c>
      <c r="K434" s="106" t="str">
        <f t="shared" si="20"/>
        <v>Б</v>
      </c>
      <c r="L434" s="106" t="str">
        <f t="shared" si="21"/>
        <v>В</v>
      </c>
      <c r="M434" s="107" t="str">
        <f t="shared" si="22"/>
        <v>Международный ресторанный бизнес</v>
      </c>
    </row>
    <row r="435" spans="1:13" ht="30" hidden="1" customHeight="1" x14ac:dyDescent="0.25">
      <c r="A435" s="41" t="s">
        <v>1265</v>
      </c>
      <c r="B435" s="25" t="s">
        <v>1247</v>
      </c>
      <c r="C435" s="29" t="s">
        <v>663</v>
      </c>
      <c r="D435" s="29" t="s">
        <v>666</v>
      </c>
      <c r="E435" s="25" t="s">
        <v>3123</v>
      </c>
      <c r="F435" s="26" t="s">
        <v>113</v>
      </c>
      <c r="G435" s="27" t="s">
        <v>172</v>
      </c>
      <c r="H435" s="27" t="s">
        <v>589</v>
      </c>
      <c r="I435" s="27"/>
      <c r="J435" s="27" t="s">
        <v>558</v>
      </c>
      <c r="K435" s="106" t="str">
        <f t="shared" si="20"/>
        <v>Б</v>
      </c>
      <c r="L435" s="106" t="str">
        <f t="shared" si="21"/>
        <v>В</v>
      </c>
      <c r="M435" s="107" t="str">
        <f t="shared" si="22"/>
        <v>Международный гостиничный бизнес</v>
      </c>
    </row>
    <row r="436" spans="1:13" customFormat="1" ht="30" hidden="1" customHeight="1" x14ac:dyDescent="0.25">
      <c r="A436" s="41" t="s">
        <v>2251</v>
      </c>
      <c r="B436" s="25" t="s">
        <v>1243</v>
      </c>
      <c r="C436" s="29" t="s">
        <v>665</v>
      </c>
      <c r="D436" s="29" t="s">
        <v>666</v>
      </c>
      <c r="E436" s="25" t="s">
        <v>3123</v>
      </c>
      <c r="F436" s="26" t="s">
        <v>113</v>
      </c>
      <c r="G436" s="27" t="s">
        <v>173</v>
      </c>
      <c r="H436" s="27" t="s">
        <v>591</v>
      </c>
      <c r="I436" s="27"/>
      <c r="J436" s="27" t="s">
        <v>558</v>
      </c>
      <c r="K436" s="106" t="str">
        <f t="shared" si="20"/>
        <v>Б</v>
      </c>
      <c r="L436" s="106" t="str">
        <f t="shared" si="21"/>
        <v>З</v>
      </c>
      <c r="M436" s="107" t="str">
        <f t="shared" si="22"/>
        <v>Международный туризм</v>
      </c>
    </row>
    <row r="437" spans="1:13" ht="30" hidden="1" customHeight="1" x14ac:dyDescent="0.25">
      <c r="A437" s="41" t="s">
        <v>1266</v>
      </c>
      <c r="B437" s="25" t="s">
        <v>1247</v>
      </c>
      <c r="C437" s="29" t="s">
        <v>665</v>
      </c>
      <c r="D437" s="29" t="s">
        <v>666</v>
      </c>
      <c r="E437" s="25" t="s">
        <v>3123</v>
      </c>
      <c r="F437" s="26" t="s">
        <v>113</v>
      </c>
      <c r="G437" s="27" t="s">
        <v>172</v>
      </c>
      <c r="H437" s="27" t="s">
        <v>589</v>
      </c>
      <c r="I437" s="27"/>
      <c r="J437" s="27" t="s">
        <v>558</v>
      </c>
      <c r="K437" s="106" t="str">
        <f t="shared" si="20"/>
        <v>Б</v>
      </c>
      <c r="L437" s="106" t="str">
        <f t="shared" si="21"/>
        <v>З</v>
      </c>
      <c r="M437" s="107" t="str">
        <f t="shared" si="22"/>
        <v>Международный гостиничный бизнес</v>
      </c>
    </row>
    <row r="438" spans="1:13" ht="30" hidden="1" customHeight="1" x14ac:dyDescent="0.25">
      <c r="A438" s="41" t="s">
        <v>1250</v>
      </c>
      <c r="B438" s="25" t="s">
        <v>1104</v>
      </c>
      <c r="C438" s="29" t="s">
        <v>664</v>
      </c>
      <c r="D438" s="29" t="s">
        <v>666</v>
      </c>
      <c r="E438" s="25" t="s">
        <v>3126</v>
      </c>
      <c r="F438" s="26" t="s">
        <v>115</v>
      </c>
      <c r="G438" s="27" t="s">
        <v>300</v>
      </c>
      <c r="H438" s="27" t="s">
        <v>1020</v>
      </c>
      <c r="I438" s="27"/>
      <c r="J438" s="27" t="s">
        <v>558</v>
      </c>
      <c r="K438" s="106" t="str">
        <f t="shared" si="20"/>
        <v>М</v>
      </c>
      <c r="L438" s="106" t="str">
        <f t="shared" si="21"/>
        <v>Д</v>
      </c>
      <c r="M438" s="107" t="str">
        <f t="shared" si="22"/>
        <v>Управление клиентским опытом и инновации в сервисе</v>
      </c>
    </row>
    <row r="439" spans="1:13" ht="30" hidden="1" customHeight="1" x14ac:dyDescent="0.25">
      <c r="A439" s="41" t="s">
        <v>1254</v>
      </c>
      <c r="B439" s="25" t="s">
        <v>1252</v>
      </c>
      <c r="C439" s="29" t="s">
        <v>664</v>
      </c>
      <c r="D439" s="29" t="s">
        <v>666</v>
      </c>
      <c r="E439" s="25" t="s">
        <v>3126</v>
      </c>
      <c r="F439" s="26" t="s">
        <v>115</v>
      </c>
      <c r="G439" s="27" t="s">
        <v>173</v>
      </c>
      <c r="H439" s="27" t="s">
        <v>2248</v>
      </c>
      <c r="I439" s="27" t="s">
        <v>915</v>
      </c>
      <c r="J439" s="27" t="s">
        <v>558</v>
      </c>
      <c r="K439" s="106" t="str">
        <f t="shared" si="20"/>
        <v>М</v>
      </c>
      <c r="L439" s="106" t="str">
        <f t="shared" si="21"/>
        <v>Д</v>
      </c>
      <c r="M439" s="107" t="str">
        <f t="shared" si="22"/>
        <v>Планирование и развитие туризма на государственном уровне (Вуз-партнёр - Кыргызский национальный университет им. Ж. Баласагына)</v>
      </c>
    </row>
    <row r="440" spans="1:13" ht="30" hidden="1" customHeight="1" x14ac:dyDescent="0.25">
      <c r="A440" s="41" t="s">
        <v>1253</v>
      </c>
      <c r="B440" s="25" t="s">
        <v>1252</v>
      </c>
      <c r="C440" s="29" t="s">
        <v>664</v>
      </c>
      <c r="D440" s="29" t="s">
        <v>666</v>
      </c>
      <c r="E440" s="25" t="s">
        <v>3126</v>
      </c>
      <c r="F440" s="26" t="s">
        <v>115</v>
      </c>
      <c r="G440" s="27" t="s">
        <v>173</v>
      </c>
      <c r="H440" s="27" t="s">
        <v>2248</v>
      </c>
      <c r="I440" s="27" t="s">
        <v>908</v>
      </c>
      <c r="J440" s="27" t="s">
        <v>558</v>
      </c>
      <c r="K440" s="106" t="str">
        <f t="shared" si="20"/>
        <v>М</v>
      </c>
      <c r="L440" s="106" t="str">
        <f t="shared" si="21"/>
        <v>Д</v>
      </c>
      <c r="M440" s="107" t="str">
        <f t="shared" si="22"/>
        <v>Планирование и развитие туризма на государственном уровне (Вуз-партнёр - Евразийский национальный университет имени Л. Н. Гумилёва)</v>
      </c>
    </row>
    <row r="441" spans="1:13" ht="30" hidden="1" customHeight="1" x14ac:dyDescent="0.25">
      <c r="A441" s="41" t="s">
        <v>1251</v>
      </c>
      <c r="B441" s="25" t="s">
        <v>1252</v>
      </c>
      <c r="C441" s="29" t="s">
        <v>664</v>
      </c>
      <c r="D441" s="29" t="s">
        <v>666</v>
      </c>
      <c r="E441" s="25" t="s">
        <v>3126</v>
      </c>
      <c r="F441" s="26" t="s">
        <v>115</v>
      </c>
      <c r="G441" s="27" t="s">
        <v>173</v>
      </c>
      <c r="H441" s="27" t="s">
        <v>174</v>
      </c>
      <c r="I441" s="27"/>
      <c r="J441" s="27" t="s">
        <v>558</v>
      </c>
      <c r="K441" s="106" t="str">
        <f t="shared" si="20"/>
        <v>М</v>
      </c>
      <c r="L441" s="106" t="str">
        <f t="shared" si="21"/>
        <v>Д</v>
      </c>
      <c r="M441" s="107" t="str">
        <f t="shared" si="22"/>
        <v>Планирование и развитие туризма</v>
      </c>
    </row>
    <row r="442" spans="1:13" customFormat="1" ht="30" hidden="1" customHeight="1" x14ac:dyDescent="0.25">
      <c r="A442" s="41" t="s">
        <v>1257</v>
      </c>
      <c r="B442" s="25" t="s">
        <v>1252</v>
      </c>
      <c r="C442" s="29" t="s">
        <v>664</v>
      </c>
      <c r="D442" s="29" t="s">
        <v>666</v>
      </c>
      <c r="E442" s="25" t="s">
        <v>3126</v>
      </c>
      <c r="F442" s="26" t="s">
        <v>115</v>
      </c>
      <c r="G442" s="27" t="s">
        <v>173</v>
      </c>
      <c r="H442" s="27" t="s">
        <v>2249</v>
      </c>
      <c r="I442" s="27" t="s">
        <v>909</v>
      </c>
      <c r="J442" s="27" t="s">
        <v>558</v>
      </c>
      <c r="K442" s="106" t="str">
        <f t="shared" si="20"/>
        <v>М</v>
      </c>
      <c r="L442" s="106" t="str">
        <f t="shared" si="21"/>
        <v>Д</v>
      </c>
      <c r="M442" s="107" t="str">
        <f t="shared" si="22"/>
        <v>Межкультурные коммуникации в туризме (Вуз-партнёр - Ереванский государственный университет)</v>
      </c>
    </row>
    <row r="443" spans="1:13" ht="30" hidden="1" customHeight="1" x14ac:dyDescent="0.25">
      <c r="A443" s="41" t="s">
        <v>1256</v>
      </c>
      <c r="B443" s="25" t="s">
        <v>1252</v>
      </c>
      <c r="C443" s="29" t="s">
        <v>664</v>
      </c>
      <c r="D443" s="29" t="s">
        <v>666</v>
      </c>
      <c r="E443" s="25" t="s">
        <v>3126</v>
      </c>
      <c r="F443" s="26" t="s">
        <v>115</v>
      </c>
      <c r="G443" s="27" t="s">
        <v>173</v>
      </c>
      <c r="H443" s="27" t="s">
        <v>2249</v>
      </c>
      <c r="I443" s="27" t="s">
        <v>910</v>
      </c>
      <c r="J443" s="27" t="s">
        <v>558</v>
      </c>
      <c r="K443" s="106" t="str">
        <f t="shared" si="20"/>
        <v>М</v>
      </c>
      <c r="L443" s="106" t="str">
        <f t="shared" si="21"/>
        <v>Д</v>
      </c>
      <c r="M443" s="107" t="str">
        <f t="shared" si="22"/>
        <v>Межкультурные коммуникации в туризме (Вуз-партнёр - Ереванский Государственный университет языков и социальных наук имени В. Я. Брюсова)</v>
      </c>
    </row>
    <row r="444" spans="1:13" customFormat="1" ht="30" hidden="1" customHeight="1" x14ac:dyDescent="0.25">
      <c r="A444" s="41" t="s">
        <v>1255</v>
      </c>
      <c r="B444" s="25" t="s">
        <v>1252</v>
      </c>
      <c r="C444" s="29" t="s">
        <v>664</v>
      </c>
      <c r="D444" s="29" t="s">
        <v>666</v>
      </c>
      <c r="E444" s="25" t="s">
        <v>3126</v>
      </c>
      <c r="F444" s="26" t="s">
        <v>115</v>
      </c>
      <c r="G444" s="27" t="s">
        <v>173</v>
      </c>
      <c r="H444" s="27" t="s">
        <v>2248</v>
      </c>
      <c r="I444" s="27" t="s">
        <v>912</v>
      </c>
      <c r="J444" s="27" t="s">
        <v>558</v>
      </c>
      <c r="K444" s="106" t="str">
        <f t="shared" si="20"/>
        <v>М</v>
      </c>
      <c r="L444" s="106" t="str">
        <f t="shared" si="21"/>
        <v>Д</v>
      </c>
      <c r="M444" s="107" t="str">
        <f t="shared" si="22"/>
        <v>Планирование и развитие туризма на государственном уровне (Вуз-партнёр - Казахский национальный университет им. Аль-Фараби)</v>
      </c>
    </row>
    <row r="445" spans="1:13" customFormat="1" ht="30" hidden="1" customHeight="1" x14ac:dyDescent="0.25">
      <c r="A445" s="41" t="s">
        <v>1258</v>
      </c>
      <c r="B445" s="25" t="s">
        <v>1252</v>
      </c>
      <c r="C445" s="29" t="s">
        <v>664</v>
      </c>
      <c r="D445" s="29" t="s">
        <v>666</v>
      </c>
      <c r="E445" s="25" t="s">
        <v>3126</v>
      </c>
      <c r="F445" s="26" t="s">
        <v>115</v>
      </c>
      <c r="G445" s="27" t="s">
        <v>173</v>
      </c>
      <c r="H445" s="27" t="s">
        <v>593</v>
      </c>
      <c r="I445" s="27"/>
      <c r="J445" s="27" t="s">
        <v>558</v>
      </c>
      <c r="K445" s="106" t="str">
        <f t="shared" si="20"/>
        <v>М</v>
      </c>
      <c r="L445" s="106" t="str">
        <f t="shared" si="21"/>
        <v>Д</v>
      </c>
      <c r="M445" s="107" t="str">
        <f t="shared" si="22"/>
        <v>Бизнес-процессы в сфере туризма и гостеприимства</v>
      </c>
    </row>
    <row r="446" spans="1:13" ht="30" hidden="1" customHeight="1" x14ac:dyDescent="0.25">
      <c r="A446" s="41" t="s">
        <v>2252</v>
      </c>
      <c r="B446" s="25" t="s">
        <v>1104</v>
      </c>
      <c r="C446" s="29" t="s">
        <v>665</v>
      </c>
      <c r="D446" s="29" t="s">
        <v>666</v>
      </c>
      <c r="E446" s="25" t="s">
        <v>3130</v>
      </c>
      <c r="F446" s="26" t="s">
        <v>115</v>
      </c>
      <c r="G446" s="27" t="s">
        <v>300</v>
      </c>
      <c r="H446" s="27" t="s">
        <v>1020</v>
      </c>
      <c r="I446" s="27"/>
      <c r="J446" s="27" t="s">
        <v>558</v>
      </c>
      <c r="K446" s="106" t="str">
        <f t="shared" si="20"/>
        <v>М</v>
      </c>
      <c r="L446" s="106" t="str">
        <f t="shared" si="21"/>
        <v>З</v>
      </c>
      <c r="M446" s="107" t="str">
        <f t="shared" si="22"/>
        <v>Управление клиентским опытом и инновации в сервисе</v>
      </c>
    </row>
    <row r="447" spans="1:13" ht="30" hidden="1" customHeight="1" x14ac:dyDescent="0.25">
      <c r="A447" s="41" t="s">
        <v>1269</v>
      </c>
      <c r="B447" s="25" t="s">
        <v>1268</v>
      </c>
      <c r="C447" s="29" t="s">
        <v>664</v>
      </c>
      <c r="D447" s="29" t="s">
        <v>666</v>
      </c>
      <c r="E447" s="25" t="s">
        <v>1732</v>
      </c>
      <c r="F447" s="26" t="s">
        <v>113</v>
      </c>
      <c r="G447" s="27" t="s">
        <v>167</v>
      </c>
      <c r="H447" s="27" t="s">
        <v>2255</v>
      </c>
      <c r="I447" s="27" t="s">
        <v>945</v>
      </c>
      <c r="J447" s="27" t="s">
        <v>559</v>
      </c>
      <c r="K447" s="106" t="str">
        <f t="shared" si="20"/>
        <v>Б</v>
      </c>
      <c r="L447" s="106" t="str">
        <f t="shared" si="21"/>
        <v>Д</v>
      </c>
      <c r="M447" s="107" t="str">
        <f t="shared" si="22"/>
        <v>Языки и межкультурная коммуникация - Зарубежное регионоведение (Вуз-партнёр - Эдинбургский Университет им. Нэйпия)</v>
      </c>
    </row>
    <row r="448" spans="1:13" ht="30" hidden="1" customHeight="1" x14ac:dyDescent="0.25">
      <c r="A448" s="41" t="s">
        <v>2277</v>
      </c>
      <c r="B448" s="25" t="s">
        <v>1268</v>
      </c>
      <c r="C448" s="29" t="s">
        <v>664</v>
      </c>
      <c r="D448" s="29" t="s">
        <v>666</v>
      </c>
      <c r="E448" s="25" t="s">
        <v>1732</v>
      </c>
      <c r="F448" s="26" t="s">
        <v>113</v>
      </c>
      <c r="G448" s="27" t="s">
        <v>167</v>
      </c>
      <c r="H448" s="27" t="s">
        <v>2278</v>
      </c>
      <c r="I448" s="27"/>
      <c r="J448" s="27" t="s">
        <v>559</v>
      </c>
      <c r="K448" s="106" t="str">
        <f t="shared" si="20"/>
        <v>Б</v>
      </c>
      <c r="L448" s="106" t="str">
        <f t="shared" si="21"/>
        <v>Д</v>
      </c>
      <c r="M448" s="107" t="str">
        <f t="shared" si="22"/>
        <v>Зарубежное регионоведение: Евро-Азиатский и Средиземноморский регионы</v>
      </c>
    </row>
    <row r="449" spans="1:13" ht="30" hidden="1" customHeight="1" x14ac:dyDescent="0.25">
      <c r="A449" s="41" t="s">
        <v>1267</v>
      </c>
      <c r="B449" s="25" t="s">
        <v>1268</v>
      </c>
      <c r="C449" s="29" t="s">
        <v>664</v>
      </c>
      <c r="D449" s="29" t="s">
        <v>666</v>
      </c>
      <c r="E449" s="25" t="s">
        <v>1732</v>
      </c>
      <c r="F449" s="26" t="s">
        <v>113</v>
      </c>
      <c r="G449" s="27" t="s">
        <v>167</v>
      </c>
      <c r="H449" s="27" t="s">
        <v>282</v>
      </c>
      <c r="I449" s="27"/>
      <c r="J449" s="27" t="s">
        <v>559</v>
      </c>
      <c r="K449" s="106" t="str">
        <f t="shared" si="20"/>
        <v>Б</v>
      </c>
      <c r="L449" s="106" t="str">
        <f t="shared" si="21"/>
        <v>Д</v>
      </c>
      <c r="M449" s="107" t="str">
        <f t="shared" si="22"/>
        <v>Зарубежное регионоведение: Европейский регион</v>
      </c>
    </row>
    <row r="450" spans="1:13" ht="30" hidden="1" customHeight="1" x14ac:dyDescent="0.25">
      <c r="A450" s="41" t="s">
        <v>1270</v>
      </c>
      <c r="B450" s="25" t="s">
        <v>1271</v>
      </c>
      <c r="C450" s="29" t="s">
        <v>664</v>
      </c>
      <c r="D450" s="29" t="s">
        <v>666</v>
      </c>
      <c r="E450" s="25" t="s">
        <v>1732</v>
      </c>
      <c r="F450" s="26" t="s">
        <v>113</v>
      </c>
      <c r="G450" s="27" t="s">
        <v>166</v>
      </c>
      <c r="H450" s="27" t="s">
        <v>598</v>
      </c>
      <c r="I450" s="27"/>
      <c r="J450" s="27" t="s">
        <v>559</v>
      </c>
      <c r="K450" s="106" t="str">
        <f t="shared" si="20"/>
        <v>Б</v>
      </c>
      <c r="L450" s="106" t="str">
        <f t="shared" si="21"/>
        <v>Д</v>
      </c>
      <c r="M450" s="107" t="str">
        <f t="shared" si="22"/>
        <v>Психология образования</v>
      </c>
    </row>
    <row r="451" spans="1:13" ht="30" hidden="1" customHeight="1" x14ac:dyDescent="0.25">
      <c r="A451" s="41" t="s">
        <v>1272</v>
      </c>
      <c r="B451" s="25" t="s">
        <v>1273</v>
      </c>
      <c r="C451" s="29" t="s">
        <v>664</v>
      </c>
      <c r="D451" s="29" t="s">
        <v>666</v>
      </c>
      <c r="E451" s="25" t="s">
        <v>1732</v>
      </c>
      <c r="F451" s="26" t="s">
        <v>113</v>
      </c>
      <c r="G451" s="27" t="s">
        <v>142</v>
      </c>
      <c r="H451" s="27" t="s">
        <v>443</v>
      </c>
      <c r="I451" s="27"/>
      <c r="J451" s="27" t="s">
        <v>559</v>
      </c>
      <c r="K451" s="106" t="str">
        <f t="shared" si="20"/>
        <v>Б</v>
      </c>
      <c r="L451" s="106" t="str">
        <f t="shared" si="21"/>
        <v>Д</v>
      </c>
      <c r="M451" s="107" t="str">
        <f t="shared" si="22"/>
        <v>Теория и методика преподавания иностранных языков и культур</v>
      </c>
    </row>
    <row r="452" spans="1:13" ht="30" hidden="1" customHeight="1" x14ac:dyDescent="0.25">
      <c r="A452" s="41" t="s">
        <v>1274</v>
      </c>
      <c r="B452" s="25" t="s">
        <v>1273</v>
      </c>
      <c r="C452" s="29" t="s">
        <v>664</v>
      </c>
      <c r="D452" s="29" t="s">
        <v>666</v>
      </c>
      <c r="E452" s="25" t="s">
        <v>1732</v>
      </c>
      <c r="F452" s="26" t="s">
        <v>113</v>
      </c>
      <c r="G452" s="27" t="s">
        <v>142</v>
      </c>
      <c r="H452" s="27" t="s">
        <v>444</v>
      </c>
      <c r="I452" s="27"/>
      <c r="J452" s="27" t="s">
        <v>559</v>
      </c>
      <c r="K452" s="106" t="str">
        <f t="shared" ref="K452:K515" si="23">LEFT(F452, 1)</f>
        <v>Б</v>
      </c>
      <c r="L452" s="106" t="str">
        <f t="shared" ref="L452:L515" si="24">IF(C452="очная","Д",IF(C452="Очно-заочная","В",IF(C452="Заочная","З","-")))</f>
        <v>Д</v>
      </c>
      <c r="M452" s="107" t="str">
        <f t="shared" ref="M452:M515" si="25">CONCATENATE(H452,IF(D452="Русский","",CONCATENATE(" (",D452," язык)")),IF(I452&gt;0,CONCATENATE(" (Вуз-партнёр - ",I452,")"),""))</f>
        <v>Перевод и переводоведение</v>
      </c>
    </row>
    <row r="453" spans="1:13" customFormat="1" ht="30" hidden="1" customHeight="1" x14ac:dyDescent="0.25">
      <c r="A453" s="41" t="s">
        <v>2257</v>
      </c>
      <c r="B453" s="25" t="s">
        <v>1273</v>
      </c>
      <c r="C453" s="29" t="s">
        <v>664</v>
      </c>
      <c r="D453" s="29" t="s">
        <v>666</v>
      </c>
      <c r="E453" s="25" t="s">
        <v>1732</v>
      </c>
      <c r="F453" s="26" t="s">
        <v>113</v>
      </c>
      <c r="G453" s="27" t="s">
        <v>142</v>
      </c>
      <c r="H453" s="27" t="s">
        <v>2258</v>
      </c>
      <c r="I453" s="27" t="s">
        <v>945</v>
      </c>
      <c r="J453" s="27" t="s">
        <v>559</v>
      </c>
      <c r="K453" s="106" t="str">
        <f t="shared" si="23"/>
        <v>Б</v>
      </c>
      <c r="L453" s="106" t="str">
        <f t="shared" si="24"/>
        <v>Д</v>
      </c>
      <c r="M453" s="107" t="str">
        <f t="shared" si="25"/>
        <v>Языки и межкультурная коммуникация-Лингвистика (Вуз-партнёр - Эдинбургский Университет им. Нэйпия)</v>
      </c>
    </row>
    <row r="454" spans="1:13" ht="30" hidden="1" customHeight="1" x14ac:dyDescent="0.25">
      <c r="A454" s="41" t="s">
        <v>1286</v>
      </c>
      <c r="B454" s="25" t="s">
        <v>1273</v>
      </c>
      <c r="C454" s="29" t="s">
        <v>663</v>
      </c>
      <c r="D454" s="29" t="s">
        <v>666</v>
      </c>
      <c r="E454" s="25" t="s">
        <v>3125</v>
      </c>
      <c r="F454" s="26" t="s">
        <v>113</v>
      </c>
      <c r="G454" s="27" t="s">
        <v>142</v>
      </c>
      <c r="H454" s="27" t="s">
        <v>443</v>
      </c>
      <c r="I454" s="27"/>
      <c r="J454" s="27" t="s">
        <v>559</v>
      </c>
      <c r="K454" s="106" t="str">
        <f t="shared" si="23"/>
        <v>Б</v>
      </c>
      <c r="L454" s="106" t="str">
        <f t="shared" si="24"/>
        <v>В</v>
      </c>
      <c r="M454" s="107" t="str">
        <f t="shared" si="25"/>
        <v>Теория и методика преподавания иностранных языков и культур</v>
      </c>
    </row>
    <row r="455" spans="1:13" ht="30" hidden="1" customHeight="1" x14ac:dyDescent="0.25">
      <c r="A455" s="41" t="s">
        <v>1287</v>
      </c>
      <c r="B455" s="25" t="s">
        <v>1273</v>
      </c>
      <c r="C455" s="29" t="s">
        <v>663</v>
      </c>
      <c r="D455" s="29" t="s">
        <v>666</v>
      </c>
      <c r="E455" s="25" t="s">
        <v>3125</v>
      </c>
      <c r="F455" s="26" t="s">
        <v>113</v>
      </c>
      <c r="G455" s="27" t="s">
        <v>142</v>
      </c>
      <c r="H455" s="27" t="s">
        <v>444</v>
      </c>
      <c r="I455" s="27"/>
      <c r="J455" s="27" t="s">
        <v>559</v>
      </c>
      <c r="K455" s="106" t="str">
        <f t="shared" si="23"/>
        <v>Б</v>
      </c>
      <c r="L455" s="106" t="str">
        <f t="shared" si="24"/>
        <v>В</v>
      </c>
      <c r="M455" s="107" t="str">
        <f t="shared" si="25"/>
        <v>Перевод и переводоведение</v>
      </c>
    </row>
    <row r="456" spans="1:13" customFormat="1" ht="30" hidden="1" customHeight="1" x14ac:dyDescent="0.25">
      <c r="A456" s="41" t="s">
        <v>2279</v>
      </c>
      <c r="B456" s="25" t="s">
        <v>1276</v>
      </c>
      <c r="C456" s="29" t="s">
        <v>664</v>
      </c>
      <c r="D456" s="29" t="s">
        <v>666</v>
      </c>
      <c r="E456" s="25" t="s">
        <v>3126</v>
      </c>
      <c r="F456" s="26" t="s">
        <v>115</v>
      </c>
      <c r="G456" s="27" t="s">
        <v>167</v>
      </c>
      <c r="H456" s="27" t="s">
        <v>2280</v>
      </c>
      <c r="I456" s="27"/>
      <c r="J456" s="27" t="s">
        <v>559</v>
      </c>
      <c r="K456" s="106" t="str">
        <f t="shared" si="23"/>
        <v>М</v>
      </c>
      <c r="L456" s="106" t="str">
        <f t="shared" si="24"/>
        <v>Д</v>
      </c>
      <c r="M456" s="107" t="str">
        <f t="shared" si="25"/>
        <v>Зарубежное регионоведение: Евро-Азиатские и Средиземноморские исследования</v>
      </c>
    </row>
    <row r="457" spans="1:13" customFormat="1" ht="30" hidden="1" customHeight="1" x14ac:dyDescent="0.25">
      <c r="A457" s="41" t="s">
        <v>1275</v>
      </c>
      <c r="B457" s="25" t="s">
        <v>1276</v>
      </c>
      <c r="C457" s="29" t="s">
        <v>664</v>
      </c>
      <c r="D457" s="29" t="s">
        <v>666</v>
      </c>
      <c r="E457" s="25" t="s">
        <v>3126</v>
      </c>
      <c r="F457" s="26" t="s">
        <v>115</v>
      </c>
      <c r="G457" s="27" t="s">
        <v>167</v>
      </c>
      <c r="H457" s="27" t="s">
        <v>1277</v>
      </c>
      <c r="I457" s="27"/>
      <c r="J457" s="27" t="s">
        <v>559</v>
      </c>
      <c r="K457" s="106" t="str">
        <f t="shared" si="23"/>
        <v>М</v>
      </c>
      <c r="L457" s="106" t="str">
        <f t="shared" si="24"/>
        <v>Д</v>
      </c>
      <c r="M457" s="107" t="str">
        <f t="shared" si="25"/>
        <v>Европа в современном мире: региональные исследования</v>
      </c>
    </row>
    <row r="458" spans="1:13" customFormat="1" ht="30" hidden="1" customHeight="1" x14ac:dyDescent="0.25">
      <c r="A458" s="41" t="s">
        <v>1278</v>
      </c>
      <c r="B458" s="25" t="s">
        <v>1279</v>
      </c>
      <c r="C458" s="29" t="s">
        <v>664</v>
      </c>
      <c r="D458" s="29" t="s">
        <v>666</v>
      </c>
      <c r="E458" s="25" t="s">
        <v>3126</v>
      </c>
      <c r="F458" s="26" t="s">
        <v>115</v>
      </c>
      <c r="G458" s="27" t="s">
        <v>166</v>
      </c>
      <c r="H458" s="27" t="s">
        <v>281</v>
      </c>
      <c r="I458" s="27"/>
      <c r="J458" s="27" t="s">
        <v>559</v>
      </c>
      <c r="K458" s="106" t="str">
        <f t="shared" si="23"/>
        <v>М</v>
      </c>
      <c r="L458" s="106" t="str">
        <f t="shared" si="24"/>
        <v>Д</v>
      </c>
      <c r="M458" s="107" t="str">
        <f t="shared" si="25"/>
        <v>Психолого-педагогические основы организационно-управленческой деятельности</v>
      </c>
    </row>
    <row r="459" spans="1:13" customFormat="1" ht="30" hidden="1" customHeight="1" x14ac:dyDescent="0.25">
      <c r="A459" s="41" t="s">
        <v>1280</v>
      </c>
      <c r="B459" s="25" t="s">
        <v>1281</v>
      </c>
      <c r="C459" s="29" t="s">
        <v>664</v>
      </c>
      <c r="D459" s="29" t="s">
        <v>666</v>
      </c>
      <c r="E459" s="25" t="s">
        <v>3126</v>
      </c>
      <c r="F459" s="26" t="s">
        <v>115</v>
      </c>
      <c r="G459" s="27" t="s">
        <v>142</v>
      </c>
      <c r="H459" s="27" t="s">
        <v>165</v>
      </c>
      <c r="I459" s="27"/>
      <c r="J459" s="27" t="s">
        <v>559</v>
      </c>
      <c r="K459" s="106" t="str">
        <f t="shared" si="23"/>
        <v>М</v>
      </c>
      <c r="L459" s="106" t="str">
        <f t="shared" si="24"/>
        <v>Д</v>
      </c>
      <c r="M459" s="107" t="str">
        <f t="shared" si="25"/>
        <v>Теория коммуникации и международные связи с общественностью (PR)</v>
      </c>
    </row>
    <row r="460" spans="1:13" customFormat="1" ht="30" hidden="1" customHeight="1" x14ac:dyDescent="0.25">
      <c r="A460" s="41" t="s">
        <v>1282</v>
      </c>
      <c r="B460" s="25" t="s">
        <v>1281</v>
      </c>
      <c r="C460" s="29" t="s">
        <v>664</v>
      </c>
      <c r="D460" s="29" t="s">
        <v>666</v>
      </c>
      <c r="E460" s="25" t="s">
        <v>3126</v>
      </c>
      <c r="F460" s="26" t="s">
        <v>115</v>
      </c>
      <c r="G460" s="27" t="s">
        <v>142</v>
      </c>
      <c r="H460" s="27" t="s">
        <v>280</v>
      </c>
      <c r="I460" s="27"/>
      <c r="J460" s="27" t="s">
        <v>559</v>
      </c>
      <c r="K460" s="106" t="str">
        <f t="shared" si="23"/>
        <v>М</v>
      </c>
      <c r="L460" s="106" t="str">
        <f t="shared" si="24"/>
        <v>Д</v>
      </c>
      <c r="M460" s="107" t="str">
        <f t="shared" si="25"/>
        <v>Теория коммуникации и синхронный перевод</v>
      </c>
    </row>
    <row r="461" spans="1:13" customFormat="1" ht="30" hidden="1" customHeight="1" x14ac:dyDescent="0.25">
      <c r="A461" s="41" t="s">
        <v>1283</v>
      </c>
      <c r="B461" s="25" t="s">
        <v>1281</v>
      </c>
      <c r="C461" s="29" t="s">
        <v>664</v>
      </c>
      <c r="D461" s="29" t="s">
        <v>666</v>
      </c>
      <c r="E461" s="25" t="s">
        <v>3126</v>
      </c>
      <c r="F461" s="26" t="s">
        <v>115</v>
      </c>
      <c r="G461" s="27" t="s">
        <v>142</v>
      </c>
      <c r="H461" s="27" t="s">
        <v>2253</v>
      </c>
      <c r="I461" s="27" t="s">
        <v>913</v>
      </c>
      <c r="J461" s="27" t="s">
        <v>559</v>
      </c>
      <c r="K461" s="106" t="str">
        <f t="shared" si="23"/>
        <v>М</v>
      </c>
      <c r="L461" s="106" t="str">
        <f t="shared" si="24"/>
        <v>Д</v>
      </c>
      <c r="M461" s="107" t="str">
        <f t="shared" si="25"/>
        <v>Теория коммуникации и международные связи с общественностью (PR) - Трилингвальные международные отношения (Вуз-партнёр - Католический университет Лилля)</v>
      </c>
    </row>
    <row r="462" spans="1:13" customFormat="1" ht="30" hidden="1" customHeight="1" x14ac:dyDescent="0.25">
      <c r="A462" s="41" t="s">
        <v>1284</v>
      </c>
      <c r="B462" s="25" t="s">
        <v>1281</v>
      </c>
      <c r="C462" s="29" t="s">
        <v>664</v>
      </c>
      <c r="D462" s="29" t="s">
        <v>666</v>
      </c>
      <c r="E462" s="25" t="s">
        <v>3126</v>
      </c>
      <c r="F462" s="26" t="s">
        <v>115</v>
      </c>
      <c r="G462" s="27" t="s">
        <v>142</v>
      </c>
      <c r="H462" s="27" t="s">
        <v>2254</v>
      </c>
      <c r="I462" s="27" t="s">
        <v>945</v>
      </c>
      <c r="J462" s="27" t="s">
        <v>559</v>
      </c>
      <c r="K462" s="106" t="str">
        <f t="shared" si="23"/>
        <v>М</v>
      </c>
      <c r="L462" s="106" t="str">
        <f t="shared" si="24"/>
        <v>Д</v>
      </c>
      <c r="M462" s="107" t="str">
        <f t="shared" si="25"/>
        <v>Теория коммуникации и международные связи с общественностью (PR) - Международная деловая коммуникация (Вуз-партнёр - Эдинбургский Университет им. Нэйпия)</v>
      </c>
    </row>
    <row r="463" spans="1:13" customFormat="1" ht="30" hidden="1" customHeight="1" x14ac:dyDescent="0.25">
      <c r="A463" s="41" t="s">
        <v>1285</v>
      </c>
      <c r="B463" s="25" t="s">
        <v>1281</v>
      </c>
      <c r="C463" s="29" t="s">
        <v>664</v>
      </c>
      <c r="D463" s="29" t="s">
        <v>666</v>
      </c>
      <c r="E463" s="25" t="s">
        <v>3126</v>
      </c>
      <c r="F463" s="26" t="s">
        <v>115</v>
      </c>
      <c r="G463" s="27" t="s">
        <v>142</v>
      </c>
      <c r="H463" s="27" t="s">
        <v>2256</v>
      </c>
      <c r="I463" s="27" t="s">
        <v>912</v>
      </c>
      <c r="J463" s="27" t="s">
        <v>559</v>
      </c>
      <c r="K463" s="106" t="str">
        <f t="shared" si="23"/>
        <v>М</v>
      </c>
      <c r="L463" s="106" t="str">
        <f t="shared" si="24"/>
        <v>Д</v>
      </c>
      <c r="M463" s="107" t="str">
        <f t="shared" si="25"/>
        <v>Теория коммуникации и международные связи с общественностью (PR) - Иностранный язык: два иностранных языка (Вуз-партнёр - Казахский национальный университет им. Аль-Фараби)</v>
      </c>
    </row>
    <row r="464" spans="1:13" customFormat="1" ht="30" hidden="1" customHeight="1" x14ac:dyDescent="0.25">
      <c r="A464" s="41" t="s">
        <v>2259</v>
      </c>
      <c r="B464" s="25" t="s">
        <v>1281</v>
      </c>
      <c r="C464" s="29" t="s">
        <v>664</v>
      </c>
      <c r="D464" s="29" t="s">
        <v>666</v>
      </c>
      <c r="E464" s="25" t="s">
        <v>3126</v>
      </c>
      <c r="F464" s="26" t="s">
        <v>115</v>
      </c>
      <c r="G464" s="27" t="s">
        <v>142</v>
      </c>
      <c r="H464" s="27" t="s">
        <v>280</v>
      </c>
      <c r="I464" s="27" t="s">
        <v>925</v>
      </c>
      <c r="J464" s="27" t="s">
        <v>559</v>
      </c>
      <c r="K464" s="106" t="str">
        <f t="shared" si="23"/>
        <v>М</v>
      </c>
      <c r="L464" s="106" t="str">
        <f t="shared" si="24"/>
        <v>Д</v>
      </c>
      <c r="M464" s="107" t="str">
        <f t="shared" si="25"/>
        <v>Теория коммуникации и синхронный перевод (Вуз-партнёр - Славянский университет)</v>
      </c>
    </row>
    <row r="465" spans="1:13" customFormat="1" ht="30" hidden="1" customHeight="1" x14ac:dyDescent="0.25">
      <c r="A465" s="41" t="s">
        <v>1288</v>
      </c>
      <c r="B465" s="25" t="s">
        <v>1281</v>
      </c>
      <c r="C465" s="29" t="s">
        <v>663</v>
      </c>
      <c r="D465" s="29" t="s">
        <v>666</v>
      </c>
      <c r="E465" s="25" t="s">
        <v>3127</v>
      </c>
      <c r="F465" s="26" t="s">
        <v>115</v>
      </c>
      <c r="G465" s="27" t="s">
        <v>142</v>
      </c>
      <c r="H465" s="27" t="s">
        <v>165</v>
      </c>
      <c r="I465" s="27"/>
      <c r="J465" s="27" t="s">
        <v>559</v>
      </c>
      <c r="K465" s="106" t="str">
        <f t="shared" si="23"/>
        <v>М</v>
      </c>
      <c r="L465" s="106" t="str">
        <f t="shared" si="24"/>
        <v>В</v>
      </c>
      <c r="M465" s="107" t="str">
        <f t="shared" si="25"/>
        <v>Теория коммуникации и международные связи с общественностью (PR)</v>
      </c>
    </row>
    <row r="466" spans="1:13" customFormat="1" ht="30" hidden="1" customHeight="1" x14ac:dyDescent="0.25">
      <c r="A466" s="41" t="s">
        <v>1289</v>
      </c>
      <c r="B466" s="25" t="s">
        <v>1281</v>
      </c>
      <c r="C466" s="29" t="s">
        <v>663</v>
      </c>
      <c r="D466" s="29" t="s">
        <v>666</v>
      </c>
      <c r="E466" s="25" t="s">
        <v>3127</v>
      </c>
      <c r="F466" s="26" t="s">
        <v>115</v>
      </c>
      <c r="G466" s="27" t="s">
        <v>142</v>
      </c>
      <c r="H466" s="27" t="s">
        <v>2253</v>
      </c>
      <c r="I466" s="27" t="s">
        <v>913</v>
      </c>
      <c r="J466" s="27" t="s">
        <v>559</v>
      </c>
      <c r="K466" s="106" t="str">
        <f t="shared" si="23"/>
        <v>М</v>
      </c>
      <c r="L466" s="106" t="str">
        <f t="shared" si="24"/>
        <v>В</v>
      </c>
      <c r="M466" s="107" t="str">
        <f t="shared" si="25"/>
        <v>Теория коммуникации и международные связи с общественностью (PR) - Трилингвальные международные отношения (Вуз-партнёр - Католический университет Лилля)</v>
      </c>
    </row>
    <row r="467" spans="1:13" customFormat="1" ht="30" hidden="1" customHeight="1" x14ac:dyDescent="0.25">
      <c r="A467" s="41" t="s">
        <v>2265</v>
      </c>
      <c r="B467" s="25" t="s">
        <v>1663</v>
      </c>
      <c r="C467" s="29" t="s">
        <v>664</v>
      </c>
      <c r="D467" s="29" t="s">
        <v>666</v>
      </c>
      <c r="E467" s="25" t="s">
        <v>3128</v>
      </c>
      <c r="F467" s="26" t="s">
        <v>179</v>
      </c>
      <c r="G467" s="27" t="s">
        <v>538</v>
      </c>
      <c r="H467" s="27" t="s">
        <v>597</v>
      </c>
      <c r="I467" s="27"/>
      <c r="J467" s="27" t="s">
        <v>559</v>
      </c>
      <c r="K467" s="106" t="str">
        <f t="shared" si="23"/>
        <v>А</v>
      </c>
      <c r="L467" s="106" t="str">
        <f t="shared" si="24"/>
        <v>Д</v>
      </c>
      <c r="M467" s="107" t="str">
        <f t="shared" si="25"/>
        <v>Общая психология (Психологические проблемы общения и коммуникации)</v>
      </c>
    </row>
    <row r="468" spans="1:13" customFormat="1" ht="30" hidden="1" customHeight="1" x14ac:dyDescent="0.25">
      <c r="A468" s="41" t="s">
        <v>2267</v>
      </c>
      <c r="B468" s="25" t="s">
        <v>1664</v>
      </c>
      <c r="C468" s="29" t="s">
        <v>664</v>
      </c>
      <c r="D468" s="29" t="s">
        <v>666</v>
      </c>
      <c r="E468" s="25" t="s">
        <v>3128</v>
      </c>
      <c r="F468" s="26" t="s">
        <v>179</v>
      </c>
      <c r="G468" s="27" t="s">
        <v>570</v>
      </c>
      <c r="H468" s="27" t="s">
        <v>595</v>
      </c>
      <c r="I468" s="27"/>
      <c r="J468" s="27" t="s">
        <v>559</v>
      </c>
      <c r="K468" s="106" t="str">
        <f t="shared" si="23"/>
        <v>А</v>
      </c>
      <c r="L468" s="106" t="str">
        <f t="shared" si="24"/>
        <v>Д</v>
      </c>
      <c r="M468" s="107" t="str">
        <f t="shared" si="25"/>
        <v>Теория и методика обучения и воспитания (иностранные языки): Межкультурная коммуникация; Интралингводидактика</v>
      </c>
    </row>
    <row r="469" spans="1:13" customFormat="1" ht="30" hidden="1" customHeight="1" x14ac:dyDescent="0.25">
      <c r="A469" s="41" t="s">
        <v>2268</v>
      </c>
      <c r="B469" s="25" t="s">
        <v>1664</v>
      </c>
      <c r="C469" s="29" t="s">
        <v>664</v>
      </c>
      <c r="D469" s="29" t="s">
        <v>666</v>
      </c>
      <c r="E469" s="25" t="s">
        <v>3128</v>
      </c>
      <c r="F469" s="26" t="s">
        <v>179</v>
      </c>
      <c r="G469" s="27" t="s">
        <v>570</v>
      </c>
      <c r="H469" s="27" t="s">
        <v>596</v>
      </c>
      <c r="I469" s="27"/>
      <c r="J469" s="27" t="s">
        <v>559</v>
      </c>
      <c r="K469" s="106" t="str">
        <f t="shared" si="23"/>
        <v>А</v>
      </c>
      <c r="L469" s="106" t="str">
        <f t="shared" si="24"/>
        <v>Д</v>
      </c>
      <c r="M469" s="107" t="str">
        <f t="shared" si="25"/>
        <v>Общая педагогика, история педагогики и образования: педагогическое регулирование социальных отношений личности и социокультурной среды</v>
      </c>
    </row>
    <row r="470" spans="1:13" customFormat="1" ht="30" hidden="1" customHeight="1" x14ac:dyDescent="0.25">
      <c r="A470" s="41" t="s">
        <v>2271</v>
      </c>
      <c r="B470" s="25" t="s">
        <v>1665</v>
      </c>
      <c r="C470" s="29" t="s">
        <v>664</v>
      </c>
      <c r="D470" s="29" t="s">
        <v>666</v>
      </c>
      <c r="E470" s="25" t="s">
        <v>3128</v>
      </c>
      <c r="F470" s="26" t="s">
        <v>179</v>
      </c>
      <c r="G470" s="27" t="s">
        <v>540</v>
      </c>
      <c r="H470" s="27" t="s">
        <v>446</v>
      </c>
      <c r="I470" s="27"/>
      <c r="J470" s="27" t="s">
        <v>559</v>
      </c>
      <c r="K470" s="106" t="str">
        <f t="shared" si="23"/>
        <v>А</v>
      </c>
      <c r="L470" s="106" t="str">
        <f t="shared" si="24"/>
        <v>Д</v>
      </c>
      <c r="M470" s="107" t="str">
        <f t="shared" si="25"/>
        <v>Сравнительно-историческое, типологическое и сопоставительное языкознание (Сравнение и сопоставление языков в диахронии и синхронии)</v>
      </c>
    </row>
    <row r="471" spans="1:13" customFormat="1" ht="30" hidden="1" customHeight="1" x14ac:dyDescent="0.25">
      <c r="A471" s="41" t="s">
        <v>2272</v>
      </c>
      <c r="B471" s="25" t="s">
        <v>1665</v>
      </c>
      <c r="C471" s="29" t="s">
        <v>664</v>
      </c>
      <c r="D471" s="29" t="s">
        <v>666</v>
      </c>
      <c r="E471" s="25" t="s">
        <v>3128</v>
      </c>
      <c r="F471" s="26" t="s">
        <v>179</v>
      </c>
      <c r="G471" s="27" t="s">
        <v>540</v>
      </c>
      <c r="H471" s="27" t="s">
        <v>405</v>
      </c>
      <c r="I471" s="27"/>
      <c r="J471" s="27" t="s">
        <v>559</v>
      </c>
      <c r="K471" s="106" t="str">
        <f t="shared" si="23"/>
        <v>А</v>
      </c>
      <c r="L471" s="106" t="str">
        <f t="shared" si="24"/>
        <v>Д</v>
      </c>
      <c r="M471" s="107" t="str">
        <f t="shared" si="25"/>
        <v>Германские языки (Общие и индивидуальные тенденции развития германских языков)</v>
      </c>
    </row>
    <row r="472" spans="1:13" customFormat="1" ht="30" hidden="1" customHeight="1" x14ac:dyDescent="0.25">
      <c r="A472" s="41" t="s">
        <v>2273</v>
      </c>
      <c r="B472" s="25" t="s">
        <v>1665</v>
      </c>
      <c r="C472" s="29" t="s">
        <v>664</v>
      </c>
      <c r="D472" s="29" t="s">
        <v>666</v>
      </c>
      <c r="E472" s="25" t="s">
        <v>3128</v>
      </c>
      <c r="F472" s="26" t="s">
        <v>179</v>
      </c>
      <c r="G472" s="27" t="s">
        <v>540</v>
      </c>
      <c r="H472" s="27" t="s">
        <v>406</v>
      </c>
      <c r="I472" s="27"/>
      <c r="J472" s="27" t="s">
        <v>559</v>
      </c>
      <c r="K472" s="106" t="str">
        <f t="shared" si="23"/>
        <v>А</v>
      </c>
      <c r="L472" s="106" t="str">
        <f t="shared" si="24"/>
        <v>Д</v>
      </c>
      <c r="M472" s="107" t="str">
        <f t="shared" si="25"/>
        <v>Романские языки (Исторические особенности развития диалектов романских языков)</v>
      </c>
    </row>
    <row r="473" spans="1:13" customFormat="1" ht="30" hidden="1" customHeight="1" x14ac:dyDescent="0.25">
      <c r="A473" s="41" t="s">
        <v>1872</v>
      </c>
      <c r="B473" s="25" t="s">
        <v>2264</v>
      </c>
      <c r="C473" s="29" t="s">
        <v>664</v>
      </c>
      <c r="D473" s="29" t="s">
        <v>666</v>
      </c>
      <c r="E473" s="25" t="s">
        <v>3128</v>
      </c>
      <c r="F473" s="26" t="s">
        <v>179</v>
      </c>
      <c r="G473" s="27" t="s">
        <v>389</v>
      </c>
      <c r="H473" s="27" t="s">
        <v>1873</v>
      </c>
      <c r="I473" s="27"/>
      <c r="J473" s="27" t="s">
        <v>559</v>
      </c>
      <c r="K473" s="106" t="str">
        <f t="shared" si="23"/>
        <v>А</v>
      </c>
      <c r="L473" s="106" t="str">
        <f t="shared" si="24"/>
        <v>Д</v>
      </c>
      <c r="M473" s="107" t="str">
        <f t="shared" si="25"/>
        <v>Общая психология (Проблемы общения и коммуникации)</v>
      </c>
    </row>
    <row r="474" spans="1:13" customFormat="1" ht="30" hidden="1" customHeight="1" x14ac:dyDescent="0.25">
      <c r="A474" s="41" t="s">
        <v>1866</v>
      </c>
      <c r="B474" s="25" t="s">
        <v>2262</v>
      </c>
      <c r="C474" s="29" t="s">
        <v>664</v>
      </c>
      <c r="D474" s="29" t="s">
        <v>666</v>
      </c>
      <c r="E474" s="25" t="s">
        <v>3128</v>
      </c>
      <c r="F474" s="26" t="s">
        <v>179</v>
      </c>
      <c r="G474" s="27" t="s">
        <v>393</v>
      </c>
      <c r="H474" s="27" t="s">
        <v>1867</v>
      </c>
      <c r="I474" s="27"/>
      <c r="J474" s="27" t="s">
        <v>559</v>
      </c>
      <c r="K474" s="106" t="str">
        <f t="shared" si="23"/>
        <v>А</v>
      </c>
      <c r="L474" s="106" t="str">
        <f t="shared" si="24"/>
        <v>Д</v>
      </c>
      <c r="M474" s="107" t="str">
        <f t="shared" si="25"/>
        <v>Общая педагогика, история педагогики и образования (Педагогическое регулирование социальных отношений личности и социокультурной среды</v>
      </c>
    </row>
    <row r="475" spans="1:13" ht="30" hidden="1" customHeight="1" x14ac:dyDescent="0.25">
      <c r="A475" s="41" t="s">
        <v>1868</v>
      </c>
      <c r="B475" s="25" t="s">
        <v>2263</v>
      </c>
      <c r="C475" s="29" t="s">
        <v>664</v>
      </c>
      <c r="D475" s="29" t="s">
        <v>666</v>
      </c>
      <c r="E475" s="25" t="s">
        <v>3128</v>
      </c>
      <c r="F475" s="26" t="s">
        <v>179</v>
      </c>
      <c r="G475" s="27" t="s">
        <v>1869</v>
      </c>
      <c r="H475" s="27" t="s">
        <v>1870</v>
      </c>
      <c r="I475" s="27"/>
      <c r="J475" s="27" t="s">
        <v>559</v>
      </c>
      <c r="K475" s="106" t="str">
        <f t="shared" si="23"/>
        <v>А</v>
      </c>
      <c r="L475" s="106" t="str">
        <f t="shared" si="24"/>
        <v>Д</v>
      </c>
      <c r="M475" s="107" t="str">
        <f t="shared" si="25"/>
        <v>Теория и методика обучения и воспитания (иностранные языки): интралингводидактика, межкультурная коммуникация</v>
      </c>
    </row>
    <row r="476" spans="1:13" ht="30" hidden="1" customHeight="1" x14ac:dyDescent="0.25">
      <c r="A476" s="41" t="s">
        <v>1871</v>
      </c>
      <c r="B476" s="25" t="s">
        <v>2263</v>
      </c>
      <c r="C476" s="29" t="s">
        <v>664</v>
      </c>
      <c r="D476" s="29" t="s">
        <v>1730</v>
      </c>
      <c r="E476" s="25" t="s">
        <v>3128</v>
      </c>
      <c r="F476" s="26" t="s">
        <v>179</v>
      </c>
      <c r="G476" s="27" t="s">
        <v>1869</v>
      </c>
      <c r="H476" s="27" t="s">
        <v>1870</v>
      </c>
      <c r="I476" s="27"/>
      <c r="J476" s="27" t="s">
        <v>559</v>
      </c>
      <c r="K476" s="106" t="str">
        <f t="shared" si="23"/>
        <v>А</v>
      </c>
      <c r="L476" s="106" t="str">
        <f t="shared" si="24"/>
        <v>Д</v>
      </c>
      <c r="M476" s="107" t="str">
        <f t="shared" si="25"/>
        <v>Теория и методика обучения и воспитания (иностранные языки): интралингводидактика, межкультурная коммуникация (Английский язык)</v>
      </c>
    </row>
    <row r="477" spans="1:13" ht="30" hidden="1" customHeight="1" x14ac:dyDescent="0.25">
      <c r="A477" s="41" t="s">
        <v>1858</v>
      </c>
      <c r="B477" s="25" t="s">
        <v>2260</v>
      </c>
      <c r="C477" s="29" t="s">
        <v>664</v>
      </c>
      <c r="D477" s="29" t="s">
        <v>666</v>
      </c>
      <c r="E477" s="25" t="s">
        <v>3128</v>
      </c>
      <c r="F477" s="26" t="s">
        <v>179</v>
      </c>
      <c r="G477" s="27" t="s">
        <v>1859</v>
      </c>
      <c r="H477" s="27" t="s">
        <v>1860</v>
      </c>
      <c r="I477" s="27"/>
      <c r="J477" s="27" t="s">
        <v>559</v>
      </c>
      <c r="K477" s="106" t="str">
        <f t="shared" si="23"/>
        <v>А</v>
      </c>
      <c r="L477" s="106" t="str">
        <f t="shared" si="24"/>
        <v>Д</v>
      </c>
      <c r="M477" s="107" t="str">
        <f t="shared" si="25"/>
        <v>Языки народов зарубежных стран (романские языки): Исторические особенности развития диалектов романских языков</v>
      </c>
    </row>
    <row r="478" spans="1:13" ht="30" hidden="1" customHeight="1" x14ac:dyDescent="0.25">
      <c r="A478" s="41" t="s">
        <v>1861</v>
      </c>
      <c r="B478" s="25" t="s">
        <v>2260</v>
      </c>
      <c r="C478" s="29" t="s">
        <v>664</v>
      </c>
      <c r="D478" s="29" t="s">
        <v>666</v>
      </c>
      <c r="E478" s="25" t="s">
        <v>3128</v>
      </c>
      <c r="F478" s="26" t="s">
        <v>179</v>
      </c>
      <c r="G478" s="27" t="s">
        <v>1859</v>
      </c>
      <c r="H478" s="27" t="s">
        <v>1862</v>
      </c>
      <c r="I478" s="27"/>
      <c r="J478" s="27" t="s">
        <v>559</v>
      </c>
      <c r="K478" s="106" t="str">
        <f t="shared" si="23"/>
        <v>А</v>
      </c>
      <c r="L478" s="106" t="str">
        <f t="shared" si="24"/>
        <v>Д</v>
      </c>
      <c r="M478" s="107" t="str">
        <f t="shared" si="25"/>
        <v>Языки народов зарубежных стран (германские языки): Общие тенденции и индивидуальные тенденции развития германских языков</v>
      </c>
    </row>
    <row r="479" spans="1:13" ht="30" hidden="1" customHeight="1" x14ac:dyDescent="0.25">
      <c r="A479" s="41" t="s">
        <v>1863</v>
      </c>
      <c r="B479" s="25" t="s">
        <v>2261</v>
      </c>
      <c r="C479" s="29" t="s">
        <v>664</v>
      </c>
      <c r="D479" s="29" t="s">
        <v>666</v>
      </c>
      <c r="E479" s="25" t="s">
        <v>3128</v>
      </c>
      <c r="F479" s="26" t="s">
        <v>179</v>
      </c>
      <c r="G479" s="27" t="s">
        <v>1864</v>
      </c>
      <c r="H479" s="27" t="s">
        <v>1865</v>
      </c>
      <c r="I479" s="27"/>
      <c r="J479" s="27" t="s">
        <v>559</v>
      </c>
      <c r="K479" s="106" t="str">
        <f t="shared" si="23"/>
        <v>А</v>
      </c>
      <c r="L479" s="106" t="str">
        <f t="shared" si="24"/>
        <v>Д</v>
      </c>
      <c r="M479" s="107" t="str">
        <f t="shared" si="25"/>
        <v>Сравнение и сопоставление языков в диахронии и синхронии</v>
      </c>
    </row>
    <row r="480" spans="1:13" ht="30" hidden="1" customHeight="1" x14ac:dyDescent="0.25">
      <c r="A480" s="41" t="s">
        <v>2266</v>
      </c>
      <c r="B480" s="25" t="s">
        <v>1663</v>
      </c>
      <c r="C480" s="29" t="s">
        <v>665</v>
      </c>
      <c r="D480" s="29" t="s">
        <v>666</v>
      </c>
      <c r="E480" s="25" t="s">
        <v>1732</v>
      </c>
      <c r="F480" s="26" t="s">
        <v>179</v>
      </c>
      <c r="G480" s="27" t="s">
        <v>538</v>
      </c>
      <c r="H480" s="27" t="s">
        <v>597</v>
      </c>
      <c r="I480" s="27"/>
      <c r="J480" s="27" t="s">
        <v>559</v>
      </c>
      <c r="K480" s="106" t="str">
        <f t="shared" si="23"/>
        <v>А</v>
      </c>
      <c r="L480" s="106" t="str">
        <f t="shared" si="24"/>
        <v>З</v>
      </c>
      <c r="M480" s="107" t="str">
        <f t="shared" si="25"/>
        <v>Общая психология (Психологические проблемы общения и коммуникации)</v>
      </c>
    </row>
    <row r="481" spans="1:13" ht="30" hidden="1" customHeight="1" x14ac:dyDescent="0.25">
      <c r="A481" s="41" t="s">
        <v>2269</v>
      </c>
      <c r="B481" s="25" t="s">
        <v>1664</v>
      </c>
      <c r="C481" s="29" t="s">
        <v>665</v>
      </c>
      <c r="D481" s="29" t="s">
        <v>666</v>
      </c>
      <c r="E481" s="25" t="s">
        <v>1732</v>
      </c>
      <c r="F481" s="26" t="s">
        <v>179</v>
      </c>
      <c r="G481" s="27" t="s">
        <v>570</v>
      </c>
      <c r="H481" s="27" t="s">
        <v>595</v>
      </c>
      <c r="I481" s="27"/>
      <c r="J481" s="27" t="s">
        <v>559</v>
      </c>
      <c r="K481" s="106" t="str">
        <f t="shared" si="23"/>
        <v>А</v>
      </c>
      <c r="L481" s="106" t="str">
        <f t="shared" si="24"/>
        <v>З</v>
      </c>
      <c r="M481" s="107" t="str">
        <f t="shared" si="25"/>
        <v>Теория и методика обучения и воспитания (иностранные языки): Межкультурная коммуникация; Интралингводидактика</v>
      </c>
    </row>
    <row r="482" spans="1:13" ht="30" hidden="1" customHeight="1" x14ac:dyDescent="0.25">
      <c r="A482" s="41" t="s">
        <v>2270</v>
      </c>
      <c r="B482" s="25" t="s">
        <v>1664</v>
      </c>
      <c r="C482" s="29" t="s">
        <v>665</v>
      </c>
      <c r="D482" s="29" t="s">
        <v>666</v>
      </c>
      <c r="E482" s="25" t="s">
        <v>1732</v>
      </c>
      <c r="F482" s="26" t="s">
        <v>179</v>
      </c>
      <c r="G482" s="27" t="s">
        <v>570</v>
      </c>
      <c r="H482" s="27" t="s">
        <v>596</v>
      </c>
      <c r="I482" s="27"/>
      <c r="J482" s="27" t="s">
        <v>559</v>
      </c>
      <c r="K482" s="106" t="str">
        <f t="shared" si="23"/>
        <v>А</v>
      </c>
      <c r="L482" s="106" t="str">
        <f t="shared" si="24"/>
        <v>З</v>
      </c>
      <c r="M482" s="107" t="str">
        <f t="shared" si="25"/>
        <v>Общая педагогика, история педагогики и образования: педагогическое регулирование социальных отношений личности и социокультурной среды</v>
      </c>
    </row>
    <row r="483" spans="1:13" ht="30" hidden="1" customHeight="1" x14ac:dyDescent="0.25">
      <c r="A483" s="41" t="s">
        <v>2274</v>
      </c>
      <c r="B483" s="25" t="s">
        <v>1665</v>
      </c>
      <c r="C483" s="29" t="s">
        <v>665</v>
      </c>
      <c r="D483" s="29" t="s">
        <v>666</v>
      </c>
      <c r="E483" s="25" t="s">
        <v>1732</v>
      </c>
      <c r="F483" s="26" t="s">
        <v>179</v>
      </c>
      <c r="G483" s="27" t="s">
        <v>540</v>
      </c>
      <c r="H483" s="27" t="s">
        <v>446</v>
      </c>
      <c r="I483" s="27"/>
      <c r="J483" s="27" t="s">
        <v>559</v>
      </c>
      <c r="K483" s="106" t="str">
        <f t="shared" si="23"/>
        <v>А</v>
      </c>
      <c r="L483" s="106" t="str">
        <f t="shared" si="24"/>
        <v>З</v>
      </c>
      <c r="M483" s="107" t="str">
        <f t="shared" si="25"/>
        <v>Сравнительно-историческое, типологическое и сопоставительное языкознание (Сравнение и сопоставление языков в диахронии и синхронии)</v>
      </c>
    </row>
    <row r="484" spans="1:13" customFormat="1" ht="30" hidden="1" customHeight="1" x14ac:dyDescent="0.25">
      <c r="A484" s="41" t="s">
        <v>2275</v>
      </c>
      <c r="B484" s="25" t="s">
        <v>1665</v>
      </c>
      <c r="C484" s="29" t="s">
        <v>665</v>
      </c>
      <c r="D484" s="29" t="s">
        <v>666</v>
      </c>
      <c r="E484" s="25" t="s">
        <v>1732</v>
      </c>
      <c r="F484" s="26" t="s">
        <v>179</v>
      </c>
      <c r="G484" s="27" t="s">
        <v>540</v>
      </c>
      <c r="H484" s="27" t="s">
        <v>405</v>
      </c>
      <c r="I484" s="27"/>
      <c r="J484" s="27" t="s">
        <v>559</v>
      </c>
      <c r="K484" s="106" t="str">
        <f t="shared" si="23"/>
        <v>А</v>
      </c>
      <c r="L484" s="106" t="str">
        <f t="shared" si="24"/>
        <v>З</v>
      </c>
      <c r="M484" s="107" t="str">
        <f t="shared" si="25"/>
        <v>Германские языки (Общие и индивидуальные тенденции развития германских языков)</v>
      </c>
    </row>
    <row r="485" spans="1:13" customFormat="1" ht="30" hidden="1" customHeight="1" x14ac:dyDescent="0.25">
      <c r="A485" s="41" t="s">
        <v>2276</v>
      </c>
      <c r="B485" s="25" t="s">
        <v>1665</v>
      </c>
      <c r="C485" s="29" t="s">
        <v>665</v>
      </c>
      <c r="D485" s="29" t="s">
        <v>666</v>
      </c>
      <c r="E485" s="25" t="s">
        <v>1732</v>
      </c>
      <c r="F485" s="26" t="s">
        <v>179</v>
      </c>
      <c r="G485" s="27" t="s">
        <v>540</v>
      </c>
      <c r="H485" s="27" t="s">
        <v>406</v>
      </c>
      <c r="I485" s="27"/>
      <c r="J485" s="27" t="s">
        <v>559</v>
      </c>
      <c r="K485" s="106" t="str">
        <f t="shared" si="23"/>
        <v>А</v>
      </c>
      <c r="L485" s="106" t="str">
        <f t="shared" si="24"/>
        <v>З</v>
      </c>
      <c r="M485" s="107" t="str">
        <f t="shared" si="25"/>
        <v>Романские языки (Исторические особенности развития диалектов романских языков)</v>
      </c>
    </row>
    <row r="486" spans="1:13" customFormat="1" ht="30" hidden="1" customHeight="1" x14ac:dyDescent="0.25">
      <c r="A486" s="41" t="s">
        <v>1292</v>
      </c>
      <c r="B486" s="25" t="s">
        <v>1291</v>
      </c>
      <c r="C486" s="29" t="s">
        <v>664</v>
      </c>
      <c r="D486" s="29" t="s">
        <v>666</v>
      </c>
      <c r="E486" s="25" t="s">
        <v>1732</v>
      </c>
      <c r="F486" s="26" t="s">
        <v>113</v>
      </c>
      <c r="G486" s="27" t="s">
        <v>123</v>
      </c>
      <c r="H486" s="27" t="s">
        <v>604</v>
      </c>
      <c r="I486" s="27"/>
      <c r="J486" s="27" t="s">
        <v>560</v>
      </c>
      <c r="K486" s="106" t="str">
        <f t="shared" si="23"/>
        <v>Б</v>
      </c>
      <c r="L486" s="106" t="str">
        <f t="shared" si="24"/>
        <v>Д</v>
      </c>
      <c r="M486" s="107" t="str">
        <f t="shared" si="25"/>
        <v>Цифровая экономика</v>
      </c>
    </row>
    <row r="487" spans="1:13" customFormat="1" ht="30" hidden="1" customHeight="1" x14ac:dyDescent="0.25">
      <c r="A487" s="41" t="s">
        <v>2285</v>
      </c>
      <c r="B487" s="25" t="s">
        <v>1291</v>
      </c>
      <c r="C487" s="29" t="s">
        <v>664</v>
      </c>
      <c r="D487" s="29" t="s">
        <v>666</v>
      </c>
      <c r="E487" s="25" t="s">
        <v>1732</v>
      </c>
      <c r="F487" s="26" t="s">
        <v>113</v>
      </c>
      <c r="G487" s="27" t="s">
        <v>123</v>
      </c>
      <c r="H487" s="27" t="s">
        <v>181</v>
      </c>
      <c r="I487" s="27" t="s">
        <v>936</v>
      </c>
      <c r="J487" s="27" t="s">
        <v>560</v>
      </c>
      <c r="K487" s="106" t="str">
        <f t="shared" si="23"/>
        <v>Б</v>
      </c>
      <c r="L487" s="106" t="str">
        <f t="shared" si="24"/>
        <v>Д</v>
      </c>
      <c r="M487" s="107" t="str">
        <f t="shared" si="25"/>
        <v>Мировая экономика (Вуз-партнёр - Университет Ницца София Антиполис)</v>
      </c>
    </row>
    <row r="488" spans="1:13" ht="30" hidden="1" customHeight="1" x14ac:dyDescent="0.25">
      <c r="A488" s="41" t="s">
        <v>3051</v>
      </c>
      <c r="B488" s="25" t="s">
        <v>1291</v>
      </c>
      <c r="C488" s="29" t="s">
        <v>664</v>
      </c>
      <c r="D488" s="29" t="s">
        <v>666</v>
      </c>
      <c r="E488" s="25" t="s">
        <v>1732</v>
      </c>
      <c r="F488" s="26" t="s">
        <v>113</v>
      </c>
      <c r="G488" s="27" t="s">
        <v>123</v>
      </c>
      <c r="H488" s="27" t="s">
        <v>3156</v>
      </c>
      <c r="I488" s="27"/>
      <c r="J488" s="27" t="s">
        <v>560</v>
      </c>
      <c r="K488" s="106" t="str">
        <f t="shared" si="23"/>
        <v>Б</v>
      </c>
      <c r="L488" s="106" t="str">
        <f t="shared" si="24"/>
        <v>Д</v>
      </c>
      <c r="M488" s="107" t="str">
        <f t="shared" si="25"/>
        <v>Аналитика данных в экономике и бизнесе</v>
      </c>
    </row>
    <row r="489" spans="1:13" ht="30" hidden="1" customHeight="1" x14ac:dyDescent="0.25">
      <c r="A489" s="41" t="s">
        <v>3052</v>
      </c>
      <c r="B489" s="25" t="s">
        <v>1291</v>
      </c>
      <c r="C489" s="29" t="s">
        <v>664</v>
      </c>
      <c r="D489" s="29" t="s">
        <v>666</v>
      </c>
      <c r="E489" s="25" t="s">
        <v>1732</v>
      </c>
      <c r="F489" s="26" t="s">
        <v>113</v>
      </c>
      <c r="G489" s="27" t="s">
        <v>123</v>
      </c>
      <c r="H489" s="27" t="s">
        <v>3157</v>
      </c>
      <c r="I489" s="27"/>
      <c r="J489" s="27" t="s">
        <v>560</v>
      </c>
      <c r="K489" s="106" t="str">
        <f t="shared" si="23"/>
        <v>Б</v>
      </c>
      <c r="L489" s="106" t="str">
        <f t="shared" si="24"/>
        <v>Д</v>
      </c>
      <c r="M489" s="107" t="str">
        <f t="shared" si="25"/>
        <v>Бизнес-консалтинг, цифровой учет и аудит</v>
      </c>
    </row>
    <row r="490" spans="1:13" ht="30" hidden="1" customHeight="1" x14ac:dyDescent="0.25">
      <c r="A490" s="41" t="s">
        <v>1293</v>
      </c>
      <c r="B490" s="25" t="s">
        <v>1291</v>
      </c>
      <c r="C490" s="29" t="s">
        <v>664</v>
      </c>
      <c r="D490" s="29" t="s">
        <v>666</v>
      </c>
      <c r="E490" s="25" t="s">
        <v>1732</v>
      </c>
      <c r="F490" s="26" t="s">
        <v>113</v>
      </c>
      <c r="G490" s="27" t="s">
        <v>123</v>
      </c>
      <c r="H490" s="27" t="s">
        <v>181</v>
      </c>
      <c r="I490" s="27"/>
      <c r="J490" s="27" t="s">
        <v>560</v>
      </c>
      <c r="K490" s="106" t="str">
        <f t="shared" si="23"/>
        <v>Б</v>
      </c>
      <c r="L490" s="106" t="str">
        <f t="shared" si="24"/>
        <v>Д</v>
      </c>
      <c r="M490" s="107" t="str">
        <f t="shared" si="25"/>
        <v>Мировая экономика</v>
      </c>
    </row>
    <row r="491" spans="1:13" ht="30" hidden="1" customHeight="1" x14ac:dyDescent="0.25">
      <c r="A491" s="41" t="s">
        <v>1290</v>
      </c>
      <c r="B491" s="25" t="s">
        <v>1291</v>
      </c>
      <c r="C491" s="29" t="s">
        <v>664</v>
      </c>
      <c r="D491" s="29" t="s">
        <v>666</v>
      </c>
      <c r="E491" s="25" t="s">
        <v>1732</v>
      </c>
      <c r="F491" s="26" t="s">
        <v>113</v>
      </c>
      <c r="G491" s="27" t="s">
        <v>123</v>
      </c>
      <c r="H491" s="27" t="s">
        <v>603</v>
      </c>
      <c r="I491" s="27"/>
      <c r="J491" s="27" t="s">
        <v>560</v>
      </c>
      <c r="K491" s="106" t="str">
        <f t="shared" si="23"/>
        <v>Б</v>
      </c>
      <c r="L491" s="106" t="str">
        <f t="shared" si="24"/>
        <v>Д</v>
      </c>
      <c r="M491" s="107" t="str">
        <f t="shared" si="25"/>
        <v>Международная экономическая безопасность</v>
      </c>
    </row>
    <row r="492" spans="1:13" customFormat="1" ht="30" hidden="1" customHeight="1" x14ac:dyDescent="0.25">
      <c r="A492" s="41" t="s">
        <v>3053</v>
      </c>
      <c r="B492" s="25" t="s">
        <v>1291</v>
      </c>
      <c r="C492" s="29" t="s">
        <v>664</v>
      </c>
      <c r="D492" s="29" t="s">
        <v>666</v>
      </c>
      <c r="E492" s="25" t="s">
        <v>1732</v>
      </c>
      <c r="F492" s="26" t="s">
        <v>113</v>
      </c>
      <c r="G492" s="27" t="s">
        <v>123</v>
      </c>
      <c r="H492" s="27" t="s">
        <v>3158</v>
      </c>
      <c r="I492" s="27"/>
      <c r="J492" s="27" t="s">
        <v>560</v>
      </c>
      <c r="K492" s="106" t="str">
        <f t="shared" si="23"/>
        <v>Б</v>
      </c>
      <c r="L492" s="106" t="str">
        <f t="shared" si="24"/>
        <v>Д</v>
      </c>
      <c r="M492" s="107" t="str">
        <f t="shared" si="25"/>
        <v>Мировая экономика и международная экономическая безопасность</v>
      </c>
    </row>
    <row r="493" spans="1:13" ht="30" hidden="1" customHeight="1" x14ac:dyDescent="0.25">
      <c r="A493" s="41" t="s">
        <v>1294</v>
      </c>
      <c r="B493" s="25" t="s">
        <v>1094</v>
      </c>
      <c r="C493" s="29" t="s">
        <v>664</v>
      </c>
      <c r="D493" s="29" t="s">
        <v>666</v>
      </c>
      <c r="E493" s="25" t="s">
        <v>1732</v>
      </c>
      <c r="F493" s="26" t="s">
        <v>113</v>
      </c>
      <c r="G493" s="27" t="s">
        <v>300</v>
      </c>
      <c r="H493" s="27" t="s">
        <v>159</v>
      </c>
      <c r="I493" s="27"/>
      <c r="J493" s="27" t="s">
        <v>560</v>
      </c>
      <c r="K493" s="106" t="str">
        <f t="shared" si="23"/>
        <v>Б</v>
      </c>
      <c r="L493" s="106" t="str">
        <f t="shared" si="24"/>
        <v>Д</v>
      </c>
      <c r="M493" s="107" t="str">
        <f t="shared" si="25"/>
        <v>Международный менеджмент</v>
      </c>
    </row>
    <row r="494" spans="1:13" ht="30" hidden="1" customHeight="1" x14ac:dyDescent="0.25">
      <c r="A494" s="41" t="s">
        <v>1295</v>
      </c>
      <c r="B494" s="25" t="s">
        <v>1296</v>
      </c>
      <c r="C494" s="29" t="s">
        <v>664</v>
      </c>
      <c r="D494" s="29" t="s">
        <v>666</v>
      </c>
      <c r="E494" s="25" t="s">
        <v>1732</v>
      </c>
      <c r="F494" s="26" t="s">
        <v>113</v>
      </c>
      <c r="G494" s="27" t="s">
        <v>145</v>
      </c>
      <c r="H494" s="27" t="s">
        <v>601</v>
      </c>
      <c r="I494" s="27"/>
      <c r="J494" s="27" t="s">
        <v>560</v>
      </c>
      <c r="K494" s="106" t="str">
        <f t="shared" si="23"/>
        <v>Б</v>
      </c>
      <c r="L494" s="106" t="str">
        <f t="shared" si="24"/>
        <v>Д</v>
      </c>
      <c r="M494" s="107" t="str">
        <f t="shared" si="25"/>
        <v>Реклама</v>
      </c>
    </row>
    <row r="495" spans="1:13" customFormat="1" ht="30" hidden="1" customHeight="1" x14ac:dyDescent="0.25">
      <c r="A495" s="41" t="s">
        <v>1297</v>
      </c>
      <c r="B495" s="25" t="s">
        <v>1296</v>
      </c>
      <c r="C495" s="29" t="s">
        <v>664</v>
      </c>
      <c r="D495" s="29" t="s">
        <v>666</v>
      </c>
      <c r="E495" s="25" t="s">
        <v>1732</v>
      </c>
      <c r="F495" s="26" t="s">
        <v>113</v>
      </c>
      <c r="G495" s="27" t="s">
        <v>145</v>
      </c>
      <c r="H495" s="27" t="s">
        <v>602</v>
      </c>
      <c r="I495" s="27"/>
      <c r="J495" s="27" t="s">
        <v>560</v>
      </c>
      <c r="K495" s="106" t="str">
        <f t="shared" si="23"/>
        <v>Б</v>
      </c>
      <c r="L495" s="106" t="str">
        <f t="shared" si="24"/>
        <v>Д</v>
      </c>
      <c r="M495" s="107" t="str">
        <f t="shared" si="25"/>
        <v>Связи с общественностью</v>
      </c>
    </row>
    <row r="496" spans="1:13" customFormat="1" ht="30" hidden="1" customHeight="1" x14ac:dyDescent="0.25">
      <c r="A496" s="41" t="s">
        <v>2282</v>
      </c>
      <c r="B496" s="25" t="s">
        <v>1296</v>
      </c>
      <c r="C496" s="29" t="s">
        <v>664</v>
      </c>
      <c r="D496" s="29" t="s">
        <v>666</v>
      </c>
      <c r="E496" s="25" t="s">
        <v>1732</v>
      </c>
      <c r="F496" s="26" t="s">
        <v>113</v>
      </c>
      <c r="G496" s="27" t="s">
        <v>145</v>
      </c>
      <c r="H496" s="27" t="s">
        <v>145</v>
      </c>
      <c r="I496" s="27" t="s">
        <v>905</v>
      </c>
      <c r="J496" s="27" t="s">
        <v>560</v>
      </c>
      <c r="K496" s="106" t="str">
        <f t="shared" si="23"/>
        <v>Б</v>
      </c>
      <c r="L496" s="106" t="str">
        <f t="shared" si="24"/>
        <v>Д</v>
      </c>
      <c r="M496" s="107" t="str">
        <f t="shared" si="25"/>
        <v>Реклама и связи с общественностью (Вуз-партнёр - Высшая школа бизнеса, искусств и технологий "RISEBA")</v>
      </c>
    </row>
    <row r="497" spans="1:13" customFormat="1" ht="30" hidden="1" customHeight="1" x14ac:dyDescent="0.25">
      <c r="A497" s="41" t="s">
        <v>3054</v>
      </c>
      <c r="B497" s="25" t="s">
        <v>1296</v>
      </c>
      <c r="C497" s="29" t="s">
        <v>664</v>
      </c>
      <c r="D497" s="29" t="s">
        <v>666</v>
      </c>
      <c r="E497" s="25" t="s">
        <v>1732</v>
      </c>
      <c r="F497" s="26" t="s">
        <v>113</v>
      </c>
      <c r="G497" s="27" t="s">
        <v>145</v>
      </c>
      <c r="H497" s="27" t="s">
        <v>3159</v>
      </c>
      <c r="I497" s="27"/>
      <c r="J497" s="27" t="s">
        <v>560</v>
      </c>
      <c r="K497" s="106" t="str">
        <f t="shared" si="23"/>
        <v>Б</v>
      </c>
      <c r="L497" s="106" t="str">
        <f t="shared" si="24"/>
        <v>Д</v>
      </c>
      <c r="M497" s="107" t="str">
        <f t="shared" si="25"/>
        <v>Цифровые маркетинговые коммуникации</v>
      </c>
    </row>
    <row r="498" spans="1:13" customFormat="1" ht="30" hidden="1" customHeight="1" x14ac:dyDescent="0.25">
      <c r="A498" s="41" t="s">
        <v>2283</v>
      </c>
      <c r="B498" s="25" t="s">
        <v>1068</v>
      </c>
      <c r="C498" s="29" t="s">
        <v>664</v>
      </c>
      <c r="D498" s="29" t="s">
        <v>666</v>
      </c>
      <c r="E498" s="25" t="s">
        <v>3126</v>
      </c>
      <c r="F498" s="26" t="s">
        <v>115</v>
      </c>
      <c r="G498" s="27" t="s">
        <v>123</v>
      </c>
      <c r="H498" s="27" t="s">
        <v>169</v>
      </c>
      <c r="I498" s="27" t="s">
        <v>912</v>
      </c>
      <c r="J498" s="27" t="s">
        <v>560</v>
      </c>
      <c r="K498" s="106" t="str">
        <f t="shared" si="23"/>
        <v>М</v>
      </c>
      <c r="L498" s="106" t="str">
        <f t="shared" si="24"/>
        <v>Д</v>
      </c>
      <c r="M498" s="107" t="str">
        <f t="shared" si="25"/>
        <v>Международные финансы и банки (Вуз-партнёр - Казахский национальный университет им. Аль-Фараби)</v>
      </c>
    </row>
    <row r="499" spans="1:13" customFormat="1" ht="30" hidden="1" customHeight="1" x14ac:dyDescent="0.25">
      <c r="A499" s="41" t="s">
        <v>2286</v>
      </c>
      <c r="B499" s="25" t="s">
        <v>1068</v>
      </c>
      <c r="C499" s="29" t="s">
        <v>664</v>
      </c>
      <c r="D499" s="29" t="s">
        <v>667</v>
      </c>
      <c r="E499" s="25" t="s">
        <v>3126</v>
      </c>
      <c r="F499" s="26" t="s">
        <v>115</v>
      </c>
      <c r="G499" s="27" t="s">
        <v>123</v>
      </c>
      <c r="H499" s="27" t="s">
        <v>519</v>
      </c>
      <c r="I499" s="27"/>
      <c r="J499" s="27" t="s">
        <v>560</v>
      </c>
      <c r="K499" s="106" t="str">
        <f t="shared" si="23"/>
        <v>М</v>
      </c>
      <c r="L499" s="106" t="str">
        <f t="shared" si="24"/>
        <v>Д</v>
      </c>
      <c r="M499" s="107" t="str">
        <f t="shared" si="25"/>
        <v>Современные исследования Латинской Америки (Испанский язык)</v>
      </c>
    </row>
    <row r="500" spans="1:13" customFormat="1" ht="30" hidden="1" customHeight="1" x14ac:dyDescent="0.25">
      <c r="A500" s="41" t="s">
        <v>1298</v>
      </c>
      <c r="B500" s="25" t="s">
        <v>1068</v>
      </c>
      <c r="C500" s="29" t="s">
        <v>664</v>
      </c>
      <c r="D500" s="29" t="s">
        <v>666</v>
      </c>
      <c r="E500" s="25" t="s">
        <v>3126</v>
      </c>
      <c r="F500" s="26" t="s">
        <v>115</v>
      </c>
      <c r="G500" s="27" t="s">
        <v>123</v>
      </c>
      <c r="H500" s="27" t="s">
        <v>168</v>
      </c>
      <c r="I500" s="27"/>
      <c r="J500" s="27" t="s">
        <v>560</v>
      </c>
      <c r="K500" s="106" t="str">
        <f t="shared" si="23"/>
        <v>М</v>
      </c>
      <c r="L500" s="106" t="str">
        <f t="shared" si="24"/>
        <v>Д</v>
      </c>
      <c r="M500" s="107" t="str">
        <f t="shared" si="25"/>
        <v>Внешнеэкономическая деятельность</v>
      </c>
    </row>
    <row r="501" spans="1:13" customFormat="1" ht="30" hidden="1" customHeight="1" x14ac:dyDescent="0.25">
      <c r="A501" s="41" t="s">
        <v>1299</v>
      </c>
      <c r="B501" s="25" t="s">
        <v>1068</v>
      </c>
      <c r="C501" s="29" t="s">
        <v>664</v>
      </c>
      <c r="D501" s="29" t="s">
        <v>666</v>
      </c>
      <c r="E501" s="25" t="s">
        <v>3126</v>
      </c>
      <c r="F501" s="26" t="s">
        <v>115</v>
      </c>
      <c r="G501" s="27" t="s">
        <v>123</v>
      </c>
      <c r="H501" s="27" t="s">
        <v>169</v>
      </c>
      <c r="I501" s="27"/>
      <c r="J501" s="27" t="s">
        <v>560</v>
      </c>
      <c r="K501" s="106" t="str">
        <f t="shared" si="23"/>
        <v>М</v>
      </c>
      <c r="L501" s="106" t="str">
        <f t="shared" si="24"/>
        <v>Д</v>
      </c>
      <c r="M501" s="107" t="str">
        <f t="shared" si="25"/>
        <v>Международные финансы и банки</v>
      </c>
    </row>
    <row r="502" spans="1:13" customFormat="1" ht="30" hidden="1" customHeight="1" x14ac:dyDescent="0.25">
      <c r="A502" s="41" t="s">
        <v>2289</v>
      </c>
      <c r="B502" s="25" t="s">
        <v>1068</v>
      </c>
      <c r="C502" s="29" t="s">
        <v>664</v>
      </c>
      <c r="D502" s="29" t="s">
        <v>666</v>
      </c>
      <c r="E502" s="25" t="s">
        <v>3126</v>
      </c>
      <c r="F502" s="26" t="s">
        <v>115</v>
      </c>
      <c r="G502" s="27" t="s">
        <v>123</v>
      </c>
      <c r="H502" s="27" t="s">
        <v>2290</v>
      </c>
      <c r="I502" s="27"/>
      <c r="J502" s="27" t="s">
        <v>560</v>
      </c>
      <c r="K502" s="106" t="str">
        <f t="shared" si="23"/>
        <v>М</v>
      </c>
      <c r="L502" s="106" t="str">
        <f t="shared" si="24"/>
        <v>Д</v>
      </c>
      <c r="M502" s="107" t="str">
        <f t="shared" si="25"/>
        <v>Комплексная безопасность госкорпораций и бизнеса</v>
      </c>
    </row>
    <row r="503" spans="1:13" customFormat="1" ht="30" hidden="1" customHeight="1" x14ac:dyDescent="0.25">
      <c r="A503" s="41" t="s">
        <v>2291</v>
      </c>
      <c r="B503" s="25" t="s">
        <v>1068</v>
      </c>
      <c r="C503" s="29" t="s">
        <v>664</v>
      </c>
      <c r="D503" s="29" t="s">
        <v>666</v>
      </c>
      <c r="E503" s="25" t="s">
        <v>3126</v>
      </c>
      <c r="F503" s="26" t="s">
        <v>115</v>
      </c>
      <c r="G503" s="27" t="s">
        <v>123</v>
      </c>
      <c r="H503" s="27" t="s">
        <v>2292</v>
      </c>
      <c r="I503" s="27"/>
      <c r="J503" s="27" t="s">
        <v>560</v>
      </c>
      <c r="K503" s="106" t="str">
        <f t="shared" si="23"/>
        <v>М</v>
      </c>
      <c r="L503" s="106" t="str">
        <f t="shared" si="24"/>
        <v>Д</v>
      </c>
      <c r="M503" s="107" t="str">
        <f t="shared" si="25"/>
        <v>Международные финансы и бизнес</v>
      </c>
    </row>
    <row r="504" spans="1:13" customFormat="1" ht="30" hidden="1" customHeight="1" x14ac:dyDescent="0.25">
      <c r="A504" s="41" t="s">
        <v>3055</v>
      </c>
      <c r="B504" s="25" t="s">
        <v>1068</v>
      </c>
      <c r="C504" s="29" t="s">
        <v>664</v>
      </c>
      <c r="D504" s="29" t="s">
        <v>666</v>
      </c>
      <c r="E504" s="25" t="s">
        <v>3126</v>
      </c>
      <c r="F504" s="26" t="s">
        <v>115</v>
      </c>
      <c r="G504" s="27" t="s">
        <v>123</v>
      </c>
      <c r="H504" s="27" t="s">
        <v>3160</v>
      </c>
      <c r="I504" s="27"/>
      <c r="J504" s="27" t="s">
        <v>560</v>
      </c>
      <c r="K504" s="106" t="str">
        <f t="shared" si="23"/>
        <v>М</v>
      </c>
      <c r="L504" s="106" t="str">
        <f t="shared" si="24"/>
        <v>Д</v>
      </c>
      <c r="M504" s="107" t="str">
        <f t="shared" si="25"/>
        <v>Исламские финансы и бизнес</v>
      </c>
    </row>
    <row r="505" spans="1:13" customFormat="1" ht="30" hidden="1" customHeight="1" x14ac:dyDescent="0.25">
      <c r="A505" s="41" t="s">
        <v>1300</v>
      </c>
      <c r="B505" s="25" t="s">
        <v>1104</v>
      </c>
      <c r="C505" s="29" t="s">
        <v>664</v>
      </c>
      <c r="D505" s="29" t="s">
        <v>666</v>
      </c>
      <c r="E505" s="25" t="s">
        <v>3126</v>
      </c>
      <c r="F505" s="26" t="s">
        <v>115</v>
      </c>
      <c r="G505" s="27" t="s">
        <v>300</v>
      </c>
      <c r="H505" s="27" t="s">
        <v>600</v>
      </c>
      <c r="I505" s="27"/>
      <c r="J505" s="27" t="s">
        <v>560</v>
      </c>
      <c r="K505" s="106" t="str">
        <f t="shared" si="23"/>
        <v>М</v>
      </c>
      <c r="L505" s="106" t="str">
        <f t="shared" si="24"/>
        <v>Д</v>
      </c>
      <c r="M505" s="107" t="str">
        <f t="shared" si="25"/>
        <v>Управление международным бизнесом</v>
      </c>
    </row>
    <row r="506" spans="1:13" customFormat="1" ht="30" hidden="1" customHeight="1" x14ac:dyDescent="0.25">
      <c r="A506" s="41" t="s">
        <v>1302</v>
      </c>
      <c r="B506" s="25" t="s">
        <v>1104</v>
      </c>
      <c r="C506" s="29" t="s">
        <v>664</v>
      </c>
      <c r="D506" s="29" t="s">
        <v>1730</v>
      </c>
      <c r="E506" s="25" t="s">
        <v>3126</v>
      </c>
      <c r="F506" s="26" t="s">
        <v>115</v>
      </c>
      <c r="G506" s="27" t="s">
        <v>300</v>
      </c>
      <c r="H506" s="27" t="s">
        <v>600</v>
      </c>
      <c r="I506" s="27" t="s">
        <v>945</v>
      </c>
      <c r="J506" s="27" t="s">
        <v>560</v>
      </c>
      <c r="K506" s="106" t="str">
        <f t="shared" si="23"/>
        <v>М</v>
      </c>
      <c r="L506" s="106" t="str">
        <f t="shared" si="24"/>
        <v>Д</v>
      </c>
      <c r="M506" s="107" t="str">
        <f t="shared" si="25"/>
        <v>Управление международным бизнесом (Английский язык) (Вуз-партнёр - Эдинбургский Университет им. Нэйпия)</v>
      </c>
    </row>
    <row r="507" spans="1:13" customFormat="1" ht="30" hidden="1" customHeight="1" x14ac:dyDescent="0.25">
      <c r="A507" s="41" t="s">
        <v>1303</v>
      </c>
      <c r="B507" s="25" t="s">
        <v>1104</v>
      </c>
      <c r="C507" s="29" t="s">
        <v>664</v>
      </c>
      <c r="D507" s="29" t="s">
        <v>1730</v>
      </c>
      <c r="E507" s="25" t="s">
        <v>3126</v>
      </c>
      <c r="F507" s="26" t="s">
        <v>115</v>
      </c>
      <c r="G507" s="27" t="s">
        <v>300</v>
      </c>
      <c r="H507" s="27" t="s">
        <v>600</v>
      </c>
      <c r="I507" s="27" t="s">
        <v>936</v>
      </c>
      <c r="J507" s="27" t="s">
        <v>560</v>
      </c>
      <c r="K507" s="106" t="str">
        <f t="shared" si="23"/>
        <v>М</v>
      </c>
      <c r="L507" s="106" t="str">
        <f t="shared" si="24"/>
        <v>Д</v>
      </c>
      <c r="M507" s="107" t="str">
        <f t="shared" si="25"/>
        <v>Управление международным бизнесом (Английский язык) (Вуз-партнёр - Университет Ницца София Антиполис)</v>
      </c>
    </row>
    <row r="508" spans="1:13" customFormat="1" ht="30" hidden="1" customHeight="1" x14ac:dyDescent="0.25">
      <c r="A508" s="41" t="s">
        <v>2284</v>
      </c>
      <c r="B508" s="25" t="s">
        <v>1104</v>
      </c>
      <c r="C508" s="29" t="s">
        <v>664</v>
      </c>
      <c r="D508" s="29" t="s">
        <v>666</v>
      </c>
      <c r="E508" s="25" t="s">
        <v>3126</v>
      </c>
      <c r="F508" s="26" t="s">
        <v>115</v>
      </c>
      <c r="G508" s="27" t="s">
        <v>300</v>
      </c>
      <c r="H508" s="27" t="s">
        <v>600</v>
      </c>
      <c r="I508" s="27" t="s">
        <v>925</v>
      </c>
      <c r="J508" s="27" t="s">
        <v>560</v>
      </c>
      <c r="K508" s="106" t="str">
        <f t="shared" si="23"/>
        <v>М</v>
      </c>
      <c r="L508" s="106" t="str">
        <f t="shared" si="24"/>
        <v>Д</v>
      </c>
      <c r="M508" s="107" t="str">
        <f t="shared" si="25"/>
        <v>Управление международным бизнесом (Вуз-партнёр - Славянский университет)</v>
      </c>
    </row>
    <row r="509" spans="1:13" customFormat="1" ht="30" hidden="1" customHeight="1" x14ac:dyDescent="0.25">
      <c r="A509" s="41" t="s">
        <v>1301</v>
      </c>
      <c r="B509" s="25" t="s">
        <v>1104</v>
      </c>
      <c r="C509" s="29" t="s">
        <v>664</v>
      </c>
      <c r="D509" s="29" t="s">
        <v>1730</v>
      </c>
      <c r="E509" s="25" t="s">
        <v>3126</v>
      </c>
      <c r="F509" s="26" t="s">
        <v>115</v>
      </c>
      <c r="G509" s="27" t="s">
        <v>300</v>
      </c>
      <c r="H509" s="27" t="s">
        <v>600</v>
      </c>
      <c r="I509" s="27"/>
      <c r="J509" s="27" t="s">
        <v>560</v>
      </c>
      <c r="K509" s="106" t="str">
        <f t="shared" si="23"/>
        <v>М</v>
      </c>
      <c r="L509" s="106" t="str">
        <f t="shared" si="24"/>
        <v>Д</v>
      </c>
      <c r="M509" s="107" t="str">
        <f t="shared" si="25"/>
        <v>Управление международным бизнесом (Английский язык)</v>
      </c>
    </row>
    <row r="510" spans="1:13" customFormat="1" ht="30" hidden="1" customHeight="1" x14ac:dyDescent="0.25">
      <c r="A510" s="41" t="s">
        <v>1304</v>
      </c>
      <c r="B510" s="25" t="s">
        <v>1305</v>
      </c>
      <c r="C510" s="29" t="s">
        <v>664</v>
      </c>
      <c r="D510" s="29" t="s">
        <v>666</v>
      </c>
      <c r="E510" s="25" t="s">
        <v>3126</v>
      </c>
      <c r="F510" s="26" t="s">
        <v>115</v>
      </c>
      <c r="G510" s="27" t="s">
        <v>145</v>
      </c>
      <c r="H510" s="27" t="s">
        <v>170</v>
      </c>
      <c r="I510" s="27"/>
      <c r="J510" s="27" t="s">
        <v>560</v>
      </c>
      <c r="K510" s="106" t="str">
        <f t="shared" si="23"/>
        <v>М</v>
      </c>
      <c r="L510" s="106" t="str">
        <f t="shared" si="24"/>
        <v>Д</v>
      </c>
      <c r="M510" s="107" t="str">
        <f t="shared" si="25"/>
        <v>Рекламный менеджмент</v>
      </c>
    </row>
    <row r="511" spans="1:13" customFormat="1" ht="30" hidden="1" customHeight="1" x14ac:dyDescent="0.25">
      <c r="A511" s="41" t="s">
        <v>1306</v>
      </c>
      <c r="B511" s="25" t="s">
        <v>1305</v>
      </c>
      <c r="C511" s="29" t="s">
        <v>664</v>
      </c>
      <c r="D511" s="29" t="s">
        <v>666</v>
      </c>
      <c r="E511" s="25" t="s">
        <v>3126</v>
      </c>
      <c r="F511" s="26" t="s">
        <v>115</v>
      </c>
      <c r="G511" s="27" t="s">
        <v>145</v>
      </c>
      <c r="H511" s="27" t="s">
        <v>171</v>
      </c>
      <c r="I511" s="27"/>
      <c r="J511" s="27" t="s">
        <v>560</v>
      </c>
      <c r="K511" s="106" t="str">
        <f t="shared" si="23"/>
        <v>М</v>
      </c>
      <c r="L511" s="106" t="str">
        <f t="shared" si="24"/>
        <v>Д</v>
      </c>
      <c r="M511" s="107" t="str">
        <f t="shared" si="25"/>
        <v>Управление связями с общественностью</v>
      </c>
    </row>
    <row r="512" spans="1:13" customFormat="1" ht="30" hidden="1" customHeight="1" x14ac:dyDescent="0.25">
      <c r="A512" s="41" t="s">
        <v>2281</v>
      </c>
      <c r="B512" s="25" t="s">
        <v>1305</v>
      </c>
      <c r="C512" s="29" t="s">
        <v>664</v>
      </c>
      <c r="D512" s="29" t="s">
        <v>666</v>
      </c>
      <c r="E512" s="25" t="s">
        <v>3126</v>
      </c>
      <c r="F512" s="26" t="s">
        <v>115</v>
      </c>
      <c r="G512" s="27" t="s">
        <v>145</v>
      </c>
      <c r="H512" s="27" t="s">
        <v>171</v>
      </c>
      <c r="I512" s="27" t="s">
        <v>905</v>
      </c>
      <c r="J512" s="27" t="s">
        <v>560</v>
      </c>
      <c r="K512" s="106" t="str">
        <f t="shared" si="23"/>
        <v>М</v>
      </c>
      <c r="L512" s="106" t="str">
        <f t="shared" si="24"/>
        <v>Д</v>
      </c>
      <c r="M512" s="107" t="str">
        <f t="shared" si="25"/>
        <v>Управление связями с общественностью (Вуз-партнёр - Высшая школа бизнеса, искусств и технологий "RISEBA")</v>
      </c>
    </row>
    <row r="513" spans="1:13" ht="30" hidden="1" customHeight="1" x14ac:dyDescent="0.25">
      <c r="A513" s="41" t="s">
        <v>1308</v>
      </c>
      <c r="B513" s="25" t="s">
        <v>1281</v>
      </c>
      <c r="C513" s="29" t="s">
        <v>664</v>
      </c>
      <c r="D513" s="29" t="s">
        <v>1730</v>
      </c>
      <c r="E513" s="25" t="s">
        <v>3126</v>
      </c>
      <c r="F513" s="26" t="s">
        <v>115</v>
      </c>
      <c r="G513" s="27" t="s">
        <v>142</v>
      </c>
      <c r="H513" s="27" t="s">
        <v>599</v>
      </c>
      <c r="I513" s="27" t="s">
        <v>917</v>
      </c>
      <c r="J513" s="27" t="s">
        <v>560</v>
      </c>
      <c r="K513" s="106" t="str">
        <f t="shared" si="23"/>
        <v>М</v>
      </c>
      <c r="L513" s="106" t="str">
        <f t="shared" si="24"/>
        <v>Д</v>
      </c>
      <c r="M513" s="107" t="str">
        <f t="shared" si="25"/>
        <v>Иностранный язык профессионального общения и специализированный перевод (Английский язык) (Вуз-партнёр - Лондонский Университет Метрополитен)</v>
      </c>
    </row>
    <row r="514" spans="1:13" ht="30" hidden="1" customHeight="1" x14ac:dyDescent="0.25">
      <c r="A514" s="41" t="s">
        <v>2287</v>
      </c>
      <c r="B514" s="25" t="s">
        <v>1281</v>
      </c>
      <c r="C514" s="29" t="s">
        <v>664</v>
      </c>
      <c r="D514" s="29" t="s">
        <v>2288</v>
      </c>
      <c r="E514" s="25" t="s">
        <v>3126</v>
      </c>
      <c r="F514" s="26" t="s">
        <v>115</v>
      </c>
      <c r="G514" s="27" t="s">
        <v>142</v>
      </c>
      <c r="H514" s="27" t="s">
        <v>599</v>
      </c>
      <c r="I514" s="27"/>
      <c r="J514" s="27" t="s">
        <v>560</v>
      </c>
      <c r="K514" s="106" t="str">
        <f t="shared" si="23"/>
        <v>М</v>
      </c>
      <c r="L514" s="106" t="str">
        <f t="shared" si="24"/>
        <v>Д</v>
      </c>
      <c r="M514" s="107" t="str">
        <f t="shared" si="25"/>
        <v>Иностранный язык профессионального общения и специализированный перевод (Китайский язык)</v>
      </c>
    </row>
    <row r="515" spans="1:13" ht="30" hidden="1" customHeight="1" x14ac:dyDescent="0.25">
      <c r="A515" s="41" t="s">
        <v>1307</v>
      </c>
      <c r="B515" s="25" t="s">
        <v>1281</v>
      </c>
      <c r="C515" s="29" t="s">
        <v>664</v>
      </c>
      <c r="D515" s="29" t="s">
        <v>666</v>
      </c>
      <c r="E515" s="25" t="s">
        <v>3126</v>
      </c>
      <c r="F515" s="26" t="s">
        <v>115</v>
      </c>
      <c r="G515" s="27" t="s">
        <v>142</v>
      </c>
      <c r="H515" s="27" t="s">
        <v>599</v>
      </c>
      <c r="I515" s="27"/>
      <c r="J515" s="27" t="s">
        <v>560</v>
      </c>
      <c r="K515" s="106" t="str">
        <f t="shared" si="23"/>
        <v>М</v>
      </c>
      <c r="L515" s="106" t="str">
        <f t="shared" si="24"/>
        <v>Д</v>
      </c>
      <c r="M515" s="107" t="str">
        <f t="shared" si="25"/>
        <v>Иностранный язык профессионального общения и специализированный перевод</v>
      </c>
    </row>
    <row r="516" spans="1:13" ht="30" hidden="1" customHeight="1" x14ac:dyDescent="0.25">
      <c r="A516" s="41" t="s">
        <v>3056</v>
      </c>
      <c r="B516" s="25" t="s">
        <v>1281</v>
      </c>
      <c r="C516" s="29" t="s">
        <v>664</v>
      </c>
      <c r="D516" s="29" t="s">
        <v>1730</v>
      </c>
      <c r="E516" s="25" t="s">
        <v>3126</v>
      </c>
      <c r="F516" s="26" t="s">
        <v>115</v>
      </c>
      <c r="G516" s="27" t="s">
        <v>142</v>
      </c>
      <c r="H516" s="27" t="s">
        <v>599</v>
      </c>
      <c r="I516" s="27"/>
      <c r="J516" s="27" t="s">
        <v>560</v>
      </c>
      <c r="K516" s="106" t="str">
        <f t="shared" ref="K516:K579" si="26">LEFT(F516, 1)</f>
        <v>М</v>
      </c>
      <c r="L516" s="106" t="str">
        <f t="shared" ref="L516:L579" si="27">IF(C516="очная","Д",IF(C516="Очно-заочная","В",IF(C516="Заочная","З","-")))</f>
        <v>Д</v>
      </c>
      <c r="M516" s="107" t="str">
        <f t="shared" ref="M516:M579" si="28">CONCATENATE(H516,IF(D516="Русский","",CONCATENATE(" (",D516," язык)")),IF(I516&gt;0,CONCATENATE(" (Вуз-партнёр - ",I516,")"),""))</f>
        <v>Иностранный язык профессионального общения и специализированный перевод (Английский язык)</v>
      </c>
    </row>
    <row r="517" spans="1:13" ht="30" hidden="1" customHeight="1" x14ac:dyDescent="0.25">
      <c r="A517" s="41" t="s">
        <v>1310</v>
      </c>
      <c r="B517" s="25" t="s">
        <v>1311</v>
      </c>
      <c r="C517" s="29" t="s">
        <v>664</v>
      </c>
      <c r="D517" s="29" t="s">
        <v>666</v>
      </c>
      <c r="E517" s="25" t="s">
        <v>1732</v>
      </c>
      <c r="F517" s="26" t="s">
        <v>113</v>
      </c>
      <c r="G517" s="27" t="s">
        <v>137</v>
      </c>
      <c r="H517" s="27" t="s">
        <v>1312</v>
      </c>
      <c r="I517" s="27"/>
      <c r="J517" s="27" t="s">
        <v>1309</v>
      </c>
      <c r="K517" s="106" t="str">
        <f t="shared" si="26"/>
        <v>Б</v>
      </c>
      <c r="L517" s="106" t="str">
        <f t="shared" si="27"/>
        <v>Д</v>
      </c>
      <c r="M517" s="107" t="str">
        <f t="shared" si="28"/>
        <v>Прикладная цифровая филология</v>
      </c>
    </row>
    <row r="518" spans="1:13" ht="30" hidden="1" customHeight="1" x14ac:dyDescent="0.25">
      <c r="A518" s="41" t="s">
        <v>3057</v>
      </c>
      <c r="B518" s="25" t="s">
        <v>3114</v>
      </c>
      <c r="C518" s="29" t="s">
        <v>664</v>
      </c>
      <c r="D518" s="29" t="s">
        <v>666</v>
      </c>
      <c r="E518" s="25" t="s">
        <v>1732</v>
      </c>
      <c r="F518" s="26" t="s">
        <v>113</v>
      </c>
      <c r="G518" s="27" t="s">
        <v>3190</v>
      </c>
      <c r="H518" s="27" t="s">
        <v>3161</v>
      </c>
      <c r="I518" s="27"/>
      <c r="J518" s="27" t="s">
        <v>1309</v>
      </c>
      <c r="K518" s="106" t="str">
        <f t="shared" si="26"/>
        <v>Б</v>
      </c>
      <c r="L518" s="106" t="str">
        <f t="shared" si="27"/>
        <v>Д</v>
      </c>
      <c r="M518" s="107" t="str">
        <f t="shared" si="28"/>
        <v>Кибертехнологии и анализ данных в гуманитарной сфере</v>
      </c>
    </row>
    <row r="519" spans="1:13" ht="30" hidden="1" customHeight="1" x14ac:dyDescent="0.25">
      <c r="A519" s="41" t="s">
        <v>2948</v>
      </c>
      <c r="B519" s="25" t="s">
        <v>1311</v>
      </c>
      <c r="C519" s="29" t="s">
        <v>663</v>
      </c>
      <c r="D519" s="29" t="s">
        <v>666</v>
      </c>
      <c r="E519" s="25" t="s">
        <v>3125</v>
      </c>
      <c r="F519" s="26" t="s">
        <v>113</v>
      </c>
      <c r="G519" s="27" t="s">
        <v>137</v>
      </c>
      <c r="H519" s="27" t="s">
        <v>1312</v>
      </c>
      <c r="I519" s="27"/>
      <c r="J519" s="27" t="s">
        <v>1309</v>
      </c>
      <c r="K519" s="106" t="str">
        <f t="shared" si="26"/>
        <v>Б</v>
      </c>
      <c r="L519" s="106" t="str">
        <f t="shared" si="27"/>
        <v>В</v>
      </c>
      <c r="M519" s="107" t="str">
        <f t="shared" si="28"/>
        <v>Прикладная цифровая филология</v>
      </c>
    </row>
    <row r="520" spans="1:13" ht="30" hidden="1" customHeight="1" x14ac:dyDescent="0.25">
      <c r="A520" s="41" t="s">
        <v>1317</v>
      </c>
      <c r="B520" s="25" t="s">
        <v>1311</v>
      </c>
      <c r="C520" s="29" t="s">
        <v>665</v>
      </c>
      <c r="D520" s="29" t="s">
        <v>666</v>
      </c>
      <c r="E520" s="25" t="s">
        <v>3123</v>
      </c>
      <c r="F520" s="26" t="s">
        <v>113</v>
      </c>
      <c r="G520" s="27" t="s">
        <v>137</v>
      </c>
      <c r="H520" s="27" t="s">
        <v>1312</v>
      </c>
      <c r="I520" s="27"/>
      <c r="J520" s="27" t="s">
        <v>1309</v>
      </c>
      <c r="K520" s="106" t="str">
        <f t="shared" si="26"/>
        <v>Б</v>
      </c>
      <c r="L520" s="106" t="str">
        <f t="shared" si="27"/>
        <v>З</v>
      </c>
      <c r="M520" s="107" t="str">
        <f t="shared" si="28"/>
        <v>Прикладная цифровая филология</v>
      </c>
    </row>
    <row r="521" spans="1:13" ht="30" hidden="1" customHeight="1" x14ac:dyDescent="0.25">
      <c r="A521" s="41" t="s">
        <v>1313</v>
      </c>
      <c r="B521" s="25" t="s">
        <v>1314</v>
      </c>
      <c r="C521" s="29" t="s">
        <v>664</v>
      </c>
      <c r="D521" s="29" t="s">
        <v>666</v>
      </c>
      <c r="E521" s="25" t="s">
        <v>3126</v>
      </c>
      <c r="F521" s="26" t="s">
        <v>115</v>
      </c>
      <c r="G521" s="27" t="s">
        <v>137</v>
      </c>
      <c r="H521" s="27" t="s">
        <v>2293</v>
      </c>
      <c r="I521" s="27" t="s">
        <v>2807</v>
      </c>
      <c r="J521" s="27" t="s">
        <v>1309</v>
      </c>
      <c r="K521" s="106" t="str">
        <f t="shared" si="26"/>
        <v>М</v>
      </c>
      <c r="L521" s="106" t="str">
        <f t="shared" si="27"/>
        <v>Д</v>
      </c>
      <c r="M521" s="107" t="str">
        <f t="shared" si="28"/>
        <v>Глобальная русистика (Вуз-партнёр - Тюменский государственный университет)</v>
      </c>
    </row>
    <row r="522" spans="1:13" ht="30" hidden="1" customHeight="1" x14ac:dyDescent="0.25">
      <c r="A522" s="41" t="s">
        <v>1315</v>
      </c>
      <c r="B522" s="25" t="s">
        <v>1314</v>
      </c>
      <c r="C522" s="29" t="s">
        <v>664</v>
      </c>
      <c r="D522" s="29" t="s">
        <v>666</v>
      </c>
      <c r="E522" s="25" t="s">
        <v>3126</v>
      </c>
      <c r="F522" s="26" t="s">
        <v>115</v>
      </c>
      <c r="G522" s="27" t="s">
        <v>137</v>
      </c>
      <c r="H522" s="27" t="s">
        <v>1316</v>
      </c>
      <c r="I522" s="27"/>
      <c r="J522" s="27" t="s">
        <v>1309</v>
      </c>
      <c r="K522" s="106" t="str">
        <f t="shared" si="26"/>
        <v>М</v>
      </c>
      <c r="L522" s="106" t="str">
        <f t="shared" si="27"/>
        <v>Д</v>
      </c>
      <c r="M522" s="107" t="str">
        <f t="shared" si="28"/>
        <v>Цифровые инновации в филологии</v>
      </c>
    </row>
    <row r="523" spans="1:13" ht="30" hidden="1" customHeight="1" x14ac:dyDescent="0.25">
      <c r="A523" s="41" t="s">
        <v>3058</v>
      </c>
      <c r="B523" s="25" t="s">
        <v>1314</v>
      </c>
      <c r="C523" s="29" t="s">
        <v>664</v>
      </c>
      <c r="D523" s="29" t="s">
        <v>666</v>
      </c>
      <c r="E523" s="25" t="s">
        <v>3126</v>
      </c>
      <c r="F523" s="26" t="s">
        <v>115</v>
      </c>
      <c r="G523" s="27" t="s">
        <v>137</v>
      </c>
      <c r="H523" s="27" t="s">
        <v>3162</v>
      </c>
      <c r="I523" s="27" t="s">
        <v>2819</v>
      </c>
      <c r="J523" s="27" t="s">
        <v>1309</v>
      </c>
      <c r="K523" s="106" t="str">
        <f t="shared" si="26"/>
        <v>М</v>
      </c>
      <c r="L523" s="106" t="str">
        <f t="shared" si="27"/>
        <v>Д</v>
      </c>
      <c r="M523" s="107" t="str">
        <f t="shared" si="28"/>
        <v>Цифровая филология (Вуз-партнёр - Кыргызско-Российский (Славянский) Университет)</v>
      </c>
    </row>
    <row r="524" spans="1:13" ht="30" hidden="1" customHeight="1" x14ac:dyDescent="0.25">
      <c r="A524" s="41" t="s">
        <v>3059</v>
      </c>
      <c r="B524" s="25" t="s">
        <v>1314</v>
      </c>
      <c r="C524" s="29" t="s">
        <v>664</v>
      </c>
      <c r="D524" s="29" t="s">
        <v>666</v>
      </c>
      <c r="E524" s="25" t="s">
        <v>3126</v>
      </c>
      <c r="F524" s="26" t="s">
        <v>115</v>
      </c>
      <c r="G524" s="27" t="s">
        <v>137</v>
      </c>
      <c r="H524" s="27" t="s">
        <v>3163</v>
      </c>
      <c r="I524" s="27" t="s">
        <v>924</v>
      </c>
      <c r="J524" s="27" t="s">
        <v>1309</v>
      </c>
      <c r="K524" s="106" t="str">
        <f t="shared" si="26"/>
        <v>М</v>
      </c>
      <c r="L524" s="106" t="str">
        <f t="shared" si="27"/>
        <v>Д</v>
      </c>
      <c r="M524" s="107" t="str">
        <f t="shared" si="28"/>
        <v>Русский язык и литература в полиэтнической среде (Вуз-партнёр - Российско-Таджикский (Славянский) университет)</v>
      </c>
    </row>
    <row r="525" spans="1:13" ht="30" hidden="1" customHeight="1" x14ac:dyDescent="0.25">
      <c r="A525" s="41" t="s">
        <v>2946</v>
      </c>
      <c r="B525" s="25" t="s">
        <v>1281</v>
      </c>
      <c r="C525" s="29" t="s">
        <v>664</v>
      </c>
      <c r="D525" s="29" t="s">
        <v>666</v>
      </c>
      <c r="E525" s="25" t="s">
        <v>3126</v>
      </c>
      <c r="F525" s="26" t="s">
        <v>115</v>
      </c>
      <c r="G525" s="27" t="s">
        <v>142</v>
      </c>
      <c r="H525" s="27" t="s">
        <v>2293</v>
      </c>
      <c r="I525" s="27" t="s">
        <v>2947</v>
      </c>
      <c r="J525" s="27" t="s">
        <v>1309</v>
      </c>
      <c r="K525" s="106" t="str">
        <f t="shared" si="26"/>
        <v>М</v>
      </c>
      <c r="L525" s="106" t="str">
        <f t="shared" si="27"/>
        <v>Д</v>
      </c>
      <c r="M525" s="107" t="str">
        <f t="shared" si="28"/>
        <v>Глобальная русистика (Вуз-партнёр - Липецкий государственный педагогический университет имени П.П. Семенова-Тян-Шанского)</v>
      </c>
    </row>
    <row r="526" spans="1:13" ht="30" hidden="1" customHeight="1" x14ac:dyDescent="0.25">
      <c r="A526" s="41" t="s">
        <v>3060</v>
      </c>
      <c r="B526" s="25" t="s">
        <v>3115</v>
      </c>
      <c r="C526" s="29" t="s">
        <v>664</v>
      </c>
      <c r="D526" s="29" t="s">
        <v>666</v>
      </c>
      <c r="E526" s="25" t="s">
        <v>3126</v>
      </c>
      <c r="F526" s="26" t="s">
        <v>115</v>
      </c>
      <c r="G526" s="27" t="s">
        <v>3191</v>
      </c>
      <c r="H526" s="27" t="s">
        <v>3164</v>
      </c>
      <c r="I526" s="27"/>
      <c r="J526" s="27" t="s">
        <v>1309</v>
      </c>
      <c r="K526" s="106" t="str">
        <f t="shared" si="26"/>
        <v>М</v>
      </c>
      <c r="L526" s="106" t="str">
        <f t="shared" si="27"/>
        <v>Д</v>
      </c>
      <c r="M526" s="107" t="str">
        <f t="shared" si="28"/>
        <v>Интеллектуальные технологии и анализ данных в гуманитарной сфере</v>
      </c>
    </row>
    <row r="527" spans="1:13" ht="30" hidden="1" customHeight="1" x14ac:dyDescent="0.25">
      <c r="A527" s="41" t="s">
        <v>2949</v>
      </c>
      <c r="B527" s="25" t="s">
        <v>1314</v>
      </c>
      <c r="C527" s="29" t="s">
        <v>663</v>
      </c>
      <c r="D527" s="29" t="s">
        <v>666</v>
      </c>
      <c r="E527" s="25" t="s">
        <v>3127</v>
      </c>
      <c r="F527" s="26" t="s">
        <v>115</v>
      </c>
      <c r="G527" s="27" t="s">
        <v>137</v>
      </c>
      <c r="H527" s="27" t="s">
        <v>1316</v>
      </c>
      <c r="I527" s="27"/>
      <c r="J527" s="27" t="s">
        <v>1309</v>
      </c>
      <c r="K527" s="106" t="str">
        <f t="shared" si="26"/>
        <v>М</v>
      </c>
      <c r="L527" s="106" t="str">
        <f t="shared" si="27"/>
        <v>В</v>
      </c>
      <c r="M527" s="107" t="str">
        <f t="shared" si="28"/>
        <v>Цифровые инновации в филологии</v>
      </c>
    </row>
    <row r="528" spans="1:13" ht="30" hidden="1" customHeight="1" x14ac:dyDescent="0.25">
      <c r="A528" s="41" t="s">
        <v>1318</v>
      </c>
      <c r="B528" s="25" t="s">
        <v>1314</v>
      </c>
      <c r="C528" s="29" t="s">
        <v>665</v>
      </c>
      <c r="D528" s="29" t="s">
        <v>666</v>
      </c>
      <c r="E528" s="25" t="s">
        <v>3127</v>
      </c>
      <c r="F528" s="26" t="s">
        <v>115</v>
      </c>
      <c r="G528" s="27" t="s">
        <v>137</v>
      </c>
      <c r="H528" s="27" t="s">
        <v>1316</v>
      </c>
      <c r="I528" s="27"/>
      <c r="J528" s="27" t="s">
        <v>1309</v>
      </c>
      <c r="K528" s="106" t="str">
        <f t="shared" si="26"/>
        <v>М</v>
      </c>
      <c r="L528" s="106" t="str">
        <f t="shared" si="27"/>
        <v>З</v>
      </c>
      <c r="M528" s="107" t="str">
        <f t="shared" si="28"/>
        <v>Цифровые инновации в филологии</v>
      </c>
    </row>
    <row r="529" spans="1:13" ht="30" hidden="1" customHeight="1" x14ac:dyDescent="0.25">
      <c r="A529" s="41" t="s">
        <v>3061</v>
      </c>
      <c r="B529" s="25" t="s">
        <v>1314</v>
      </c>
      <c r="C529" s="29" t="s">
        <v>665</v>
      </c>
      <c r="D529" s="29" t="s">
        <v>666</v>
      </c>
      <c r="E529" s="25" t="s">
        <v>3127</v>
      </c>
      <c r="F529" s="26" t="s">
        <v>115</v>
      </c>
      <c r="G529" s="27" t="s">
        <v>137</v>
      </c>
      <c r="H529" s="27" t="s">
        <v>3162</v>
      </c>
      <c r="I529" s="27" t="s">
        <v>2819</v>
      </c>
      <c r="J529" s="27" t="s">
        <v>1309</v>
      </c>
      <c r="K529" s="106" t="str">
        <f t="shared" si="26"/>
        <v>М</v>
      </c>
      <c r="L529" s="106" t="str">
        <f t="shared" si="27"/>
        <v>З</v>
      </c>
      <c r="M529" s="107" t="str">
        <f t="shared" si="28"/>
        <v>Цифровая филология (Вуз-партнёр - Кыргызско-Российский (Славянский) Университет)</v>
      </c>
    </row>
    <row r="530" spans="1:13" ht="30" hidden="1" customHeight="1" x14ac:dyDescent="0.25">
      <c r="A530" s="41" t="s">
        <v>3062</v>
      </c>
      <c r="B530" s="25" t="s">
        <v>1314</v>
      </c>
      <c r="C530" s="29" t="s">
        <v>665</v>
      </c>
      <c r="D530" s="29" t="s">
        <v>666</v>
      </c>
      <c r="E530" s="25" t="s">
        <v>3127</v>
      </c>
      <c r="F530" s="26" t="s">
        <v>115</v>
      </c>
      <c r="G530" s="27" t="s">
        <v>137</v>
      </c>
      <c r="H530" s="27" t="s">
        <v>3163</v>
      </c>
      <c r="I530" s="27" t="s">
        <v>924</v>
      </c>
      <c r="J530" s="27" t="s">
        <v>1309</v>
      </c>
      <c r="K530" s="106" t="str">
        <f t="shared" si="26"/>
        <v>М</v>
      </c>
      <c r="L530" s="106" t="str">
        <f t="shared" si="27"/>
        <v>З</v>
      </c>
      <c r="M530" s="107" t="str">
        <f t="shared" si="28"/>
        <v>Русский язык и литература в полиэтнической среде (Вуз-партнёр - Российско-Таджикский (Славянский) университет)</v>
      </c>
    </row>
    <row r="531" spans="1:13" ht="30" hidden="1" customHeight="1" x14ac:dyDescent="0.25">
      <c r="A531" s="41" t="s">
        <v>3063</v>
      </c>
      <c r="B531" s="25" t="s">
        <v>2262</v>
      </c>
      <c r="C531" s="29" t="s">
        <v>664</v>
      </c>
      <c r="D531" s="29" t="s">
        <v>666</v>
      </c>
      <c r="E531" s="25" t="s">
        <v>3128</v>
      </c>
      <c r="F531" s="26" t="s">
        <v>179</v>
      </c>
      <c r="G531" s="27" t="s">
        <v>393</v>
      </c>
      <c r="H531" s="27" t="s">
        <v>3165</v>
      </c>
      <c r="I531" s="27"/>
      <c r="J531" s="27" t="s">
        <v>1309</v>
      </c>
      <c r="K531" s="106" t="str">
        <f t="shared" si="26"/>
        <v>А</v>
      </c>
      <c r="L531" s="106" t="str">
        <f t="shared" si="27"/>
        <v>Д</v>
      </c>
      <c r="M531" s="107" t="str">
        <f t="shared" si="28"/>
        <v>Междисциплинарность в педагогических исследованиях</v>
      </c>
    </row>
    <row r="532" spans="1:13" ht="30" hidden="1" customHeight="1" x14ac:dyDescent="0.25">
      <c r="A532" s="41" t="s">
        <v>1877</v>
      </c>
      <c r="B532" s="25" t="s">
        <v>2263</v>
      </c>
      <c r="C532" s="29" t="s">
        <v>664</v>
      </c>
      <c r="D532" s="29" t="s">
        <v>666</v>
      </c>
      <c r="E532" s="25" t="s">
        <v>3128</v>
      </c>
      <c r="F532" s="26" t="s">
        <v>179</v>
      </c>
      <c r="G532" s="27" t="s">
        <v>1869</v>
      </c>
      <c r="H532" s="27" t="s">
        <v>1878</v>
      </c>
      <c r="I532" s="27"/>
      <c r="J532" s="27" t="s">
        <v>1309</v>
      </c>
      <c r="K532" s="106" t="str">
        <f t="shared" si="26"/>
        <v>А</v>
      </c>
      <c r="L532" s="106" t="str">
        <f t="shared" si="27"/>
        <v>Д</v>
      </c>
      <c r="M532" s="107" t="str">
        <f t="shared" si="28"/>
        <v>Этноориентированная методика обучения русскому языку как иностранному</v>
      </c>
    </row>
    <row r="533" spans="1:13" ht="30" hidden="1" customHeight="1" x14ac:dyDescent="0.25">
      <c r="A533" s="41" t="s">
        <v>1874</v>
      </c>
      <c r="B533" s="25" t="s">
        <v>2294</v>
      </c>
      <c r="C533" s="29" t="s">
        <v>664</v>
      </c>
      <c r="D533" s="29" t="s">
        <v>666</v>
      </c>
      <c r="E533" s="25" t="s">
        <v>3128</v>
      </c>
      <c r="F533" s="26" t="s">
        <v>179</v>
      </c>
      <c r="G533" s="27" t="s">
        <v>1875</v>
      </c>
      <c r="H533" s="27" t="s">
        <v>1876</v>
      </c>
      <c r="I533" s="27"/>
      <c r="J533" s="27" t="s">
        <v>1309</v>
      </c>
      <c r="K533" s="106" t="str">
        <f t="shared" si="26"/>
        <v>А</v>
      </c>
      <c r="L533" s="106" t="str">
        <f t="shared" si="27"/>
        <v>Д</v>
      </c>
      <c r="M533" s="107" t="str">
        <f t="shared" si="28"/>
        <v>Русский язык как иностранный: теория и методика профессионального образования</v>
      </c>
    </row>
    <row r="534" spans="1:13" ht="30" hidden="1" customHeight="1" x14ac:dyDescent="0.25">
      <c r="A534" s="41" t="s">
        <v>1884</v>
      </c>
      <c r="B534" s="25" t="s">
        <v>2296</v>
      </c>
      <c r="C534" s="29" t="s">
        <v>664</v>
      </c>
      <c r="D534" s="29" t="s">
        <v>666</v>
      </c>
      <c r="E534" s="25" t="s">
        <v>3128</v>
      </c>
      <c r="F534" s="26" t="s">
        <v>179</v>
      </c>
      <c r="G534" s="27" t="s">
        <v>1885</v>
      </c>
      <c r="H534" s="27" t="s">
        <v>1886</v>
      </c>
      <c r="I534" s="27"/>
      <c r="J534" s="27" t="s">
        <v>1309</v>
      </c>
      <c r="K534" s="106" t="str">
        <f t="shared" si="26"/>
        <v>А</v>
      </c>
      <c r="L534" s="106" t="str">
        <f t="shared" si="27"/>
        <v>Д</v>
      </c>
      <c r="M534" s="107" t="str">
        <f t="shared" si="28"/>
        <v>Русский язык в речевой культуре современных носителей русского языка и билингвальных студентов</v>
      </c>
    </row>
    <row r="535" spans="1:13" ht="30" hidden="1" customHeight="1" x14ac:dyDescent="0.25">
      <c r="A535" s="41" t="s">
        <v>1889</v>
      </c>
      <c r="B535" s="25" t="s">
        <v>2296</v>
      </c>
      <c r="C535" s="29" t="s">
        <v>664</v>
      </c>
      <c r="D535" s="29" t="s">
        <v>666</v>
      </c>
      <c r="E535" s="25" t="s">
        <v>3128</v>
      </c>
      <c r="F535" s="26" t="s">
        <v>179</v>
      </c>
      <c r="G535" s="27" t="s">
        <v>1885</v>
      </c>
      <c r="H535" s="27" t="s">
        <v>1890</v>
      </c>
      <c r="I535" s="27"/>
      <c r="J535" s="27" t="s">
        <v>1309</v>
      </c>
      <c r="K535" s="106" t="str">
        <f t="shared" si="26"/>
        <v>А</v>
      </c>
      <c r="L535" s="106" t="str">
        <f t="shared" si="27"/>
        <v>Д</v>
      </c>
      <c r="M535" s="107" t="str">
        <f t="shared" si="28"/>
        <v>Лингвокультурология: теория и практика</v>
      </c>
    </row>
    <row r="536" spans="1:13" ht="30" hidden="1" customHeight="1" x14ac:dyDescent="0.25">
      <c r="A536" s="41" t="s">
        <v>1879</v>
      </c>
      <c r="B536" s="25" t="s">
        <v>2261</v>
      </c>
      <c r="C536" s="29" t="s">
        <v>664</v>
      </c>
      <c r="D536" s="29" t="s">
        <v>666</v>
      </c>
      <c r="E536" s="25" t="s">
        <v>3128</v>
      </c>
      <c r="F536" s="26" t="s">
        <v>179</v>
      </c>
      <c r="G536" s="27" t="s">
        <v>1864</v>
      </c>
      <c r="H536" s="27" t="s">
        <v>1880</v>
      </c>
      <c r="I536" s="27"/>
      <c r="J536" s="27" t="s">
        <v>1309</v>
      </c>
      <c r="K536" s="106" t="str">
        <f t="shared" si="26"/>
        <v>А</v>
      </c>
      <c r="L536" s="106" t="str">
        <f t="shared" si="27"/>
        <v>Д</v>
      </c>
      <c r="M536" s="107" t="str">
        <f t="shared" si="28"/>
        <v>Русско-инонациональный (массовый и индивидуальный) би- и транслингвизм</v>
      </c>
    </row>
    <row r="537" spans="1:13" customFormat="1" ht="30" hidden="1" customHeight="1" x14ac:dyDescent="0.25">
      <c r="A537" s="41" t="s">
        <v>1881</v>
      </c>
      <c r="B537" s="25" t="s">
        <v>2261</v>
      </c>
      <c r="C537" s="29" t="s">
        <v>664</v>
      </c>
      <c r="D537" s="29" t="s">
        <v>666</v>
      </c>
      <c r="E537" s="25" t="s">
        <v>3128</v>
      </c>
      <c r="F537" s="26" t="s">
        <v>179</v>
      </c>
      <c r="G537" s="27" t="s">
        <v>1864</v>
      </c>
      <c r="H537" s="27" t="s">
        <v>2295</v>
      </c>
      <c r="I537" s="27"/>
      <c r="J537" s="27" t="s">
        <v>1309</v>
      </c>
      <c r="K537" s="106" t="str">
        <f t="shared" si="26"/>
        <v>А</v>
      </c>
      <c r="L537" s="106" t="str">
        <f t="shared" si="27"/>
        <v>Д</v>
      </c>
      <c r="M537" s="107" t="str">
        <f t="shared" si="28"/>
        <v>Транслатология: теория и методология</v>
      </c>
    </row>
    <row r="538" spans="1:13" customFormat="1" ht="30" hidden="1" customHeight="1" x14ac:dyDescent="0.25">
      <c r="A538" s="41" t="s">
        <v>1882</v>
      </c>
      <c r="B538" s="25" t="s">
        <v>2261</v>
      </c>
      <c r="C538" s="29" t="s">
        <v>664</v>
      </c>
      <c r="D538" s="29" t="s">
        <v>666</v>
      </c>
      <c r="E538" s="25" t="s">
        <v>3128</v>
      </c>
      <c r="F538" s="26" t="s">
        <v>179</v>
      </c>
      <c r="G538" s="27" t="s">
        <v>1864</v>
      </c>
      <c r="H538" s="27" t="s">
        <v>1883</v>
      </c>
      <c r="I538" s="27"/>
      <c r="J538" s="27" t="s">
        <v>1309</v>
      </c>
      <c r="K538" s="106" t="str">
        <f t="shared" si="26"/>
        <v>А</v>
      </c>
      <c r="L538" s="106" t="str">
        <f t="shared" si="27"/>
        <v>Д</v>
      </c>
      <c r="M538" s="107" t="str">
        <f t="shared" si="28"/>
        <v>Сравнительно-типологические, сравнительно-сопоставительные исследования русского языка с языками народов РФ</v>
      </c>
    </row>
    <row r="539" spans="1:13" customFormat="1" ht="30" hidden="1" customHeight="1" x14ac:dyDescent="0.25">
      <c r="A539" s="41" t="s">
        <v>1887</v>
      </c>
      <c r="B539" s="25" t="s">
        <v>2261</v>
      </c>
      <c r="C539" s="29" t="s">
        <v>664</v>
      </c>
      <c r="D539" s="29" t="s">
        <v>666</v>
      </c>
      <c r="E539" s="25" t="s">
        <v>3128</v>
      </c>
      <c r="F539" s="26" t="s">
        <v>179</v>
      </c>
      <c r="G539" s="27" t="s">
        <v>1864</v>
      </c>
      <c r="H539" s="27" t="s">
        <v>1888</v>
      </c>
      <c r="I539" s="27"/>
      <c r="J539" s="27" t="s">
        <v>1309</v>
      </c>
      <c r="K539" s="106" t="str">
        <f t="shared" si="26"/>
        <v>А</v>
      </c>
      <c r="L539" s="106" t="str">
        <f t="shared" si="27"/>
        <v>Д</v>
      </c>
      <c r="M539" s="107" t="str">
        <f t="shared" si="28"/>
        <v>Лингвистический анализ русскоязычного художественного текста нерусских авторов, в том числе представителей коренных народов РФ</v>
      </c>
    </row>
    <row r="540" spans="1:13" customFormat="1" ht="30" hidden="1" customHeight="1" x14ac:dyDescent="0.25">
      <c r="A540" s="41" t="s">
        <v>1322</v>
      </c>
      <c r="B540" s="25" t="s">
        <v>1321</v>
      </c>
      <c r="C540" s="29" t="s">
        <v>664</v>
      </c>
      <c r="D540" s="29" t="s">
        <v>666</v>
      </c>
      <c r="E540" s="25" t="s">
        <v>1732</v>
      </c>
      <c r="F540" s="26" t="s">
        <v>113</v>
      </c>
      <c r="G540" s="27" t="s">
        <v>264</v>
      </c>
      <c r="H540" s="27" t="s">
        <v>1005</v>
      </c>
      <c r="I540" s="27"/>
      <c r="J540" s="27" t="s">
        <v>1319</v>
      </c>
      <c r="K540" s="106" t="str">
        <f t="shared" si="26"/>
        <v>Б</v>
      </c>
      <c r="L540" s="106" t="str">
        <f t="shared" si="27"/>
        <v>Д</v>
      </c>
      <c r="M540" s="107" t="str">
        <f t="shared" si="28"/>
        <v>Управление природными ресурсами</v>
      </c>
    </row>
    <row r="541" spans="1:13" customFormat="1" ht="30" hidden="1" customHeight="1" x14ac:dyDescent="0.25">
      <c r="A541" s="41" t="s">
        <v>2318</v>
      </c>
      <c r="B541" s="25" t="s">
        <v>1321</v>
      </c>
      <c r="C541" s="29" t="s">
        <v>664</v>
      </c>
      <c r="D541" s="29" t="s">
        <v>666</v>
      </c>
      <c r="E541" s="25" t="s">
        <v>1732</v>
      </c>
      <c r="F541" s="26" t="s">
        <v>113</v>
      </c>
      <c r="G541" s="27" t="s">
        <v>264</v>
      </c>
      <c r="H541" s="27" t="s">
        <v>2319</v>
      </c>
      <c r="I541" s="27"/>
      <c r="J541" s="27" t="s">
        <v>1319</v>
      </c>
      <c r="K541" s="106" t="str">
        <f t="shared" si="26"/>
        <v>Б</v>
      </c>
      <c r="L541" s="106" t="str">
        <f t="shared" si="27"/>
        <v>Д</v>
      </c>
      <c r="M541" s="107" t="str">
        <f t="shared" si="28"/>
        <v>Экология и устойчивое развитие</v>
      </c>
    </row>
    <row r="542" spans="1:13" customFormat="1" ht="30" hidden="1" customHeight="1" x14ac:dyDescent="0.25">
      <c r="A542" s="41" t="s">
        <v>1320</v>
      </c>
      <c r="B542" s="25" t="s">
        <v>1321</v>
      </c>
      <c r="C542" s="29" t="s">
        <v>664</v>
      </c>
      <c r="D542" s="29" t="s">
        <v>666</v>
      </c>
      <c r="E542" s="25" t="s">
        <v>1732</v>
      </c>
      <c r="F542" s="26" t="s">
        <v>113</v>
      </c>
      <c r="G542" s="27" t="s">
        <v>264</v>
      </c>
      <c r="H542" s="27" t="s">
        <v>264</v>
      </c>
      <c r="I542" s="27"/>
      <c r="J542" s="27" t="s">
        <v>1319</v>
      </c>
      <c r="K542" s="106" t="str">
        <f t="shared" si="26"/>
        <v>Б</v>
      </c>
      <c r="L542" s="106" t="str">
        <f t="shared" si="27"/>
        <v>Д</v>
      </c>
      <c r="M542" s="107" t="str">
        <f t="shared" si="28"/>
        <v>Экология и природопользование</v>
      </c>
    </row>
    <row r="543" spans="1:13" customFormat="1" ht="30" hidden="1" customHeight="1" x14ac:dyDescent="0.25">
      <c r="A543" s="41" t="s">
        <v>1323</v>
      </c>
      <c r="B543" s="25" t="s">
        <v>1324</v>
      </c>
      <c r="C543" s="29" t="s">
        <v>664</v>
      </c>
      <c r="D543" s="29" t="s">
        <v>666</v>
      </c>
      <c r="E543" s="25" t="s">
        <v>1732</v>
      </c>
      <c r="F543" s="26" t="s">
        <v>113</v>
      </c>
      <c r="G543" s="27" t="s">
        <v>265</v>
      </c>
      <c r="H543" s="27" t="s">
        <v>265</v>
      </c>
      <c r="I543" s="27"/>
      <c r="J543" s="27" t="s">
        <v>1319</v>
      </c>
      <c r="K543" s="106" t="str">
        <f t="shared" si="26"/>
        <v>Б</v>
      </c>
      <c r="L543" s="106" t="str">
        <f t="shared" si="27"/>
        <v>Д</v>
      </c>
      <c r="M543" s="107" t="str">
        <f t="shared" si="28"/>
        <v>Энерго- и ресурсосберегающие процессы в химической технологии, нефтехимии и биотехнологии</v>
      </c>
    </row>
    <row r="544" spans="1:13" customFormat="1" ht="30" hidden="1" customHeight="1" x14ac:dyDescent="0.25">
      <c r="A544" s="41" t="s">
        <v>1344</v>
      </c>
      <c r="B544" s="25" t="s">
        <v>1321</v>
      </c>
      <c r="C544" s="29" t="s">
        <v>663</v>
      </c>
      <c r="D544" s="29" t="s">
        <v>666</v>
      </c>
      <c r="E544" s="25" t="s">
        <v>3125</v>
      </c>
      <c r="F544" s="26" t="s">
        <v>113</v>
      </c>
      <c r="G544" s="27" t="s">
        <v>264</v>
      </c>
      <c r="H544" s="27" t="s">
        <v>1005</v>
      </c>
      <c r="I544" s="27"/>
      <c r="J544" s="27" t="s">
        <v>1319</v>
      </c>
      <c r="K544" s="106" t="str">
        <f t="shared" si="26"/>
        <v>Б</v>
      </c>
      <c r="L544" s="106" t="str">
        <f t="shared" si="27"/>
        <v>В</v>
      </c>
      <c r="M544" s="107" t="str">
        <f t="shared" si="28"/>
        <v>Управление природными ресурсами</v>
      </c>
    </row>
    <row r="545" spans="1:13" customFormat="1" ht="30" hidden="1" customHeight="1" x14ac:dyDescent="0.25">
      <c r="A545" s="41" t="s">
        <v>2320</v>
      </c>
      <c r="B545" s="25" t="s">
        <v>1321</v>
      </c>
      <c r="C545" s="29" t="s">
        <v>663</v>
      </c>
      <c r="D545" s="29" t="s">
        <v>666</v>
      </c>
      <c r="E545" s="25" t="s">
        <v>3125</v>
      </c>
      <c r="F545" s="26" t="s">
        <v>113</v>
      </c>
      <c r="G545" s="27" t="s">
        <v>264</v>
      </c>
      <c r="H545" s="27" t="s">
        <v>2319</v>
      </c>
      <c r="I545" s="27"/>
      <c r="J545" s="27" t="s">
        <v>1319</v>
      </c>
      <c r="K545" s="106" t="str">
        <f t="shared" si="26"/>
        <v>Б</v>
      </c>
      <c r="L545" s="106" t="str">
        <f t="shared" si="27"/>
        <v>В</v>
      </c>
      <c r="M545" s="107" t="str">
        <f t="shared" si="28"/>
        <v>Экология и устойчивое развитие</v>
      </c>
    </row>
    <row r="546" spans="1:13" customFormat="1" ht="30" hidden="1" customHeight="1" x14ac:dyDescent="0.25">
      <c r="A546" s="41" t="s">
        <v>1343</v>
      </c>
      <c r="B546" s="25" t="s">
        <v>1321</v>
      </c>
      <c r="C546" s="29" t="s">
        <v>663</v>
      </c>
      <c r="D546" s="29" t="s">
        <v>666</v>
      </c>
      <c r="E546" s="25" t="s">
        <v>3125</v>
      </c>
      <c r="F546" s="26" t="s">
        <v>113</v>
      </c>
      <c r="G546" s="27" t="s">
        <v>264</v>
      </c>
      <c r="H546" s="27" t="s">
        <v>264</v>
      </c>
      <c r="I546" s="27"/>
      <c r="J546" s="27" t="s">
        <v>1319</v>
      </c>
      <c r="K546" s="106" t="str">
        <f t="shared" si="26"/>
        <v>Б</v>
      </c>
      <c r="L546" s="106" t="str">
        <f t="shared" si="27"/>
        <v>В</v>
      </c>
      <c r="M546" s="107" t="str">
        <f t="shared" si="28"/>
        <v>Экология и природопользование</v>
      </c>
    </row>
    <row r="547" spans="1:13" customFormat="1" ht="30" hidden="1" customHeight="1" x14ac:dyDescent="0.25">
      <c r="A547" s="41" t="s">
        <v>1345</v>
      </c>
      <c r="B547" s="25" t="s">
        <v>1324</v>
      </c>
      <c r="C547" s="29" t="s">
        <v>663</v>
      </c>
      <c r="D547" s="29" t="s">
        <v>666</v>
      </c>
      <c r="E547" s="25" t="s">
        <v>3125</v>
      </c>
      <c r="F547" s="26" t="s">
        <v>113</v>
      </c>
      <c r="G547" s="27" t="s">
        <v>265</v>
      </c>
      <c r="H547" s="27" t="s">
        <v>265</v>
      </c>
      <c r="I547" s="27"/>
      <c r="J547" s="27" t="s">
        <v>1319</v>
      </c>
      <c r="K547" s="106" t="str">
        <f t="shared" si="26"/>
        <v>Б</v>
      </c>
      <c r="L547" s="106" t="str">
        <f t="shared" si="27"/>
        <v>В</v>
      </c>
      <c r="M547" s="107" t="str">
        <f t="shared" si="28"/>
        <v>Энерго- и ресурсосберегающие процессы в химической технологии, нефтехимии и биотехнологии</v>
      </c>
    </row>
    <row r="548" spans="1:13" ht="30" hidden="1" customHeight="1" x14ac:dyDescent="0.25">
      <c r="A548" s="41" t="s">
        <v>1352</v>
      </c>
      <c r="B548" s="25" t="s">
        <v>1321</v>
      </c>
      <c r="C548" s="29" t="s">
        <v>665</v>
      </c>
      <c r="D548" s="29" t="s">
        <v>666</v>
      </c>
      <c r="E548" s="25" t="s">
        <v>3125</v>
      </c>
      <c r="F548" s="26" t="s">
        <v>113</v>
      </c>
      <c r="G548" s="27" t="s">
        <v>264</v>
      </c>
      <c r="H548" s="27" t="s">
        <v>1005</v>
      </c>
      <c r="I548" s="27"/>
      <c r="J548" s="27" t="s">
        <v>1319</v>
      </c>
      <c r="K548" s="106" t="str">
        <f t="shared" si="26"/>
        <v>Б</v>
      </c>
      <c r="L548" s="106" t="str">
        <f t="shared" si="27"/>
        <v>З</v>
      </c>
      <c r="M548" s="107" t="str">
        <f t="shared" si="28"/>
        <v>Управление природными ресурсами</v>
      </c>
    </row>
    <row r="549" spans="1:13" ht="30" hidden="1" customHeight="1" x14ac:dyDescent="0.25">
      <c r="A549" s="41" t="s">
        <v>2321</v>
      </c>
      <c r="B549" s="25" t="s">
        <v>1321</v>
      </c>
      <c r="C549" s="29" t="s">
        <v>665</v>
      </c>
      <c r="D549" s="29" t="s">
        <v>666</v>
      </c>
      <c r="E549" s="25" t="s">
        <v>3125</v>
      </c>
      <c r="F549" s="26" t="s">
        <v>113</v>
      </c>
      <c r="G549" s="27" t="s">
        <v>264</v>
      </c>
      <c r="H549" s="27" t="s">
        <v>2319</v>
      </c>
      <c r="I549" s="27"/>
      <c r="J549" s="27" t="s">
        <v>1319</v>
      </c>
      <c r="K549" s="106" t="str">
        <f t="shared" si="26"/>
        <v>Б</v>
      </c>
      <c r="L549" s="106" t="str">
        <f t="shared" si="27"/>
        <v>З</v>
      </c>
      <c r="M549" s="107" t="str">
        <f t="shared" si="28"/>
        <v>Экология и устойчивое развитие</v>
      </c>
    </row>
    <row r="550" spans="1:13" ht="30" hidden="1" customHeight="1" x14ac:dyDescent="0.25">
      <c r="A550" s="41" t="s">
        <v>1351</v>
      </c>
      <c r="B550" s="25" t="s">
        <v>1321</v>
      </c>
      <c r="C550" s="29" t="s">
        <v>665</v>
      </c>
      <c r="D550" s="29" t="s">
        <v>666</v>
      </c>
      <c r="E550" s="25" t="s">
        <v>3125</v>
      </c>
      <c r="F550" s="26" t="s">
        <v>113</v>
      </c>
      <c r="G550" s="27" t="s">
        <v>264</v>
      </c>
      <c r="H550" s="27" t="s">
        <v>264</v>
      </c>
      <c r="I550" s="27"/>
      <c r="J550" s="27" t="s">
        <v>1319</v>
      </c>
      <c r="K550" s="106" t="str">
        <f t="shared" si="26"/>
        <v>Б</v>
      </c>
      <c r="L550" s="106" t="str">
        <f t="shared" si="27"/>
        <v>З</v>
      </c>
      <c r="M550" s="107" t="str">
        <f t="shared" si="28"/>
        <v>Экология и природопользование</v>
      </c>
    </row>
    <row r="551" spans="1:13" ht="30" hidden="1" customHeight="1" x14ac:dyDescent="0.25">
      <c r="A551" s="41" t="s">
        <v>1353</v>
      </c>
      <c r="B551" s="25" t="s">
        <v>1324</v>
      </c>
      <c r="C551" s="29" t="s">
        <v>665</v>
      </c>
      <c r="D551" s="29" t="s">
        <v>666</v>
      </c>
      <c r="E551" s="25" t="s">
        <v>3125</v>
      </c>
      <c r="F551" s="26" t="s">
        <v>113</v>
      </c>
      <c r="G551" s="27" t="s">
        <v>265</v>
      </c>
      <c r="H551" s="27" t="s">
        <v>265</v>
      </c>
      <c r="I551" s="27"/>
      <c r="J551" s="27" t="s">
        <v>1319</v>
      </c>
      <c r="K551" s="106" t="str">
        <f t="shared" si="26"/>
        <v>Б</v>
      </c>
      <c r="L551" s="106" t="str">
        <f t="shared" si="27"/>
        <v>З</v>
      </c>
      <c r="M551" s="107" t="str">
        <f t="shared" si="28"/>
        <v>Энерго- и ресурсосберегающие процессы в химической технологии, нефтехимии и биотехнологии</v>
      </c>
    </row>
    <row r="552" spans="1:13" customFormat="1" ht="30" hidden="1" customHeight="1" x14ac:dyDescent="0.25">
      <c r="A552" s="41" t="s">
        <v>1325</v>
      </c>
      <c r="B552" s="25" t="s">
        <v>1160</v>
      </c>
      <c r="C552" s="29" t="s">
        <v>664</v>
      </c>
      <c r="D552" s="29" t="s">
        <v>666</v>
      </c>
      <c r="E552" s="25" t="s">
        <v>3126</v>
      </c>
      <c r="F552" s="26" t="s">
        <v>115</v>
      </c>
      <c r="G552" s="27" t="s">
        <v>127</v>
      </c>
      <c r="H552" s="27" t="s">
        <v>1326</v>
      </c>
      <c r="I552" s="27"/>
      <c r="J552" s="27" t="s">
        <v>1319</v>
      </c>
      <c r="K552" s="106" t="str">
        <f t="shared" si="26"/>
        <v>М</v>
      </c>
      <c r="L552" s="106" t="str">
        <f t="shared" si="27"/>
        <v>Д</v>
      </c>
      <c r="M552" s="107" t="str">
        <f t="shared" si="28"/>
        <v>Моделирование и прогнозирование процессов в экологии и экономике</v>
      </c>
    </row>
    <row r="553" spans="1:13" ht="30" hidden="1" customHeight="1" x14ac:dyDescent="0.25">
      <c r="A553" s="41" t="s">
        <v>1329</v>
      </c>
      <c r="B553" s="25" t="s">
        <v>1328</v>
      </c>
      <c r="C553" s="29" t="s">
        <v>664</v>
      </c>
      <c r="D553" s="29" t="s">
        <v>1730</v>
      </c>
      <c r="E553" s="25" t="s">
        <v>3126</v>
      </c>
      <c r="F553" s="26" t="s">
        <v>115</v>
      </c>
      <c r="G553" s="27" t="s">
        <v>264</v>
      </c>
      <c r="H553" s="27" t="s">
        <v>635</v>
      </c>
      <c r="I553" s="27"/>
      <c r="J553" s="27" t="s">
        <v>1319</v>
      </c>
      <c r="K553" s="106" t="str">
        <f t="shared" si="26"/>
        <v>М</v>
      </c>
      <c r="L553" s="106" t="str">
        <f t="shared" si="27"/>
        <v>Д</v>
      </c>
      <c r="M553" s="107" t="str">
        <f t="shared" si="28"/>
        <v>Экономика управления природными ресурсами (Английский язык)</v>
      </c>
    </row>
    <row r="554" spans="1:13" ht="30" hidden="1" customHeight="1" x14ac:dyDescent="0.25">
      <c r="A554" s="41" t="s">
        <v>1330</v>
      </c>
      <c r="B554" s="25" t="s">
        <v>1328</v>
      </c>
      <c r="C554" s="29" t="s">
        <v>664</v>
      </c>
      <c r="D554" s="29" t="s">
        <v>666</v>
      </c>
      <c r="E554" s="25" t="s">
        <v>3126</v>
      </c>
      <c r="F554" s="26" t="s">
        <v>115</v>
      </c>
      <c r="G554" s="27" t="s">
        <v>264</v>
      </c>
      <c r="H554" s="27" t="s">
        <v>2297</v>
      </c>
      <c r="I554" s="27" t="s">
        <v>3166</v>
      </c>
      <c r="J554" s="27" t="s">
        <v>1319</v>
      </c>
      <c r="K554" s="106" t="str">
        <f t="shared" si="26"/>
        <v>М</v>
      </c>
      <c r="L554" s="106" t="str">
        <f t="shared" si="27"/>
        <v>Д</v>
      </c>
      <c r="M554" s="107" t="str">
        <f t="shared" si="28"/>
        <v>Природопользование (Вуз-партнёр - Казахский национальный технический университет им. К.И. Сатпаева)</v>
      </c>
    </row>
    <row r="555" spans="1:13" customFormat="1" ht="30" hidden="1" customHeight="1" x14ac:dyDescent="0.25">
      <c r="A555" s="41" t="s">
        <v>1331</v>
      </c>
      <c r="B555" s="25" t="s">
        <v>1328</v>
      </c>
      <c r="C555" s="29" t="s">
        <v>664</v>
      </c>
      <c r="D555" s="29" t="s">
        <v>666</v>
      </c>
      <c r="E555" s="25" t="s">
        <v>3126</v>
      </c>
      <c r="F555" s="26" t="s">
        <v>115</v>
      </c>
      <c r="G555" s="27" t="s">
        <v>264</v>
      </c>
      <c r="H555" s="27" t="s">
        <v>637</v>
      </c>
      <c r="I555" s="27"/>
      <c r="J555" s="27" t="s">
        <v>1319</v>
      </c>
      <c r="K555" s="106" t="str">
        <f t="shared" si="26"/>
        <v>М</v>
      </c>
      <c r="L555" s="106" t="str">
        <f t="shared" si="27"/>
        <v>Д</v>
      </c>
      <c r="M555" s="107" t="str">
        <f t="shared" si="28"/>
        <v>Экспертиза в области охраны окружающей среды и устойчивого развития</v>
      </c>
    </row>
    <row r="556" spans="1:13" customFormat="1" ht="30" hidden="1" customHeight="1" x14ac:dyDescent="0.25">
      <c r="A556" s="41" t="s">
        <v>1333</v>
      </c>
      <c r="B556" s="25" t="s">
        <v>1328</v>
      </c>
      <c r="C556" s="29" t="s">
        <v>664</v>
      </c>
      <c r="D556" s="29" t="s">
        <v>666</v>
      </c>
      <c r="E556" s="25" t="s">
        <v>3126</v>
      </c>
      <c r="F556" s="26" t="s">
        <v>115</v>
      </c>
      <c r="G556" s="27" t="s">
        <v>264</v>
      </c>
      <c r="H556" s="27" t="s">
        <v>639</v>
      </c>
      <c r="I556" s="27"/>
      <c r="J556" s="27" t="s">
        <v>1319</v>
      </c>
      <c r="K556" s="106" t="str">
        <f t="shared" si="26"/>
        <v>М</v>
      </c>
      <c r="L556" s="106" t="str">
        <f t="shared" si="27"/>
        <v>Д</v>
      </c>
      <c r="M556" s="107" t="str">
        <f t="shared" si="28"/>
        <v>Экология города</v>
      </c>
    </row>
    <row r="557" spans="1:13" ht="30" hidden="1" customHeight="1" x14ac:dyDescent="0.25">
      <c r="A557" s="41" t="s">
        <v>1335</v>
      </c>
      <c r="B557" s="25" t="s">
        <v>1328</v>
      </c>
      <c r="C557" s="29" t="s">
        <v>664</v>
      </c>
      <c r="D557" s="29" t="s">
        <v>666</v>
      </c>
      <c r="E557" s="25" t="s">
        <v>3126</v>
      </c>
      <c r="F557" s="26" t="s">
        <v>115</v>
      </c>
      <c r="G557" s="27" t="s">
        <v>264</v>
      </c>
      <c r="H557" s="27" t="s">
        <v>636</v>
      </c>
      <c r="I557" s="27" t="s">
        <v>908</v>
      </c>
      <c r="J557" s="27" t="s">
        <v>1319</v>
      </c>
      <c r="K557" s="106" t="str">
        <f t="shared" si="26"/>
        <v>М</v>
      </c>
      <c r="L557" s="106" t="str">
        <f t="shared" si="27"/>
        <v>Д</v>
      </c>
      <c r="M557" s="107" t="str">
        <f t="shared" si="28"/>
        <v>Рециклинг отходов производства и потребления (Вуз-партнёр - Евразийский национальный университет имени Л. Н. Гумилёва)</v>
      </c>
    </row>
    <row r="558" spans="1:13" customFormat="1" ht="30" hidden="1" customHeight="1" x14ac:dyDescent="0.25">
      <c r="A558" s="41" t="s">
        <v>1336</v>
      </c>
      <c r="B558" s="25" t="s">
        <v>1328</v>
      </c>
      <c r="C558" s="29" t="s">
        <v>664</v>
      </c>
      <c r="D558" s="29" t="s">
        <v>666</v>
      </c>
      <c r="E558" s="25" t="s">
        <v>3126</v>
      </c>
      <c r="F558" s="26" t="s">
        <v>115</v>
      </c>
      <c r="G558" s="27" t="s">
        <v>264</v>
      </c>
      <c r="H558" s="27" t="s">
        <v>2298</v>
      </c>
      <c r="I558" s="27" t="s">
        <v>907</v>
      </c>
      <c r="J558" s="27" t="s">
        <v>1319</v>
      </c>
      <c r="K558" s="106" t="str">
        <f t="shared" si="26"/>
        <v>М</v>
      </c>
      <c r="L558" s="106" t="str">
        <f t="shared" si="27"/>
        <v>Д</v>
      </c>
      <c r="M558" s="107" t="str">
        <f t="shared" si="28"/>
        <v>Управление природопользованием (Вуз-партнёр - Евразийский национальный университет им. Л.Н. Гумилева)</v>
      </c>
    </row>
    <row r="559" spans="1:13" customFormat="1" ht="30" hidden="1" customHeight="1" x14ac:dyDescent="0.25">
      <c r="A559" s="41" t="s">
        <v>1337</v>
      </c>
      <c r="B559" s="25" t="s">
        <v>1328</v>
      </c>
      <c r="C559" s="29" t="s">
        <v>664</v>
      </c>
      <c r="D559" s="29" t="s">
        <v>666</v>
      </c>
      <c r="E559" s="25" t="s">
        <v>3126</v>
      </c>
      <c r="F559" s="26" t="s">
        <v>115</v>
      </c>
      <c r="G559" s="27" t="s">
        <v>264</v>
      </c>
      <c r="H559" s="27" t="s">
        <v>2298</v>
      </c>
      <c r="I559" s="27" t="s">
        <v>2808</v>
      </c>
      <c r="J559" s="27" t="s">
        <v>1319</v>
      </c>
      <c r="K559" s="106" t="str">
        <f t="shared" si="26"/>
        <v>М</v>
      </c>
      <c r="L559" s="106" t="str">
        <f t="shared" si="27"/>
        <v>Д</v>
      </c>
      <c r="M559" s="107" t="str">
        <f t="shared" si="28"/>
        <v>Управление природопользованием (Вуз-партнёр - Ланьчжоуский университет)</v>
      </c>
    </row>
    <row r="560" spans="1:13" customFormat="1" ht="30" hidden="1" customHeight="1" x14ac:dyDescent="0.25">
      <c r="A560" s="41" t="s">
        <v>1338</v>
      </c>
      <c r="B560" s="25" t="s">
        <v>1328</v>
      </c>
      <c r="C560" s="29" t="s">
        <v>664</v>
      </c>
      <c r="D560" s="29" t="s">
        <v>666</v>
      </c>
      <c r="E560" s="25" t="s">
        <v>3126</v>
      </c>
      <c r="F560" s="26" t="s">
        <v>115</v>
      </c>
      <c r="G560" s="27" t="s">
        <v>264</v>
      </c>
      <c r="H560" s="27" t="s">
        <v>2298</v>
      </c>
      <c r="I560" s="27" t="s">
        <v>2809</v>
      </c>
      <c r="J560" s="27" t="s">
        <v>1319</v>
      </c>
      <c r="K560" s="106" t="str">
        <f t="shared" si="26"/>
        <v>М</v>
      </c>
      <c r="L560" s="106" t="str">
        <f t="shared" si="27"/>
        <v>Д</v>
      </c>
      <c r="M560" s="107" t="str">
        <f t="shared" si="28"/>
        <v>Управление природопользованием (Вуз-партнёр - Северо-восточный педагогический университет)</v>
      </c>
    </row>
    <row r="561" spans="1:13" customFormat="1" ht="30" hidden="1" customHeight="1" x14ac:dyDescent="0.25">
      <c r="A561" s="41" t="s">
        <v>1339</v>
      </c>
      <c r="B561" s="25" t="s">
        <v>1328</v>
      </c>
      <c r="C561" s="29" t="s">
        <v>664</v>
      </c>
      <c r="D561" s="29" t="s">
        <v>666</v>
      </c>
      <c r="E561" s="25" t="s">
        <v>3126</v>
      </c>
      <c r="F561" s="26" t="s">
        <v>115</v>
      </c>
      <c r="G561" s="27" t="s">
        <v>264</v>
      </c>
      <c r="H561" s="27" t="s">
        <v>1006</v>
      </c>
      <c r="I561" s="27"/>
      <c r="J561" s="27" t="s">
        <v>1319</v>
      </c>
      <c r="K561" s="106" t="str">
        <f t="shared" si="26"/>
        <v>М</v>
      </c>
      <c r="L561" s="106" t="str">
        <f t="shared" si="27"/>
        <v>Д</v>
      </c>
      <c r="M561" s="107" t="str">
        <f t="shared" si="28"/>
        <v>Управление охраной труда, промышленной и экологической безопасностью (HSE – менеджмент)</v>
      </c>
    </row>
    <row r="562" spans="1:13" customFormat="1" ht="30" hidden="1" customHeight="1" x14ac:dyDescent="0.25">
      <c r="A562" s="41" t="s">
        <v>2299</v>
      </c>
      <c r="B562" s="25" t="s">
        <v>1328</v>
      </c>
      <c r="C562" s="29" t="s">
        <v>664</v>
      </c>
      <c r="D562" s="29" t="s">
        <v>1730</v>
      </c>
      <c r="E562" s="25" t="s">
        <v>3126</v>
      </c>
      <c r="F562" s="26" t="s">
        <v>115</v>
      </c>
      <c r="G562" s="27" t="s">
        <v>264</v>
      </c>
      <c r="H562" s="27" t="s">
        <v>638</v>
      </c>
      <c r="I562" s="27" t="s">
        <v>907</v>
      </c>
      <c r="J562" s="27" t="s">
        <v>1319</v>
      </c>
      <c r="K562" s="106" t="str">
        <f t="shared" si="26"/>
        <v>М</v>
      </c>
      <c r="L562" s="106" t="str">
        <f t="shared" si="27"/>
        <v>Д</v>
      </c>
      <c r="M562" s="107" t="str">
        <f t="shared" si="28"/>
        <v>Комплексное управление твердыми отходами (Английский язык) (Вуз-партнёр - Евразийский национальный университет им. Л.Н. Гумилева)</v>
      </c>
    </row>
    <row r="563" spans="1:13" customFormat="1" ht="30" hidden="1" customHeight="1" x14ac:dyDescent="0.25">
      <c r="A563" s="41" t="s">
        <v>2300</v>
      </c>
      <c r="B563" s="25" t="s">
        <v>1328</v>
      </c>
      <c r="C563" s="29" t="s">
        <v>664</v>
      </c>
      <c r="D563" s="29" t="s">
        <v>1730</v>
      </c>
      <c r="E563" s="25" t="s">
        <v>3126</v>
      </c>
      <c r="F563" s="26" t="s">
        <v>115</v>
      </c>
      <c r="G563" s="27" t="s">
        <v>264</v>
      </c>
      <c r="H563" s="27" t="s">
        <v>2298</v>
      </c>
      <c r="I563" s="27" t="s">
        <v>944</v>
      </c>
      <c r="J563" s="27" t="s">
        <v>1319</v>
      </c>
      <c r="K563" s="106" t="str">
        <f t="shared" si="26"/>
        <v>М</v>
      </c>
      <c r="L563" s="106" t="str">
        <f t="shared" si="27"/>
        <v>Д</v>
      </c>
      <c r="M563" s="107" t="str">
        <f t="shared" si="28"/>
        <v>Управление природопользованием (Английский язык) (Вуз-партнёр - Шаньдунский университет)</v>
      </c>
    </row>
    <row r="564" spans="1:13" customFormat="1" ht="30" hidden="1" customHeight="1" x14ac:dyDescent="0.25">
      <c r="A564" s="41" t="s">
        <v>2301</v>
      </c>
      <c r="B564" s="25" t="s">
        <v>1328</v>
      </c>
      <c r="C564" s="29" t="s">
        <v>664</v>
      </c>
      <c r="D564" s="29" t="s">
        <v>666</v>
      </c>
      <c r="E564" s="25" t="s">
        <v>3126</v>
      </c>
      <c r="F564" s="26" t="s">
        <v>115</v>
      </c>
      <c r="G564" s="27" t="s">
        <v>264</v>
      </c>
      <c r="H564" s="27" t="s">
        <v>2297</v>
      </c>
      <c r="I564" s="27" t="s">
        <v>912</v>
      </c>
      <c r="J564" s="27" t="s">
        <v>1319</v>
      </c>
      <c r="K564" s="106" t="str">
        <f t="shared" si="26"/>
        <v>М</v>
      </c>
      <c r="L564" s="106" t="str">
        <f t="shared" si="27"/>
        <v>Д</v>
      </c>
      <c r="M564" s="107" t="str">
        <f t="shared" si="28"/>
        <v>Природопользование (Вуз-партнёр - Казахский национальный университет им. Аль-Фараби)</v>
      </c>
    </row>
    <row r="565" spans="1:13" customFormat="1" ht="30" hidden="1" customHeight="1" x14ac:dyDescent="0.25">
      <c r="A565" s="41" t="s">
        <v>2304</v>
      </c>
      <c r="B565" s="25" t="s">
        <v>1328</v>
      </c>
      <c r="C565" s="29" t="s">
        <v>664</v>
      </c>
      <c r="D565" s="29" t="s">
        <v>1730</v>
      </c>
      <c r="E565" s="25" t="s">
        <v>3126</v>
      </c>
      <c r="F565" s="26" t="s">
        <v>115</v>
      </c>
      <c r="G565" s="27" t="s">
        <v>264</v>
      </c>
      <c r="H565" s="27" t="s">
        <v>2305</v>
      </c>
      <c r="I565" s="27" t="s">
        <v>2810</v>
      </c>
      <c r="J565" s="27" t="s">
        <v>1319</v>
      </c>
      <c r="K565" s="106" t="str">
        <f t="shared" si="26"/>
        <v>М</v>
      </c>
      <c r="L565" s="106" t="str">
        <f t="shared" si="27"/>
        <v>Д</v>
      </c>
      <c r="M565" s="107" t="str">
        <f t="shared" si="28"/>
        <v>Экологическая инженерия в строительстве (Английский язык) (Вуз-партнёр - Национальный исследовательский Московский государственный строительный университет)</v>
      </c>
    </row>
    <row r="566" spans="1:13" ht="30" hidden="1" customHeight="1" x14ac:dyDescent="0.25">
      <c r="A566" s="41" t="s">
        <v>2307</v>
      </c>
      <c r="B566" s="25" t="s">
        <v>1328</v>
      </c>
      <c r="C566" s="29" t="s">
        <v>664</v>
      </c>
      <c r="D566" s="29" t="s">
        <v>666</v>
      </c>
      <c r="E566" s="25" t="s">
        <v>3126</v>
      </c>
      <c r="F566" s="26" t="s">
        <v>115</v>
      </c>
      <c r="G566" s="27" t="s">
        <v>264</v>
      </c>
      <c r="H566" s="27" t="s">
        <v>2305</v>
      </c>
      <c r="I566" s="27" t="s">
        <v>2810</v>
      </c>
      <c r="J566" s="27" t="s">
        <v>1319</v>
      </c>
      <c r="K566" s="106" t="str">
        <f t="shared" si="26"/>
        <v>М</v>
      </c>
      <c r="L566" s="106" t="str">
        <f t="shared" si="27"/>
        <v>Д</v>
      </c>
      <c r="M566" s="107" t="str">
        <f t="shared" si="28"/>
        <v>Экологическая инженерия в строительстве (Вуз-партнёр - Национальный исследовательский Московский государственный строительный университет)</v>
      </c>
    </row>
    <row r="567" spans="1:13" ht="30" hidden="1" customHeight="1" x14ac:dyDescent="0.25">
      <c r="A567" s="41" t="s">
        <v>2312</v>
      </c>
      <c r="B567" s="25" t="s">
        <v>1328</v>
      </c>
      <c r="C567" s="29" t="s">
        <v>664</v>
      </c>
      <c r="D567" s="29" t="s">
        <v>666</v>
      </c>
      <c r="E567" s="25" t="s">
        <v>3126</v>
      </c>
      <c r="F567" s="26" t="s">
        <v>115</v>
      </c>
      <c r="G567" s="27" t="s">
        <v>264</v>
      </c>
      <c r="H567" s="27" t="s">
        <v>2313</v>
      </c>
      <c r="I567" s="27"/>
      <c r="J567" s="27" t="s">
        <v>1319</v>
      </c>
      <c r="K567" s="106" t="str">
        <f t="shared" si="26"/>
        <v>М</v>
      </c>
      <c r="L567" s="106" t="str">
        <f t="shared" si="27"/>
        <v>Д</v>
      </c>
      <c r="M567" s="107" t="str">
        <f t="shared" si="28"/>
        <v>Устойчивое развитие и экологическая безопасность</v>
      </c>
    </row>
    <row r="568" spans="1:13" customFormat="1" ht="30" hidden="1" customHeight="1" x14ac:dyDescent="0.25">
      <c r="A568" s="41" t="s">
        <v>1332</v>
      </c>
      <c r="B568" s="25" t="s">
        <v>1328</v>
      </c>
      <c r="C568" s="29" t="s">
        <v>664</v>
      </c>
      <c r="D568" s="29" t="s">
        <v>1730</v>
      </c>
      <c r="E568" s="25" t="s">
        <v>3126</v>
      </c>
      <c r="F568" s="26" t="s">
        <v>115</v>
      </c>
      <c r="G568" s="27" t="s">
        <v>264</v>
      </c>
      <c r="H568" s="27" t="s">
        <v>638</v>
      </c>
      <c r="I568" s="27"/>
      <c r="J568" s="27" t="s">
        <v>1319</v>
      </c>
      <c r="K568" s="106" t="str">
        <f t="shared" si="26"/>
        <v>М</v>
      </c>
      <c r="L568" s="106" t="str">
        <f t="shared" si="27"/>
        <v>Д</v>
      </c>
      <c r="M568" s="107" t="str">
        <f t="shared" si="28"/>
        <v>Комплексное управление твердыми отходами (Английский язык)</v>
      </c>
    </row>
    <row r="569" spans="1:13" customFormat="1" ht="30" hidden="1" customHeight="1" x14ac:dyDescent="0.25">
      <c r="A569" s="41" t="s">
        <v>1334</v>
      </c>
      <c r="B569" s="25" t="s">
        <v>1328</v>
      </c>
      <c r="C569" s="29" t="s">
        <v>664</v>
      </c>
      <c r="D569" s="29" t="s">
        <v>1730</v>
      </c>
      <c r="E569" s="25" t="s">
        <v>3126</v>
      </c>
      <c r="F569" s="26" t="s">
        <v>115</v>
      </c>
      <c r="G569" s="27" t="s">
        <v>264</v>
      </c>
      <c r="H569" s="27" t="s">
        <v>2313</v>
      </c>
      <c r="I569" s="27" t="s">
        <v>947</v>
      </c>
      <c r="J569" s="27" t="s">
        <v>1319</v>
      </c>
      <c r="K569" s="106" t="str">
        <f t="shared" si="26"/>
        <v>М</v>
      </c>
      <c r="L569" s="106" t="str">
        <f t="shared" si="27"/>
        <v>Д</v>
      </c>
      <c r="M569" s="107" t="str">
        <f t="shared" si="28"/>
        <v>Устойчивое развитие и экологическая безопасность (Английский язык) (Вуз-партнёр - Университет Палермо)</v>
      </c>
    </row>
    <row r="570" spans="1:13" ht="30" hidden="1" customHeight="1" x14ac:dyDescent="0.25">
      <c r="A570" s="41" t="s">
        <v>2316</v>
      </c>
      <c r="B570" s="25" t="s">
        <v>1328</v>
      </c>
      <c r="C570" s="29" t="s">
        <v>664</v>
      </c>
      <c r="D570" s="29" t="s">
        <v>666</v>
      </c>
      <c r="E570" s="25" t="s">
        <v>3126</v>
      </c>
      <c r="F570" s="26" t="s">
        <v>115</v>
      </c>
      <c r="G570" s="27" t="s">
        <v>264</v>
      </c>
      <c r="H570" s="27" t="s">
        <v>2317</v>
      </c>
      <c r="I570" s="27" t="s">
        <v>946</v>
      </c>
      <c r="J570" s="27" t="s">
        <v>1319</v>
      </c>
      <c r="K570" s="106" t="str">
        <f t="shared" si="26"/>
        <v>М</v>
      </c>
      <c r="L570" s="106" t="str">
        <f t="shared" si="27"/>
        <v>Д</v>
      </c>
      <c r="M570" s="107" t="str">
        <f t="shared" si="28"/>
        <v>Экологическая экспертиза и устойчивое развитие (Вуз-партнёр - Южно-Казахстанский государственный университет им. М.Ауезова)</v>
      </c>
    </row>
    <row r="571" spans="1:13" ht="30" hidden="1" customHeight="1" x14ac:dyDescent="0.25">
      <c r="A571" s="41" t="s">
        <v>1327</v>
      </c>
      <c r="B571" s="25" t="s">
        <v>1328</v>
      </c>
      <c r="C571" s="29" t="s">
        <v>664</v>
      </c>
      <c r="D571" s="29" t="s">
        <v>666</v>
      </c>
      <c r="E571" s="25" t="s">
        <v>3126</v>
      </c>
      <c r="F571" s="26" t="s">
        <v>115</v>
      </c>
      <c r="G571" s="27" t="s">
        <v>264</v>
      </c>
      <c r="H571" s="27" t="s">
        <v>636</v>
      </c>
      <c r="I571" s="27"/>
      <c r="J571" s="27" t="s">
        <v>1319</v>
      </c>
      <c r="K571" s="106" t="str">
        <f t="shared" si="26"/>
        <v>М</v>
      </c>
      <c r="L571" s="106" t="str">
        <f t="shared" si="27"/>
        <v>Д</v>
      </c>
      <c r="M571" s="107" t="str">
        <f t="shared" si="28"/>
        <v>Рециклинг отходов производства и потребления</v>
      </c>
    </row>
    <row r="572" spans="1:13" ht="30" hidden="1" customHeight="1" x14ac:dyDescent="0.25">
      <c r="A572" s="41" t="s">
        <v>3064</v>
      </c>
      <c r="B572" s="25" t="s">
        <v>1328</v>
      </c>
      <c r="C572" s="29" t="s">
        <v>664</v>
      </c>
      <c r="D572" s="29" t="s">
        <v>666</v>
      </c>
      <c r="E572" s="25" t="s">
        <v>3126</v>
      </c>
      <c r="F572" s="26" t="s">
        <v>115</v>
      </c>
      <c r="G572" s="27" t="s">
        <v>264</v>
      </c>
      <c r="H572" s="27" t="s">
        <v>3167</v>
      </c>
      <c r="I572" s="27"/>
      <c r="J572" s="27" t="s">
        <v>1319</v>
      </c>
      <c r="K572" s="106" t="str">
        <f t="shared" si="26"/>
        <v>М</v>
      </c>
      <c r="L572" s="106" t="str">
        <f t="shared" si="27"/>
        <v>Д</v>
      </c>
      <c r="M572" s="107" t="str">
        <f t="shared" si="28"/>
        <v>Зеленая экономика и устойчивое развитие предприятий</v>
      </c>
    </row>
    <row r="573" spans="1:13" customFormat="1" ht="30" hidden="1" customHeight="1" x14ac:dyDescent="0.25">
      <c r="A573" s="41" t="s">
        <v>1340</v>
      </c>
      <c r="B573" s="25" t="s">
        <v>1341</v>
      </c>
      <c r="C573" s="29" t="s">
        <v>664</v>
      </c>
      <c r="D573" s="29" t="s">
        <v>666</v>
      </c>
      <c r="E573" s="25" t="s">
        <v>3126</v>
      </c>
      <c r="F573" s="26" t="s">
        <v>115</v>
      </c>
      <c r="G573" s="27" t="s">
        <v>265</v>
      </c>
      <c r="H573" s="27" t="s">
        <v>981</v>
      </c>
      <c r="I573" s="27"/>
      <c r="J573" s="27" t="s">
        <v>1319</v>
      </c>
      <c r="K573" s="106" t="str">
        <f t="shared" si="26"/>
        <v>М</v>
      </c>
      <c r="L573" s="106" t="str">
        <f t="shared" si="27"/>
        <v>Д</v>
      </c>
      <c r="M573" s="107" t="str">
        <f t="shared" si="28"/>
        <v>Биоинженерия окружающей среды</v>
      </c>
    </row>
    <row r="574" spans="1:13" ht="30" hidden="1" customHeight="1" x14ac:dyDescent="0.25">
      <c r="A574" s="41" t="s">
        <v>1342</v>
      </c>
      <c r="B574" s="25" t="s">
        <v>1104</v>
      </c>
      <c r="C574" s="29" t="s">
        <v>664</v>
      </c>
      <c r="D574" s="29" t="s">
        <v>666</v>
      </c>
      <c r="E574" s="25" t="s">
        <v>3126</v>
      </c>
      <c r="F574" s="26" t="s">
        <v>115</v>
      </c>
      <c r="G574" s="27" t="s">
        <v>300</v>
      </c>
      <c r="H574" s="27" t="s">
        <v>1326</v>
      </c>
      <c r="I574" s="27"/>
      <c r="J574" s="27" t="s">
        <v>1319</v>
      </c>
      <c r="K574" s="106" t="str">
        <f t="shared" si="26"/>
        <v>М</v>
      </c>
      <c r="L574" s="106" t="str">
        <f t="shared" si="27"/>
        <v>Д</v>
      </c>
      <c r="M574" s="107" t="str">
        <f t="shared" si="28"/>
        <v>Моделирование и прогнозирование процессов в экологии и экономике</v>
      </c>
    </row>
    <row r="575" spans="1:13" ht="30" hidden="1" customHeight="1" x14ac:dyDescent="0.25">
      <c r="A575" s="41" t="s">
        <v>2315</v>
      </c>
      <c r="B575" s="25" t="s">
        <v>1279</v>
      </c>
      <c r="C575" s="29" t="s">
        <v>664</v>
      </c>
      <c r="D575" s="29" t="s">
        <v>1730</v>
      </c>
      <c r="E575" s="25" t="s">
        <v>3126</v>
      </c>
      <c r="F575" s="26" t="s">
        <v>115</v>
      </c>
      <c r="G575" s="27" t="s">
        <v>166</v>
      </c>
      <c r="H575" s="27" t="s">
        <v>2303</v>
      </c>
      <c r="I575" s="27"/>
      <c r="J575" s="27" t="s">
        <v>1319</v>
      </c>
      <c r="K575" s="106" t="str">
        <f t="shared" si="26"/>
        <v>М</v>
      </c>
      <c r="L575" s="106" t="str">
        <f t="shared" si="27"/>
        <v>Д</v>
      </c>
      <c r="M575" s="107" t="str">
        <f t="shared" si="28"/>
        <v>Экологическая педагогика (Английский язык)</v>
      </c>
    </row>
    <row r="576" spans="1:13" ht="30" hidden="1" customHeight="1" x14ac:dyDescent="0.25">
      <c r="A576" s="41" t="s">
        <v>1346</v>
      </c>
      <c r="B576" s="25" t="s">
        <v>1160</v>
      </c>
      <c r="C576" s="29" t="s">
        <v>663</v>
      </c>
      <c r="D576" s="29" t="s">
        <v>666</v>
      </c>
      <c r="E576" s="25" t="s">
        <v>3127</v>
      </c>
      <c r="F576" s="26" t="s">
        <v>115</v>
      </c>
      <c r="G576" s="27" t="s">
        <v>127</v>
      </c>
      <c r="H576" s="27" t="s">
        <v>1326</v>
      </c>
      <c r="I576" s="27"/>
      <c r="J576" s="27" t="s">
        <v>1319</v>
      </c>
      <c r="K576" s="106" t="str">
        <f t="shared" si="26"/>
        <v>М</v>
      </c>
      <c r="L576" s="106" t="str">
        <f t="shared" si="27"/>
        <v>В</v>
      </c>
      <c r="M576" s="107" t="str">
        <f t="shared" si="28"/>
        <v>Моделирование и прогнозирование процессов в экологии и экономике</v>
      </c>
    </row>
    <row r="577" spans="1:13" ht="30" hidden="1" customHeight="1" x14ac:dyDescent="0.25">
      <c r="A577" s="41" t="s">
        <v>1347</v>
      </c>
      <c r="B577" s="25" t="s">
        <v>1328</v>
      </c>
      <c r="C577" s="29" t="s">
        <v>663</v>
      </c>
      <c r="D577" s="29" t="s">
        <v>666</v>
      </c>
      <c r="E577" s="25" t="s">
        <v>3127</v>
      </c>
      <c r="F577" s="26" t="s">
        <v>115</v>
      </c>
      <c r="G577" s="27" t="s">
        <v>264</v>
      </c>
      <c r="H577" s="27" t="s">
        <v>1006</v>
      </c>
      <c r="I577" s="27"/>
      <c r="J577" s="27" t="s">
        <v>1319</v>
      </c>
      <c r="K577" s="106" t="str">
        <f t="shared" si="26"/>
        <v>М</v>
      </c>
      <c r="L577" s="106" t="str">
        <f t="shared" si="27"/>
        <v>В</v>
      </c>
      <c r="M577" s="107" t="str">
        <f t="shared" si="28"/>
        <v>Управление охраной труда, промышленной и экологической безопасностью (HSE – менеджмент)</v>
      </c>
    </row>
    <row r="578" spans="1:13" ht="30" hidden="1" customHeight="1" x14ac:dyDescent="0.25">
      <c r="A578" s="41" t="s">
        <v>1348</v>
      </c>
      <c r="B578" s="25" t="s">
        <v>1328</v>
      </c>
      <c r="C578" s="29" t="s">
        <v>663</v>
      </c>
      <c r="D578" s="29" t="s">
        <v>666</v>
      </c>
      <c r="E578" s="25" t="s">
        <v>3127</v>
      </c>
      <c r="F578" s="26" t="s">
        <v>115</v>
      </c>
      <c r="G578" s="27" t="s">
        <v>264</v>
      </c>
      <c r="H578" s="27" t="s">
        <v>639</v>
      </c>
      <c r="I578" s="27"/>
      <c r="J578" s="27" t="s">
        <v>1319</v>
      </c>
      <c r="K578" s="106" t="str">
        <f t="shared" si="26"/>
        <v>М</v>
      </c>
      <c r="L578" s="106" t="str">
        <f t="shared" si="27"/>
        <v>В</v>
      </c>
      <c r="M578" s="107" t="str">
        <f t="shared" si="28"/>
        <v>Экология города</v>
      </c>
    </row>
    <row r="579" spans="1:13" customFormat="1" ht="30" hidden="1" customHeight="1" x14ac:dyDescent="0.25">
      <c r="A579" s="41" t="s">
        <v>2314</v>
      </c>
      <c r="B579" s="25" t="s">
        <v>1328</v>
      </c>
      <c r="C579" s="29" t="s">
        <v>663</v>
      </c>
      <c r="D579" s="29" t="s">
        <v>666</v>
      </c>
      <c r="E579" s="25" t="s">
        <v>3127</v>
      </c>
      <c r="F579" s="26" t="s">
        <v>115</v>
      </c>
      <c r="G579" s="27" t="s">
        <v>264</v>
      </c>
      <c r="H579" s="27" t="s">
        <v>2313</v>
      </c>
      <c r="I579" s="27"/>
      <c r="J579" s="27" t="s">
        <v>1319</v>
      </c>
      <c r="K579" s="106" t="str">
        <f t="shared" si="26"/>
        <v>М</v>
      </c>
      <c r="L579" s="106" t="str">
        <f t="shared" si="27"/>
        <v>В</v>
      </c>
      <c r="M579" s="107" t="str">
        <f t="shared" si="28"/>
        <v>Устойчивое развитие и экологическая безопасность</v>
      </c>
    </row>
    <row r="580" spans="1:13" customFormat="1" ht="30" hidden="1" customHeight="1" x14ac:dyDescent="0.25">
      <c r="A580" s="41" t="s">
        <v>1349</v>
      </c>
      <c r="B580" s="25" t="s">
        <v>1054</v>
      </c>
      <c r="C580" s="29" t="s">
        <v>663</v>
      </c>
      <c r="D580" s="29" t="s">
        <v>666</v>
      </c>
      <c r="E580" s="25" t="s">
        <v>3127</v>
      </c>
      <c r="F580" s="26" t="s">
        <v>115</v>
      </c>
      <c r="G580" s="27" t="s">
        <v>261</v>
      </c>
      <c r="H580" s="27" t="s">
        <v>1011</v>
      </c>
      <c r="I580" s="27"/>
      <c r="J580" s="27" t="s">
        <v>1319</v>
      </c>
      <c r="K580" s="106" t="str">
        <f t="shared" ref="K580:K643" si="29">LEFT(F580, 1)</f>
        <v>М</v>
      </c>
      <c r="L580" s="106" t="str">
        <f t="shared" ref="L580:L643" si="30">IF(C580="очная","Д",IF(C580="Очно-заочная","В",IF(C580="Заочная","З","-")))</f>
        <v>В</v>
      </c>
      <c r="M580" s="107" t="str">
        <f t="shared" ref="M580:M643" si="31">CONCATENATE(H580,IF(D580="Русский","",CONCATENATE(" (",D580," язык)")),IF(I580&gt;0,CONCATENATE(" (Вуз-партнёр - ",I580,")"),""))</f>
        <v>Оценка соответствия качества и безопасности продукции</v>
      </c>
    </row>
    <row r="581" spans="1:13" customFormat="1" ht="30" hidden="1" customHeight="1" x14ac:dyDescent="0.25">
      <c r="A581" s="41" t="s">
        <v>1350</v>
      </c>
      <c r="B581" s="25" t="s">
        <v>1104</v>
      </c>
      <c r="C581" s="29" t="s">
        <v>663</v>
      </c>
      <c r="D581" s="29" t="s">
        <v>666</v>
      </c>
      <c r="E581" s="25" t="s">
        <v>3127</v>
      </c>
      <c r="F581" s="26" t="s">
        <v>115</v>
      </c>
      <c r="G581" s="27" t="s">
        <v>300</v>
      </c>
      <c r="H581" s="27" t="s">
        <v>1326</v>
      </c>
      <c r="I581" s="27"/>
      <c r="J581" s="27" t="s">
        <v>1319</v>
      </c>
      <c r="K581" s="106" t="str">
        <f t="shared" si="29"/>
        <v>М</v>
      </c>
      <c r="L581" s="106" t="str">
        <f t="shared" si="30"/>
        <v>В</v>
      </c>
      <c r="M581" s="107" t="str">
        <f t="shared" si="31"/>
        <v>Моделирование и прогнозирование процессов в экологии и экономике</v>
      </c>
    </row>
    <row r="582" spans="1:13" ht="30" hidden="1" customHeight="1" x14ac:dyDescent="0.25">
      <c r="A582" s="41" t="s">
        <v>1354</v>
      </c>
      <c r="B582" s="25" t="s">
        <v>1328</v>
      </c>
      <c r="C582" s="29" t="s">
        <v>665</v>
      </c>
      <c r="D582" s="29" t="s">
        <v>666</v>
      </c>
      <c r="E582" s="25" t="s">
        <v>3127</v>
      </c>
      <c r="F582" s="26" t="s">
        <v>115</v>
      </c>
      <c r="G582" s="27" t="s">
        <v>264</v>
      </c>
      <c r="H582" s="27" t="s">
        <v>1006</v>
      </c>
      <c r="I582" s="27"/>
      <c r="J582" s="27" t="s">
        <v>1319</v>
      </c>
      <c r="K582" s="106" t="str">
        <f t="shared" si="29"/>
        <v>М</v>
      </c>
      <c r="L582" s="106" t="str">
        <f t="shared" si="30"/>
        <v>З</v>
      </c>
      <c r="M582" s="107" t="str">
        <f t="shared" si="31"/>
        <v>Управление охраной труда, промышленной и экологической безопасностью (HSE – менеджмент)</v>
      </c>
    </row>
    <row r="583" spans="1:13" ht="30" hidden="1" customHeight="1" x14ac:dyDescent="0.25">
      <c r="A583" s="41" t="s">
        <v>1355</v>
      </c>
      <c r="B583" s="25" t="s">
        <v>1328</v>
      </c>
      <c r="C583" s="29" t="s">
        <v>665</v>
      </c>
      <c r="D583" s="29" t="s">
        <v>666</v>
      </c>
      <c r="E583" s="25" t="s">
        <v>3127</v>
      </c>
      <c r="F583" s="26" t="s">
        <v>115</v>
      </c>
      <c r="G583" s="27" t="s">
        <v>264</v>
      </c>
      <c r="H583" s="27" t="s">
        <v>639</v>
      </c>
      <c r="I583" s="27"/>
      <c r="J583" s="27" t="s">
        <v>1319</v>
      </c>
      <c r="K583" s="106" t="str">
        <f t="shared" si="29"/>
        <v>М</v>
      </c>
      <c r="L583" s="106" t="str">
        <f t="shared" si="30"/>
        <v>З</v>
      </c>
      <c r="M583" s="107" t="str">
        <f t="shared" si="31"/>
        <v>Экология города</v>
      </c>
    </row>
    <row r="584" spans="1:13" ht="30" hidden="1" customHeight="1" x14ac:dyDescent="0.25">
      <c r="A584" s="41" t="s">
        <v>2306</v>
      </c>
      <c r="B584" s="25" t="s">
        <v>1328</v>
      </c>
      <c r="C584" s="29" t="s">
        <v>665</v>
      </c>
      <c r="D584" s="29" t="s">
        <v>1730</v>
      </c>
      <c r="E584" s="25" t="s">
        <v>3127</v>
      </c>
      <c r="F584" s="26" t="s">
        <v>115</v>
      </c>
      <c r="G584" s="27" t="s">
        <v>264</v>
      </c>
      <c r="H584" s="27" t="s">
        <v>2305</v>
      </c>
      <c r="I584" s="27" t="s">
        <v>2810</v>
      </c>
      <c r="J584" s="27" t="s">
        <v>1319</v>
      </c>
      <c r="K584" s="106" t="str">
        <f t="shared" si="29"/>
        <v>М</v>
      </c>
      <c r="L584" s="106" t="str">
        <f t="shared" si="30"/>
        <v>З</v>
      </c>
      <c r="M584" s="107" t="str">
        <f t="shared" si="31"/>
        <v>Экологическая инженерия в строительстве (Английский язык) (Вуз-партнёр - Национальный исследовательский Московский государственный строительный университет)</v>
      </c>
    </row>
    <row r="585" spans="1:13" ht="30" hidden="1" customHeight="1" x14ac:dyDescent="0.25">
      <c r="A585" s="41" t="s">
        <v>2308</v>
      </c>
      <c r="B585" s="25" t="s">
        <v>1328</v>
      </c>
      <c r="C585" s="29" t="s">
        <v>665</v>
      </c>
      <c r="D585" s="29" t="s">
        <v>666</v>
      </c>
      <c r="E585" s="25" t="s">
        <v>3127</v>
      </c>
      <c r="F585" s="26" t="s">
        <v>115</v>
      </c>
      <c r="G585" s="27" t="s">
        <v>264</v>
      </c>
      <c r="H585" s="27" t="s">
        <v>2305</v>
      </c>
      <c r="I585" s="27" t="s">
        <v>2810</v>
      </c>
      <c r="J585" s="27" t="s">
        <v>1319</v>
      </c>
      <c r="K585" s="106" t="str">
        <f t="shared" si="29"/>
        <v>М</v>
      </c>
      <c r="L585" s="106" t="str">
        <f t="shared" si="30"/>
        <v>З</v>
      </c>
      <c r="M585" s="107" t="str">
        <f t="shared" si="31"/>
        <v>Экологическая инженерия в строительстве (Вуз-партнёр - Национальный исследовательский Московский государственный строительный университет)</v>
      </c>
    </row>
    <row r="586" spans="1:13" ht="30" hidden="1" customHeight="1" x14ac:dyDescent="0.25">
      <c r="A586" s="41" t="s">
        <v>2950</v>
      </c>
      <c r="B586" s="25" t="s">
        <v>1328</v>
      </c>
      <c r="C586" s="29" t="s">
        <v>665</v>
      </c>
      <c r="D586" s="29" t="s">
        <v>666</v>
      </c>
      <c r="E586" s="25" t="s">
        <v>3127</v>
      </c>
      <c r="F586" s="26" t="s">
        <v>115</v>
      </c>
      <c r="G586" s="27" t="s">
        <v>264</v>
      </c>
      <c r="H586" s="27" t="s">
        <v>2951</v>
      </c>
      <c r="I586" s="27"/>
      <c r="J586" s="27" t="s">
        <v>1319</v>
      </c>
      <c r="K586" s="106" t="str">
        <f t="shared" si="29"/>
        <v>М</v>
      </c>
      <c r="L586" s="106" t="str">
        <f t="shared" si="30"/>
        <v>З</v>
      </c>
      <c r="M586" s="107" t="str">
        <f t="shared" si="31"/>
        <v>Биобезопасность и карантин растений</v>
      </c>
    </row>
    <row r="587" spans="1:13" ht="30" hidden="1" customHeight="1" x14ac:dyDescent="0.25">
      <c r="A587" s="41" t="s">
        <v>1356</v>
      </c>
      <c r="B587" s="25" t="s">
        <v>1054</v>
      </c>
      <c r="C587" s="29" t="s">
        <v>665</v>
      </c>
      <c r="D587" s="29" t="s">
        <v>666</v>
      </c>
      <c r="E587" s="25" t="s">
        <v>3127</v>
      </c>
      <c r="F587" s="26" t="s">
        <v>115</v>
      </c>
      <c r="G587" s="27" t="s">
        <v>261</v>
      </c>
      <c r="H587" s="27" t="s">
        <v>1011</v>
      </c>
      <c r="I587" s="27"/>
      <c r="J587" s="27" t="s">
        <v>1319</v>
      </c>
      <c r="K587" s="106" t="str">
        <f t="shared" si="29"/>
        <v>М</v>
      </c>
      <c r="L587" s="106" t="str">
        <f t="shared" si="30"/>
        <v>З</v>
      </c>
      <c r="M587" s="107" t="str">
        <f t="shared" si="31"/>
        <v>Оценка соответствия качества и безопасности продукции</v>
      </c>
    </row>
    <row r="588" spans="1:13" customFormat="1" ht="30" hidden="1" customHeight="1" x14ac:dyDescent="0.25">
      <c r="A588" s="41" t="s">
        <v>2302</v>
      </c>
      <c r="B588" s="25" t="s">
        <v>1279</v>
      </c>
      <c r="C588" s="29" t="s">
        <v>665</v>
      </c>
      <c r="D588" s="29" t="s">
        <v>1730</v>
      </c>
      <c r="E588" s="25" t="s">
        <v>3127</v>
      </c>
      <c r="F588" s="26" t="s">
        <v>115</v>
      </c>
      <c r="G588" s="27" t="s">
        <v>166</v>
      </c>
      <c r="H588" s="27" t="s">
        <v>2303</v>
      </c>
      <c r="I588" s="27"/>
      <c r="J588" s="27" t="s">
        <v>1319</v>
      </c>
      <c r="K588" s="106" t="str">
        <f t="shared" si="29"/>
        <v>М</v>
      </c>
      <c r="L588" s="106" t="str">
        <f t="shared" si="30"/>
        <v>З</v>
      </c>
      <c r="M588" s="107" t="str">
        <f t="shared" si="31"/>
        <v>Экологическая педагогика (Английский язык)</v>
      </c>
    </row>
    <row r="589" spans="1:13" customFormat="1" ht="30" hidden="1" customHeight="1" x14ac:dyDescent="0.25">
      <c r="A589" s="41" t="s">
        <v>1891</v>
      </c>
      <c r="B589" s="25" t="s">
        <v>2062</v>
      </c>
      <c r="C589" s="29" t="s">
        <v>664</v>
      </c>
      <c r="D589" s="29" t="s">
        <v>666</v>
      </c>
      <c r="E589" s="25" t="s">
        <v>1732</v>
      </c>
      <c r="F589" s="26" t="s">
        <v>179</v>
      </c>
      <c r="G589" s="27" t="s">
        <v>1795</v>
      </c>
      <c r="H589" s="27" t="s">
        <v>1795</v>
      </c>
      <c r="I589" s="27"/>
      <c r="J589" s="27" t="s">
        <v>1319</v>
      </c>
      <c r="K589" s="106" t="str">
        <f t="shared" si="29"/>
        <v>А</v>
      </c>
      <c r="L589" s="106" t="str">
        <f t="shared" si="30"/>
        <v>Д</v>
      </c>
      <c r="M589" s="107" t="str">
        <f t="shared" si="31"/>
        <v>Экология</v>
      </c>
    </row>
    <row r="590" spans="1:13" customFormat="1" ht="30" hidden="1" customHeight="1" x14ac:dyDescent="0.25">
      <c r="A590" s="41" t="s">
        <v>1892</v>
      </c>
      <c r="B590" s="25" t="s">
        <v>2062</v>
      </c>
      <c r="C590" s="29" t="s">
        <v>664</v>
      </c>
      <c r="D590" s="29" t="s">
        <v>1730</v>
      </c>
      <c r="E590" s="25" t="s">
        <v>1732</v>
      </c>
      <c r="F590" s="26" t="s">
        <v>179</v>
      </c>
      <c r="G590" s="27" t="s">
        <v>1795</v>
      </c>
      <c r="H590" s="27" t="s">
        <v>1893</v>
      </c>
      <c r="I590" s="27" t="s">
        <v>931</v>
      </c>
      <c r="J590" s="27" t="s">
        <v>1319</v>
      </c>
      <c r="K590" s="106" t="str">
        <f t="shared" si="29"/>
        <v>А</v>
      </c>
      <c r="L590" s="106" t="str">
        <f t="shared" si="30"/>
        <v>Д</v>
      </c>
      <c r="M590" s="107" t="str">
        <f t="shared" si="31"/>
        <v>Современные экологические исследования (Английский язык) (Вуз-партнёр - Университет Витовта Великого)</v>
      </c>
    </row>
    <row r="591" spans="1:13" ht="30" hidden="1" customHeight="1" x14ac:dyDescent="0.25">
      <c r="A591" s="41" t="s">
        <v>1894</v>
      </c>
      <c r="B591" s="25" t="s">
        <v>2062</v>
      </c>
      <c r="C591" s="29" t="s">
        <v>664</v>
      </c>
      <c r="D591" s="29" t="s">
        <v>1730</v>
      </c>
      <c r="E591" s="25" t="s">
        <v>1732</v>
      </c>
      <c r="F591" s="26" t="s">
        <v>179</v>
      </c>
      <c r="G591" s="27" t="s">
        <v>1795</v>
      </c>
      <c r="H591" s="27" t="s">
        <v>1893</v>
      </c>
      <c r="I591" s="27" t="s">
        <v>2811</v>
      </c>
      <c r="J591" s="27" t="s">
        <v>1319</v>
      </c>
      <c r="K591" s="106" t="str">
        <f t="shared" si="29"/>
        <v>А</v>
      </c>
      <c r="L591" s="106" t="str">
        <f t="shared" si="30"/>
        <v>Д</v>
      </c>
      <c r="M591" s="107" t="str">
        <f t="shared" si="31"/>
        <v>Современные экологические исследования (Английский язык) (Вуз-партнёр - Международный государственный экологический институт им. А.Д. Сахарова Белорусского государственного университета)</v>
      </c>
    </row>
    <row r="592" spans="1:13" ht="30" hidden="1" customHeight="1" x14ac:dyDescent="0.25">
      <c r="A592" s="41" t="s">
        <v>1895</v>
      </c>
      <c r="B592" s="25" t="s">
        <v>2062</v>
      </c>
      <c r="C592" s="29" t="s">
        <v>664</v>
      </c>
      <c r="D592" s="29" t="s">
        <v>1730</v>
      </c>
      <c r="E592" s="25" t="s">
        <v>1732</v>
      </c>
      <c r="F592" s="26" t="s">
        <v>179</v>
      </c>
      <c r="G592" s="27" t="s">
        <v>1795</v>
      </c>
      <c r="H592" s="27" t="s">
        <v>634</v>
      </c>
      <c r="I592" s="27"/>
      <c r="J592" s="27" t="s">
        <v>1319</v>
      </c>
      <c r="K592" s="106" t="str">
        <f t="shared" si="29"/>
        <v>А</v>
      </c>
      <c r="L592" s="106" t="str">
        <f t="shared" si="30"/>
        <v>Д</v>
      </c>
      <c r="M592" s="107" t="str">
        <f t="shared" si="31"/>
        <v>Экология: Современные исследования окружающей среды (Английский язык)</v>
      </c>
    </row>
    <row r="593" spans="1:13" ht="30" hidden="1" customHeight="1" x14ac:dyDescent="0.25">
      <c r="A593" s="41" t="s">
        <v>1896</v>
      </c>
      <c r="B593" s="25" t="s">
        <v>2309</v>
      </c>
      <c r="C593" s="29" t="s">
        <v>664</v>
      </c>
      <c r="D593" s="29" t="s">
        <v>666</v>
      </c>
      <c r="E593" s="25" t="s">
        <v>3128</v>
      </c>
      <c r="F593" s="26" t="s">
        <v>179</v>
      </c>
      <c r="G593" s="27" t="s">
        <v>302</v>
      </c>
      <c r="H593" s="27" t="s">
        <v>302</v>
      </c>
      <c r="I593" s="27"/>
      <c r="J593" s="27" t="s">
        <v>1319</v>
      </c>
      <c r="K593" s="106" t="str">
        <f t="shared" si="29"/>
        <v>А</v>
      </c>
      <c r="L593" s="106" t="str">
        <f t="shared" si="30"/>
        <v>Д</v>
      </c>
      <c r="M593" s="107" t="str">
        <f t="shared" si="31"/>
        <v>Геоэкология</v>
      </c>
    </row>
    <row r="594" spans="1:13" ht="30" hidden="1" customHeight="1" x14ac:dyDescent="0.25">
      <c r="A594" s="41" t="s">
        <v>2310</v>
      </c>
      <c r="B594" s="25" t="s">
        <v>1649</v>
      </c>
      <c r="C594" s="29" t="s">
        <v>665</v>
      </c>
      <c r="D594" s="29" t="s">
        <v>666</v>
      </c>
      <c r="E594" s="25" t="s">
        <v>1732</v>
      </c>
      <c r="F594" s="26" t="s">
        <v>179</v>
      </c>
      <c r="G594" s="27" t="s">
        <v>523</v>
      </c>
      <c r="H594" s="27" t="s">
        <v>302</v>
      </c>
      <c r="I594" s="27"/>
      <c r="J594" s="27" t="s">
        <v>1319</v>
      </c>
      <c r="K594" s="106" t="str">
        <f t="shared" si="29"/>
        <v>А</v>
      </c>
      <c r="L594" s="106" t="str">
        <f t="shared" si="30"/>
        <v>З</v>
      </c>
      <c r="M594" s="107" t="str">
        <f t="shared" si="31"/>
        <v>Геоэкология</v>
      </c>
    </row>
    <row r="595" spans="1:13" ht="30" hidden="1" customHeight="1" x14ac:dyDescent="0.25">
      <c r="A595" s="41" t="s">
        <v>2311</v>
      </c>
      <c r="B595" s="25" t="s">
        <v>1649</v>
      </c>
      <c r="C595" s="29" t="s">
        <v>665</v>
      </c>
      <c r="D595" s="29" t="s">
        <v>666</v>
      </c>
      <c r="E595" s="25" t="s">
        <v>1732</v>
      </c>
      <c r="F595" s="26" t="s">
        <v>179</v>
      </c>
      <c r="G595" s="27" t="s">
        <v>523</v>
      </c>
      <c r="H595" s="27" t="s">
        <v>407</v>
      </c>
      <c r="I595" s="27"/>
      <c r="J595" s="27" t="s">
        <v>1319</v>
      </c>
      <c r="K595" s="106" t="str">
        <f t="shared" si="29"/>
        <v>А</v>
      </c>
      <c r="L595" s="106" t="str">
        <f t="shared" si="30"/>
        <v>З</v>
      </c>
      <c r="M595" s="107" t="str">
        <f t="shared" si="31"/>
        <v>Экология (биологические, медицинские, химические, технические науки)</v>
      </c>
    </row>
    <row r="596" spans="1:13" ht="30" hidden="1" customHeight="1" x14ac:dyDescent="0.25">
      <c r="A596" s="41" t="s">
        <v>1357</v>
      </c>
      <c r="B596" s="25" t="s">
        <v>1358</v>
      </c>
      <c r="C596" s="29" t="s">
        <v>664</v>
      </c>
      <c r="D596" s="29" t="s">
        <v>666</v>
      </c>
      <c r="E596" s="25" t="s">
        <v>3131</v>
      </c>
      <c r="F596" s="26" t="s">
        <v>662</v>
      </c>
      <c r="G596" s="27" t="s">
        <v>131</v>
      </c>
      <c r="H596" s="27" t="s">
        <v>131</v>
      </c>
      <c r="I596" s="27"/>
      <c r="J596" s="27" t="s">
        <v>561</v>
      </c>
      <c r="K596" s="106" t="str">
        <f t="shared" si="29"/>
        <v>С</v>
      </c>
      <c r="L596" s="106" t="str">
        <f t="shared" si="30"/>
        <v>Д</v>
      </c>
      <c r="M596" s="107" t="str">
        <f t="shared" si="31"/>
        <v>Лечебное дело</v>
      </c>
    </row>
    <row r="597" spans="1:13" customFormat="1" ht="30" hidden="1" customHeight="1" x14ac:dyDescent="0.25">
      <c r="A597" s="41" t="s">
        <v>1359</v>
      </c>
      <c r="B597" s="25" t="s">
        <v>1358</v>
      </c>
      <c r="C597" s="29" t="s">
        <v>664</v>
      </c>
      <c r="D597" s="29" t="s">
        <v>1730</v>
      </c>
      <c r="E597" s="25" t="s">
        <v>3131</v>
      </c>
      <c r="F597" s="26" t="s">
        <v>662</v>
      </c>
      <c r="G597" s="27" t="s">
        <v>131</v>
      </c>
      <c r="H597" s="27" t="s">
        <v>131</v>
      </c>
      <c r="I597" s="27"/>
      <c r="J597" s="27" t="s">
        <v>561</v>
      </c>
      <c r="K597" s="106" t="str">
        <f t="shared" si="29"/>
        <v>С</v>
      </c>
      <c r="L597" s="106" t="str">
        <f t="shared" si="30"/>
        <v>Д</v>
      </c>
      <c r="M597" s="107" t="str">
        <f t="shared" si="31"/>
        <v>Лечебное дело (Английский язык)</v>
      </c>
    </row>
    <row r="598" spans="1:13" customFormat="1" ht="30" hidden="1" customHeight="1" x14ac:dyDescent="0.25">
      <c r="A598" s="41" t="s">
        <v>1360</v>
      </c>
      <c r="B598" s="25" t="s">
        <v>1358</v>
      </c>
      <c r="C598" s="29" t="s">
        <v>664</v>
      </c>
      <c r="D598" s="29" t="s">
        <v>666</v>
      </c>
      <c r="E598" s="25" t="s">
        <v>3131</v>
      </c>
      <c r="F598" s="26" t="s">
        <v>662</v>
      </c>
      <c r="G598" s="27" t="s">
        <v>131</v>
      </c>
      <c r="H598" s="27" t="s">
        <v>131</v>
      </c>
      <c r="I598" s="27" t="s">
        <v>2812</v>
      </c>
      <c r="J598" s="27" t="s">
        <v>561</v>
      </c>
      <c r="K598" s="106" t="str">
        <f t="shared" si="29"/>
        <v>С</v>
      </c>
      <c r="L598" s="106" t="str">
        <f t="shared" si="30"/>
        <v>Д</v>
      </c>
      <c r="M598" s="107" t="str">
        <f t="shared" si="31"/>
        <v>Лечебное дело (Вуз-партнёр - Ташкентский государственный стоматологический институт при Министерстве здравоохранения)</v>
      </c>
    </row>
    <row r="599" spans="1:13" customFormat="1" ht="30" hidden="1" customHeight="1" x14ac:dyDescent="0.25">
      <c r="A599" s="41" t="s">
        <v>1361</v>
      </c>
      <c r="B599" s="25" t="s">
        <v>1362</v>
      </c>
      <c r="C599" s="29" t="s">
        <v>664</v>
      </c>
      <c r="D599" s="29" t="s">
        <v>666</v>
      </c>
      <c r="E599" s="25" t="s">
        <v>3123</v>
      </c>
      <c r="F599" s="26" t="s">
        <v>662</v>
      </c>
      <c r="G599" s="27" t="s">
        <v>132</v>
      </c>
      <c r="H599" s="27" t="s">
        <v>132</v>
      </c>
      <c r="I599" s="27"/>
      <c r="J599" s="27" t="s">
        <v>561</v>
      </c>
      <c r="K599" s="106" t="str">
        <f t="shared" si="29"/>
        <v>С</v>
      </c>
      <c r="L599" s="106" t="str">
        <f t="shared" si="30"/>
        <v>Д</v>
      </c>
      <c r="M599" s="107" t="str">
        <f t="shared" si="31"/>
        <v>Стоматология</v>
      </c>
    </row>
    <row r="600" spans="1:13" customFormat="1" ht="30" hidden="1" customHeight="1" x14ac:dyDescent="0.25">
      <c r="A600" s="41" t="s">
        <v>1363</v>
      </c>
      <c r="B600" s="25" t="s">
        <v>1362</v>
      </c>
      <c r="C600" s="29" t="s">
        <v>664</v>
      </c>
      <c r="D600" s="29" t="s">
        <v>1730</v>
      </c>
      <c r="E600" s="25" t="s">
        <v>3123</v>
      </c>
      <c r="F600" s="26" t="s">
        <v>662</v>
      </c>
      <c r="G600" s="27" t="s">
        <v>132</v>
      </c>
      <c r="H600" s="27" t="s">
        <v>132</v>
      </c>
      <c r="I600" s="27"/>
      <c r="J600" s="27" t="s">
        <v>561</v>
      </c>
      <c r="K600" s="106" t="str">
        <f t="shared" si="29"/>
        <v>С</v>
      </c>
      <c r="L600" s="106" t="str">
        <f t="shared" si="30"/>
        <v>Д</v>
      </c>
      <c r="M600" s="107" t="str">
        <f t="shared" si="31"/>
        <v>Стоматология (Английский язык)</v>
      </c>
    </row>
    <row r="601" spans="1:13" customFormat="1" ht="30" hidden="1" customHeight="1" x14ac:dyDescent="0.25">
      <c r="A601" s="41" t="s">
        <v>1364</v>
      </c>
      <c r="B601" s="25" t="s">
        <v>1362</v>
      </c>
      <c r="C601" s="29" t="s">
        <v>664</v>
      </c>
      <c r="D601" s="29" t="s">
        <v>666</v>
      </c>
      <c r="E601" s="25" t="s">
        <v>3123</v>
      </c>
      <c r="F601" s="26" t="s">
        <v>662</v>
      </c>
      <c r="G601" s="27" t="s">
        <v>132</v>
      </c>
      <c r="H601" s="27" t="s">
        <v>132</v>
      </c>
      <c r="I601" s="27" t="s">
        <v>2812</v>
      </c>
      <c r="J601" s="27" t="s">
        <v>561</v>
      </c>
      <c r="K601" s="106" t="str">
        <f t="shared" si="29"/>
        <v>С</v>
      </c>
      <c r="L601" s="106" t="str">
        <f t="shared" si="30"/>
        <v>Д</v>
      </c>
      <c r="M601" s="107" t="str">
        <f t="shared" si="31"/>
        <v>Стоматология (Вуз-партнёр - Ташкентский государственный стоматологический институт при Министерстве здравоохранения)</v>
      </c>
    </row>
    <row r="602" spans="1:13" customFormat="1" ht="30" hidden="1" customHeight="1" x14ac:dyDescent="0.25">
      <c r="A602" s="41" t="s">
        <v>1365</v>
      </c>
      <c r="B602" s="25" t="s">
        <v>1366</v>
      </c>
      <c r="C602" s="29" t="s">
        <v>664</v>
      </c>
      <c r="D602" s="29" t="s">
        <v>666</v>
      </c>
      <c r="E602" s="25" t="s">
        <v>3123</v>
      </c>
      <c r="F602" s="26" t="s">
        <v>662</v>
      </c>
      <c r="G602" s="27" t="s">
        <v>133</v>
      </c>
      <c r="H602" s="27" t="s">
        <v>133</v>
      </c>
      <c r="I602" s="27"/>
      <c r="J602" s="27" t="s">
        <v>561</v>
      </c>
      <c r="K602" s="106" t="str">
        <f t="shared" si="29"/>
        <v>С</v>
      </c>
      <c r="L602" s="106" t="str">
        <f t="shared" si="30"/>
        <v>Д</v>
      </c>
      <c r="M602" s="107" t="str">
        <f t="shared" si="31"/>
        <v>Фармация</v>
      </c>
    </row>
    <row r="603" spans="1:13" customFormat="1" ht="30" hidden="1" customHeight="1" x14ac:dyDescent="0.25">
      <c r="A603" s="41" t="s">
        <v>1367</v>
      </c>
      <c r="B603" s="25" t="s">
        <v>1368</v>
      </c>
      <c r="C603" s="29" t="s">
        <v>664</v>
      </c>
      <c r="D603" s="29" t="s">
        <v>666</v>
      </c>
      <c r="E603" s="25" t="s">
        <v>1732</v>
      </c>
      <c r="F603" s="26" t="s">
        <v>113</v>
      </c>
      <c r="G603" s="27" t="s">
        <v>1007</v>
      </c>
      <c r="H603" s="27" t="s">
        <v>1008</v>
      </c>
      <c r="I603" s="27"/>
      <c r="J603" s="27" t="s">
        <v>561</v>
      </c>
      <c r="K603" s="106" t="str">
        <f t="shared" si="29"/>
        <v>Б</v>
      </c>
      <c r="L603" s="106" t="str">
        <f t="shared" si="30"/>
        <v>Д</v>
      </c>
      <c r="M603" s="107" t="str">
        <f t="shared" si="31"/>
        <v>Биомедицина</v>
      </c>
    </row>
    <row r="604" spans="1:13" customFormat="1" ht="30" hidden="1" customHeight="1" x14ac:dyDescent="0.25">
      <c r="A604" s="41" t="s">
        <v>1369</v>
      </c>
      <c r="B604" s="25" t="s">
        <v>1370</v>
      </c>
      <c r="C604" s="29" t="s">
        <v>664</v>
      </c>
      <c r="D604" s="29" t="s">
        <v>666</v>
      </c>
      <c r="E604" s="25" t="s">
        <v>1732</v>
      </c>
      <c r="F604" s="26" t="s">
        <v>113</v>
      </c>
      <c r="G604" s="27" t="s">
        <v>134</v>
      </c>
      <c r="H604" s="27" t="s">
        <v>134</v>
      </c>
      <c r="I604" s="27"/>
      <c r="J604" s="27" t="s">
        <v>561</v>
      </c>
      <c r="K604" s="106" t="str">
        <f t="shared" si="29"/>
        <v>Б</v>
      </c>
      <c r="L604" s="106" t="str">
        <f t="shared" si="30"/>
        <v>Д</v>
      </c>
      <c r="M604" s="107" t="str">
        <f t="shared" si="31"/>
        <v>Сестринское дело</v>
      </c>
    </row>
    <row r="605" spans="1:13" ht="30" hidden="1" customHeight="1" x14ac:dyDescent="0.25">
      <c r="A605" s="41" t="s">
        <v>1377</v>
      </c>
      <c r="B605" s="25" t="s">
        <v>1370</v>
      </c>
      <c r="C605" s="29" t="s">
        <v>663</v>
      </c>
      <c r="D605" s="29" t="s">
        <v>666</v>
      </c>
      <c r="E605" s="25" t="s">
        <v>3123</v>
      </c>
      <c r="F605" s="26" t="s">
        <v>113</v>
      </c>
      <c r="G605" s="27" t="s">
        <v>134</v>
      </c>
      <c r="H605" s="27" t="s">
        <v>134</v>
      </c>
      <c r="I605" s="27"/>
      <c r="J605" s="27" t="s">
        <v>561</v>
      </c>
      <c r="K605" s="106" t="str">
        <f t="shared" si="29"/>
        <v>Б</v>
      </c>
      <c r="L605" s="106" t="str">
        <f t="shared" si="30"/>
        <v>В</v>
      </c>
      <c r="M605" s="107" t="str">
        <f t="shared" si="31"/>
        <v>Сестринское дело</v>
      </c>
    </row>
    <row r="606" spans="1:13" ht="30" hidden="1" customHeight="1" x14ac:dyDescent="0.25">
      <c r="A606" s="41" t="s">
        <v>2490</v>
      </c>
      <c r="B606" s="25" t="s">
        <v>1094</v>
      </c>
      <c r="C606" s="29" t="s">
        <v>665</v>
      </c>
      <c r="D606" s="29" t="s">
        <v>666</v>
      </c>
      <c r="E606" s="25" t="s">
        <v>3123</v>
      </c>
      <c r="F606" s="26" t="s">
        <v>113</v>
      </c>
      <c r="G606" s="27" t="s">
        <v>300</v>
      </c>
      <c r="H606" s="27" t="s">
        <v>610</v>
      </c>
      <c r="I606" s="27"/>
      <c r="J606" s="27" t="s">
        <v>561</v>
      </c>
      <c r="K606" s="106" t="str">
        <f t="shared" si="29"/>
        <v>Б</v>
      </c>
      <c r="L606" s="106" t="str">
        <f t="shared" si="30"/>
        <v>З</v>
      </c>
      <c r="M606" s="107" t="str">
        <f t="shared" si="31"/>
        <v>Менеджмент в здравоохранении</v>
      </c>
    </row>
    <row r="607" spans="1:13" customFormat="1" ht="30" hidden="1" customHeight="1" x14ac:dyDescent="0.25">
      <c r="A607" s="41" t="s">
        <v>1371</v>
      </c>
      <c r="B607" s="25" t="s">
        <v>1372</v>
      </c>
      <c r="C607" s="29" t="s">
        <v>664</v>
      </c>
      <c r="D607" s="29" t="s">
        <v>666</v>
      </c>
      <c r="E607" s="25" t="s">
        <v>3126</v>
      </c>
      <c r="F607" s="26" t="s">
        <v>115</v>
      </c>
      <c r="G607" s="27" t="s">
        <v>1007</v>
      </c>
      <c r="H607" s="27" t="s">
        <v>1373</v>
      </c>
      <c r="I607" s="27"/>
      <c r="J607" s="27" t="s">
        <v>561</v>
      </c>
      <c r="K607" s="106" t="str">
        <f t="shared" si="29"/>
        <v>М</v>
      </c>
      <c r="L607" s="106" t="str">
        <f t="shared" si="30"/>
        <v>Д</v>
      </c>
      <c r="M607" s="107" t="str">
        <f t="shared" si="31"/>
        <v>Биофармацевтический анализ</v>
      </c>
    </row>
    <row r="608" spans="1:13" customFormat="1" ht="30" hidden="1" customHeight="1" x14ac:dyDescent="0.25">
      <c r="A608" s="41" t="s">
        <v>2491</v>
      </c>
      <c r="B608" s="25" t="s">
        <v>1372</v>
      </c>
      <c r="C608" s="29" t="s">
        <v>664</v>
      </c>
      <c r="D608" s="29" t="s">
        <v>666</v>
      </c>
      <c r="E608" s="25" t="s">
        <v>3126</v>
      </c>
      <c r="F608" s="26" t="s">
        <v>115</v>
      </c>
      <c r="G608" s="27" t="s">
        <v>1007</v>
      </c>
      <c r="H608" s="27" t="s">
        <v>2492</v>
      </c>
      <c r="I608" s="27"/>
      <c r="J608" s="27" t="s">
        <v>561</v>
      </c>
      <c r="K608" s="106" t="str">
        <f t="shared" si="29"/>
        <v>М</v>
      </c>
      <c r="L608" s="106" t="str">
        <f t="shared" si="30"/>
        <v>Д</v>
      </c>
      <c r="M608" s="107" t="str">
        <f t="shared" si="31"/>
        <v>Радиационная биомедицина</v>
      </c>
    </row>
    <row r="609" spans="1:13" ht="30" hidden="1" customHeight="1" x14ac:dyDescent="0.25">
      <c r="A609" s="41" t="s">
        <v>3065</v>
      </c>
      <c r="B609" s="25" t="s">
        <v>1372</v>
      </c>
      <c r="C609" s="29" t="s">
        <v>664</v>
      </c>
      <c r="D609" s="29" t="s">
        <v>666</v>
      </c>
      <c r="E609" s="25" t="s">
        <v>3126</v>
      </c>
      <c r="F609" s="26" t="s">
        <v>115</v>
      </c>
      <c r="G609" s="27" t="s">
        <v>1007</v>
      </c>
      <c r="H609" s="27" t="s">
        <v>3168</v>
      </c>
      <c r="I609" s="27"/>
      <c r="J609" s="27" t="s">
        <v>561</v>
      </c>
      <c r="K609" s="106" t="str">
        <f t="shared" si="29"/>
        <v>М</v>
      </c>
      <c r="L609" s="106" t="str">
        <f t="shared" si="30"/>
        <v>Д</v>
      </c>
      <c r="M609" s="107" t="str">
        <f t="shared" si="31"/>
        <v>Генная и тканевая инженерия</v>
      </c>
    </row>
    <row r="610" spans="1:13" ht="30" hidden="1" customHeight="1" x14ac:dyDescent="0.25">
      <c r="A610" s="41" t="s">
        <v>1374</v>
      </c>
      <c r="B610" s="25" t="s">
        <v>1236</v>
      </c>
      <c r="C610" s="29" t="s">
        <v>664</v>
      </c>
      <c r="D610" s="29" t="s">
        <v>666</v>
      </c>
      <c r="E610" s="25" t="s">
        <v>3126</v>
      </c>
      <c r="F610" s="26" t="s">
        <v>115</v>
      </c>
      <c r="G610" s="27" t="s">
        <v>569</v>
      </c>
      <c r="H610" s="27" t="s">
        <v>1012</v>
      </c>
      <c r="I610" s="27"/>
      <c r="J610" s="27" t="s">
        <v>561</v>
      </c>
      <c r="K610" s="106" t="str">
        <f t="shared" si="29"/>
        <v>М</v>
      </c>
      <c r="L610" s="106" t="str">
        <f t="shared" si="30"/>
        <v>Д</v>
      </c>
      <c r="M610" s="107" t="str">
        <f t="shared" si="31"/>
        <v>Создание и разработка лекарственных препаратов</v>
      </c>
    </row>
    <row r="611" spans="1:13" ht="30" hidden="1" customHeight="1" x14ac:dyDescent="0.25">
      <c r="A611" s="41" t="s">
        <v>1375</v>
      </c>
      <c r="B611" s="25" t="s">
        <v>1376</v>
      </c>
      <c r="C611" s="29" t="s">
        <v>664</v>
      </c>
      <c r="D611" s="29" t="s">
        <v>666</v>
      </c>
      <c r="E611" s="25" t="s">
        <v>3126</v>
      </c>
      <c r="F611" s="26" t="s">
        <v>115</v>
      </c>
      <c r="G611" s="27" t="s">
        <v>1013</v>
      </c>
      <c r="H611" s="27" t="s">
        <v>1013</v>
      </c>
      <c r="I611" s="27"/>
      <c r="J611" s="27" t="s">
        <v>561</v>
      </c>
      <c r="K611" s="106" t="str">
        <f t="shared" si="29"/>
        <v>М</v>
      </c>
      <c r="L611" s="106" t="str">
        <f t="shared" si="30"/>
        <v>Д</v>
      </c>
      <c r="M611" s="107" t="str">
        <f t="shared" si="31"/>
        <v>Управление сестринской деятельностью</v>
      </c>
    </row>
    <row r="612" spans="1:13" ht="30" hidden="1" customHeight="1" x14ac:dyDescent="0.25">
      <c r="A612" s="41" t="s">
        <v>1378</v>
      </c>
      <c r="B612" s="25" t="s">
        <v>1376</v>
      </c>
      <c r="C612" s="29" t="s">
        <v>663</v>
      </c>
      <c r="D612" s="29" t="s">
        <v>666</v>
      </c>
      <c r="E612" s="25" t="s">
        <v>3127</v>
      </c>
      <c r="F612" s="26" t="s">
        <v>115</v>
      </c>
      <c r="G612" s="27" t="s">
        <v>1013</v>
      </c>
      <c r="H612" s="27" t="s">
        <v>1013</v>
      </c>
      <c r="I612" s="27"/>
      <c r="J612" s="27" t="s">
        <v>561</v>
      </c>
      <c r="K612" s="106" t="str">
        <f t="shared" si="29"/>
        <v>М</v>
      </c>
      <c r="L612" s="106" t="str">
        <f t="shared" si="30"/>
        <v>В</v>
      </c>
      <c r="M612" s="107" t="str">
        <f t="shared" si="31"/>
        <v>Управление сестринской деятельностью</v>
      </c>
    </row>
    <row r="613" spans="1:13" ht="30" hidden="1" customHeight="1" x14ac:dyDescent="0.25">
      <c r="A613" s="41" t="s">
        <v>1379</v>
      </c>
      <c r="B613" s="25" t="s">
        <v>1104</v>
      </c>
      <c r="C613" s="29" t="s">
        <v>665</v>
      </c>
      <c r="D613" s="29" t="s">
        <v>666</v>
      </c>
      <c r="E613" s="25" t="s">
        <v>3132</v>
      </c>
      <c r="F613" s="26" t="s">
        <v>115</v>
      </c>
      <c r="G613" s="27" t="s">
        <v>300</v>
      </c>
      <c r="H613" s="27" t="s">
        <v>610</v>
      </c>
      <c r="I613" s="27"/>
      <c r="J613" s="27" t="s">
        <v>561</v>
      </c>
      <c r="K613" s="106" t="str">
        <f t="shared" si="29"/>
        <v>М</v>
      </c>
      <c r="L613" s="106" t="str">
        <f t="shared" si="30"/>
        <v>З</v>
      </c>
      <c r="M613" s="107" t="str">
        <f t="shared" si="31"/>
        <v>Менеджмент в здравоохранении</v>
      </c>
    </row>
    <row r="614" spans="1:13" ht="30" hidden="1" customHeight="1" x14ac:dyDescent="0.25">
      <c r="A614" s="41" t="s">
        <v>2412</v>
      </c>
      <c r="B614" s="25" t="s">
        <v>1650</v>
      </c>
      <c r="C614" s="29" t="s">
        <v>664</v>
      </c>
      <c r="D614" s="29" t="s">
        <v>666</v>
      </c>
      <c r="E614" s="25" t="s">
        <v>1732</v>
      </c>
      <c r="F614" s="26" t="s">
        <v>179</v>
      </c>
      <c r="G614" s="27" t="s">
        <v>530</v>
      </c>
      <c r="H614" s="27" t="s">
        <v>355</v>
      </c>
      <c r="I614" s="27"/>
      <c r="J614" s="27" t="s">
        <v>561</v>
      </c>
      <c r="K614" s="106" t="str">
        <f t="shared" si="29"/>
        <v>А</v>
      </c>
      <c r="L614" s="106" t="str">
        <f t="shared" si="30"/>
        <v>Д</v>
      </c>
      <c r="M614" s="107" t="str">
        <f t="shared" si="31"/>
        <v>Биохимия</v>
      </c>
    </row>
    <row r="615" spans="1:13" customFormat="1" ht="30" hidden="1" customHeight="1" x14ac:dyDescent="0.25">
      <c r="A615" s="41" t="s">
        <v>2414</v>
      </c>
      <c r="B615" s="25" t="s">
        <v>1650</v>
      </c>
      <c r="C615" s="29" t="s">
        <v>664</v>
      </c>
      <c r="D615" s="29" t="s">
        <v>1730</v>
      </c>
      <c r="E615" s="25" t="s">
        <v>1732</v>
      </c>
      <c r="F615" s="26" t="s">
        <v>179</v>
      </c>
      <c r="G615" s="27" t="s">
        <v>530</v>
      </c>
      <c r="H615" s="27" t="s">
        <v>605</v>
      </c>
      <c r="I615" s="27"/>
      <c r="J615" s="27" t="s">
        <v>561</v>
      </c>
      <c r="K615" s="106" t="str">
        <f t="shared" si="29"/>
        <v>А</v>
      </c>
      <c r="L615" s="106" t="str">
        <f t="shared" si="30"/>
        <v>Д</v>
      </c>
      <c r="M615" s="107" t="str">
        <f t="shared" si="31"/>
        <v>Биохимия: молекулярные механизмы опухолей (Английский язык)</v>
      </c>
    </row>
    <row r="616" spans="1:13" ht="30" hidden="1" customHeight="1" x14ac:dyDescent="0.25">
      <c r="A616" s="41" t="s">
        <v>2415</v>
      </c>
      <c r="B616" s="25" t="s">
        <v>1650</v>
      </c>
      <c r="C616" s="29" t="s">
        <v>664</v>
      </c>
      <c r="D616" s="29" t="s">
        <v>666</v>
      </c>
      <c r="E616" s="25" t="s">
        <v>1732</v>
      </c>
      <c r="F616" s="26" t="s">
        <v>179</v>
      </c>
      <c r="G616" s="27" t="s">
        <v>530</v>
      </c>
      <c r="H616" s="27" t="s">
        <v>358</v>
      </c>
      <c r="I616" s="27"/>
      <c r="J616" s="27" t="s">
        <v>561</v>
      </c>
      <c r="K616" s="106" t="str">
        <f t="shared" si="29"/>
        <v>А</v>
      </c>
      <c r="L616" s="106" t="str">
        <f t="shared" si="30"/>
        <v>Д</v>
      </c>
      <c r="M616" s="107" t="str">
        <f t="shared" si="31"/>
        <v>Математическая биология, биоинформатика</v>
      </c>
    </row>
    <row r="617" spans="1:13" ht="30" hidden="1" customHeight="1" x14ac:dyDescent="0.25">
      <c r="A617" s="41" t="s">
        <v>2417</v>
      </c>
      <c r="B617" s="25" t="s">
        <v>1650</v>
      </c>
      <c r="C617" s="29" t="s">
        <v>664</v>
      </c>
      <c r="D617" s="29" t="s">
        <v>666</v>
      </c>
      <c r="E617" s="25" t="s">
        <v>1732</v>
      </c>
      <c r="F617" s="26" t="s">
        <v>179</v>
      </c>
      <c r="G617" s="27" t="s">
        <v>530</v>
      </c>
      <c r="H617" s="27" t="s">
        <v>359</v>
      </c>
      <c r="I617" s="27"/>
      <c r="J617" s="27" t="s">
        <v>561</v>
      </c>
      <c r="K617" s="106" t="str">
        <f t="shared" si="29"/>
        <v>А</v>
      </c>
      <c r="L617" s="106" t="str">
        <f t="shared" si="30"/>
        <v>Д</v>
      </c>
      <c r="M617" s="107" t="str">
        <f t="shared" si="31"/>
        <v>Микробиология</v>
      </c>
    </row>
    <row r="618" spans="1:13" ht="30" hidden="1" customHeight="1" x14ac:dyDescent="0.25">
      <c r="A618" s="41" t="s">
        <v>2419</v>
      </c>
      <c r="B618" s="25" t="s">
        <v>1650</v>
      </c>
      <c r="C618" s="29" t="s">
        <v>664</v>
      </c>
      <c r="D618" s="29" t="s">
        <v>666</v>
      </c>
      <c r="E618" s="25" t="s">
        <v>1732</v>
      </c>
      <c r="F618" s="26" t="s">
        <v>179</v>
      </c>
      <c r="G618" s="27" t="s">
        <v>530</v>
      </c>
      <c r="H618" s="27" t="s">
        <v>356</v>
      </c>
      <c r="I618" s="27"/>
      <c r="J618" s="27" t="s">
        <v>561</v>
      </c>
      <c r="K618" s="106" t="str">
        <f t="shared" si="29"/>
        <v>А</v>
      </c>
      <c r="L618" s="106" t="str">
        <f t="shared" si="30"/>
        <v>Д</v>
      </c>
      <c r="M618" s="107" t="str">
        <f t="shared" si="31"/>
        <v>Генетика</v>
      </c>
    </row>
    <row r="619" spans="1:13" customFormat="1" ht="30" hidden="1" customHeight="1" x14ac:dyDescent="0.25">
      <c r="A619" s="41" t="s">
        <v>2421</v>
      </c>
      <c r="B619" s="25" t="s">
        <v>1650</v>
      </c>
      <c r="C619" s="29" t="s">
        <v>664</v>
      </c>
      <c r="D619" s="29" t="s">
        <v>1730</v>
      </c>
      <c r="E619" s="25" t="s">
        <v>1732</v>
      </c>
      <c r="F619" s="26" t="s">
        <v>179</v>
      </c>
      <c r="G619" s="27" t="s">
        <v>530</v>
      </c>
      <c r="H619" s="27" t="s">
        <v>606</v>
      </c>
      <c r="I619" s="27"/>
      <c r="J619" s="27" t="s">
        <v>561</v>
      </c>
      <c r="K619" s="106" t="str">
        <f t="shared" si="29"/>
        <v>А</v>
      </c>
      <c r="L619" s="106" t="str">
        <f t="shared" si="30"/>
        <v>Д</v>
      </c>
      <c r="M619" s="107" t="str">
        <f t="shared" si="31"/>
        <v>Генетика: молекулярные основы наследственных болезней человека (Английский язык)</v>
      </c>
    </row>
    <row r="620" spans="1:13" customFormat="1" ht="30" hidden="1" customHeight="1" x14ac:dyDescent="0.25">
      <c r="A620" s="41" t="s">
        <v>2422</v>
      </c>
      <c r="B620" s="25" t="s">
        <v>1650</v>
      </c>
      <c r="C620" s="29" t="s">
        <v>664</v>
      </c>
      <c r="D620" s="29" t="s">
        <v>666</v>
      </c>
      <c r="E620" s="25" t="s">
        <v>1732</v>
      </c>
      <c r="F620" s="26" t="s">
        <v>179</v>
      </c>
      <c r="G620" s="27" t="s">
        <v>530</v>
      </c>
      <c r="H620" s="27" t="s">
        <v>360</v>
      </c>
      <c r="I620" s="27"/>
      <c r="J620" s="27" t="s">
        <v>561</v>
      </c>
      <c r="K620" s="106" t="str">
        <f t="shared" si="29"/>
        <v>А</v>
      </c>
      <c r="L620" s="106" t="str">
        <f t="shared" si="30"/>
        <v>Д</v>
      </c>
      <c r="M620" s="107" t="str">
        <f t="shared" si="31"/>
        <v>Физиология</v>
      </c>
    </row>
    <row r="621" spans="1:13" customFormat="1" ht="30" hidden="1" customHeight="1" x14ac:dyDescent="0.25">
      <c r="A621" s="41" t="s">
        <v>2424</v>
      </c>
      <c r="B621" s="25" t="s">
        <v>1650</v>
      </c>
      <c r="C621" s="29" t="s">
        <v>664</v>
      </c>
      <c r="D621" s="29" t="s">
        <v>666</v>
      </c>
      <c r="E621" s="25" t="s">
        <v>1732</v>
      </c>
      <c r="F621" s="26" t="s">
        <v>179</v>
      </c>
      <c r="G621" s="27" t="s">
        <v>530</v>
      </c>
      <c r="H621" s="27" t="s">
        <v>357</v>
      </c>
      <c r="I621" s="27"/>
      <c r="J621" s="27" t="s">
        <v>561</v>
      </c>
      <c r="K621" s="106" t="str">
        <f t="shared" si="29"/>
        <v>А</v>
      </c>
      <c r="L621" s="106" t="str">
        <f t="shared" si="30"/>
        <v>Д</v>
      </c>
      <c r="M621" s="107" t="str">
        <f t="shared" si="31"/>
        <v>Клеточная биология, цитология, гистология</v>
      </c>
    </row>
    <row r="622" spans="1:13" customFormat="1" ht="30" hidden="1" customHeight="1" x14ac:dyDescent="0.25">
      <c r="A622" s="41" t="s">
        <v>1903</v>
      </c>
      <c r="B622" s="25" t="s">
        <v>2374</v>
      </c>
      <c r="C622" s="29" t="s">
        <v>664</v>
      </c>
      <c r="D622" s="29" t="s">
        <v>666</v>
      </c>
      <c r="E622" s="25" t="s">
        <v>1732</v>
      </c>
      <c r="F622" s="26" t="s">
        <v>179</v>
      </c>
      <c r="G622" s="27" t="s">
        <v>359</v>
      </c>
      <c r="H622" s="27" t="s">
        <v>359</v>
      </c>
      <c r="I622" s="27"/>
      <c r="J622" s="27" t="s">
        <v>561</v>
      </c>
      <c r="K622" s="106" t="str">
        <f t="shared" si="29"/>
        <v>А</v>
      </c>
      <c r="L622" s="106" t="str">
        <f t="shared" si="30"/>
        <v>Д</v>
      </c>
      <c r="M622" s="107" t="str">
        <f t="shared" si="31"/>
        <v>Микробиология</v>
      </c>
    </row>
    <row r="623" spans="1:13" customFormat="1" ht="30" hidden="1" customHeight="1" x14ac:dyDescent="0.25">
      <c r="A623" s="41" t="s">
        <v>1904</v>
      </c>
      <c r="B623" s="25" t="s">
        <v>2375</v>
      </c>
      <c r="C623" s="29" t="s">
        <v>664</v>
      </c>
      <c r="D623" s="29" t="s">
        <v>666</v>
      </c>
      <c r="E623" s="25" t="s">
        <v>1732</v>
      </c>
      <c r="F623" s="26" t="s">
        <v>179</v>
      </c>
      <c r="G623" s="27" t="s">
        <v>1905</v>
      </c>
      <c r="H623" s="27" t="s">
        <v>357</v>
      </c>
      <c r="I623" s="27"/>
      <c r="J623" s="27" t="s">
        <v>561</v>
      </c>
      <c r="K623" s="106" t="str">
        <f t="shared" si="29"/>
        <v>А</v>
      </c>
      <c r="L623" s="106" t="str">
        <f t="shared" si="30"/>
        <v>Д</v>
      </c>
      <c r="M623" s="107" t="str">
        <f t="shared" si="31"/>
        <v>Клеточная биология, цитология, гистология</v>
      </c>
    </row>
    <row r="624" spans="1:13" customFormat="1" ht="30" hidden="1" customHeight="1" x14ac:dyDescent="0.25">
      <c r="A624" s="41" t="s">
        <v>1897</v>
      </c>
      <c r="B624" s="25" t="s">
        <v>2371</v>
      </c>
      <c r="C624" s="29" t="s">
        <v>664</v>
      </c>
      <c r="D624" s="29" t="s">
        <v>666</v>
      </c>
      <c r="E624" s="25" t="s">
        <v>1732</v>
      </c>
      <c r="F624" s="26" t="s">
        <v>179</v>
      </c>
      <c r="G624" s="27" t="s">
        <v>355</v>
      </c>
      <c r="H624" s="27" t="s">
        <v>355</v>
      </c>
      <c r="I624" s="27"/>
      <c r="J624" s="27" t="s">
        <v>561</v>
      </c>
      <c r="K624" s="106" t="str">
        <f t="shared" si="29"/>
        <v>А</v>
      </c>
      <c r="L624" s="106" t="str">
        <f t="shared" si="30"/>
        <v>Д</v>
      </c>
      <c r="M624" s="107" t="str">
        <f t="shared" si="31"/>
        <v>Биохимия</v>
      </c>
    </row>
    <row r="625" spans="1:13" customFormat="1" ht="30" hidden="1" customHeight="1" x14ac:dyDescent="0.25">
      <c r="A625" s="41" t="s">
        <v>1898</v>
      </c>
      <c r="B625" s="25" t="s">
        <v>2371</v>
      </c>
      <c r="C625" s="29" t="s">
        <v>664</v>
      </c>
      <c r="D625" s="29" t="s">
        <v>1730</v>
      </c>
      <c r="E625" s="25" t="s">
        <v>1732</v>
      </c>
      <c r="F625" s="26" t="s">
        <v>179</v>
      </c>
      <c r="G625" s="27" t="s">
        <v>355</v>
      </c>
      <c r="H625" s="27" t="s">
        <v>605</v>
      </c>
      <c r="I625" s="27"/>
      <c r="J625" s="27" t="s">
        <v>561</v>
      </c>
      <c r="K625" s="106" t="str">
        <f t="shared" si="29"/>
        <v>А</v>
      </c>
      <c r="L625" s="106" t="str">
        <f t="shared" si="30"/>
        <v>Д</v>
      </c>
      <c r="M625" s="107" t="str">
        <f t="shared" si="31"/>
        <v>Биохимия: молекулярные механизмы опухолей (Английский язык)</v>
      </c>
    </row>
    <row r="626" spans="1:13" customFormat="1" ht="30" hidden="1" customHeight="1" x14ac:dyDescent="0.25">
      <c r="A626" s="41" t="s">
        <v>1899</v>
      </c>
      <c r="B626" s="25" t="s">
        <v>2372</v>
      </c>
      <c r="C626" s="29" t="s">
        <v>664</v>
      </c>
      <c r="D626" s="29" t="s">
        <v>666</v>
      </c>
      <c r="E626" s="25" t="s">
        <v>1732</v>
      </c>
      <c r="F626" s="26" t="s">
        <v>179</v>
      </c>
      <c r="G626" s="27" t="s">
        <v>1900</v>
      </c>
      <c r="H626" s="27" t="s">
        <v>360</v>
      </c>
      <c r="I626" s="27"/>
      <c r="J626" s="27" t="s">
        <v>561</v>
      </c>
      <c r="K626" s="106" t="str">
        <f t="shared" si="29"/>
        <v>А</v>
      </c>
      <c r="L626" s="106" t="str">
        <f t="shared" si="30"/>
        <v>Д</v>
      </c>
      <c r="M626" s="107" t="str">
        <f t="shared" si="31"/>
        <v>Физиология</v>
      </c>
    </row>
    <row r="627" spans="1:13" customFormat="1" ht="30" hidden="1" customHeight="1" x14ac:dyDescent="0.25">
      <c r="A627" s="41" t="s">
        <v>1901</v>
      </c>
      <c r="B627" s="25" t="s">
        <v>2063</v>
      </c>
      <c r="C627" s="29" t="s">
        <v>664</v>
      </c>
      <c r="D627" s="29" t="s">
        <v>666</v>
      </c>
      <c r="E627" s="25" t="s">
        <v>1732</v>
      </c>
      <c r="F627" s="26" t="s">
        <v>179</v>
      </c>
      <c r="G627" s="27" t="s">
        <v>356</v>
      </c>
      <c r="H627" s="27" t="s">
        <v>356</v>
      </c>
      <c r="I627" s="27"/>
      <c r="J627" s="27" t="s">
        <v>561</v>
      </c>
      <c r="K627" s="106" t="str">
        <f t="shared" si="29"/>
        <v>А</v>
      </c>
      <c r="L627" s="106" t="str">
        <f t="shared" si="30"/>
        <v>Д</v>
      </c>
      <c r="M627" s="107" t="str">
        <f t="shared" si="31"/>
        <v>Генетика</v>
      </c>
    </row>
    <row r="628" spans="1:13" customFormat="1" ht="30" hidden="1" customHeight="1" x14ac:dyDescent="0.25">
      <c r="A628" s="41" t="s">
        <v>1902</v>
      </c>
      <c r="B628" s="25" t="s">
        <v>2063</v>
      </c>
      <c r="C628" s="29" t="s">
        <v>664</v>
      </c>
      <c r="D628" s="29" t="s">
        <v>1730</v>
      </c>
      <c r="E628" s="25" t="s">
        <v>1732</v>
      </c>
      <c r="F628" s="26" t="s">
        <v>179</v>
      </c>
      <c r="G628" s="27" t="s">
        <v>356</v>
      </c>
      <c r="H628" s="27" t="s">
        <v>606</v>
      </c>
      <c r="I628" s="27"/>
      <c r="J628" s="27" t="s">
        <v>561</v>
      </c>
      <c r="K628" s="106" t="str">
        <f t="shared" si="29"/>
        <v>А</v>
      </c>
      <c r="L628" s="106" t="str">
        <f t="shared" si="30"/>
        <v>Д</v>
      </c>
      <c r="M628" s="107" t="str">
        <f t="shared" si="31"/>
        <v>Генетика: молекулярные основы наследственных болезней человека (Английский язык)</v>
      </c>
    </row>
    <row r="629" spans="1:13" customFormat="1" ht="30" hidden="1" customHeight="1" x14ac:dyDescent="0.25">
      <c r="A629" s="41" t="s">
        <v>3066</v>
      </c>
      <c r="B629" s="25" t="s">
        <v>2373</v>
      </c>
      <c r="C629" s="29" t="s">
        <v>664</v>
      </c>
      <c r="D629" s="29" t="s">
        <v>666</v>
      </c>
      <c r="E629" s="25" t="s">
        <v>1732</v>
      </c>
      <c r="F629" s="26" t="s">
        <v>179</v>
      </c>
      <c r="G629" s="27" t="s">
        <v>358</v>
      </c>
      <c r="H629" s="27" t="s">
        <v>358</v>
      </c>
      <c r="I629" s="27"/>
      <c r="J629" s="27" t="s">
        <v>561</v>
      </c>
      <c r="K629" s="106" t="str">
        <f t="shared" si="29"/>
        <v>А</v>
      </c>
      <c r="L629" s="106" t="str">
        <f t="shared" si="30"/>
        <v>Д</v>
      </c>
      <c r="M629" s="107" t="str">
        <f t="shared" si="31"/>
        <v>Математическая биология, биоинформатика</v>
      </c>
    </row>
    <row r="630" spans="1:13" customFormat="1" ht="30" hidden="1" customHeight="1" x14ac:dyDescent="0.25">
      <c r="A630" s="41" t="s">
        <v>3067</v>
      </c>
      <c r="B630" s="25" t="s">
        <v>3116</v>
      </c>
      <c r="C630" s="29" t="s">
        <v>664</v>
      </c>
      <c r="D630" s="29" t="s">
        <v>666</v>
      </c>
      <c r="E630" s="25" t="s">
        <v>3128</v>
      </c>
      <c r="F630" s="26" t="s">
        <v>179</v>
      </c>
      <c r="G630" s="27" t="s">
        <v>3169</v>
      </c>
      <c r="H630" s="27" t="s">
        <v>3169</v>
      </c>
      <c r="I630" s="27"/>
      <c r="J630" s="27" t="s">
        <v>561</v>
      </c>
      <c r="K630" s="106" t="str">
        <f t="shared" si="29"/>
        <v>А</v>
      </c>
      <c r="L630" s="106" t="str">
        <f t="shared" si="30"/>
        <v>Д</v>
      </c>
      <c r="M630" s="107" t="str">
        <f t="shared" si="31"/>
        <v>Рентгенэндоваскулярная хирургия</v>
      </c>
    </row>
    <row r="631" spans="1:13" customFormat="1" ht="30" hidden="1" customHeight="1" x14ac:dyDescent="0.25">
      <c r="A631" s="41" t="s">
        <v>1921</v>
      </c>
      <c r="B631" s="25" t="s">
        <v>2392</v>
      </c>
      <c r="C631" s="29" t="s">
        <v>664</v>
      </c>
      <c r="D631" s="29" t="s">
        <v>666</v>
      </c>
      <c r="E631" s="25" t="s">
        <v>3128</v>
      </c>
      <c r="F631" s="26" t="s">
        <v>179</v>
      </c>
      <c r="G631" s="27" t="s">
        <v>351</v>
      </c>
      <c r="H631" s="27" t="s">
        <v>351</v>
      </c>
      <c r="I631" s="27"/>
      <c r="J631" s="27" t="s">
        <v>561</v>
      </c>
      <c r="K631" s="106" t="str">
        <f t="shared" si="29"/>
        <v>А</v>
      </c>
      <c r="L631" s="106" t="str">
        <f t="shared" si="30"/>
        <v>Д</v>
      </c>
      <c r="M631" s="107" t="str">
        <f t="shared" si="31"/>
        <v>Нейрохирургия</v>
      </c>
    </row>
    <row r="632" spans="1:13" customFormat="1" ht="30" hidden="1" customHeight="1" x14ac:dyDescent="0.25">
      <c r="A632" s="41" t="s">
        <v>1922</v>
      </c>
      <c r="B632" s="25" t="s">
        <v>2393</v>
      </c>
      <c r="C632" s="29" t="s">
        <v>664</v>
      </c>
      <c r="D632" s="29" t="s">
        <v>666</v>
      </c>
      <c r="E632" s="25" t="s">
        <v>3128</v>
      </c>
      <c r="F632" s="26" t="s">
        <v>179</v>
      </c>
      <c r="G632" s="27" t="s">
        <v>325</v>
      </c>
      <c r="H632" s="27" t="s">
        <v>325</v>
      </c>
      <c r="I632" s="27"/>
      <c r="J632" s="27" t="s">
        <v>561</v>
      </c>
      <c r="K632" s="106" t="str">
        <f t="shared" si="29"/>
        <v>А</v>
      </c>
      <c r="L632" s="106" t="str">
        <f t="shared" si="30"/>
        <v>Д</v>
      </c>
      <c r="M632" s="107" t="str">
        <f t="shared" si="31"/>
        <v>Анестезиология и реаниматология</v>
      </c>
    </row>
    <row r="633" spans="1:13" customFormat="1" ht="30" hidden="1" customHeight="1" x14ac:dyDescent="0.25">
      <c r="A633" s="41" t="s">
        <v>1923</v>
      </c>
      <c r="B633" s="25" t="s">
        <v>2394</v>
      </c>
      <c r="C633" s="29" t="s">
        <v>664</v>
      </c>
      <c r="D633" s="29" t="s">
        <v>666</v>
      </c>
      <c r="E633" s="25" t="s">
        <v>3128</v>
      </c>
      <c r="F633" s="26" t="s">
        <v>179</v>
      </c>
      <c r="G633" s="27" t="s">
        <v>1924</v>
      </c>
      <c r="H633" s="27" t="s">
        <v>320</v>
      </c>
      <c r="I633" s="27"/>
      <c r="J633" s="27" t="s">
        <v>561</v>
      </c>
      <c r="K633" s="106" t="str">
        <f t="shared" si="29"/>
        <v>А</v>
      </c>
      <c r="L633" s="106" t="str">
        <f t="shared" si="30"/>
        <v>Д</v>
      </c>
      <c r="M633" s="107" t="str">
        <f t="shared" si="31"/>
        <v>Урология</v>
      </c>
    </row>
    <row r="634" spans="1:13" customFormat="1" ht="30" hidden="1" customHeight="1" x14ac:dyDescent="0.25">
      <c r="A634" s="41" t="s">
        <v>1925</v>
      </c>
      <c r="B634" s="25" t="s">
        <v>2394</v>
      </c>
      <c r="C634" s="29" t="s">
        <v>664</v>
      </c>
      <c r="D634" s="29" t="s">
        <v>1730</v>
      </c>
      <c r="E634" s="25" t="s">
        <v>3128</v>
      </c>
      <c r="F634" s="26" t="s">
        <v>179</v>
      </c>
      <c r="G634" s="27" t="s">
        <v>1924</v>
      </c>
      <c r="H634" s="27" t="s">
        <v>609</v>
      </c>
      <c r="I634" s="27"/>
      <c r="J634" s="27" t="s">
        <v>561</v>
      </c>
      <c r="K634" s="106" t="str">
        <f t="shared" si="29"/>
        <v>А</v>
      </c>
      <c r="L634" s="106" t="str">
        <f t="shared" si="30"/>
        <v>Д</v>
      </c>
      <c r="M634" s="107" t="str">
        <f t="shared" si="31"/>
        <v>Урология: современные направления диагностики и лечения урологических болезней (Английский язык)</v>
      </c>
    </row>
    <row r="635" spans="1:13" customFormat="1" ht="30" hidden="1" customHeight="1" x14ac:dyDescent="0.25">
      <c r="A635" s="41" t="s">
        <v>1926</v>
      </c>
      <c r="B635" s="25" t="s">
        <v>2395</v>
      </c>
      <c r="C635" s="29" t="s">
        <v>664</v>
      </c>
      <c r="D635" s="29" t="s">
        <v>666</v>
      </c>
      <c r="E635" s="25" t="s">
        <v>3128</v>
      </c>
      <c r="F635" s="26" t="s">
        <v>179</v>
      </c>
      <c r="G635" s="27" t="s">
        <v>323</v>
      </c>
      <c r="H635" s="27" t="s">
        <v>323</v>
      </c>
      <c r="I635" s="27"/>
      <c r="J635" s="27" t="s">
        <v>561</v>
      </c>
      <c r="K635" s="106" t="str">
        <f t="shared" si="29"/>
        <v>А</v>
      </c>
      <c r="L635" s="106" t="str">
        <f t="shared" si="30"/>
        <v>Д</v>
      </c>
      <c r="M635" s="107" t="str">
        <f t="shared" si="31"/>
        <v>Сердечно-сосудистая хирургия</v>
      </c>
    </row>
    <row r="636" spans="1:13" customFormat="1" ht="30" hidden="1" customHeight="1" x14ac:dyDescent="0.25">
      <c r="A636" s="41" t="s">
        <v>1927</v>
      </c>
      <c r="B636" s="25" t="s">
        <v>2396</v>
      </c>
      <c r="C636" s="29" t="s">
        <v>664</v>
      </c>
      <c r="D636" s="29" t="s">
        <v>666</v>
      </c>
      <c r="E636" s="25" t="s">
        <v>3128</v>
      </c>
      <c r="F636" s="26" t="s">
        <v>179</v>
      </c>
      <c r="G636" s="27" t="s">
        <v>573</v>
      </c>
      <c r="H636" s="27" t="s">
        <v>573</v>
      </c>
      <c r="I636" s="27"/>
      <c r="J636" s="27" t="s">
        <v>561</v>
      </c>
      <c r="K636" s="106" t="str">
        <f t="shared" si="29"/>
        <v>А</v>
      </c>
      <c r="L636" s="106" t="str">
        <f t="shared" si="30"/>
        <v>Д</v>
      </c>
      <c r="M636" s="107" t="str">
        <f t="shared" si="31"/>
        <v>Пластическая хирургия</v>
      </c>
    </row>
    <row r="637" spans="1:13" customFormat="1" ht="30" hidden="1" customHeight="1" x14ac:dyDescent="0.25">
      <c r="A637" s="41" t="s">
        <v>1930</v>
      </c>
      <c r="B637" s="25" t="s">
        <v>2397</v>
      </c>
      <c r="C637" s="29" t="s">
        <v>664</v>
      </c>
      <c r="D637" s="29" t="s">
        <v>666</v>
      </c>
      <c r="E637" s="25" t="s">
        <v>3128</v>
      </c>
      <c r="F637" s="26" t="s">
        <v>179</v>
      </c>
      <c r="G637" s="27" t="s">
        <v>1929</v>
      </c>
      <c r="H637" s="27" t="s">
        <v>375</v>
      </c>
      <c r="I637" s="27"/>
      <c r="J637" s="27" t="s">
        <v>561</v>
      </c>
      <c r="K637" s="106" t="str">
        <f t="shared" si="29"/>
        <v>А</v>
      </c>
      <c r="L637" s="106" t="str">
        <f t="shared" si="30"/>
        <v>Д</v>
      </c>
      <c r="M637" s="107" t="str">
        <f t="shared" si="31"/>
        <v>Наркология</v>
      </c>
    </row>
    <row r="638" spans="1:13" customFormat="1" ht="30" hidden="1" customHeight="1" x14ac:dyDescent="0.25">
      <c r="A638" s="41" t="s">
        <v>1928</v>
      </c>
      <c r="B638" s="25" t="s">
        <v>2397</v>
      </c>
      <c r="C638" s="29" t="s">
        <v>664</v>
      </c>
      <c r="D638" s="29" t="s">
        <v>666</v>
      </c>
      <c r="E638" s="25" t="s">
        <v>3128</v>
      </c>
      <c r="F638" s="26" t="s">
        <v>179</v>
      </c>
      <c r="G638" s="27" t="s">
        <v>1929</v>
      </c>
      <c r="H638" s="27" t="s">
        <v>335</v>
      </c>
      <c r="I638" s="27"/>
      <c r="J638" s="27" t="s">
        <v>561</v>
      </c>
      <c r="K638" s="106" t="str">
        <f t="shared" si="29"/>
        <v>А</v>
      </c>
      <c r="L638" s="106" t="str">
        <f t="shared" si="30"/>
        <v>Д</v>
      </c>
      <c r="M638" s="107" t="str">
        <f t="shared" si="31"/>
        <v>Психиатрия</v>
      </c>
    </row>
    <row r="639" spans="1:13" customFormat="1" ht="30" hidden="1" customHeight="1" x14ac:dyDescent="0.25">
      <c r="A639" s="41" t="s">
        <v>3068</v>
      </c>
      <c r="B639" s="25" t="s">
        <v>2397</v>
      </c>
      <c r="C639" s="29" t="s">
        <v>664</v>
      </c>
      <c r="D639" s="29" t="s">
        <v>666</v>
      </c>
      <c r="E639" s="25" t="s">
        <v>3128</v>
      </c>
      <c r="F639" s="26" t="s">
        <v>179</v>
      </c>
      <c r="G639" s="27" t="s">
        <v>1929</v>
      </c>
      <c r="H639" s="27" t="s">
        <v>1929</v>
      </c>
      <c r="I639" s="27"/>
      <c r="J639" s="27" t="s">
        <v>561</v>
      </c>
      <c r="K639" s="106" t="str">
        <f t="shared" si="29"/>
        <v>А</v>
      </c>
      <c r="L639" s="106" t="str">
        <f t="shared" si="30"/>
        <v>Д</v>
      </c>
      <c r="M639" s="107" t="str">
        <f t="shared" si="31"/>
        <v>Психиатрия и наркология</v>
      </c>
    </row>
    <row r="640" spans="1:13" customFormat="1" ht="30" hidden="1" customHeight="1" x14ac:dyDescent="0.25">
      <c r="A640" s="41" t="s">
        <v>1931</v>
      </c>
      <c r="B640" s="25" t="s">
        <v>2398</v>
      </c>
      <c r="C640" s="29" t="s">
        <v>664</v>
      </c>
      <c r="D640" s="29" t="s">
        <v>666</v>
      </c>
      <c r="E640" s="25" t="s">
        <v>3128</v>
      </c>
      <c r="F640" s="26" t="s">
        <v>179</v>
      </c>
      <c r="G640" s="27" t="s">
        <v>372</v>
      </c>
      <c r="H640" s="27" t="s">
        <v>372</v>
      </c>
      <c r="I640" s="27"/>
      <c r="J640" s="27" t="s">
        <v>561</v>
      </c>
      <c r="K640" s="106" t="str">
        <f t="shared" si="29"/>
        <v>А</v>
      </c>
      <c r="L640" s="106" t="str">
        <f t="shared" si="30"/>
        <v>Д</v>
      </c>
      <c r="M640" s="107" t="str">
        <f t="shared" si="31"/>
        <v>Внутренние болезни</v>
      </c>
    </row>
    <row r="641" spans="1:13" customFormat="1" ht="30" hidden="1" customHeight="1" x14ac:dyDescent="0.25">
      <c r="A641" s="41" t="s">
        <v>1932</v>
      </c>
      <c r="B641" s="25" t="s">
        <v>2398</v>
      </c>
      <c r="C641" s="29" t="s">
        <v>664</v>
      </c>
      <c r="D641" s="29" t="s">
        <v>1730</v>
      </c>
      <c r="E641" s="25" t="s">
        <v>3128</v>
      </c>
      <c r="F641" s="26" t="s">
        <v>179</v>
      </c>
      <c r="G641" s="27" t="s">
        <v>372</v>
      </c>
      <c r="H641" s="27" t="s">
        <v>607</v>
      </c>
      <c r="I641" s="27"/>
      <c r="J641" s="27" t="s">
        <v>561</v>
      </c>
      <c r="K641" s="106" t="str">
        <f t="shared" si="29"/>
        <v>А</v>
      </c>
      <c r="L641" s="106" t="str">
        <f t="shared" si="30"/>
        <v>Д</v>
      </c>
      <c r="M641" s="107" t="str">
        <f t="shared" si="31"/>
        <v>Внутренние болезни: сердечная недостаточность (Английский язык)</v>
      </c>
    </row>
    <row r="642" spans="1:13" customFormat="1" ht="30" hidden="1" customHeight="1" x14ac:dyDescent="0.25">
      <c r="A642" s="41" t="s">
        <v>1933</v>
      </c>
      <c r="B642" s="25" t="s">
        <v>2399</v>
      </c>
      <c r="C642" s="29" t="s">
        <v>664</v>
      </c>
      <c r="D642" s="29" t="s">
        <v>666</v>
      </c>
      <c r="E642" s="25" t="s">
        <v>3128</v>
      </c>
      <c r="F642" s="26" t="s">
        <v>179</v>
      </c>
      <c r="G642" s="27" t="s">
        <v>341</v>
      </c>
      <c r="H642" s="27" t="s">
        <v>341</v>
      </c>
      <c r="I642" s="27"/>
      <c r="J642" s="27" t="s">
        <v>561</v>
      </c>
      <c r="K642" s="106" t="str">
        <f t="shared" si="29"/>
        <v>А</v>
      </c>
      <c r="L642" s="106" t="str">
        <f t="shared" si="30"/>
        <v>Д</v>
      </c>
      <c r="M642" s="107" t="str">
        <f t="shared" si="31"/>
        <v>Кардиология</v>
      </c>
    </row>
    <row r="643" spans="1:13" customFormat="1" ht="30" hidden="1" customHeight="1" x14ac:dyDescent="0.25">
      <c r="A643" s="41" t="s">
        <v>1934</v>
      </c>
      <c r="B643" s="25" t="s">
        <v>2400</v>
      </c>
      <c r="C643" s="29" t="s">
        <v>664</v>
      </c>
      <c r="D643" s="29" t="s">
        <v>666</v>
      </c>
      <c r="E643" s="25" t="s">
        <v>3128</v>
      </c>
      <c r="F643" s="26" t="s">
        <v>179</v>
      </c>
      <c r="G643" s="27" t="s">
        <v>334</v>
      </c>
      <c r="H643" s="27" t="s">
        <v>334</v>
      </c>
      <c r="I643" s="27"/>
      <c r="J643" s="27" t="s">
        <v>561</v>
      </c>
      <c r="K643" s="106" t="str">
        <f t="shared" si="29"/>
        <v>А</v>
      </c>
      <c r="L643" s="106" t="str">
        <f t="shared" si="30"/>
        <v>Д</v>
      </c>
      <c r="M643" s="107" t="str">
        <f t="shared" si="31"/>
        <v>Педиатрия</v>
      </c>
    </row>
    <row r="644" spans="1:13" customFormat="1" ht="30" hidden="1" customHeight="1" x14ac:dyDescent="0.25">
      <c r="A644" s="41" t="s">
        <v>1935</v>
      </c>
      <c r="B644" s="25" t="s">
        <v>2401</v>
      </c>
      <c r="C644" s="29" t="s">
        <v>664</v>
      </c>
      <c r="D644" s="29" t="s">
        <v>666</v>
      </c>
      <c r="E644" s="25" t="s">
        <v>3128</v>
      </c>
      <c r="F644" s="26" t="s">
        <v>179</v>
      </c>
      <c r="G644" s="27" t="s">
        <v>340</v>
      </c>
      <c r="H644" s="27" t="s">
        <v>340</v>
      </c>
      <c r="I644" s="27"/>
      <c r="J644" s="27" t="s">
        <v>561</v>
      </c>
      <c r="K644" s="106" t="str">
        <f t="shared" ref="K644:K707" si="32">LEFT(F644, 1)</f>
        <v>А</v>
      </c>
      <c r="L644" s="106" t="str">
        <f t="shared" ref="L644:L707" si="33">IF(C644="очная","Д",IF(C644="Очно-заочная","В",IF(C644="Заочная","З","-")))</f>
        <v>Д</v>
      </c>
      <c r="M644" s="107" t="str">
        <f t="shared" ref="M644:M707" si="34">CONCATENATE(H644,IF(D644="Русский","",CONCATENATE(" (",D644," язык)")),IF(I644&gt;0,CONCATENATE(" (Вуз-партнёр - ",I644,")"),""))</f>
        <v>Инфекционные болезни</v>
      </c>
    </row>
    <row r="645" spans="1:13" customFormat="1" ht="30" hidden="1" customHeight="1" x14ac:dyDescent="0.25">
      <c r="A645" s="41" t="s">
        <v>1936</v>
      </c>
      <c r="B645" s="25" t="s">
        <v>2401</v>
      </c>
      <c r="C645" s="29" t="s">
        <v>664</v>
      </c>
      <c r="D645" s="29" t="s">
        <v>1730</v>
      </c>
      <c r="E645" s="25" t="s">
        <v>3128</v>
      </c>
      <c r="F645" s="26" t="s">
        <v>179</v>
      </c>
      <c r="G645" s="27" t="s">
        <v>340</v>
      </c>
      <c r="H645" s="27" t="s">
        <v>608</v>
      </c>
      <c r="I645" s="27"/>
      <c r="J645" s="27" t="s">
        <v>561</v>
      </c>
      <c r="K645" s="106" t="str">
        <f t="shared" si="32"/>
        <v>А</v>
      </c>
      <c r="L645" s="106" t="str">
        <f t="shared" si="33"/>
        <v>Д</v>
      </c>
      <c r="M645" s="107" t="str">
        <f t="shared" si="34"/>
        <v>Социально-значимые инфекционные болезни (Английский язык)</v>
      </c>
    </row>
    <row r="646" spans="1:13" customFormat="1" ht="30" hidden="1" customHeight="1" x14ac:dyDescent="0.25">
      <c r="A646" s="41" t="s">
        <v>1937</v>
      </c>
      <c r="B646" s="25" t="s">
        <v>2402</v>
      </c>
      <c r="C646" s="29" t="s">
        <v>664</v>
      </c>
      <c r="D646" s="29" t="s">
        <v>666</v>
      </c>
      <c r="E646" s="25" t="s">
        <v>3128</v>
      </c>
      <c r="F646" s="26" t="s">
        <v>179</v>
      </c>
      <c r="G646" s="27" t="s">
        <v>339</v>
      </c>
      <c r="H646" s="27" t="s">
        <v>374</v>
      </c>
      <c r="I646" s="27"/>
      <c r="J646" s="27" t="s">
        <v>561</v>
      </c>
      <c r="K646" s="106" t="str">
        <f t="shared" si="32"/>
        <v>А</v>
      </c>
      <c r="L646" s="106" t="str">
        <f t="shared" si="33"/>
        <v>Д</v>
      </c>
      <c r="M646" s="107" t="str">
        <f t="shared" si="34"/>
        <v>Кожные и венерические болезни</v>
      </c>
    </row>
    <row r="647" spans="1:13" customFormat="1" ht="30" hidden="1" customHeight="1" x14ac:dyDescent="0.25">
      <c r="A647" s="41" t="s">
        <v>1938</v>
      </c>
      <c r="B647" s="25" t="s">
        <v>2403</v>
      </c>
      <c r="C647" s="29" t="s">
        <v>664</v>
      </c>
      <c r="D647" s="29" t="s">
        <v>666</v>
      </c>
      <c r="E647" s="25" t="s">
        <v>3128</v>
      </c>
      <c r="F647" s="26" t="s">
        <v>179</v>
      </c>
      <c r="G647" s="27" t="s">
        <v>575</v>
      </c>
      <c r="H647" s="27" t="s">
        <v>376</v>
      </c>
      <c r="I647" s="27"/>
      <c r="J647" s="27" t="s">
        <v>561</v>
      </c>
      <c r="K647" s="106" t="str">
        <f t="shared" si="32"/>
        <v>А</v>
      </c>
      <c r="L647" s="106" t="str">
        <f t="shared" si="33"/>
        <v>Д</v>
      </c>
      <c r="M647" s="107" t="str">
        <f t="shared" si="34"/>
        <v>Нервные болезни</v>
      </c>
    </row>
    <row r="648" spans="1:13" customFormat="1" ht="30" hidden="1" customHeight="1" x14ac:dyDescent="0.25">
      <c r="A648" s="41" t="s">
        <v>1914</v>
      </c>
      <c r="B648" s="25" t="s">
        <v>2386</v>
      </c>
      <c r="C648" s="29" t="s">
        <v>664</v>
      </c>
      <c r="D648" s="29" t="s">
        <v>666</v>
      </c>
      <c r="E648" s="25" t="s">
        <v>3128</v>
      </c>
      <c r="F648" s="26" t="s">
        <v>179</v>
      </c>
      <c r="G648" s="27" t="s">
        <v>353</v>
      </c>
      <c r="H648" s="27" t="s">
        <v>371</v>
      </c>
      <c r="I648" s="27"/>
      <c r="J648" s="27" t="s">
        <v>561</v>
      </c>
      <c r="K648" s="106" t="str">
        <f t="shared" si="32"/>
        <v>А</v>
      </c>
      <c r="L648" s="106" t="str">
        <f t="shared" si="33"/>
        <v>Д</v>
      </c>
      <c r="M648" s="107" t="str">
        <f t="shared" si="34"/>
        <v>Болезни уха, горла и носа</v>
      </c>
    </row>
    <row r="649" spans="1:13" customFormat="1" ht="30" hidden="1" customHeight="1" x14ac:dyDescent="0.25">
      <c r="A649" s="41" t="s">
        <v>3069</v>
      </c>
      <c r="B649" s="25" t="s">
        <v>3117</v>
      </c>
      <c r="C649" s="29" t="s">
        <v>664</v>
      </c>
      <c r="D649" s="29" t="s">
        <v>666</v>
      </c>
      <c r="E649" s="25" t="s">
        <v>3128</v>
      </c>
      <c r="F649" s="26" t="s">
        <v>179</v>
      </c>
      <c r="G649" s="27" t="s">
        <v>344</v>
      </c>
      <c r="H649" s="27" t="s">
        <v>344</v>
      </c>
      <c r="I649" s="27"/>
      <c r="J649" s="27" t="s">
        <v>561</v>
      </c>
      <c r="K649" s="106" t="str">
        <f t="shared" si="32"/>
        <v>А</v>
      </c>
      <c r="L649" s="106" t="str">
        <f t="shared" si="33"/>
        <v>Д</v>
      </c>
      <c r="M649" s="107" t="str">
        <f t="shared" si="34"/>
        <v>Нефрология</v>
      </c>
    </row>
    <row r="650" spans="1:13" customFormat="1" ht="30" hidden="1" customHeight="1" x14ac:dyDescent="0.25">
      <c r="A650" s="41" t="s">
        <v>1939</v>
      </c>
      <c r="B650" s="25" t="s">
        <v>2404</v>
      </c>
      <c r="C650" s="29" t="s">
        <v>664</v>
      </c>
      <c r="D650" s="29" t="s">
        <v>666</v>
      </c>
      <c r="E650" s="25" t="s">
        <v>3128</v>
      </c>
      <c r="F650" s="26" t="s">
        <v>179</v>
      </c>
      <c r="G650" s="27" t="s">
        <v>362</v>
      </c>
      <c r="H650" s="27" t="s">
        <v>362</v>
      </c>
      <c r="I650" s="27"/>
      <c r="J650" s="27" t="s">
        <v>561</v>
      </c>
      <c r="K650" s="106" t="str">
        <f t="shared" si="32"/>
        <v>А</v>
      </c>
      <c r="L650" s="106" t="str">
        <f t="shared" si="33"/>
        <v>Д</v>
      </c>
      <c r="M650" s="107" t="str">
        <f t="shared" si="34"/>
        <v>Восстановительная медицина, спортивная медицина, лечебная физкультура, курортология и физиотерапия</v>
      </c>
    </row>
    <row r="651" spans="1:13" customFormat="1" ht="30" hidden="1" customHeight="1" x14ac:dyDescent="0.25">
      <c r="A651" s="41" t="s">
        <v>1913</v>
      </c>
      <c r="B651" s="25" t="s">
        <v>2385</v>
      </c>
      <c r="C651" s="29" t="s">
        <v>664</v>
      </c>
      <c r="D651" s="29" t="s">
        <v>666</v>
      </c>
      <c r="E651" s="25" t="s">
        <v>3128</v>
      </c>
      <c r="F651" s="26" t="s">
        <v>179</v>
      </c>
      <c r="G651" s="27" t="s">
        <v>324</v>
      </c>
      <c r="H651" s="27" t="s">
        <v>324</v>
      </c>
      <c r="I651" s="27"/>
      <c r="J651" s="27" t="s">
        <v>561</v>
      </c>
      <c r="K651" s="106" t="str">
        <f t="shared" si="32"/>
        <v>А</v>
      </c>
      <c r="L651" s="106" t="str">
        <f t="shared" si="33"/>
        <v>Д</v>
      </c>
      <c r="M651" s="107" t="str">
        <f t="shared" si="34"/>
        <v>Акушерство и гинекология</v>
      </c>
    </row>
    <row r="652" spans="1:13" customFormat="1" ht="30" hidden="1" customHeight="1" x14ac:dyDescent="0.25">
      <c r="A652" s="41" t="s">
        <v>1915</v>
      </c>
      <c r="B652" s="25" t="s">
        <v>2387</v>
      </c>
      <c r="C652" s="29" t="s">
        <v>664</v>
      </c>
      <c r="D652" s="29" t="s">
        <v>666</v>
      </c>
      <c r="E652" s="25" t="s">
        <v>3128</v>
      </c>
      <c r="F652" s="26" t="s">
        <v>179</v>
      </c>
      <c r="G652" s="27" t="s">
        <v>354</v>
      </c>
      <c r="H652" s="27" t="s">
        <v>373</v>
      </c>
      <c r="I652" s="27"/>
      <c r="J652" s="27" t="s">
        <v>561</v>
      </c>
      <c r="K652" s="106" t="str">
        <f t="shared" si="32"/>
        <v>А</v>
      </c>
      <c r="L652" s="106" t="str">
        <f t="shared" si="33"/>
        <v>Д</v>
      </c>
      <c r="M652" s="107" t="str">
        <f t="shared" si="34"/>
        <v>Глазные болезни</v>
      </c>
    </row>
    <row r="653" spans="1:13" customFormat="1" ht="30" hidden="1" customHeight="1" x14ac:dyDescent="0.25">
      <c r="A653" s="41" t="s">
        <v>1916</v>
      </c>
      <c r="B653" s="25" t="s">
        <v>2388</v>
      </c>
      <c r="C653" s="29" t="s">
        <v>664</v>
      </c>
      <c r="D653" s="29" t="s">
        <v>666</v>
      </c>
      <c r="E653" s="25" t="s">
        <v>3128</v>
      </c>
      <c r="F653" s="26" t="s">
        <v>179</v>
      </c>
      <c r="G653" s="27" t="s">
        <v>1917</v>
      </c>
      <c r="H653" s="27" t="s">
        <v>352</v>
      </c>
      <c r="I653" s="27"/>
      <c r="J653" s="27" t="s">
        <v>561</v>
      </c>
      <c r="K653" s="106" t="str">
        <f t="shared" si="32"/>
        <v>А</v>
      </c>
      <c r="L653" s="106" t="str">
        <f t="shared" si="33"/>
        <v>Д</v>
      </c>
      <c r="M653" s="107" t="str">
        <f t="shared" si="34"/>
        <v>Онкология</v>
      </c>
    </row>
    <row r="654" spans="1:13" customFormat="1" ht="30" hidden="1" customHeight="1" x14ac:dyDescent="0.25">
      <c r="A654" s="41" t="s">
        <v>1918</v>
      </c>
      <c r="B654" s="25" t="s">
        <v>2389</v>
      </c>
      <c r="C654" s="29" t="s">
        <v>664</v>
      </c>
      <c r="D654" s="29" t="s">
        <v>666</v>
      </c>
      <c r="E654" s="25" t="s">
        <v>3128</v>
      </c>
      <c r="F654" s="26" t="s">
        <v>179</v>
      </c>
      <c r="G654" s="27" t="s">
        <v>132</v>
      </c>
      <c r="H654" s="27" t="s">
        <v>132</v>
      </c>
      <c r="I654" s="27"/>
      <c r="J654" s="27" t="s">
        <v>561</v>
      </c>
      <c r="K654" s="106" t="str">
        <f t="shared" si="32"/>
        <v>А</v>
      </c>
      <c r="L654" s="106" t="str">
        <f t="shared" si="33"/>
        <v>Д</v>
      </c>
      <c r="M654" s="107" t="str">
        <f t="shared" si="34"/>
        <v>Стоматология</v>
      </c>
    </row>
    <row r="655" spans="1:13" customFormat="1" ht="30" hidden="1" customHeight="1" x14ac:dyDescent="0.25">
      <c r="A655" s="41" t="s">
        <v>1919</v>
      </c>
      <c r="B655" s="25" t="s">
        <v>2390</v>
      </c>
      <c r="C655" s="29" t="s">
        <v>664</v>
      </c>
      <c r="D655" s="29" t="s">
        <v>666</v>
      </c>
      <c r="E655" s="25" t="s">
        <v>3128</v>
      </c>
      <c r="F655" s="26" t="s">
        <v>179</v>
      </c>
      <c r="G655" s="27" t="s">
        <v>322</v>
      </c>
      <c r="H655" s="27" t="s">
        <v>322</v>
      </c>
      <c r="I655" s="27"/>
      <c r="J655" s="27" t="s">
        <v>561</v>
      </c>
      <c r="K655" s="106" t="str">
        <f t="shared" si="32"/>
        <v>А</v>
      </c>
      <c r="L655" s="106" t="str">
        <f t="shared" si="33"/>
        <v>Д</v>
      </c>
      <c r="M655" s="107" t="str">
        <f t="shared" si="34"/>
        <v>Травматология и ортопедия</v>
      </c>
    </row>
    <row r="656" spans="1:13" customFormat="1" ht="30" hidden="1" customHeight="1" x14ac:dyDescent="0.25">
      <c r="A656" s="41" t="s">
        <v>1920</v>
      </c>
      <c r="B656" s="25" t="s">
        <v>2391</v>
      </c>
      <c r="C656" s="29" t="s">
        <v>664</v>
      </c>
      <c r="D656" s="29" t="s">
        <v>666</v>
      </c>
      <c r="E656" s="25" t="s">
        <v>3128</v>
      </c>
      <c r="F656" s="26" t="s">
        <v>179</v>
      </c>
      <c r="G656" s="27" t="s">
        <v>321</v>
      </c>
      <c r="H656" s="27" t="s">
        <v>321</v>
      </c>
      <c r="I656" s="27"/>
      <c r="J656" s="27" t="s">
        <v>561</v>
      </c>
      <c r="K656" s="106" t="str">
        <f t="shared" si="32"/>
        <v>А</v>
      </c>
      <c r="L656" s="106" t="str">
        <f t="shared" si="33"/>
        <v>Д</v>
      </c>
      <c r="M656" s="107" t="str">
        <f t="shared" si="34"/>
        <v>Хирургия</v>
      </c>
    </row>
    <row r="657" spans="1:13" customFormat="1" ht="30" hidden="1" customHeight="1" x14ac:dyDescent="0.25">
      <c r="A657" s="41" t="s">
        <v>1906</v>
      </c>
      <c r="B657" s="25" t="s">
        <v>2376</v>
      </c>
      <c r="C657" s="29" t="s">
        <v>664</v>
      </c>
      <c r="D657" s="29" t="s">
        <v>666</v>
      </c>
      <c r="E657" s="25" t="s">
        <v>3128</v>
      </c>
      <c r="F657" s="26" t="s">
        <v>179</v>
      </c>
      <c r="G657" s="27" t="s">
        <v>2377</v>
      </c>
      <c r="H657" s="27" t="s">
        <v>368</v>
      </c>
      <c r="I657" s="27"/>
      <c r="J657" s="27" t="s">
        <v>561</v>
      </c>
      <c r="K657" s="106" t="str">
        <f t="shared" si="32"/>
        <v>А</v>
      </c>
      <c r="L657" s="106" t="str">
        <f t="shared" si="33"/>
        <v>Д</v>
      </c>
      <c r="M657" s="107" t="str">
        <f t="shared" si="34"/>
        <v>Общественное здоровье и здравоохранение</v>
      </c>
    </row>
    <row r="658" spans="1:13" customFormat="1" ht="30" hidden="1" customHeight="1" x14ac:dyDescent="0.25">
      <c r="A658" s="41" t="s">
        <v>1907</v>
      </c>
      <c r="B658" s="25" t="s">
        <v>2378</v>
      </c>
      <c r="C658" s="29" t="s">
        <v>664</v>
      </c>
      <c r="D658" s="29" t="s">
        <v>666</v>
      </c>
      <c r="E658" s="25" t="s">
        <v>3128</v>
      </c>
      <c r="F658" s="26" t="s">
        <v>179</v>
      </c>
      <c r="G658" s="27" t="s">
        <v>571</v>
      </c>
      <c r="H658" s="27" t="s">
        <v>363</v>
      </c>
      <c r="I658" s="27"/>
      <c r="J658" s="27" t="s">
        <v>561</v>
      </c>
      <c r="K658" s="106" t="str">
        <f t="shared" si="32"/>
        <v>А</v>
      </c>
      <c r="L658" s="106" t="str">
        <f t="shared" si="33"/>
        <v>Д</v>
      </c>
      <c r="M658" s="107" t="str">
        <f t="shared" si="34"/>
        <v>Клиническая иммунология, аллергология</v>
      </c>
    </row>
    <row r="659" spans="1:13" customFormat="1" ht="30" hidden="1" customHeight="1" x14ac:dyDescent="0.25">
      <c r="A659" s="41" t="s">
        <v>1908</v>
      </c>
      <c r="B659" s="25" t="s">
        <v>2379</v>
      </c>
      <c r="C659" s="29" t="s">
        <v>664</v>
      </c>
      <c r="D659" s="29" t="s">
        <v>666</v>
      </c>
      <c r="E659" s="25" t="s">
        <v>1732</v>
      </c>
      <c r="F659" s="26" t="s">
        <v>179</v>
      </c>
      <c r="G659" s="27" t="s">
        <v>361</v>
      </c>
      <c r="H659" s="27" t="s">
        <v>361</v>
      </c>
      <c r="I659" s="27"/>
      <c r="J659" s="27" t="s">
        <v>561</v>
      </c>
      <c r="K659" s="106" t="str">
        <f t="shared" si="32"/>
        <v>А</v>
      </c>
      <c r="L659" s="106" t="str">
        <f t="shared" si="33"/>
        <v>Д</v>
      </c>
      <c r="M659" s="107" t="str">
        <f t="shared" si="34"/>
        <v>Анатомия человека</v>
      </c>
    </row>
    <row r="660" spans="1:13" customFormat="1" ht="30" hidden="1" customHeight="1" x14ac:dyDescent="0.25">
      <c r="A660" s="41" t="s">
        <v>1909</v>
      </c>
      <c r="B660" s="25" t="s">
        <v>2380</v>
      </c>
      <c r="C660" s="29" t="s">
        <v>664</v>
      </c>
      <c r="D660" s="29" t="s">
        <v>666</v>
      </c>
      <c r="E660" s="25" t="s">
        <v>1732</v>
      </c>
      <c r="F660" s="26" t="s">
        <v>179</v>
      </c>
      <c r="G660" s="27" t="s">
        <v>328</v>
      </c>
      <c r="H660" s="27" t="s">
        <v>328</v>
      </c>
      <c r="I660" s="27"/>
      <c r="J660" s="27" t="s">
        <v>561</v>
      </c>
      <c r="K660" s="106" t="str">
        <f t="shared" si="32"/>
        <v>А</v>
      </c>
      <c r="L660" s="106" t="str">
        <f t="shared" si="33"/>
        <v>Д</v>
      </c>
      <c r="M660" s="107" t="str">
        <f t="shared" si="34"/>
        <v>Патологическая анатомия</v>
      </c>
    </row>
    <row r="661" spans="1:13" customFormat="1" ht="30" hidden="1" customHeight="1" x14ac:dyDescent="0.25">
      <c r="A661" s="41" t="s">
        <v>1910</v>
      </c>
      <c r="B661" s="25" t="s">
        <v>2381</v>
      </c>
      <c r="C661" s="29" t="s">
        <v>664</v>
      </c>
      <c r="D661" s="29" t="s">
        <v>666</v>
      </c>
      <c r="E661" s="25" t="s">
        <v>1732</v>
      </c>
      <c r="F661" s="26" t="s">
        <v>179</v>
      </c>
      <c r="G661" s="27" t="s">
        <v>364</v>
      </c>
      <c r="H661" s="27" t="s">
        <v>364</v>
      </c>
      <c r="I661" s="27"/>
      <c r="J661" s="27" t="s">
        <v>561</v>
      </c>
      <c r="K661" s="106" t="str">
        <f t="shared" si="32"/>
        <v>А</v>
      </c>
      <c r="L661" s="106" t="str">
        <f t="shared" si="33"/>
        <v>Д</v>
      </c>
      <c r="M661" s="107" t="str">
        <f t="shared" si="34"/>
        <v>Патологическая физиология</v>
      </c>
    </row>
    <row r="662" spans="1:13" customFormat="1" ht="30" hidden="1" customHeight="1" x14ac:dyDescent="0.25">
      <c r="A662" s="41" t="s">
        <v>2382</v>
      </c>
      <c r="B662" s="25" t="s">
        <v>2381</v>
      </c>
      <c r="C662" s="29" t="s">
        <v>664</v>
      </c>
      <c r="D662" s="29" t="s">
        <v>1730</v>
      </c>
      <c r="E662" s="25" t="s">
        <v>1732</v>
      </c>
      <c r="F662" s="26" t="s">
        <v>179</v>
      </c>
      <c r="G662" s="27" t="s">
        <v>364</v>
      </c>
      <c r="H662" s="27" t="s">
        <v>611</v>
      </c>
      <c r="I662" s="27"/>
      <c r="J662" s="27" t="s">
        <v>561</v>
      </c>
      <c r="K662" s="106" t="str">
        <f t="shared" si="32"/>
        <v>А</v>
      </c>
      <c r="L662" s="106" t="str">
        <f t="shared" si="33"/>
        <v>Д</v>
      </c>
      <c r="M662" s="107" t="str">
        <f t="shared" si="34"/>
        <v>Патологическая физиология: патологические механизмы современных заболеваний (Английский язык)</v>
      </c>
    </row>
    <row r="663" spans="1:13" customFormat="1" ht="30" hidden="1" customHeight="1" x14ac:dyDescent="0.25">
      <c r="A663" s="41" t="s">
        <v>1911</v>
      </c>
      <c r="B663" s="25" t="s">
        <v>2383</v>
      </c>
      <c r="C663" s="29" t="s">
        <v>664</v>
      </c>
      <c r="D663" s="29" t="s">
        <v>666</v>
      </c>
      <c r="E663" s="25" t="s">
        <v>1732</v>
      </c>
      <c r="F663" s="26" t="s">
        <v>179</v>
      </c>
      <c r="G663" s="27" t="s">
        <v>369</v>
      </c>
      <c r="H663" s="27" t="s">
        <v>369</v>
      </c>
      <c r="I663" s="27"/>
      <c r="J663" s="27" t="s">
        <v>561</v>
      </c>
      <c r="K663" s="106" t="str">
        <f t="shared" si="32"/>
        <v>А</v>
      </c>
      <c r="L663" s="106" t="str">
        <f t="shared" si="33"/>
        <v>Д</v>
      </c>
      <c r="M663" s="107" t="str">
        <f t="shared" si="34"/>
        <v>Судебная медицина</v>
      </c>
    </row>
    <row r="664" spans="1:13" customFormat="1" ht="30" hidden="1" customHeight="1" x14ac:dyDescent="0.25">
      <c r="A664" s="41" t="s">
        <v>1912</v>
      </c>
      <c r="B664" s="25" t="s">
        <v>2384</v>
      </c>
      <c r="C664" s="29" t="s">
        <v>664</v>
      </c>
      <c r="D664" s="29" t="s">
        <v>666</v>
      </c>
      <c r="E664" s="25" t="s">
        <v>1732</v>
      </c>
      <c r="F664" s="26" t="s">
        <v>179</v>
      </c>
      <c r="G664" s="27" t="s">
        <v>370</v>
      </c>
      <c r="H664" s="27" t="s">
        <v>370</v>
      </c>
      <c r="I664" s="27"/>
      <c r="J664" s="27" t="s">
        <v>561</v>
      </c>
      <c r="K664" s="106" t="str">
        <f t="shared" si="32"/>
        <v>А</v>
      </c>
      <c r="L664" s="106" t="str">
        <f t="shared" si="33"/>
        <v>Д</v>
      </c>
      <c r="M664" s="107" t="str">
        <f t="shared" si="34"/>
        <v>Фармакология, клиническая фармакология</v>
      </c>
    </row>
    <row r="665" spans="1:13" customFormat="1" ht="30" hidden="1" customHeight="1" x14ac:dyDescent="0.25">
      <c r="A665" s="41" t="s">
        <v>1940</v>
      </c>
      <c r="B665" s="25" t="s">
        <v>2405</v>
      </c>
      <c r="C665" s="29" t="s">
        <v>664</v>
      </c>
      <c r="D665" s="29" t="s">
        <v>666</v>
      </c>
      <c r="E665" s="25" t="s">
        <v>3128</v>
      </c>
      <c r="F665" s="26" t="s">
        <v>179</v>
      </c>
      <c r="G665" s="27" t="s">
        <v>1941</v>
      </c>
      <c r="H665" s="27" t="s">
        <v>366</v>
      </c>
      <c r="I665" s="27"/>
      <c r="J665" s="27" t="s">
        <v>561</v>
      </c>
      <c r="K665" s="106" t="str">
        <f t="shared" si="32"/>
        <v>А</v>
      </c>
      <c r="L665" s="106" t="str">
        <f t="shared" si="33"/>
        <v>Д</v>
      </c>
      <c r="M665" s="107" t="str">
        <f t="shared" si="34"/>
        <v>Технология получения лекарств</v>
      </c>
    </row>
    <row r="666" spans="1:13" customFormat="1" ht="30" hidden="1" customHeight="1" x14ac:dyDescent="0.25">
      <c r="A666" s="41" t="s">
        <v>1942</v>
      </c>
      <c r="B666" s="25" t="s">
        <v>2405</v>
      </c>
      <c r="C666" s="29" t="s">
        <v>664</v>
      </c>
      <c r="D666" s="29" t="s">
        <v>1730</v>
      </c>
      <c r="E666" s="25" t="s">
        <v>3128</v>
      </c>
      <c r="F666" s="26" t="s">
        <v>179</v>
      </c>
      <c r="G666" s="27" t="s">
        <v>1941</v>
      </c>
      <c r="H666" s="27" t="s">
        <v>2406</v>
      </c>
      <c r="I666" s="27"/>
      <c r="J666" s="27" t="s">
        <v>561</v>
      </c>
      <c r="K666" s="106" t="str">
        <f t="shared" si="32"/>
        <v>А</v>
      </c>
      <c r="L666" s="106" t="str">
        <f t="shared" si="33"/>
        <v>Д</v>
      </c>
      <c r="M666" s="107" t="str">
        <f t="shared" si="34"/>
        <v>Технология получения лекарств: биофармация (Английский язык)</v>
      </c>
    </row>
    <row r="667" spans="1:13" customFormat="1" ht="30" hidden="1" customHeight="1" x14ac:dyDescent="0.25">
      <c r="A667" s="41" t="s">
        <v>1943</v>
      </c>
      <c r="B667" s="25" t="s">
        <v>2407</v>
      </c>
      <c r="C667" s="29" t="s">
        <v>664</v>
      </c>
      <c r="D667" s="29" t="s">
        <v>666</v>
      </c>
      <c r="E667" s="25" t="s">
        <v>3128</v>
      </c>
      <c r="F667" s="26" t="s">
        <v>179</v>
      </c>
      <c r="G667" s="27" t="s">
        <v>365</v>
      </c>
      <c r="H667" s="27" t="s">
        <v>365</v>
      </c>
      <c r="I667" s="27"/>
      <c r="J667" s="27" t="s">
        <v>561</v>
      </c>
      <c r="K667" s="106" t="str">
        <f t="shared" si="32"/>
        <v>А</v>
      </c>
      <c r="L667" s="106" t="str">
        <f t="shared" si="33"/>
        <v>Д</v>
      </c>
      <c r="M667" s="107" t="str">
        <f t="shared" si="34"/>
        <v>Фармацевтическая химия, фармакогнозия</v>
      </c>
    </row>
    <row r="668" spans="1:13" customFormat="1" ht="30" hidden="1" customHeight="1" x14ac:dyDescent="0.25">
      <c r="A668" s="41" t="s">
        <v>1944</v>
      </c>
      <c r="B668" s="25" t="s">
        <v>2407</v>
      </c>
      <c r="C668" s="29" t="s">
        <v>664</v>
      </c>
      <c r="D668" s="29" t="s">
        <v>1730</v>
      </c>
      <c r="E668" s="25" t="s">
        <v>3128</v>
      </c>
      <c r="F668" s="26" t="s">
        <v>179</v>
      </c>
      <c r="G668" s="27" t="s">
        <v>365</v>
      </c>
      <c r="H668" s="27" t="s">
        <v>614</v>
      </c>
      <c r="I668" s="27"/>
      <c r="J668" s="27" t="s">
        <v>561</v>
      </c>
      <c r="K668" s="106" t="str">
        <f t="shared" si="32"/>
        <v>А</v>
      </c>
      <c r="L668" s="106" t="str">
        <f t="shared" si="33"/>
        <v>Д</v>
      </c>
      <c r="M668" s="107" t="str">
        <f t="shared" si="34"/>
        <v>Фармацевтическая химия: анализ и контроль качества лекарственных средств (Английский язык)</v>
      </c>
    </row>
    <row r="669" spans="1:13" customFormat="1" ht="30" hidden="1" customHeight="1" x14ac:dyDescent="0.25">
      <c r="A669" s="41" t="s">
        <v>1945</v>
      </c>
      <c r="B669" s="25" t="s">
        <v>2408</v>
      </c>
      <c r="C669" s="29" t="s">
        <v>664</v>
      </c>
      <c r="D669" s="29" t="s">
        <v>666</v>
      </c>
      <c r="E669" s="25" t="s">
        <v>3128</v>
      </c>
      <c r="F669" s="26" t="s">
        <v>179</v>
      </c>
      <c r="G669" s="27" t="s">
        <v>367</v>
      </c>
      <c r="H669" s="27" t="s">
        <v>367</v>
      </c>
      <c r="I669" s="27"/>
      <c r="J669" s="27" t="s">
        <v>561</v>
      </c>
      <c r="K669" s="106" t="str">
        <f t="shared" si="32"/>
        <v>А</v>
      </c>
      <c r="L669" s="106" t="str">
        <f t="shared" si="33"/>
        <v>Д</v>
      </c>
      <c r="M669" s="107" t="str">
        <f t="shared" si="34"/>
        <v>Организация фармацевтического дела</v>
      </c>
    </row>
    <row r="670" spans="1:13" customFormat="1" ht="30" hidden="1" customHeight="1" x14ac:dyDescent="0.25">
      <c r="A670" s="41" t="s">
        <v>1946</v>
      </c>
      <c r="B670" s="25" t="s">
        <v>2408</v>
      </c>
      <c r="C670" s="29" t="s">
        <v>664</v>
      </c>
      <c r="D670" s="29" t="s">
        <v>1730</v>
      </c>
      <c r="E670" s="25" t="s">
        <v>3128</v>
      </c>
      <c r="F670" s="26" t="s">
        <v>179</v>
      </c>
      <c r="G670" s="27" t="s">
        <v>367</v>
      </c>
      <c r="H670" s="27" t="s">
        <v>612</v>
      </c>
      <c r="I670" s="27"/>
      <c r="J670" s="27" t="s">
        <v>561</v>
      </c>
      <c r="K670" s="106" t="str">
        <f t="shared" si="32"/>
        <v>А</v>
      </c>
      <c r="L670" s="106" t="str">
        <f t="shared" si="33"/>
        <v>Д</v>
      </c>
      <c r="M670" s="107" t="str">
        <f t="shared" si="34"/>
        <v>Социальная и административная фармация (Английский язык)</v>
      </c>
    </row>
    <row r="671" spans="1:13" customFormat="1" ht="30" hidden="1" customHeight="1" x14ac:dyDescent="0.25">
      <c r="A671" s="41" t="s">
        <v>2428</v>
      </c>
      <c r="B671" s="25" t="s">
        <v>1666</v>
      </c>
      <c r="C671" s="29" t="s">
        <v>664</v>
      </c>
      <c r="D671" s="29" t="s">
        <v>666</v>
      </c>
      <c r="E671" s="25" t="s">
        <v>3128</v>
      </c>
      <c r="F671" s="26" t="s">
        <v>179</v>
      </c>
      <c r="G671" s="27" t="s">
        <v>531</v>
      </c>
      <c r="H671" s="27" t="s">
        <v>364</v>
      </c>
      <c r="I671" s="27"/>
      <c r="J671" s="27" t="s">
        <v>561</v>
      </c>
      <c r="K671" s="106" t="str">
        <f t="shared" si="32"/>
        <v>А</v>
      </c>
      <c r="L671" s="106" t="str">
        <f t="shared" si="33"/>
        <v>Д</v>
      </c>
      <c r="M671" s="107" t="str">
        <f t="shared" si="34"/>
        <v>Патологическая физиология</v>
      </c>
    </row>
    <row r="672" spans="1:13" customFormat="1" ht="30" hidden="1" customHeight="1" x14ac:dyDescent="0.25">
      <c r="A672" s="41" t="s">
        <v>2430</v>
      </c>
      <c r="B672" s="25" t="s">
        <v>1666</v>
      </c>
      <c r="C672" s="29" t="s">
        <v>664</v>
      </c>
      <c r="D672" s="29" t="s">
        <v>666</v>
      </c>
      <c r="E672" s="25" t="s">
        <v>3128</v>
      </c>
      <c r="F672" s="26" t="s">
        <v>179</v>
      </c>
      <c r="G672" s="27" t="s">
        <v>531</v>
      </c>
      <c r="H672" s="27" t="s">
        <v>369</v>
      </c>
      <c r="I672" s="27"/>
      <c r="J672" s="27" t="s">
        <v>561</v>
      </c>
      <c r="K672" s="106" t="str">
        <f t="shared" si="32"/>
        <v>А</v>
      </c>
      <c r="L672" s="106" t="str">
        <f t="shared" si="33"/>
        <v>Д</v>
      </c>
      <c r="M672" s="107" t="str">
        <f t="shared" si="34"/>
        <v>Судебная медицина</v>
      </c>
    </row>
    <row r="673" spans="1:13" customFormat="1" ht="30" hidden="1" customHeight="1" x14ac:dyDescent="0.25">
      <c r="A673" s="41" t="s">
        <v>2432</v>
      </c>
      <c r="B673" s="25" t="s">
        <v>1666</v>
      </c>
      <c r="C673" s="29" t="s">
        <v>664</v>
      </c>
      <c r="D673" s="29" t="s">
        <v>666</v>
      </c>
      <c r="E673" s="25" t="s">
        <v>3128</v>
      </c>
      <c r="F673" s="26" t="s">
        <v>179</v>
      </c>
      <c r="G673" s="27" t="s">
        <v>531</v>
      </c>
      <c r="H673" s="27" t="s">
        <v>370</v>
      </c>
      <c r="I673" s="27"/>
      <c r="J673" s="27" t="s">
        <v>561</v>
      </c>
      <c r="K673" s="106" t="str">
        <f t="shared" si="32"/>
        <v>А</v>
      </c>
      <c r="L673" s="106" t="str">
        <f t="shared" si="33"/>
        <v>Д</v>
      </c>
      <c r="M673" s="107" t="str">
        <f t="shared" si="34"/>
        <v>Фармакология, клиническая фармакология</v>
      </c>
    </row>
    <row r="674" spans="1:13" customFormat="1" ht="30" hidden="1" customHeight="1" x14ac:dyDescent="0.25">
      <c r="A674" s="41" t="s">
        <v>2434</v>
      </c>
      <c r="B674" s="25" t="s">
        <v>1666</v>
      </c>
      <c r="C674" s="29" t="s">
        <v>664</v>
      </c>
      <c r="D674" s="29" t="s">
        <v>666</v>
      </c>
      <c r="E674" s="25" t="s">
        <v>3128</v>
      </c>
      <c r="F674" s="26" t="s">
        <v>179</v>
      </c>
      <c r="G674" s="27" t="s">
        <v>531</v>
      </c>
      <c r="H674" s="27" t="s">
        <v>363</v>
      </c>
      <c r="I674" s="27"/>
      <c r="J674" s="27" t="s">
        <v>561</v>
      </c>
      <c r="K674" s="106" t="str">
        <f t="shared" si="32"/>
        <v>А</v>
      </c>
      <c r="L674" s="106" t="str">
        <f t="shared" si="33"/>
        <v>Д</v>
      </c>
      <c r="M674" s="107" t="str">
        <f t="shared" si="34"/>
        <v>Клиническая иммунология, аллергология</v>
      </c>
    </row>
    <row r="675" spans="1:13" customFormat="1" ht="30" hidden="1" customHeight="1" x14ac:dyDescent="0.25">
      <c r="A675" s="41" t="s">
        <v>2436</v>
      </c>
      <c r="B675" s="25" t="s">
        <v>1666</v>
      </c>
      <c r="C675" s="29" t="s">
        <v>664</v>
      </c>
      <c r="D675" s="29" t="s">
        <v>666</v>
      </c>
      <c r="E675" s="25" t="s">
        <v>3128</v>
      </c>
      <c r="F675" s="26" t="s">
        <v>179</v>
      </c>
      <c r="G675" s="27" t="s">
        <v>531</v>
      </c>
      <c r="H675" s="27" t="s">
        <v>362</v>
      </c>
      <c r="I675" s="27"/>
      <c r="J675" s="27" t="s">
        <v>561</v>
      </c>
      <c r="K675" s="106" t="str">
        <f t="shared" si="32"/>
        <v>А</v>
      </c>
      <c r="L675" s="106" t="str">
        <f t="shared" si="33"/>
        <v>Д</v>
      </c>
      <c r="M675" s="107" t="str">
        <f t="shared" si="34"/>
        <v>Восстановительная медицина, спортивная медицина, лечебная физкультура, курортология и физиотерапия</v>
      </c>
    </row>
    <row r="676" spans="1:13" customFormat="1" ht="30" hidden="1" customHeight="1" x14ac:dyDescent="0.25">
      <c r="A676" s="41" t="s">
        <v>2439</v>
      </c>
      <c r="B676" s="25" t="s">
        <v>1667</v>
      </c>
      <c r="C676" s="29" t="s">
        <v>664</v>
      </c>
      <c r="D676" s="29" t="s">
        <v>666</v>
      </c>
      <c r="E676" s="25" t="s">
        <v>3128</v>
      </c>
      <c r="F676" s="26" t="s">
        <v>179</v>
      </c>
      <c r="G676" s="27" t="s">
        <v>532</v>
      </c>
      <c r="H676" s="27" t="s">
        <v>371</v>
      </c>
      <c r="I676" s="27"/>
      <c r="J676" s="27" t="s">
        <v>561</v>
      </c>
      <c r="K676" s="106" t="str">
        <f t="shared" si="32"/>
        <v>А</v>
      </c>
      <c r="L676" s="106" t="str">
        <f t="shared" si="33"/>
        <v>Д</v>
      </c>
      <c r="M676" s="107" t="str">
        <f t="shared" si="34"/>
        <v>Болезни уха, горла и носа</v>
      </c>
    </row>
    <row r="677" spans="1:13" customFormat="1" ht="30" hidden="1" customHeight="1" x14ac:dyDescent="0.25">
      <c r="A677" s="41" t="s">
        <v>2441</v>
      </c>
      <c r="B677" s="25" t="s">
        <v>1667</v>
      </c>
      <c r="C677" s="29" t="s">
        <v>664</v>
      </c>
      <c r="D677" s="29" t="s">
        <v>666</v>
      </c>
      <c r="E677" s="25" t="s">
        <v>3128</v>
      </c>
      <c r="F677" s="26" t="s">
        <v>179</v>
      </c>
      <c r="G677" s="27" t="s">
        <v>532</v>
      </c>
      <c r="H677" s="27" t="s">
        <v>372</v>
      </c>
      <c r="I677" s="27"/>
      <c r="J677" s="27" t="s">
        <v>561</v>
      </c>
      <c r="K677" s="106" t="str">
        <f t="shared" si="32"/>
        <v>А</v>
      </c>
      <c r="L677" s="106" t="str">
        <f t="shared" si="33"/>
        <v>Д</v>
      </c>
      <c r="M677" s="107" t="str">
        <f t="shared" si="34"/>
        <v>Внутренние болезни</v>
      </c>
    </row>
    <row r="678" spans="1:13" customFormat="1" ht="30" hidden="1" customHeight="1" x14ac:dyDescent="0.25">
      <c r="A678" s="41" t="s">
        <v>2443</v>
      </c>
      <c r="B678" s="25" t="s">
        <v>1667</v>
      </c>
      <c r="C678" s="29" t="s">
        <v>664</v>
      </c>
      <c r="D678" s="29" t="s">
        <v>1730</v>
      </c>
      <c r="E678" s="25" t="s">
        <v>3128</v>
      </c>
      <c r="F678" s="26" t="s">
        <v>179</v>
      </c>
      <c r="G678" s="27" t="s">
        <v>532</v>
      </c>
      <c r="H678" s="27" t="s">
        <v>607</v>
      </c>
      <c r="I678" s="27"/>
      <c r="J678" s="27" t="s">
        <v>561</v>
      </c>
      <c r="K678" s="106" t="str">
        <f t="shared" si="32"/>
        <v>А</v>
      </c>
      <c r="L678" s="106" t="str">
        <f t="shared" si="33"/>
        <v>Д</v>
      </c>
      <c r="M678" s="107" t="str">
        <f t="shared" si="34"/>
        <v>Внутренние болезни: сердечная недостаточность (Английский язык)</v>
      </c>
    </row>
    <row r="679" spans="1:13" customFormat="1" ht="30" hidden="1" customHeight="1" x14ac:dyDescent="0.25">
      <c r="A679" s="41" t="s">
        <v>2444</v>
      </c>
      <c r="B679" s="25" t="s">
        <v>1667</v>
      </c>
      <c r="C679" s="29" t="s">
        <v>664</v>
      </c>
      <c r="D679" s="29" t="s">
        <v>666</v>
      </c>
      <c r="E679" s="25" t="s">
        <v>3128</v>
      </c>
      <c r="F679" s="26" t="s">
        <v>179</v>
      </c>
      <c r="G679" s="27" t="s">
        <v>532</v>
      </c>
      <c r="H679" s="27" t="s">
        <v>341</v>
      </c>
      <c r="I679" s="27"/>
      <c r="J679" s="27" t="s">
        <v>561</v>
      </c>
      <c r="K679" s="106" t="str">
        <f t="shared" si="32"/>
        <v>А</v>
      </c>
      <c r="L679" s="106" t="str">
        <f t="shared" si="33"/>
        <v>Д</v>
      </c>
      <c r="M679" s="107" t="str">
        <f t="shared" si="34"/>
        <v>Кардиология</v>
      </c>
    </row>
    <row r="680" spans="1:13" customFormat="1" ht="30" hidden="1" customHeight="1" x14ac:dyDescent="0.25">
      <c r="A680" s="41" t="s">
        <v>2446</v>
      </c>
      <c r="B680" s="25" t="s">
        <v>1667</v>
      </c>
      <c r="C680" s="29" t="s">
        <v>664</v>
      </c>
      <c r="D680" s="29" t="s">
        <v>666</v>
      </c>
      <c r="E680" s="25" t="s">
        <v>3128</v>
      </c>
      <c r="F680" s="26" t="s">
        <v>179</v>
      </c>
      <c r="G680" s="27" t="s">
        <v>532</v>
      </c>
      <c r="H680" s="27" t="s">
        <v>335</v>
      </c>
      <c r="I680" s="27"/>
      <c r="J680" s="27" t="s">
        <v>561</v>
      </c>
      <c r="K680" s="106" t="str">
        <f t="shared" si="32"/>
        <v>А</v>
      </c>
      <c r="L680" s="106" t="str">
        <f t="shared" si="33"/>
        <v>Д</v>
      </c>
      <c r="M680" s="107" t="str">
        <f t="shared" si="34"/>
        <v>Психиатрия</v>
      </c>
    </row>
    <row r="681" spans="1:13" customFormat="1" ht="30" hidden="1" customHeight="1" x14ac:dyDescent="0.25">
      <c r="A681" s="41" t="s">
        <v>2448</v>
      </c>
      <c r="B681" s="25" t="s">
        <v>1667</v>
      </c>
      <c r="C681" s="29" t="s">
        <v>664</v>
      </c>
      <c r="D681" s="29" t="s">
        <v>666</v>
      </c>
      <c r="E681" s="25" t="s">
        <v>3128</v>
      </c>
      <c r="F681" s="26" t="s">
        <v>179</v>
      </c>
      <c r="G681" s="27" t="s">
        <v>532</v>
      </c>
      <c r="H681" s="27" t="s">
        <v>373</v>
      </c>
      <c r="I681" s="27"/>
      <c r="J681" s="27" t="s">
        <v>561</v>
      </c>
      <c r="K681" s="106" t="str">
        <f t="shared" si="32"/>
        <v>А</v>
      </c>
      <c r="L681" s="106" t="str">
        <f t="shared" si="33"/>
        <v>Д</v>
      </c>
      <c r="M681" s="107" t="str">
        <f t="shared" si="34"/>
        <v>Глазные болезни</v>
      </c>
    </row>
    <row r="682" spans="1:13" customFormat="1" ht="30" hidden="1" customHeight="1" x14ac:dyDescent="0.25">
      <c r="A682" s="41" t="s">
        <v>2450</v>
      </c>
      <c r="B682" s="25" t="s">
        <v>1667</v>
      </c>
      <c r="C682" s="29" t="s">
        <v>664</v>
      </c>
      <c r="D682" s="29" t="s">
        <v>666</v>
      </c>
      <c r="E682" s="25" t="s">
        <v>3128</v>
      </c>
      <c r="F682" s="26" t="s">
        <v>179</v>
      </c>
      <c r="G682" s="27" t="s">
        <v>532</v>
      </c>
      <c r="H682" s="27" t="s">
        <v>334</v>
      </c>
      <c r="I682" s="27"/>
      <c r="J682" s="27" t="s">
        <v>561</v>
      </c>
      <c r="K682" s="106" t="str">
        <f t="shared" si="32"/>
        <v>А</v>
      </c>
      <c r="L682" s="106" t="str">
        <f t="shared" si="33"/>
        <v>Д</v>
      </c>
      <c r="M682" s="107" t="str">
        <f t="shared" si="34"/>
        <v>Педиатрия</v>
      </c>
    </row>
    <row r="683" spans="1:13" customFormat="1" ht="30" hidden="1" customHeight="1" x14ac:dyDescent="0.25">
      <c r="A683" s="41" t="s">
        <v>2452</v>
      </c>
      <c r="B683" s="25" t="s">
        <v>1667</v>
      </c>
      <c r="C683" s="29" t="s">
        <v>664</v>
      </c>
      <c r="D683" s="29" t="s">
        <v>666</v>
      </c>
      <c r="E683" s="25" t="s">
        <v>3128</v>
      </c>
      <c r="F683" s="26" t="s">
        <v>179</v>
      </c>
      <c r="G683" s="27" t="s">
        <v>532</v>
      </c>
      <c r="H683" s="27" t="s">
        <v>340</v>
      </c>
      <c r="I683" s="27"/>
      <c r="J683" s="27" t="s">
        <v>561</v>
      </c>
      <c r="K683" s="106" t="str">
        <f t="shared" si="32"/>
        <v>А</v>
      </c>
      <c r="L683" s="106" t="str">
        <f t="shared" si="33"/>
        <v>Д</v>
      </c>
      <c r="M683" s="107" t="str">
        <f t="shared" si="34"/>
        <v>Инфекционные болезни</v>
      </c>
    </row>
    <row r="684" spans="1:13" customFormat="1" ht="30" hidden="1" customHeight="1" x14ac:dyDescent="0.25">
      <c r="A684" s="41" t="s">
        <v>2454</v>
      </c>
      <c r="B684" s="25" t="s">
        <v>1667</v>
      </c>
      <c r="C684" s="29" t="s">
        <v>664</v>
      </c>
      <c r="D684" s="29" t="s">
        <v>1730</v>
      </c>
      <c r="E684" s="25" t="s">
        <v>3128</v>
      </c>
      <c r="F684" s="26" t="s">
        <v>179</v>
      </c>
      <c r="G684" s="27" t="s">
        <v>532</v>
      </c>
      <c r="H684" s="27" t="s">
        <v>608</v>
      </c>
      <c r="I684" s="27"/>
      <c r="J684" s="27" t="s">
        <v>561</v>
      </c>
      <c r="K684" s="106" t="str">
        <f t="shared" si="32"/>
        <v>А</v>
      </c>
      <c r="L684" s="106" t="str">
        <f t="shared" si="33"/>
        <v>Д</v>
      </c>
      <c r="M684" s="107" t="str">
        <f t="shared" si="34"/>
        <v>Социально-значимые инфекционные болезни (Английский язык)</v>
      </c>
    </row>
    <row r="685" spans="1:13" customFormat="1" ht="30" hidden="1" customHeight="1" x14ac:dyDescent="0.25">
      <c r="A685" s="41" t="s">
        <v>2455</v>
      </c>
      <c r="B685" s="25" t="s">
        <v>1667</v>
      </c>
      <c r="C685" s="29" t="s">
        <v>664</v>
      </c>
      <c r="D685" s="29" t="s">
        <v>666</v>
      </c>
      <c r="E685" s="25" t="s">
        <v>3128</v>
      </c>
      <c r="F685" s="26" t="s">
        <v>179</v>
      </c>
      <c r="G685" s="27" t="s">
        <v>532</v>
      </c>
      <c r="H685" s="27" t="s">
        <v>374</v>
      </c>
      <c r="I685" s="27"/>
      <c r="J685" s="27" t="s">
        <v>561</v>
      </c>
      <c r="K685" s="106" t="str">
        <f t="shared" si="32"/>
        <v>А</v>
      </c>
      <c r="L685" s="106" t="str">
        <f t="shared" si="33"/>
        <v>Д</v>
      </c>
      <c r="M685" s="107" t="str">
        <f t="shared" si="34"/>
        <v>Кожные и венерические болезни</v>
      </c>
    </row>
    <row r="686" spans="1:13" customFormat="1" ht="30" hidden="1" customHeight="1" x14ac:dyDescent="0.25">
      <c r="A686" s="41" t="s">
        <v>2457</v>
      </c>
      <c r="B686" s="25" t="s">
        <v>1667</v>
      </c>
      <c r="C686" s="29" t="s">
        <v>664</v>
      </c>
      <c r="D686" s="29" t="s">
        <v>666</v>
      </c>
      <c r="E686" s="25" t="s">
        <v>3128</v>
      </c>
      <c r="F686" s="26" t="s">
        <v>179</v>
      </c>
      <c r="G686" s="27" t="s">
        <v>532</v>
      </c>
      <c r="H686" s="27" t="s">
        <v>376</v>
      </c>
      <c r="I686" s="27"/>
      <c r="J686" s="27" t="s">
        <v>561</v>
      </c>
      <c r="K686" s="106" t="str">
        <f t="shared" si="32"/>
        <v>А</v>
      </c>
      <c r="L686" s="106" t="str">
        <f t="shared" si="33"/>
        <v>Д</v>
      </c>
      <c r="M686" s="107" t="str">
        <f t="shared" si="34"/>
        <v>Нервные болезни</v>
      </c>
    </row>
    <row r="687" spans="1:13" customFormat="1" ht="30" hidden="1" customHeight="1" x14ac:dyDescent="0.25">
      <c r="A687" s="41" t="s">
        <v>2459</v>
      </c>
      <c r="B687" s="25" t="s">
        <v>1667</v>
      </c>
      <c r="C687" s="29" t="s">
        <v>664</v>
      </c>
      <c r="D687" s="29" t="s">
        <v>666</v>
      </c>
      <c r="E687" s="25" t="s">
        <v>3128</v>
      </c>
      <c r="F687" s="26" t="s">
        <v>179</v>
      </c>
      <c r="G687" s="27" t="s">
        <v>532</v>
      </c>
      <c r="H687" s="27" t="s">
        <v>352</v>
      </c>
      <c r="I687" s="27"/>
      <c r="J687" s="27" t="s">
        <v>561</v>
      </c>
      <c r="K687" s="106" t="str">
        <f t="shared" si="32"/>
        <v>А</v>
      </c>
      <c r="L687" s="106" t="str">
        <f t="shared" si="33"/>
        <v>Д</v>
      </c>
      <c r="M687" s="107" t="str">
        <f t="shared" si="34"/>
        <v>Онкология</v>
      </c>
    </row>
    <row r="688" spans="1:13" customFormat="1" ht="30" hidden="1" customHeight="1" x14ac:dyDescent="0.25">
      <c r="A688" s="41" t="s">
        <v>2461</v>
      </c>
      <c r="B688" s="25" t="s">
        <v>1667</v>
      </c>
      <c r="C688" s="29" t="s">
        <v>664</v>
      </c>
      <c r="D688" s="29" t="s">
        <v>666</v>
      </c>
      <c r="E688" s="25" t="s">
        <v>3128</v>
      </c>
      <c r="F688" s="26" t="s">
        <v>179</v>
      </c>
      <c r="G688" s="27" t="s">
        <v>532</v>
      </c>
      <c r="H688" s="27" t="s">
        <v>132</v>
      </c>
      <c r="I688" s="27"/>
      <c r="J688" s="27" t="s">
        <v>561</v>
      </c>
      <c r="K688" s="106" t="str">
        <f t="shared" si="32"/>
        <v>А</v>
      </c>
      <c r="L688" s="106" t="str">
        <f t="shared" si="33"/>
        <v>Д</v>
      </c>
      <c r="M688" s="107" t="str">
        <f t="shared" si="34"/>
        <v>Стоматология</v>
      </c>
    </row>
    <row r="689" spans="1:13" customFormat="1" ht="30" hidden="1" customHeight="1" x14ac:dyDescent="0.25">
      <c r="A689" s="41" t="s">
        <v>2463</v>
      </c>
      <c r="B689" s="25" t="s">
        <v>1667</v>
      </c>
      <c r="C689" s="29" t="s">
        <v>664</v>
      </c>
      <c r="D689" s="29" t="s">
        <v>666</v>
      </c>
      <c r="E689" s="25" t="s">
        <v>3128</v>
      </c>
      <c r="F689" s="26" t="s">
        <v>179</v>
      </c>
      <c r="G689" s="27" t="s">
        <v>532</v>
      </c>
      <c r="H689" s="27" t="s">
        <v>322</v>
      </c>
      <c r="I689" s="27"/>
      <c r="J689" s="27" t="s">
        <v>561</v>
      </c>
      <c r="K689" s="106" t="str">
        <f t="shared" si="32"/>
        <v>А</v>
      </c>
      <c r="L689" s="106" t="str">
        <f t="shared" si="33"/>
        <v>Д</v>
      </c>
      <c r="M689" s="107" t="str">
        <f t="shared" si="34"/>
        <v>Травматология и ортопедия</v>
      </c>
    </row>
    <row r="690" spans="1:13" customFormat="1" ht="30" hidden="1" customHeight="1" x14ac:dyDescent="0.25">
      <c r="A690" s="41" t="s">
        <v>2465</v>
      </c>
      <c r="B690" s="25" t="s">
        <v>1667</v>
      </c>
      <c r="C690" s="29" t="s">
        <v>664</v>
      </c>
      <c r="D690" s="29" t="s">
        <v>666</v>
      </c>
      <c r="E690" s="25" t="s">
        <v>3128</v>
      </c>
      <c r="F690" s="26" t="s">
        <v>179</v>
      </c>
      <c r="G690" s="27" t="s">
        <v>532</v>
      </c>
      <c r="H690" s="27" t="s">
        <v>321</v>
      </c>
      <c r="I690" s="27"/>
      <c r="J690" s="27" t="s">
        <v>561</v>
      </c>
      <c r="K690" s="106" t="str">
        <f t="shared" si="32"/>
        <v>А</v>
      </c>
      <c r="L690" s="106" t="str">
        <f t="shared" si="33"/>
        <v>Д</v>
      </c>
      <c r="M690" s="107" t="str">
        <f t="shared" si="34"/>
        <v>Хирургия</v>
      </c>
    </row>
    <row r="691" spans="1:13" customFormat="1" ht="30" hidden="1" customHeight="1" x14ac:dyDescent="0.25">
      <c r="A691" s="41" t="s">
        <v>2467</v>
      </c>
      <c r="B691" s="25" t="s">
        <v>1667</v>
      </c>
      <c r="C691" s="29" t="s">
        <v>664</v>
      </c>
      <c r="D691" s="29" t="s">
        <v>666</v>
      </c>
      <c r="E691" s="25" t="s">
        <v>3128</v>
      </c>
      <c r="F691" s="26" t="s">
        <v>179</v>
      </c>
      <c r="G691" s="27" t="s">
        <v>532</v>
      </c>
      <c r="H691" s="27" t="s">
        <v>351</v>
      </c>
      <c r="I691" s="27"/>
      <c r="J691" s="27" t="s">
        <v>561</v>
      </c>
      <c r="K691" s="106" t="str">
        <f t="shared" si="32"/>
        <v>А</v>
      </c>
      <c r="L691" s="106" t="str">
        <f t="shared" si="33"/>
        <v>Д</v>
      </c>
      <c r="M691" s="107" t="str">
        <f t="shared" si="34"/>
        <v>Нейрохирургия</v>
      </c>
    </row>
    <row r="692" spans="1:13" customFormat="1" ht="30" hidden="1" customHeight="1" x14ac:dyDescent="0.25">
      <c r="A692" s="41" t="s">
        <v>2469</v>
      </c>
      <c r="B692" s="25" t="s">
        <v>1667</v>
      </c>
      <c r="C692" s="29" t="s">
        <v>664</v>
      </c>
      <c r="D692" s="29" t="s">
        <v>666</v>
      </c>
      <c r="E692" s="25" t="s">
        <v>3128</v>
      </c>
      <c r="F692" s="26" t="s">
        <v>179</v>
      </c>
      <c r="G692" s="27" t="s">
        <v>532</v>
      </c>
      <c r="H692" s="27" t="s">
        <v>325</v>
      </c>
      <c r="I692" s="27"/>
      <c r="J692" s="27" t="s">
        <v>561</v>
      </c>
      <c r="K692" s="106" t="str">
        <f t="shared" si="32"/>
        <v>А</v>
      </c>
      <c r="L692" s="106" t="str">
        <f t="shared" si="33"/>
        <v>Д</v>
      </c>
      <c r="M692" s="107" t="str">
        <f t="shared" si="34"/>
        <v>Анестезиология и реаниматология</v>
      </c>
    </row>
    <row r="693" spans="1:13" customFormat="1" ht="30" hidden="1" customHeight="1" x14ac:dyDescent="0.25">
      <c r="A693" s="41" t="s">
        <v>2471</v>
      </c>
      <c r="B693" s="25" t="s">
        <v>1667</v>
      </c>
      <c r="C693" s="29" t="s">
        <v>664</v>
      </c>
      <c r="D693" s="29" t="s">
        <v>666</v>
      </c>
      <c r="E693" s="25" t="s">
        <v>3128</v>
      </c>
      <c r="F693" s="26" t="s">
        <v>179</v>
      </c>
      <c r="G693" s="27" t="s">
        <v>532</v>
      </c>
      <c r="H693" s="27" t="s">
        <v>320</v>
      </c>
      <c r="I693" s="27"/>
      <c r="J693" s="27" t="s">
        <v>561</v>
      </c>
      <c r="K693" s="106" t="str">
        <f t="shared" si="32"/>
        <v>А</v>
      </c>
      <c r="L693" s="106" t="str">
        <f t="shared" si="33"/>
        <v>Д</v>
      </c>
      <c r="M693" s="107" t="str">
        <f t="shared" si="34"/>
        <v>Урология</v>
      </c>
    </row>
    <row r="694" spans="1:13" customFormat="1" ht="30" hidden="1" customHeight="1" x14ac:dyDescent="0.25">
      <c r="A694" s="41" t="s">
        <v>2473</v>
      </c>
      <c r="B694" s="25" t="s">
        <v>1667</v>
      </c>
      <c r="C694" s="29" t="s">
        <v>664</v>
      </c>
      <c r="D694" s="29" t="s">
        <v>1730</v>
      </c>
      <c r="E694" s="25" t="s">
        <v>3128</v>
      </c>
      <c r="F694" s="26" t="s">
        <v>179</v>
      </c>
      <c r="G694" s="27" t="s">
        <v>532</v>
      </c>
      <c r="H694" s="27" t="s">
        <v>609</v>
      </c>
      <c r="I694" s="27"/>
      <c r="J694" s="27" t="s">
        <v>561</v>
      </c>
      <c r="K694" s="106" t="str">
        <f t="shared" si="32"/>
        <v>А</v>
      </c>
      <c r="L694" s="106" t="str">
        <f t="shared" si="33"/>
        <v>Д</v>
      </c>
      <c r="M694" s="107" t="str">
        <f t="shared" si="34"/>
        <v>Урология: современные направления диагностики и лечения урологических болезней (Английский язык)</v>
      </c>
    </row>
    <row r="695" spans="1:13" customFormat="1" ht="30" hidden="1" customHeight="1" x14ac:dyDescent="0.25">
      <c r="A695" s="41" t="s">
        <v>2474</v>
      </c>
      <c r="B695" s="25" t="s">
        <v>1667</v>
      </c>
      <c r="C695" s="29" t="s">
        <v>664</v>
      </c>
      <c r="D695" s="29" t="s">
        <v>666</v>
      </c>
      <c r="E695" s="25" t="s">
        <v>3128</v>
      </c>
      <c r="F695" s="26" t="s">
        <v>179</v>
      </c>
      <c r="G695" s="27" t="s">
        <v>532</v>
      </c>
      <c r="H695" s="27" t="s">
        <v>323</v>
      </c>
      <c r="I695" s="27"/>
      <c r="J695" s="27" t="s">
        <v>561</v>
      </c>
      <c r="K695" s="106" t="str">
        <f t="shared" si="32"/>
        <v>А</v>
      </c>
      <c r="L695" s="106" t="str">
        <f t="shared" si="33"/>
        <v>Д</v>
      </c>
      <c r="M695" s="107" t="str">
        <f t="shared" si="34"/>
        <v>Сердечно-сосудистая хирургия</v>
      </c>
    </row>
    <row r="696" spans="1:13" customFormat="1" ht="30" hidden="1" customHeight="1" x14ac:dyDescent="0.25">
      <c r="A696" s="41" t="s">
        <v>2476</v>
      </c>
      <c r="B696" s="25" t="s">
        <v>1667</v>
      </c>
      <c r="C696" s="29" t="s">
        <v>664</v>
      </c>
      <c r="D696" s="29" t="s">
        <v>666</v>
      </c>
      <c r="E696" s="25" t="s">
        <v>3128</v>
      </c>
      <c r="F696" s="26" t="s">
        <v>179</v>
      </c>
      <c r="G696" s="27" t="s">
        <v>532</v>
      </c>
      <c r="H696" s="27" t="s">
        <v>375</v>
      </c>
      <c r="I696" s="27"/>
      <c r="J696" s="27" t="s">
        <v>561</v>
      </c>
      <c r="K696" s="106" t="str">
        <f t="shared" si="32"/>
        <v>А</v>
      </c>
      <c r="L696" s="106" t="str">
        <f t="shared" si="33"/>
        <v>Д</v>
      </c>
      <c r="M696" s="107" t="str">
        <f t="shared" si="34"/>
        <v>Наркология</v>
      </c>
    </row>
    <row r="697" spans="1:13" customFormat="1" ht="30" hidden="1" customHeight="1" x14ac:dyDescent="0.25">
      <c r="A697" s="41" t="s">
        <v>2478</v>
      </c>
      <c r="B697" s="25" t="s">
        <v>1668</v>
      </c>
      <c r="C697" s="29" t="s">
        <v>664</v>
      </c>
      <c r="D697" s="29" t="s">
        <v>666</v>
      </c>
      <c r="E697" s="25" t="s">
        <v>3128</v>
      </c>
      <c r="F697" s="26" t="s">
        <v>179</v>
      </c>
      <c r="G697" s="27" t="s">
        <v>533</v>
      </c>
      <c r="H697" s="27" t="s">
        <v>368</v>
      </c>
      <c r="I697" s="27"/>
      <c r="J697" s="27" t="s">
        <v>561</v>
      </c>
      <c r="K697" s="106" t="str">
        <f t="shared" si="32"/>
        <v>А</v>
      </c>
      <c r="L697" s="106" t="str">
        <f t="shared" si="33"/>
        <v>Д</v>
      </c>
      <c r="M697" s="107" t="str">
        <f t="shared" si="34"/>
        <v>Общественное здоровье и здравоохранение</v>
      </c>
    </row>
    <row r="698" spans="1:13" customFormat="1" ht="30" hidden="1" customHeight="1" x14ac:dyDescent="0.25">
      <c r="A698" s="41" t="s">
        <v>2480</v>
      </c>
      <c r="B698" s="25" t="s">
        <v>1669</v>
      </c>
      <c r="C698" s="29" t="s">
        <v>664</v>
      </c>
      <c r="D698" s="29" t="s">
        <v>666</v>
      </c>
      <c r="E698" s="25" t="s">
        <v>3128</v>
      </c>
      <c r="F698" s="26" t="s">
        <v>179</v>
      </c>
      <c r="G698" s="27" t="s">
        <v>133</v>
      </c>
      <c r="H698" s="27" t="s">
        <v>367</v>
      </c>
      <c r="I698" s="27"/>
      <c r="J698" s="27" t="s">
        <v>561</v>
      </c>
      <c r="K698" s="106" t="str">
        <f t="shared" si="32"/>
        <v>А</v>
      </c>
      <c r="L698" s="106" t="str">
        <f t="shared" si="33"/>
        <v>Д</v>
      </c>
      <c r="M698" s="107" t="str">
        <f t="shared" si="34"/>
        <v>Организация фармацевтического дела</v>
      </c>
    </row>
    <row r="699" spans="1:13" customFormat="1" ht="30" hidden="1" customHeight="1" x14ac:dyDescent="0.25">
      <c r="A699" s="41" t="s">
        <v>2482</v>
      </c>
      <c r="B699" s="25" t="s">
        <v>1669</v>
      </c>
      <c r="C699" s="29" t="s">
        <v>664</v>
      </c>
      <c r="D699" s="29" t="s">
        <v>666</v>
      </c>
      <c r="E699" s="25" t="s">
        <v>3128</v>
      </c>
      <c r="F699" s="26" t="s">
        <v>179</v>
      </c>
      <c r="G699" s="27" t="s">
        <v>133</v>
      </c>
      <c r="H699" s="27" t="s">
        <v>365</v>
      </c>
      <c r="I699" s="27"/>
      <c r="J699" s="27" t="s">
        <v>561</v>
      </c>
      <c r="K699" s="106" t="str">
        <f t="shared" si="32"/>
        <v>А</v>
      </c>
      <c r="L699" s="106" t="str">
        <f t="shared" si="33"/>
        <v>Д</v>
      </c>
      <c r="M699" s="107" t="str">
        <f t="shared" si="34"/>
        <v>Фармацевтическая химия, фармакогнозия</v>
      </c>
    </row>
    <row r="700" spans="1:13" customFormat="1" ht="30" hidden="1" customHeight="1" x14ac:dyDescent="0.25">
      <c r="A700" s="41" t="s">
        <v>2484</v>
      </c>
      <c r="B700" s="25" t="s">
        <v>1669</v>
      </c>
      <c r="C700" s="29" t="s">
        <v>664</v>
      </c>
      <c r="D700" s="29" t="s">
        <v>1730</v>
      </c>
      <c r="E700" s="25" t="s">
        <v>3128</v>
      </c>
      <c r="F700" s="26" t="s">
        <v>179</v>
      </c>
      <c r="G700" s="27" t="s">
        <v>133</v>
      </c>
      <c r="H700" s="27" t="s">
        <v>614</v>
      </c>
      <c r="I700" s="27"/>
      <c r="J700" s="27" t="s">
        <v>561</v>
      </c>
      <c r="K700" s="106" t="str">
        <f t="shared" si="32"/>
        <v>А</v>
      </c>
      <c r="L700" s="106" t="str">
        <f t="shared" si="33"/>
        <v>Д</v>
      </c>
      <c r="M700" s="107" t="str">
        <f t="shared" si="34"/>
        <v>Фармацевтическая химия: анализ и контроль качества лекарственных средств (Английский язык)</v>
      </c>
    </row>
    <row r="701" spans="1:13" customFormat="1" ht="30" hidden="1" customHeight="1" x14ac:dyDescent="0.25">
      <c r="A701" s="41" t="s">
        <v>2485</v>
      </c>
      <c r="B701" s="25" t="s">
        <v>1669</v>
      </c>
      <c r="C701" s="29" t="s">
        <v>664</v>
      </c>
      <c r="D701" s="29" t="s">
        <v>666</v>
      </c>
      <c r="E701" s="25" t="s">
        <v>3128</v>
      </c>
      <c r="F701" s="26" t="s">
        <v>179</v>
      </c>
      <c r="G701" s="27" t="s">
        <v>133</v>
      </c>
      <c r="H701" s="27" t="s">
        <v>366</v>
      </c>
      <c r="I701" s="27"/>
      <c r="J701" s="27" t="s">
        <v>561</v>
      </c>
      <c r="K701" s="106" t="str">
        <f t="shared" si="32"/>
        <v>А</v>
      </c>
      <c r="L701" s="106" t="str">
        <f t="shared" si="33"/>
        <v>Д</v>
      </c>
      <c r="M701" s="107" t="str">
        <f t="shared" si="34"/>
        <v>Технология получения лекарств</v>
      </c>
    </row>
    <row r="702" spans="1:13" customFormat="1" ht="30" hidden="1" customHeight="1" x14ac:dyDescent="0.25">
      <c r="A702" s="41" t="s">
        <v>2487</v>
      </c>
      <c r="B702" s="25" t="s">
        <v>1669</v>
      </c>
      <c r="C702" s="29" t="s">
        <v>664</v>
      </c>
      <c r="D702" s="29" t="s">
        <v>1730</v>
      </c>
      <c r="E702" s="25" t="s">
        <v>3128</v>
      </c>
      <c r="F702" s="26" t="s">
        <v>179</v>
      </c>
      <c r="G702" s="27" t="s">
        <v>133</v>
      </c>
      <c r="H702" s="27" t="s">
        <v>613</v>
      </c>
      <c r="I702" s="27"/>
      <c r="J702" s="27" t="s">
        <v>561</v>
      </c>
      <c r="K702" s="106" t="str">
        <f t="shared" si="32"/>
        <v>А</v>
      </c>
      <c r="L702" s="106" t="str">
        <f t="shared" si="33"/>
        <v>Д</v>
      </c>
      <c r="M702" s="107" t="str">
        <f t="shared" si="34"/>
        <v>Технология получения лекарств: Биофармация (Английский язык)</v>
      </c>
    </row>
    <row r="703" spans="1:13" customFormat="1" ht="30" hidden="1" customHeight="1" x14ac:dyDescent="0.25">
      <c r="A703" s="41" t="s">
        <v>2488</v>
      </c>
      <c r="B703" s="25" t="s">
        <v>1669</v>
      </c>
      <c r="C703" s="29" t="s">
        <v>664</v>
      </c>
      <c r="D703" s="29" t="s">
        <v>1730</v>
      </c>
      <c r="E703" s="25" t="s">
        <v>3128</v>
      </c>
      <c r="F703" s="26" t="s">
        <v>179</v>
      </c>
      <c r="G703" s="27" t="s">
        <v>133</v>
      </c>
      <c r="H703" s="27" t="s">
        <v>612</v>
      </c>
      <c r="I703" s="27"/>
      <c r="J703" s="27" t="s">
        <v>561</v>
      </c>
      <c r="K703" s="106" t="str">
        <f t="shared" si="32"/>
        <v>А</v>
      </c>
      <c r="L703" s="106" t="str">
        <f t="shared" si="33"/>
        <v>Д</v>
      </c>
      <c r="M703" s="107" t="str">
        <f t="shared" si="34"/>
        <v>Социальная и административная фармация (Английский язык)</v>
      </c>
    </row>
    <row r="704" spans="1:13" customFormat="1" ht="30" hidden="1" customHeight="1" x14ac:dyDescent="0.25">
      <c r="A704" s="41" t="s">
        <v>2489</v>
      </c>
      <c r="B704" s="25" t="s">
        <v>1670</v>
      </c>
      <c r="C704" s="29" t="s">
        <v>664</v>
      </c>
      <c r="D704" s="29" t="s">
        <v>666</v>
      </c>
      <c r="E704" s="25" t="s">
        <v>3128</v>
      </c>
      <c r="F704" s="26" t="s">
        <v>179</v>
      </c>
      <c r="G704" s="27" t="s">
        <v>534</v>
      </c>
      <c r="H704" s="27" t="s">
        <v>388</v>
      </c>
      <c r="I704" s="27"/>
      <c r="J704" s="27" t="s">
        <v>561</v>
      </c>
      <c r="K704" s="106" t="str">
        <f t="shared" si="32"/>
        <v>А</v>
      </c>
      <c r="L704" s="106" t="str">
        <f t="shared" si="33"/>
        <v>Д</v>
      </c>
      <c r="M704" s="107" t="str">
        <f t="shared" si="34"/>
        <v>Теория и методика физического воспитания, спортивной тренировки, оздоровительной и адаптивной физической культуры</v>
      </c>
    </row>
    <row r="705" spans="1:13" customFormat="1" ht="30" hidden="1" customHeight="1" x14ac:dyDescent="0.25">
      <c r="A705" s="41" t="s">
        <v>1947</v>
      </c>
      <c r="B705" s="25" t="s">
        <v>2409</v>
      </c>
      <c r="C705" s="29" t="s">
        <v>664</v>
      </c>
      <c r="D705" s="29" t="s">
        <v>666</v>
      </c>
      <c r="E705" s="25" t="s">
        <v>3128</v>
      </c>
      <c r="F705" s="26" t="s">
        <v>179</v>
      </c>
      <c r="G705" s="27" t="s">
        <v>1948</v>
      </c>
      <c r="H705" s="27" t="s">
        <v>1948</v>
      </c>
      <c r="I705" s="27"/>
      <c r="J705" s="27" t="s">
        <v>561</v>
      </c>
      <c r="K705" s="106" t="str">
        <f t="shared" si="32"/>
        <v>А</v>
      </c>
      <c r="L705" s="106" t="str">
        <f t="shared" si="33"/>
        <v>Д</v>
      </c>
      <c r="M705" s="107" t="str">
        <f t="shared" si="34"/>
        <v>Физическая культура и профессиональная физическая подготовка</v>
      </c>
    </row>
    <row r="706" spans="1:13" customFormat="1" ht="30" hidden="1" customHeight="1" x14ac:dyDescent="0.25">
      <c r="A706" s="41" t="s">
        <v>1949</v>
      </c>
      <c r="B706" s="25" t="s">
        <v>2410</v>
      </c>
      <c r="C706" s="29" t="s">
        <v>664</v>
      </c>
      <c r="D706" s="29" t="s">
        <v>666</v>
      </c>
      <c r="E706" s="25" t="s">
        <v>3128</v>
      </c>
      <c r="F706" s="26" t="s">
        <v>179</v>
      </c>
      <c r="G706" s="27" t="s">
        <v>1950</v>
      </c>
      <c r="H706" s="27" t="s">
        <v>1950</v>
      </c>
      <c r="I706" s="27"/>
      <c r="J706" s="27" t="s">
        <v>561</v>
      </c>
      <c r="K706" s="106" t="str">
        <f t="shared" si="32"/>
        <v>А</v>
      </c>
      <c r="L706" s="106" t="str">
        <f t="shared" si="33"/>
        <v>Д</v>
      </c>
      <c r="M706" s="107" t="str">
        <f t="shared" si="34"/>
        <v>Теория и методика спорта</v>
      </c>
    </row>
    <row r="707" spans="1:13" customFormat="1" ht="30" hidden="1" customHeight="1" x14ac:dyDescent="0.25">
      <c r="A707" s="41" t="s">
        <v>1951</v>
      </c>
      <c r="B707" s="25" t="s">
        <v>2411</v>
      </c>
      <c r="C707" s="29" t="s">
        <v>664</v>
      </c>
      <c r="D707" s="29" t="s">
        <v>666</v>
      </c>
      <c r="E707" s="25" t="s">
        <v>3128</v>
      </c>
      <c r="F707" s="26" t="s">
        <v>179</v>
      </c>
      <c r="G707" s="27" t="s">
        <v>1952</v>
      </c>
      <c r="H707" s="27" t="s">
        <v>1952</v>
      </c>
      <c r="I707" s="27"/>
      <c r="J707" s="27" t="s">
        <v>561</v>
      </c>
      <c r="K707" s="106" t="str">
        <f t="shared" si="32"/>
        <v>А</v>
      </c>
      <c r="L707" s="106" t="str">
        <f t="shared" si="33"/>
        <v>Д</v>
      </c>
      <c r="M707" s="107" t="str">
        <f t="shared" si="34"/>
        <v>Оздоровительная и адаптивная физическая культура</v>
      </c>
    </row>
    <row r="708" spans="1:13" customFormat="1" ht="30" hidden="1" customHeight="1" x14ac:dyDescent="0.25">
      <c r="A708" s="41" t="s">
        <v>2413</v>
      </c>
      <c r="B708" s="25" t="s">
        <v>1650</v>
      </c>
      <c r="C708" s="29" t="s">
        <v>665</v>
      </c>
      <c r="D708" s="29" t="s">
        <v>666</v>
      </c>
      <c r="E708" s="25" t="s">
        <v>3123</v>
      </c>
      <c r="F708" s="26" t="s">
        <v>179</v>
      </c>
      <c r="G708" s="27" t="s">
        <v>530</v>
      </c>
      <c r="H708" s="27" t="s">
        <v>355</v>
      </c>
      <c r="I708" s="27"/>
      <c r="J708" s="27" t="s">
        <v>561</v>
      </c>
      <c r="K708" s="106" t="str">
        <f t="shared" ref="K708:K771" si="35">LEFT(F708, 1)</f>
        <v>А</v>
      </c>
      <c r="L708" s="106" t="str">
        <f t="shared" ref="L708:L771" si="36">IF(C708="очная","Д",IF(C708="Очно-заочная","В",IF(C708="Заочная","З","-")))</f>
        <v>З</v>
      </c>
      <c r="M708" s="107" t="str">
        <f t="shared" ref="M708:M771" si="37">CONCATENATE(H708,IF(D708="Русский","",CONCATENATE(" (",D708," язык)")),IF(I708&gt;0,CONCATENATE(" (Вуз-партнёр - ",I708,")"),""))</f>
        <v>Биохимия</v>
      </c>
    </row>
    <row r="709" spans="1:13" customFormat="1" ht="30" hidden="1" customHeight="1" x14ac:dyDescent="0.25">
      <c r="A709" s="41" t="s">
        <v>2416</v>
      </c>
      <c r="B709" s="25" t="s">
        <v>1650</v>
      </c>
      <c r="C709" s="29" t="s">
        <v>665</v>
      </c>
      <c r="D709" s="29" t="s">
        <v>666</v>
      </c>
      <c r="E709" s="25" t="s">
        <v>3123</v>
      </c>
      <c r="F709" s="26" t="s">
        <v>179</v>
      </c>
      <c r="G709" s="27" t="s">
        <v>530</v>
      </c>
      <c r="H709" s="27" t="s">
        <v>358</v>
      </c>
      <c r="I709" s="27"/>
      <c r="J709" s="27" t="s">
        <v>561</v>
      </c>
      <c r="K709" s="106" t="str">
        <f t="shared" si="35"/>
        <v>А</v>
      </c>
      <c r="L709" s="106" t="str">
        <f t="shared" si="36"/>
        <v>З</v>
      </c>
      <c r="M709" s="107" t="str">
        <f t="shared" si="37"/>
        <v>Математическая биология, биоинформатика</v>
      </c>
    </row>
    <row r="710" spans="1:13" customFormat="1" ht="30" hidden="1" customHeight="1" x14ac:dyDescent="0.25">
      <c r="A710" s="41" t="s">
        <v>2418</v>
      </c>
      <c r="B710" s="25" t="s">
        <v>1650</v>
      </c>
      <c r="C710" s="29" t="s">
        <v>665</v>
      </c>
      <c r="D710" s="29" t="s">
        <v>666</v>
      </c>
      <c r="E710" s="25" t="s">
        <v>3123</v>
      </c>
      <c r="F710" s="26" t="s">
        <v>179</v>
      </c>
      <c r="G710" s="27" t="s">
        <v>530</v>
      </c>
      <c r="H710" s="27" t="s">
        <v>359</v>
      </c>
      <c r="I710" s="27"/>
      <c r="J710" s="27" t="s">
        <v>561</v>
      </c>
      <c r="K710" s="106" t="str">
        <f t="shared" si="35"/>
        <v>А</v>
      </c>
      <c r="L710" s="106" t="str">
        <f t="shared" si="36"/>
        <v>З</v>
      </c>
      <c r="M710" s="107" t="str">
        <f t="shared" si="37"/>
        <v>Микробиология</v>
      </c>
    </row>
    <row r="711" spans="1:13" customFormat="1" ht="30" hidden="1" customHeight="1" x14ac:dyDescent="0.25">
      <c r="A711" s="41" t="s">
        <v>2420</v>
      </c>
      <c r="B711" s="25" t="s">
        <v>1650</v>
      </c>
      <c r="C711" s="29" t="s">
        <v>665</v>
      </c>
      <c r="D711" s="29" t="s">
        <v>666</v>
      </c>
      <c r="E711" s="25" t="s">
        <v>3123</v>
      </c>
      <c r="F711" s="26" t="s">
        <v>179</v>
      </c>
      <c r="G711" s="27" t="s">
        <v>530</v>
      </c>
      <c r="H711" s="27" t="s">
        <v>356</v>
      </c>
      <c r="I711" s="27"/>
      <c r="J711" s="27" t="s">
        <v>561</v>
      </c>
      <c r="K711" s="106" t="str">
        <f t="shared" si="35"/>
        <v>А</v>
      </c>
      <c r="L711" s="106" t="str">
        <f t="shared" si="36"/>
        <v>З</v>
      </c>
      <c r="M711" s="107" t="str">
        <f t="shared" si="37"/>
        <v>Генетика</v>
      </c>
    </row>
    <row r="712" spans="1:13" customFormat="1" ht="30" hidden="1" customHeight="1" x14ac:dyDescent="0.25">
      <c r="A712" s="41" t="s">
        <v>2423</v>
      </c>
      <c r="B712" s="25" t="s">
        <v>1650</v>
      </c>
      <c r="C712" s="29" t="s">
        <v>665</v>
      </c>
      <c r="D712" s="29" t="s">
        <v>666</v>
      </c>
      <c r="E712" s="25" t="s">
        <v>3123</v>
      </c>
      <c r="F712" s="26" t="s">
        <v>179</v>
      </c>
      <c r="G712" s="27" t="s">
        <v>530</v>
      </c>
      <c r="H712" s="27" t="s">
        <v>360</v>
      </c>
      <c r="I712" s="27"/>
      <c r="J712" s="27" t="s">
        <v>561</v>
      </c>
      <c r="K712" s="106" t="str">
        <f t="shared" si="35"/>
        <v>А</v>
      </c>
      <c r="L712" s="106" t="str">
        <f t="shared" si="36"/>
        <v>З</v>
      </c>
      <c r="M712" s="107" t="str">
        <f t="shared" si="37"/>
        <v>Физиология</v>
      </c>
    </row>
    <row r="713" spans="1:13" customFormat="1" ht="30" hidden="1" customHeight="1" x14ac:dyDescent="0.25">
      <c r="A713" s="41" t="s">
        <v>2425</v>
      </c>
      <c r="B713" s="25" t="s">
        <v>1650</v>
      </c>
      <c r="C713" s="29" t="s">
        <v>665</v>
      </c>
      <c r="D713" s="29" t="s">
        <v>666</v>
      </c>
      <c r="E713" s="25" t="s">
        <v>3123</v>
      </c>
      <c r="F713" s="26" t="s">
        <v>179</v>
      </c>
      <c r="G713" s="27" t="s">
        <v>530</v>
      </c>
      <c r="H713" s="27" t="s">
        <v>357</v>
      </c>
      <c r="I713" s="27"/>
      <c r="J713" s="27" t="s">
        <v>561</v>
      </c>
      <c r="K713" s="106" t="str">
        <f t="shared" si="35"/>
        <v>А</v>
      </c>
      <c r="L713" s="106" t="str">
        <f t="shared" si="36"/>
        <v>З</v>
      </c>
      <c r="M713" s="107" t="str">
        <f t="shared" si="37"/>
        <v>Клеточная биология, цитология, гистология</v>
      </c>
    </row>
    <row r="714" spans="1:13" customFormat="1" ht="30" hidden="1" customHeight="1" x14ac:dyDescent="0.25">
      <c r="A714" s="41" t="s">
        <v>2426</v>
      </c>
      <c r="B714" s="25" t="s">
        <v>1666</v>
      </c>
      <c r="C714" s="29" t="s">
        <v>665</v>
      </c>
      <c r="D714" s="29" t="s">
        <v>666</v>
      </c>
      <c r="E714" s="25" t="s">
        <v>1732</v>
      </c>
      <c r="F714" s="26" t="s">
        <v>179</v>
      </c>
      <c r="G714" s="27" t="s">
        <v>531</v>
      </c>
      <c r="H714" s="27" t="s">
        <v>361</v>
      </c>
      <c r="I714" s="27"/>
      <c r="J714" s="27" t="s">
        <v>561</v>
      </c>
      <c r="K714" s="106" t="str">
        <f t="shared" si="35"/>
        <v>А</v>
      </c>
      <c r="L714" s="106" t="str">
        <f t="shared" si="36"/>
        <v>З</v>
      </c>
      <c r="M714" s="107" t="str">
        <f t="shared" si="37"/>
        <v>Анатомия человека</v>
      </c>
    </row>
    <row r="715" spans="1:13" customFormat="1" ht="30" hidden="1" customHeight="1" x14ac:dyDescent="0.25">
      <c r="A715" s="41" t="s">
        <v>2427</v>
      </c>
      <c r="B715" s="25" t="s">
        <v>1666</v>
      </c>
      <c r="C715" s="29" t="s">
        <v>665</v>
      </c>
      <c r="D715" s="29" t="s">
        <v>666</v>
      </c>
      <c r="E715" s="25" t="s">
        <v>1732</v>
      </c>
      <c r="F715" s="26" t="s">
        <v>179</v>
      </c>
      <c r="G715" s="27" t="s">
        <v>531</v>
      </c>
      <c r="H715" s="27" t="s">
        <v>328</v>
      </c>
      <c r="I715" s="27"/>
      <c r="J715" s="27" t="s">
        <v>561</v>
      </c>
      <c r="K715" s="106" t="str">
        <f t="shared" si="35"/>
        <v>А</v>
      </c>
      <c r="L715" s="106" t="str">
        <f t="shared" si="36"/>
        <v>З</v>
      </c>
      <c r="M715" s="107" t="str">
        <f t="shared" si="37"/>
        <v>Патологическая анатомия</v>
      </c>
    </row>
    <row r="716" spans="1:13" customFormat="1" ht="30" hidden="1" customHeight="1" x14ac:dyDescent="0.25">
      <c r="A716" s="41" t="s">
        <v>2429</v>
      </c>
      <c r="B716" s="25" t="s">
        <v>1666</v>
      </c>
      <c r="C716" s="29" t="s">
        <v>665</v>
      </c>
      <c r="D716" s="29" t="s">
        <v>666</v>
      </c>
      <c r="E716" s="25" t="s">
        <v>1732</v>
      </c>
      <c r="F716" s="26" t="s">
        <v>179</v>
      </c>
      <c r="G716" s="27" t="s">
        <v>531</v>
      </c>
      <c r="H716" s="27" t="s">
        <v>364</v>
      </c>
      <c r="I716" s="27"/>
      <c r="J716" s="27" t="s">
        <v>561</v>
      </c>
      <c r="K716" s="106" t="str">
        <f t="shared" si="35"/>
        <v>А</v>
      </c>
      <c r="L716" s="106" t="str">
        <f t="shared" si="36"/>
        <v>З</v>
      </c>
      <c r="M716" s="107" t="str">
        <f t="shared" si="37"/>
        <v>Патологическая физиология</v>
      </c>
    </row>
    <row r="717" spans="1:13" customFormat="1" ht="30" hidden="1" customHeight="1" x14ac:dyDescent="0.25">
      <c r="A717" s="41" t="s">
        <v>2431</v>
      </c>
      <c r="B717" s="25" t="s">
        <v>1666</v>
      </c>
      <c r="C717" s="29" t="s">
        <v>665</v>
      </c>
      <c r="D717" s="29" t="s">
        <v>666</v>
      </c>
      <c r="E717" s="25" t="s">
        <v>1732</v>
      </c>
      <c r="F717" s="26" t="s">
        <v>179</v>
      </c>
      <c r="G717" s="27" t="s">
        <v>531</v>
      </c>
      <c r="H717" s="27" t="s">
        <v>369</v>
      </c>
      <c r="I717" s="27"/>
      <c r="J717" s="27" t="s">
        <v>561</v>
      </c>
      <c r="K717" s="106" t="str">
        <f t="shared" si="35"/>
        <v>А</v>
      </c>
      <c r="L717" s="106" t="str">
        <f t="shared" si="36"/>
        <v>З</v>
      </c>
      <c r="M717" s="107" t="str">
        <f t="shared" si="37"/>
        <v>Судебная медицина</v>
      </c>
    </row>
    <row r="718" spans="1:13" customFormat="1" ht="30" hidden="1" customHeight="1" x14ac:dyDescent="0.25">
      <c r="A718" s="41" t="s">
        <v>2433</v>
      </c>
      <c r="B718" s="25" t="s">
        <v>1666</v>
      </c>
      <c r="C718" s="29" t="s">
        <v>665</v>
      </c>
      <c r="D718" s="29" t="s">
        <v>666</v>
      </c>
      <c r="E718" s="25" t="s">
        <v>1732</v>
      </c>
      <c r="F718" s="26" t="s">
        <v>179</v>
      </c>
      <c r="G718" s="27" t="s">
        <v>531</v>
      </c>
      <c r="H718" s="27" t="s">
        <v>370</v>
      </c>
      <c r="I718" s="27"/>
      <c r="J718" s="27" t="s">
        <v>561</v>
      </c>
      <c r="K718" s="106" t="str">
        <f t="shared" si="35"/>
        <v>А</v>
      </c>
      <c r="L718" s="106" t="str">
        <f t="shared" si="36"/>
        <v>З</v>
      </c>
      <c r="M718" s="107" t="str">
        <f t="shared" si="37"/>
        <v>Фармакология, клиническая фармакология</v>
      </c>
    </row>
    <row r="719" spans="1:13" customFormat="1" ht="30" hidden="1" customHeight="1" x14ac:dyDescent="0.25">
      <c r="A719" s="41" t="s">
        <v>2435</v>
      </c>
      <c r="B719" s="25" t="s">
        <v>1666</v>
      </c>
      <c r="C719" s="29" t="s">
        <v>665</v>
      </c>
      <c r="D719" s="29" t="s">
        <v>666</v>
      </c>
      <c r="E719" s="25" t="s">
        <v>1732</v>
      </c>
      <c r="F719" s="26" t="s">
        <v>179</v>
      </c>
      <c r="G719" s="27" t="s">
        <v>531</v>
      </c>
      <c r="H719" s="27" t="s">
        <v>363</v>
      </c>
      <c r="I719" s="27"/>
      <c r="J719" s="27" t="s">
        <v>561</v>
      </c>
      <c r="K719" s="106" t="str">
        <f t="shared" si="35"/>
        <v>А</v>
      </c>
      <c r="L719" s="106" t="str">
        <f t="shared" si="36"/>
        <v>З</v>
      </c>
      <c r="M719" s="107" t="str">
        <f t="shared" si="37"/>
        <v>Клиническая иммунология, аллергология</v>
      </c>
    </row>
    <row r="720" spans="1:13" customFormat="1" ht="30" hidden="1" customHeight="1" x14ac:dyDescent="0.25">
      <c r="A720" s="41" t="s">
        <v>2437</v>
      </c>
      <c r="B720" s="25" t="s">
        <v>1666</v>
      </c>
      <c r="C720" s="29" t="s">
        <v>665</v>
      </c>
      <c r="D720" s="29" t="s">
        <v>666</v>
      </c>
      <c r="E720" s="25" t="s">
        <v>1732</v>
      </c>
      <c r="F720" s="26" t="s">
        <v>179</v>
      </c>
      <c r="G720" s="27" t="s">
        <v>531</v>
      </c>
      <c r="H720" s="27" t="s">
        <v>362</v>
      </c>
      <c r="I720" s="27"/>
      <c r="J720" s="27" t="s">
        <v>561</v>
      </c>
      <c r="K720" s="106" t="str">
        <f t="shared" si="35"/>
        <v>А</v>
      </c>
      <c r="L720" s="106" t="str">
        <f t="shared" si="36"/>
        <v>З</v>
      </c>
      <c r="M720" s="107" t="str">
        <f t="shared" si="37"/>
        <v>Восстановительная медицина, спортивная медицина, лечебная физкультура, курортология и физиотерапия</v>
      </c>
    </row>
    <row r="721" spans="1:13" customFormat="1" ht="30" hidden="1" customHeight="1" x14ac:dyDescent="0.25">
      <c r="A721" s="41" t="s">
        <v>2438</v>
      </c>
      <c r="B721" s="25" t="s">
        <v>1667</v>
      </c>
      <c r="C721" s="29" t="s">
        <v>665</v>
      </c>
      <c r="D721" s="29" t="s">
        <v>666</v>
      </c>
      <c r="E721" s="25" t="s">
        <v>1732</v>
      </c>
      <c r="F721" s="26" t="s">
        <v>179</v>
      </c>
      <c r="G721" s="27" t="s">
        <v>532</v>
      </c>
      <c r="H721" s="27" t="s">
        <v>324</v>
      </c>
      <c r="I721" s="27"/>
      <c r="J721" s="27" t="s">
        <v>561</v>
      </c>
      <c r="K721" s="106" t="str">
        <f t="shared" si="35"/>
        <v>А</v>
      </c>
      <c r="L721" s="106" t="str">
        <f t="shared" si="36"/>
        <v>З</v>
      </c>
      <c r="M721" s="107" t="str">
        <f t="shared" si="37"/>
        <v>Акушерство и гинекология</v>
      </c>
    </row>
    <row r="722" spans="1:13" customFormat="1" ht="30" hidden="1" customHeight="1" x14ac:dyDescent="0.25">
      <c r="A722" s="41" t="s">
        <v>2440</v>
      </c>
      <c r="B722" s="25" t="s">
        <v>1667</v>
      </c>
      <c r="C722" s="29" t="s">
        <v>665</v>
      </c>
      <c r="D722" s="29" t="s">
        <v>666</v>
      </c>
      <c r="E722" s="25" t="s">
        <v>1732</v>
      </c>
      <c r="F722" s="26" t="s">
        <v>179</v>
      </c>
      <c r="G722" s="27" t="s">
        <v>532</v>
      </c>
      <c r="H722" s="27" t="s">
        <v>371</v>
      </c>
      <c r="I722" s="27"/>
      <c r="J722" s="27" t="s">
        <v>561</v>
      </c>
      <c r="K722" s="106" t="str">
        <f t="shared" si="35"/>
        <v>А</v>
      </c>
      <c r="L722" s="106" t="str">
        <f t="shared" si="36"/>
        <v>З</v>
      </c>
      <c r="M722" s="107" t="str">
        <f t="shared" si="37"/>
        <v>Болезни уха, горла и носа</v>
      </c>
    </row>
    <row r="723" spans="1:13" customFormat="1" ht="30" hidden="1" customHeight="1" x14ac:dyDescent="0.25">
      <c r="A723" s="41" t="s">
        <v>2442</v>
      </c>
      <c r="B723" s="25" t="s">
        <v>1667</v>
      </c>
      <c r="C723" s="29" t="s">
        <v>665</v>
      </c>
      <c r="D723" s="29" t="s">
        <v>666</v>
      </c>
      <c r="E723" s="25" t="s">
        <v>1732</v>
      </c>
      <c r="F723" s="26" t="s">
        <v>179</v>
      </c>
      <c r="G723" s="27" t="s">
        <v>532</v>
      </c>
      <c r="H723" s="27" t="s">
        <v>372</v>
      </c>
      <c r="I723" s="27"/>
      <c r="J723" s="27" t="s">
        <v>561</v>
      </c>
      <c r="K723" s="106" t="str">
        <f t="shared" si="35"/>
        <v>А</v>
      </c>
      <c r="L723" s="106" t="str">
        <f t="shared" si="36"/>
        <v>З</v>
      </c>
      <c r="M723" s="107" t="str">
        <f t="shared" si="37"/>
        <v>Внутренние болезни</v>
      </c>
    </row>
    <row r="724" spans="1:13" customFormat="1" ht="30" hidden="1" customHeight="1" x14ac:dyDescent="0.25">
      <c r="A724" s="41" t="s">
        <v>2445</v>
      </c>
      <c r="B724" s="25" t="s">
        <v>1667</v>
      </c>
      <c r="C724" s="29" t="s">
        <v>665</v>
      </c>
      <c r="D724" s="29" t="s">
        <v>666</v>
      </c>
      <c r="E724" s="25" t="s">
        <v>1732</v>
      </c>
      <c r="F724" s="26" t="s">
        <v>179</v>
      </c>
      <c r="G724" s="27" t="s">
        <v>532</v>
      </c>
      <c r="H724" s="27" t="s">
        <v>341</v>
      </c>
      <c r="I724" s="27"/>
      <c r="J724" s="27" t="s">
        <v>561</v>
      </c>
      <c r="K724" s="106" t="str">
        <f t="shared" si="35"/>
        <v>А</v>
      </c>
      <c r="L724" s="106" t="str">
        <f t="shared" si="36"/>
        <v>З</v>
      </c>
      <c r="M724" s="107" t="str">
        <f t="shared" si="37"/>
        <v>Кардиология</v>
      </c>
    </row>
    <row r="725" spans="1:13" customFormat="1" ht="30" hidden="1" customHeight="1" x14ac:dyDescent="0.25">
      <c r="A725" s="41" t="s">
        <v>2447</v>
      </c>
      <c r="B725" s="25" t="s">
        <v>1667</v>
      </c>
      <c r="C725" s="29" t="s">
        <v>665</v>
      </c>
      <c r="D725" s="29" t="s">
        <v>666</v>
      </c>
      <c r="E725" s="25" t="s">
        <v>1732</v>
      </c>
      <c r="F725" s="26" t="s">
        <v>179</v>
      </c>
      <c r="G725" s="27" t="s">
        <v>532</v>
      </c>
      <c r="H725" s="27" t="s">
        <v>335</v>
      </c>
      <c r="I725" s="27"/>
      <c r="J725" s="27" t="s">
        <v>561</v>
      </c>
      <c r="K725" s="106" t="str">
        <f t="shared" si="35"/>
        <v>А</v>
      </c>
      <c r="L725" s="106" t="str">
        <f t="shared" si="36"/>
        <v>З</v>
      </c>
      <c r="M725" s="107" t="str">
        <f t="shared" si="37"/>
        <v>Психиатрия</v>
      </c>
    </row>
    <row r="726" spans="1:13" customFormat="1" ht="30" hidden="1" customHeight="1" x14ac:dyDescent="0.25">
      <c r="A726" s="41" t="s">
        <v>2449</v>
      </c>
      <c r="B726" s="25" t="s">
        <v>1667</v>
      </c>
      <c r="C726" s="29" t="s">
        <v>665</v>
      </c>
      <c r="D726" s="29" t="s">
        <v>666</v>
      </c>
      <c r="E726" s="25" t="s">
        <v>1732</v>
      </c>
      <c r="F726" s="26" t="s">
        <v>179</v>
      </c>
      <c r="G726" s="27" t="s">
        <v>532</v>
      </c>
      <c r="H726" s="27" t="s">
        <v>373</v>
      </c>
      <c r="I726" s="27"/>
      <c r="J726" s="27" t="s">
        <v>561</v>
      </c>
      <c r="K726" s="106" t="str">
        <f t="shared" si="35"/>
        <v>А</v>
      </c>
      <c r="L726" s="106" t="str">
        <f t="shared" si="36"/>
        <v>З</v>
      </c>
      <c r="M726" s="107" t="str">
        <f t="shared" si="37"/>
        <v>Глазные болезни</v>
      </c>
    </row>
    <row r="727" spans="1:13" customFormat="1" ht="30" hidden="1" customHeight="1" x14ac:dyDescent="0.25">
      <c r="A727" s="41" t="s">
        <v>2451</v>
      </c>
      <c r="B727" s="25" t="s">
        <v>1667</v>
      </c>
      <c r="C727" s="29" t="s">
        <v>665</v>
      </c>
      <c r="D727" s="29" t="s">
        <v>666</v>
      </c>
      <c r="E727" s="25" t="s">
        <v>1732</v>
      </c>
      <c r="F727" s="26" t="s">
        <v>179</v>
      </c>
      <c r="G727" s="27" t="s">
        <v>532</v>
      </c>
      <c r="H727" s="27" t="s">
        <v>334</v>
      </c>
      <c r="I727" s="27"/>
      <c r="J727" s="27" t="s">
        <v>561</v>
      </c>
      <c r="K727" s="106" t="str">
        <f t="shared" si="35"/>
        <v>А</v>
      </c>
      <c r="L727" s="106" t="str">
        <f t="shared" si="36"/>
        <v>З</v>
      </c>
      <c r="M727" s="107" t="str">
        <f t="shared" si="37"/>
        <v>Педиатрия</v>
      </c>
    </row>
    <row r="728" spans="1:13" customFormat="1" ht="30" hidden="1" customHeight="1" x14ac:dyDescent="0.25">
      <c r="A728" s="41" t="s">
        <v>2453</v>
      </c>
      <c r="B728" s="25" t="s">
        <v>1667</v>
      </c>
      <c r="C728" s="29" t="s">
        <v>665</v>
      </c>
      <c r="D728" s="29" t="s">
        <v>666</v>
      </c>
      <c r="E728" s="25" t="s">
        <v>1732</v>
      </c>
      <c r="F728" s="26" t="s">
        <v>179</v>
      </c>
      <c r="G728" s="27" t="s">
        <v>532</v>
      </c>
      <c r="H728" s="27" t="s">
        <v>340</v>
      </c>
      <c r="I728" s="27"/>
      <c r="J728" s="27" t="s">
        <v>561</v>
      </c>
      <c r="K728" s="106" t="str">
        <f t="shared" si="35"/>
        <v>А</v>
      </c>
      <c r="L728" s="106" t="str">
        <f t="shared" si="36"/>
        <v>З</v>
      </c>
      <c r="M728" s="107" t="str">
        <f t="shared" si="37"/>
        <v>Инфекционные болезни</v>
      </c>
    </row>
    <row r="729" spans="1:13" customFormat="1" ht="30" hidden="1" customHeight="1" x14ac:dyDescent="0.25">
      <c r="A729" s="41" t="s">
        <v>2456</v>
      </c>
      <c r="B729" s="25" t="s">
        <v>1667</v>
      </c>
      <c r="C729" s="29" t="s">
        <v>665</v>
      </c>
      <c r="D729" s="29" t="s">
        <v>666</v>
      </c>
      <c r="E729" s="25" t="s">
        <v>1732</v>
      </c>
      <c r="F729" s="26" t="s">
        <v>179</v>
      </c>
      <c r="G729" s="27" t="s">
        <v>532</v>
      </c>
      <c r="H729" s="27" t="s">
        <v>374</v>
      </c>
      <c r="I729" s="27"/>
      <c r="J729" s="27" t="s">
        <v>561</v>
      </c>
      <c r="K729" s="106" t="str">
        <f t="shared" si="35"/>
        <v>А</v>
      </c>
      <c r="L729" s="106" t="str">
        <f t="shared" si="36"/>
        <v>З</v>
      </c>
      <c r="M729" s="107" t="str">
        <f t="shared" si="37"/>
        <v>Кожные и венерические болезни</v>
      </c>
    </row>
    <row r="730" spans="1:13" customFormat="1" ht="30" hidden="1" customHeight="1" x14ac:dyDescent="0.25">
      <c r="A730" s="41" t="s">
        <v>2458</v>
      </c>
      <c r="B730" s="25" t="s">
        <v>1667</v>
      </c>
      <c r="C730" s="29" t="s">
        <v>665</v>
      </c>
      <c r="D730" s="29" t="s">
        <v>666</v>
      </c>
      <c r="E730" s="25" t="s">
        <v>1732</v>
      </c>
      <c r="F730" s="26" t="s">
        <v>179</v>
      </c>
      <c r="G730" s="27" t="s">
        <v>532</v>
      </c>
      <c r="H730" s="27" t="s">
        <v>376</v>
      </c>
      <c r="I730" s="27"/>
      <c r="J730" s="27" t="s">
        <v>561</v>
      </c>
      <c r="K730" s="106" t="str">
        <f t="shared" si="35"/>
        <v>А</v>
      </c>
      <c r="L730" s="106" t="str">
        <f t="shared" si="36"/>
        <v>З</v>
      </c>
      <c r="M730" s="107" t="str">
        <f t="shared" si="37"/>
        <v>Нервные болезни</v>
      </c>
    </row>
    <row r="731" spans="1:13" customFormat="1" ht="30" hidden="1" customHeight="1" x14ac:dyDescent="0.25">
      <c r="A731" s="41" t="s">
        <v>2460</v>
      </c>
      <c r="B731" s="25" t="s">
        <v>1667</v>
      </c>
      <c r="C731" s="29" t="s">
        <v>665</v>
      </c>
      <c r="D731" s="29" t="s">
        <v>666</v>
      </c>
      <c r="E731" s="25" t="s">
        <v>1732</v>
      </c>
      <c r="F731" s="26" t="s">
        <v>179</v>
      </c>
      <c r="G731" s="27" t="s">
        <v>532</v>
      </c>
      <c r="H731" s="27" t="s">
        <v>352</v>
      </c>
      <c r="I731" s="27"/>
      <c r="J731" s="27" t="s">
        <v>561</v>
      </c>
      <c r="K731" s="106" t="str">
        <f t="shared" si="35"/>
        <v>А</v>
      </c>
      <c r="L731" s="106" t="str">
        <f t="shared" si="36"/>
        <v>З</v>
      </c>
      <c r="M731" s="107" t="str">
        <f t="shared" si="37"/>
        <v>Онкология</v>
      </c>
    </row>
    <row r="732" spans="1:13" customFormat="1" ht="30" hidden="1" customHeight="1" x14ac:dyDescent="0.25">
      <c r="A732" s="41" t="s">
        <v>2462</v>
      </c>
      <c r="B732" s="25" t="s">
        <v>1667</v>
      </c>
      <c r="C732" s="29" t="s">
        <v>665</v>
      </c>
      <c r="D732" s="29" t="s">
        <v>666</v>
      </c>
      <c r="E732" s="25" t="s">
        <v>1732</v>
      </c>
      <c r="F732" s="26" t="s">
        <v>179</v>
      </c>
      <c r="G732" s="27" t="s">
        <v>532</v>
      </c>
      <c r="H732" s="27" t="s">
        <v>132</v>
      </c>
      <c r="I732" s="27"/>
      <c r="J732" s="27" t="s">
        <v>561</v>
      </c>
      <c r="K732" s="106" t="str">
        <f t="shared" si="35"/>
        <v>А</v>
      </c>
      <c r="L732" s="106" t="str">
        <f t="shared" si="36"/>
        <v>З</v>
      </c>
      <c r="M732" s="107" t="str">
        <f t="shared" si="37"/>
        <v>Стоматология</v>
      </c>
    </row>
    <row r="733" spans="1:13" customFormat="1" ht="30" hidden="1" customHeight="1" x14ac:dyDescent="0.25">
      <c r="A733" s="41" t="s">
        <v>2464</v>
      </c>
      <c r="B733" s="25" t="s">
        <v>1667</v>
      </c>
      <c r="C733" s="29" t="s">
        <v>665</v>
      </c>
      <c r="D733" s="29" t="s">
        <v>666</v>
      </c>
      <c r="E733" s="25" t="s">
        <v>1732</v>
      </c>
      <c r="F733" s="26" t="s">
        <v>179</v>
      </c>
      <c r="G733" s="27" t="s">
        <v>532</v>
      </c>
      <c r="H733" s="27" t="s">
        <v>322</v>
      </c>
      <c r="I733" s="27"/>
      <c r="J733" s="27" t="s">
        <v>561</v>
      </c>
      <c r="K733" s="106" t="str">
        <f t="shared" si="35"/>
        <v>А</v>
      </c>
      <c r="L733" s="106" t="str">
        <f t="shared" si="36"/>
        <v>З</v>
      </c>
      <c r="M733" s="107" t="str">
        <f t="shared" si="37"/>
        <v>Травматология и ортопедия</v>
      </c>
    </row>
    <row r="734" spans="1:13" customFormat="1" ht="30" hidden="1" customHeight="1" x14ac:dyDescent="0.25">
      <c r="A734" s="41" t="s">
        <v>2466</v>
      </c>
      <c r="B734" s="25" t="s">
        <v>1667</v>
      </c>
      <c r="C734" s="29" t="s">
        <v>665</v>
      </c>
      <c r="D734" s="29" t="s">
        <v>666</v>
      </c>
      <c r="E734" s="25" t="s">
        <v>1732</v>
      </c>
      <c r="F734" s="26" t="s">
        <v>179</v>
      </c>
      <c r="G734" s="27" t="s">
        <v>532</v>
      </c>
      <c r="H734" s="27" t="s">
        <v>321</v>
      </c>
      <c r="I734" s="27"/>
      <c r="J734" s="27" t="s">
        <v>561</v>
      </c>
      <c r="K734" s="106" t="str">
        <f t="shared" si="35"/>
        <v>А</v>
      </c>
      <c r="L734" s="106" t="str">
        <f t="shared" si="36"/>
        <v>З</v>
      </c>
      <c r="M734" s="107" t="str">
        <f t="shared" si="37"/>
        <v>Хирургия</v>
      </c>
    </row>
    <row r="735" spans="1:13" customFormat="1" ht="30" hidden="1" customHeight="1" x14ac:dyDescent="0.25">
      <c r="A735" s="41" t="s">
        <v>2468</v>
      </c>
      <c r="B735" s="25" t="s">
        <v>1667</v>
      </c>
      <c r="C735" s="29" t="s">
        <v>665</v>
      </c>
      <c r="D735" s="29" t="s">
        <v>666</v>
      </c>
      <c r="E735" s="25" t="s">
        <v>1732</v>
      </c>
      <c r="F735" s="26" t="s">
        <v>179</v>
      </c>
      <c r="G735" s="27" t="s">
        <v>532</v>
      </c>
      <c r="H735" s="27" t="s">
        <v>351</v>
      </c>
      <c r="I735" s="27"/>
      <c r="J735" s="27" t="s">
        <v>561</v>
      </c>
      <c r="K735" s="106" t="str">
        <f t="shared" si="35"/>
        <v>А</v>
      </c>
      <c r="L735" s="106" t="str">
        <f t="shared" si="36"/>
        <v>З</v>
      </c>
      <c r="M735" s="107" t="str">
        <f t="shared" si="37"/>
        <v>Нейрохирургия</v>
      </c>
    </row>
    <row r="736" spans="1:13" customFormat="1" ht="30" hidden="1" customHeight="1" x14ac:dyDescent="0.25">
      <c r="A736" s="41" t="s">
        <v>2470</v>
      </c>
      <c r="B736" s="25" t="s">
        <v>1667</v>
      </c>
      <c r="C736" s="29" t="s">
        <v>665</v>
      </c>
      <c r="D736" s="29" t="s">
        <v>666</v>
      </c>
      <c r="E736" s="25" t="s">
        <v>1732</v>
      </c>
      <c r="F736" s="26" t="s">
        <v>179</v>
      </c>
      <c r="G736" s="27" t="s">
        <v>532</v>
      </c>
      <c r="H736" s="27" t="s">
        <v>325</v>
      </c>
      <c r="I736" s="27"/>
      <c r="J736" s="27" t="s">
        <v>561</v>
      </c>
      <c r="K736" s="106" t="str">
        <f t="shared" si="35"/>
        <v>А</v>
      </c>
      <c r="L736" s="106" t="str">
        <f t="shared" si="36"/>
        <v>З</v>
      </c>
      <c r="M736" s="107" t="str">
        <f t="shared" si="37"/>
        <v>Анестезиология и реаниматология</v>
      </c>
    </row>
    <row r="737" spans="1:13" customFormat="1" ht="30" hidden="1" customHeight="1" x14ac:dyDescent="0.25">
      <c r="A737" s="41" t="s">
        <v>2472</v>
      </c>
      <c r="B737" s="25" t="s">
        <v>1667</v>
      </c>
      <c r="C737" s="29" t="s">
        <v>665</v>
      </c>
      <c r="D737" s="29" t="s">
        <v>666</v>
      </c>
      <c r="E737" s="25" t="s">
        <v>1732</v>
      </c>
      <c r="F737" s="26" t="s">
        <v>179</v>
      </c>
      <c r="G737" s="27" t="s">
        <v>532</v>
      </c>
      <c r="H737" s="27" t="s">
        <v>320</v>
      </c>
      <c r="I737" s="27"/>
      <c r="J737" s="27" t="s">
        <v>561</v>
      </c>
      <c r="K737" s="106" t="str">
        <f t="shared" si="35"/>
        <v>А</v>
      </c>
      <c r="L737" s="106" t="str">
        <f t="shared" si="36"/>
        <v>З</v>
      </c>
      <c r="M737" s="107" t="str">
        <f t="shared" si="37"/>
        <v>Урология</v>
      </c>
    </row>
    <row r="738" spans="1:13" customFormat="1" ht="30" hidden="1" customHeight="1" x14ac:dyDescent="0.25">
      <c r="A738" s="41" t="s">
        <v>2475</v>
      </c>
      <c r="B738" s="25" t="s">
        <v>1667</v>
      </c>
      <c r="C738" s="29" t="s">
        <v>665</v>
      </c>
      <c r="D738" s="29" t="s">
        <v>666</v>
      </c>
      <c r="E738" s="25" t="s">
        <v>1732</v>
      </c>
      <c r="F738" s="26" t="s">
        <v>179</v>
      </c>
      <c r="G738" s="27" t="s">
        <v>532</v>
      </c>
      <c r="H738" s="27" t="s">
        <v>323</v>
      </c>
      <c r="I738" s="27"/>
      <c r="J738" s="27" t="s">
        <v>561</v>
      </c>
      <c r="K738" s="106" t="str">
        <f t="shared" si="35"/>
        <v>А</v>
      </c>
      <c r="L738" s="106" t="str">
        <f t="shared" si="36"/>
        <v>З</v>
      </c>
      <c r="M738" s="107" t="str">
        <f t="shared" si="37"/>
        <v>Сердечно-сосудистая хирургия</v>
      </c>
    </row>
    <row r="739" spans="1:13" customFormat="1" ht="30" hidden="1" customHeight="1" x14ac:dyDescent="0.25">
      <c r="A739" s="41" t="s">
        <v>2477</v>
      </c>
      <c r="B739" s="25" t="s">
        <v>1667</v>
      </c>
      <c r="C739" s="29" t="s">
        <v>665</v>
      </c>
      <c r="D739" s="29" t="s">
        <v>666</v>
      </c>
      <c r="E739" s="25" t="s">
        <v>1732</v>
      </c>
      <c r="F739" s="26" t="s">
        <v>179</v>
      </c>
      <c r="G739" s="27" t="s">
        <v>532</v>
      </c>
      <c r="H739" s="27" t="s">
        <v>375</v>
      </c>
      <c r="I739" s="27"/>
      <c r="J739" s="27" t="s">
        <v>561</v>
      </c>
      <c r="K739" s="106" t="str">
        <f t="shared" si="35"/>
        <v>А</v>
      </c>
      <c r="L739" s="106" t="str">
        <f t="shared" si="36"/>
        <v>З</v>
      </c>
      <c r="M739" s="107" t="str">
        <f t="shared" si="37"/>
        <v>Наркология</v>
      </c>
    </row>
    <row r="740" spans="1:13" customFormat="1" ht="30" hidden="1" customHeight="1" x14ac:dyDescent="0.25">
      <c r="A740" s="41" t="s">
        <v>2479</v>
      </c>
      <c r="B740" s="25" t="s">
        <v>1668</v>
      </c>
      <c r="C740" s="29" t="s">
        <v>665</v>
      </c>
      <c r="D740" s="29" t="s">
        <v>666</v>
      </c>
      <c r="E740" s="25" t="s">
        <v>1732</v>
      </c>
      <c r="F740" s="26" t="s">
        <v>179</v>
      </c>
      <c r="G740" s="27" t="s">
        <v>533</v>
      </c>
      <c r="H740" s="27" t="s">
        <v>368</v>
      </c>
      <c r="I740" s="27"/>
      <c r="J740" s="27" t="s">
        <v>561</v>
      </c>
      <c r="K740" s="106" t="str">
        <f t="shared" si="35"/>
        <v>А</v>
      </c>
      <c r="L740" s="106" t="str">
        <f t="shared" si="36"/>
        <v>З</v>
      </c>
      <c r="M740" s="107" t="str">
        <f t="shared" si="37"/>
        <v>Общественное здоровье и здравоохранение</v>
      </c>
    </row>
    <row r="741" spans="1:13" customFormat="1" ht="30" hidden="1" customHeight="1" x14ac:dyDescent="0.25">
      <c r="A741" s="41" t="s">
        <v>2481</v>
      </c>
      <c r="B741" s="25" t="s">
        <v>1669</v>
      </c>
      <c r="C741" s="29" t="s">
        <v>665</v>
      </c>
      <c r="D741" s="29" t="s">
        <v>666</v>
      </c>
      <c r="E741" s="25" t="s">
        <v>1732</v>
      </c>
      <c r="F741" s="26" t="s">
        <v>179</v>
      </c>
      <c r="G741" s="27" t="s">
        <v>133</v>
      </c>
      <c r="H741" s="27" t="s">
        <v>367</v>
      </c>
      <c r="I741" s="27"/>
      <c r="J741" s="27" t="s">
        <v>561</v>
      </c>
      <c r="K741" s="106" t="str">
        <f t="shared" si="35"/>
        <v>А</v>
      </c>
      <c r="L741" s="106" t="str">
        <f t="shared" si="36"/>
        <v>З</v>
      </c>
      <c r="M741" s="107" t="str">
        <f t="shared" si="37"/>
        <v>Организация фармацевтического дела</v>
      </c>
    </row>
    <row r="742" spans="1:13" customFormat="1" ht="30" hidden="1" customHeight="1" x14ac:dyDescent="0.25">
      <c r="A742" s="41" t="s">
        <v>2483</v>
      </c>
      <c r="B742" s="25" t="s">
        <v>1669</v>
      </c>
      <c r="C742" s="29" t="s">
        <v>665</v>
      </c>
      <c r="D742" s="29" t="s">
        <v>666</v>
      </c>
      <c r="E742" s="25" t="s">
        <v>1732</v>
      </c>
      <c r="F742" s="26" t="s">
        <v>179</v>
      </c>
      <c r="G742" s="27" t="s">
        <v>133</v>
      </c>
      <c r="H742" s="27" t="s">
        <v>365</v>
      </c>
      <c r="I742" s="27"/>
      <c r="J742" s="27" t="s">
        <v>561</v>
      </c>
      <c r="K742" s="106" t="str">
        <f t="shared" si="35"/>
        <v>А</v>
      </c>
      <c r="L742" s="106" t="str">
        <f t="shared" si="36"/>
        <v>З</v>
      </c>
      <c r="M742" s="107" t="str">
        <f t="shared" si="37"/>
        <v>Фармацевтическая химия, фармакогнозия</v>
      </c>
    </row>
    <row r="743" spans="1:13" customFormat="1" ht="30" hidden="1" customHeight="1" x14ac:dyDescent="0.25">
      <c r="A743" s="41" t="s">
        <v>2486</v>
      </c>
      <c r="B743" s="25" t="s">
        <v>1669</v>
      </c>
      <c r="C743" s="29" t="s">
        <v>665</v>
      </c>
      <c r="D743" s="29" t="s">
        <v>666</v>
      </c>
      <c r="E743" s="25" t="s">
        <v>1732</v>
      </c>
      <c r="F743" s="26" t="s">
        <v>179</v>
      </c>
      <c r="G743" s="27" t="s">
        <v>133</v>
      </c>
      <c r="H743" s="27" t="s">
        <v>366</v>
      </c>
      <c r="I743" s="27"/>
      <c r="J743" s="27" t="s">
        <v>561</v>
      </c>
      <c r="K743" s="106" t="str">
        <f t="shared" si="35"/>
        <v>А</v>
      </c>
      <c r="L743" s="106" t="str">
        <f t="shared" si="36"/>
        <v>З</v>
      </c>
      <c r="M743" s="107" t="str">
        <f t="shared" si="37"/>
        <v>Технология получения лекарств</v>
      </c>
    </row>
    <row r="744" spans="1:13" customFormat="1" ht="30" hidden="1" customHeight="1" x14ac:dyDescent="0.25">
      <c r="A744" s="41" t="s">
        <v>2322</v>
      </c>
      <c r="B744" s="25" t="s">
        <v>1671</v>
      </c>
      <c r="C744" s="29" t="s">
        <v>664</v>
      </c>
      <c r="D744" s="29" t="s">
        <v>666</v>
      </c>
      <c r="E744" s="25" t="s">
        <v>3126</v>
      </c>
      <c r="F744" s="26" t="s">
        <v>180</v>
      </c>
      <c r="G744" s="27" t="s">
        <v>324</v>
      </c>
      <c r="H744" s="27" t="s">
        <v>324</v>
      </c>
      <c r="I744" s="27"/>
      <c r="J744" s="27" t="s">
        <v>561</v>
      </c>
      <c r="K744" s="106" t="str">
        <f t="shared" si="35"/>
        <v>О</v>
      </c>
      <c r="L744" s="106" t="str">
        <f t="shared" si="36"/>
        <v>Д</v>
      </c>
      <c r="M744" s="107" t="str">
        <f t="shared" si="37"/>
        <v>Акушерство и гинекология</v>
      </c>
    </row>
    <row r="745" spans="1:13" customFormat="1" ht="30" hidden="1" customHeight="1" x14ac:dyDescent="0.25">
      <c r="A745" s="41" t="s">
        <v>2323</v>
      </c>
      <c r="B745" s="25" t="s">
        <v>1672</v>
      </c>
      <c r="C745" s="29" t="s">
        <v>664</v>
      </c>
      <c r="D745" s="29" t="s">
        <v>666</v>
      </c>
      <c r="E745" s="25" t="s">
        <v>3126</v>
      </c>
      <c r="F745" s="26" t="s">
        <v>180</v>
      </c>
      <c r="G745" s="27" t="s">
        <v>574</v>
      </c>
      <c r="H745" s="27" t="s">
        <v>574</v>
      </c>
      <c r="I745" s="27"/>
      <c r="J745" s="27" t="s">
        <v>561</v>
      </c>
      <c r="K745" s="106" t="str">
        <f t="shared" si="35"/>
        <v>О</v>
      </c>
      <c r="L745" s="106" t="str">
        <f t="shared" si="36"/>
        <v>Д</v>
      </c>
      <c r="M745" s="107" t="str">
        <f t="shared" si="37"/>
        <v>Анестезиология-реаниматология</v>
      </c>
    </row>
    <row r="746" spans="1:13" customFormat="1" ht="30" hidden="1" customHeight="1" x14ac:dyDescent="0.25">
      <c r="A746" s="41" t="s">
        <v>2324</v>
      </c>
      <c r="B746" s="25" t="s">
        <v>1673</v>
      </c>
      <c r="C746" s="29" t="s">
        <v>664</v>
      </c>
      <c r="D746" s="29" t="s">
        <v>666</v>
      </c>
      <c r="E746" s="25" t="s">
        <v>3126</v>
      </c>
      <c r="F746" s="26" t="s">
        <v>180</v>
      </c>
      <c r="G746" s="27" t="s">
        <v>326</v>
      </c>
      <c r="H746" s="27" t="s">
        <v>326</v>
      </c>
      <c r="I746" s="27"/>
      <c r="J746" s="27" t="s">
        <v>561</v>
      </c>
      <c r="K746" s="106" t="str">
        <f t="shared" si="35"/>
        <v>О</v>
      </c>
      <c r="L746" s="106" t="str">
        <f t="shared" si="36"/>
        <v>Д</v>
      </c>
      <c r="M746" s="107" t="str">
        <f t="shared" si="37"/>
        <v>Клиническая лабораторная диагностика</v>
      </c>
    </row>
    <row r="747" spans="1:13" customFormat="1" ht="30" hidden="1" customHeight="1" x14ac:dyDescent="0.25">
      <c r="A747" s="41" t="s">
        <v>2325</v>
      </c>
      <c r="B747" s="25" t="s">
        <v>1674</v>
      </c>
      <c r="C747" s="29" t="s">
        <v>664</v>
      </c>
      <c r="D747" s="29" t="s">
        <v>666</v>
      </c>
      <c r="E747" s="25" t="s">
        <v>3126</v>
      </c>
      <c r="F747" s="26" t="s">
        <v>180</v>
      </c>
      <c r="G747" s="27" t="s">
        <v>327</v>
      </c>
      <c r="H747" s="27" t="s">
        <v>327</v>
      </c>
      <c r="I747" s="27"/>
      <c r="J747" s="27" t="s">
        <v>561</v>
      </c>
      <c r="K747" s="106" t="str">
        <f t="shared" si="35"/>
        <v>О</v>
      </c>
      <c r="L747" s="106" t="str">
        <f t="shared" si="36"/>
        <v>Д</v>
      </c>
      <c r="M747" s="107" t="str">
        <f t="shared" si="37"/>
        <v>Лабораторная генетика</v>
      </c>
    </row>
    <row r="748" spans="1:13" customFormat="1" ht="30" hidden="1" customHeight="1" x14ac:dyDescent="0.25">
      <c r="A748" s="41" t="s">
        <v>2326</v>
      </c>
      <c r="B748" s="25" t="s">
        <v>1675</v>
      </c>
      <c r="C748" s="29" t="s">
        <v>664</v>
      </c>
      <c r="D748" s="29" t="s">
        <v>666</v>
      </c>
      <c r="E748" s="25" t="s">
        <v>3126</v>
      </c>
      <c r="F748" s="26" t="s">
        <v>180</v>
      </c>
      <c r="G748" s="27" t="s">
        <v>328</v>
      </c>
      <c r="H748" s="27" t="s">
        <v>328</v>
      </c>
      <c r="I748" s="27"/>
      <c r="J748" s="27" t="s">
        <v>561</v>
      </c>
      <c r="K748" s="106" t="str">
        <f t="shared" si="35"/>
        <v>О</v>
      </c>
      <c r="L748" s="106" t="str">
        <f t="shared" si="36"/>
        <v>Д</v>
      </c>
      <c r="M748" s="107" t="str">
        <f t="shared" si="37"/>
        <v>Патологическая анатомия</v>
      </c>
    </row>
    <row r="749" spans="1:13" customFormat="1" ht="30" hidden="1" customHeight="1" x14ac:dyDescent="0.25">
      <c r="A749" s="41" t="s">
        <v>2327</v>
      </c>
      <c r="B749" s="25" t="s">
        <v>1676</v>
      </c>
      <c r="C749" s="29" t="s">
        <v>664</v>
      </c>
      <c r="D749" s="29" t="s">
        <v>666</v>
      </c>
      <c r="E749" s="25" t="s">
        <v>3126</v>
      </c>
      <c r="F749" s="26" t="s">
        <v>180</v>
      </c>
      <c r="G749" s="27" t="s">
        <v>329</v>
      </c>
      <c r="H749" s="27" t="s">
        <v>329</v>
      </c>
      <c r="I749" s="27"/>
      <c r="J749" s="27" t="s">
        <v>561</v>
      </c>
      <c r="K749" s="106" t="str">
        <f t="shared" si="35"/>
        <v>О</v>
      </c>
      <c r="L749" s="106" t="str">
        <f t="shared" si="36"/>
        <v>Д</v>
      </c>
      <c r="M749" s="107" t="str">
        <f t="shared" si="37"/>
        <v>Радиология</v>
      </c>
    </row>
    <row r="750" spans="1:13" customFormat="1" ht="30" hidden="1" customHeight="1" x14ac:dyDescent="0.25">
      <c r="A750" s="41" t="s">
        <v>2328</v>
      </c>
      <c r="B750" s="25" t="s">
        <v>1677</v>
      </c>
      <c r="C750" s="29" t="s">
        <v>664</v>
      </c>
      <c r="D750" s="29" t="s">
        <v>666</v>
      </c>
      <c r="E750" s="25" t="s">
        <v>3126</v>
      </c>
      <c r="F750" s="26" t="s">
        <v>180</v>
      </c>
      <c r="G750" s="27" t="s">
        <v>330</v>
      </c>
      <c r="H750" s="27" t="s">
        <v>330</v>
      </c>
      <c r="I750" s="27"/>
      <c r="J750" s="27" t="s">
        <v>561</v>
      </c>
      <c r="K750" s="106" t="str">
        <f t="shared" si="35"/>
        <v>О</v>
      </c>
      <c r="L750" s="106" t="str">
        <f t="shared" si="36"/>
        <v>Д</v>
      </c>
      <c r="M750" s="107" t="str">
        <f t="shared" si="37"/>
        <v>Рентгенология</v>
      </c>
    </row>
    <row r="751" spans="1:13" customFormat="1" ht="30" hidden="1" customHeight="1" x14ac:dyDescent="0.25">
      <c r="A751" s="41" t="s">
        <v>2329</v>
      </c>
      <c r="B751" s="25" t="s">
        <v>1678</v>
      </c>
      <c r="C751" s="29" t="s">
        <v>664</v>
      </c>
      <c r="D751" s="29" t="s">
        <v>666</v>
      </c>
      <c r="E751" s="25" t="s">
        <v>3126</v>
      </c>
      <c r="F751" s="26" t="s">
        <v>180</v>
      </c>
      <c r="G751" s="27" t="s">
        <v>331</v>
      </c>
      <c r="H751" s="27" t="s">
        <v>331</v>
      </c>
      <c r="I751" s="27"/>
      <c r="J751" s="27" t="s">
        <v>561</v>
      </c>
      <c r="K751" s="106" t="str">
        <f t="shared" si="35"/>
        <v>О</v>
      </c>
      <c r="L751" s="106" t="str">
        <f t="shared" si="36"/>
        <v>Д</v>
      </c>
      <c r="M751" s="107" t="str">
        <f t="shared" si="37"/>
        <v>Судебно-медицинская экспертиза</v>
      </c>
    </row>
    <row r="752" spans="1:13" customFormat="1" ht="30" hidden="1" customHeight="1" x14ac:dyDescent="0.25">
      <c r="A752" s="41" t="s">
        <v>2330</v>
      </c>
      <c r="B752" s="25" t="s">
        <v>1679</v>
      </c>
      <c r="C752" s="29" t="s">
        <v>664</v>
      </c>
      <c r="D752" s="29" t="s">
        <v>666</v>
      </c>
      <c r="E752" s="25" t="s">
        <v>3126</v>
      </c>
      <c r="F752" s="26" t="s">
        <v>180</v>
      </c>
      <c r="G752" s="27" t="s">
        <v>332</v>
      </c>
      <c r="H752" s="27" t="s">
        <v>332</v>
      </c>
      <c r="I752" s="27"/>
      <c r="J752" s="27" t="s">
        <v>561</v>
      </c>
      <c r="K752" s="106" t="str">
        <f t="shared" si="35"/>
        <v>О</v>
      </c>
      <c r="L752" s="106" t="str">
        <f t="shared" si="36"/>
        <v>Д</v>
      </c>
      <c r="M752" s="107" t="str">
        <f t="shared" si="37"/>
        <v>Функциональная диагностика</v>
      </c>
    </row>
    <row r="753" spans="1:13" customFormat="1" ht="30" hidden="1" customHeight="1" x14ac:dyDescent="0.25">
      <c r="A753" s="41" t="s">
        <v>3070</v>
      </c>
      <c r="B753" s="25" t="s">
        <v>1722</v>
      </c>
      <c r="C753" s="29" t="s">
        <v>664</v>
      </c>
      <c r="D753" s="29" t="s">
        <v>666</v>
      </c>
      <c r="E753" s="25" t="s">
        <v>3126</v>
      </c>
      <c r="F753" s="26" t="s">
        <v>180</v>
      </c>
      <c r="G753" s="27" t="s">
        <v>572</v>
      </c>
      <c r="H753" s="27" t="s">
        <v>572</v>
      </c>
      <c r="I753" s="27"/>
      <c r="J753" s="27" t="s">
        <v>561</v>
      </c>
      <c r="K753" s="106" t="str">
        <f t="shared" si="35"/>
        <v>О</v>
      </c>
      <c r="L753" s="106" t="str">
        <f t="shared" si="36"/>
        <v>Д</v>
      </c>
      <c r="M753" s="107" t="str">
        <f t="shared" si="37"/>
        <v>Детская кардиология</v>
      </c>
    </row>
    <row r="754" spans="1:13" customFormat="1" ht="30" hidden="1" customHeight="1" x14ac:dyDescent="0.25">
      <c r="A754" s="41" t="s">
        <v>2331</v>
      </c>
      <c r="B754" s="25" t="s">
        <v>1680</v>
      </c>
      <c r="C754" s="29" t="s">
        <v>664</v>
      </c>
      <c r="D754" s="29" t="s">
        <v>666</v>
      </c>
      <c r="E754" s="25" t="s">
        <v>3126</v>
      </c>
      <c r="F754" s="26" t="s">
        <v>180</v>
      </c>
      <c r="G754" s="27" t="s">
        <v>333</v>
      </c>
      <c r="H754" s="27" t="s">
        <v>333</v>
      </c>
      <c r="I754" s="27"/>
      <c r="J754" s="27" t="s">
        <v>561</v>
      </c>
      <c r="K754" s="106" t="str">
        <f t="shared" si="35"/>
        <v>О</v>
      </c>
      <c r="L754" s="106" t="str">
        <f t="shared" si="36"/>
        <v>Д</v>
      </c>
      <c r="M754" s="107" t="str">
        <f t="shared" si="37"/>
        <v>Детская хирургия</v>
      </c>
    </row>
    <row r="755" spans="1:13" customFormat="1" ht="30" hidden="1" customHeight="1" x14ac:dyDescent="0.25">
      <c r="A755" s="41" t="s">
        <v>2332</v>
      </c>
      <c r="B755" s="25" t="s">
        <v>1681</v>
      </c>
      <c r="C755" s="29" t="s">
        <v>664</v>
      </c>
      <c r="D755" s="29" t="s">
        <v>666</v>
      </c>
      <c r="E755" s="25" t="s">
        <v>3126</v>
      </c>
      <c r="F755" s="26" t="s">
        <v>180</v>
      </c>
      <c r="G755" s="27" t="s">
        <v>334</v>
      </c>
      <c r="H755" s="27" t="s">
        <v>334</v>
      </c>
      <c r="I755" s="27"/>
      <c r="J755" s="27" t="s">
        <v>561</v>
      </c>
      <c r="K755" s="106" t="str">
        <f t="shared" si="35"/>
        <v>О</v>
      </c>
      <c r="L755" s="106" t="str">
        <f t="shared" si="36"/>
        <v>Д</v>
      </c>
      <c r="M755" s="107" t="str">
        <f t="shared" si="37"/>
        <v>Педиатрия</v>
      </c>
    </row>
    <row r="756" spans="1:13" customFormat="1" ht="30" hidden="1" customHeight="1" x14ac:dyDescent="0.25">
      <c r="A756" s="41" t="s">
        <v>2333</v>
      </c>
      <c r="B756" s="25" t="s">
        <v>1682</v>
      </c>
      <c r="C756" s="29" t="s">
        <v>664</v>
      </c>
      <c r="D756" s="29" t="s">
        <v>666</v>
      </c>
      <c r="E756" s="25" t="s">
        <v>3126</v>
      </c>
      <c r="F756" s="26" t="s">
        <v>180</v>
      </c>
      <c r="G756" s="27" t="s">
        <v>335</v>
      </c>
      <c r="H756" s="27" t="s">
        <v>335</v>
      </c>
      <c r="I756" s="27"/>
      <c r="J756" s="27" t="s">
        <v>561</v>
      </c>
      <c r="K756" s="106" t="str">
        <f t="shared" si="35"/>
        <v>О</v>
      </c>
      <c r="L756" s="106" t="str">
        <f t="shared" si="36"/>
        <v>Д</v>
      </c>
      <c r="M756" s="107" t="str">
        <f t="shared" si="37"/>
        <v>Психиатрия</v>
      </c>
    </row>
    <row r="757" spans="1:13" customFormat="1" ht="30" hidden="1" customHeight="1" x14ac:dyDescent="0.25">
      <c r="A757" s="41" t="s">
        <v>3071</v>
      </c>
      <c r="B757" s="25" t="s">
        <v>1723</v>
      </c>
      <c r="C757" s="29" t="s">
        <v>664</v>
      </c>
      <c r="D757" s="29" t="s">
        <v>666</v>
      </c>
      <c r="E757" s="25" t="s">
        <v>3126</v>
      </c>
      <c r="F757" s="26" t="s">
        <v>180</v>
      </c>
      <c r="G757" s="27" t="s">
        <v>336</v>
      </c>
      <c r="H757" s="27" t="s">
        <v>336</v>
      </c>
      <c r="I757" s="27"/>
      <c r="J757" s="27" t="s">
        <v>561</v>
      </c>
      <c r="K757" s="106" t="str">
        <f t="shared" si="35"/>
        <v>О</v>
      </c>
      <c r="L757" s="106" t="str">
        <f t="shared" si="36"/>
        <v>Д</v>
      </c>
      <c r="M757" s="107" t="str">
        <f t="shared" si="37"/>
        <v>Психотерапия</v>
      </c>
    </row>
    <row r="758" spans="1:13" customFormat="1" ht="30" hidden="1" customHeight="1" x14ac:dyDescent="0.25">
      <c r="A758" s="41" t="s">
        <v>2334</v>
      </c>
      <c r="B758" s="25" t="s">
        <v>1683</v>
      </c>
      <c r="C758" s="29" t="s">
        <v>664</v>
      </c>
      <c r="D758" s="29" t="s">
        <v>666</v>
      </c>
      <c r="E758" s="25" t="s">
        <v>3126</v>
      </c>
      <c r="F758" s="26" t="s">
        <v>180</v>
      </c>
      <c r="G758" s="27" t="s">
        <v>571</v>
      </c>
      <c r="H758" s="27" t="s">
        <v>571</v>
      </c>
      <c r="I758" s="27"/>
      <c r="J758" s="27" t="s">
        <v>561</v>
      </c>
      <c r="K758" s="106" t="str">
        <f t="shared" si="35"/>
        <v>О</v>
      </c>
      <c r="L758" s="106" t="str">
        <f t="shared" si="36"/>
        <v>Д</v>
      </c>
      <c r="M758" s="107" t="str">
        <f t="shared" si="37"/>
        <v>Аллергология и иммунология</v>
      </c>
    </row>
    <row r="759" spans="1:13" customFormat="1" ht="30" hidden="1" customHeight="1" x14ac:dyDescent="0.25">
      <c r="A759" s="41" t="s">
        <v>2335</v>
      </c>
      <c r="B759" s="25" t="s">
        <v>1684</v>
      </c>
      <c r="C759" s="29" t="s">
        <v>664</v>
      </c>
      <c r="D759" s="29" t="s">
        <v>666</v>
      </c>
      <c r="E759" s="25" t="s">
        <v>3126</v>
      </c>
      <c r="F759" s="26" t="s">
        <v>180</v>
      </c>
      <c r="G759" s="27" t="s">
        <v>337</v>
      </c>
      <c r="H759" s="27" t="s">
        <v>337</v>
      </c>
      <c r="I759" s="27"/>
      <c r="J759" s="27" t="s">
        <v>561</v>
      </c>
      <c r="K759" s="106" t="str">
        <f t="shared" si="35"/>
        <v>О</v>
      </c>
      <c r="L759" s="106" t="str">
        <f t="shared" si="36"/>
        <v>Д</v>
      </c>
      <c r="M759" s="107" t="str">
        <f t="shared" si="37"/>
        <v>Гастроэнтерология</v>
      </c>
    </row>
    <row r="760" spans="1:13" customFormat="1" ht="30" hidden="1" customHeight="1" x14ac:dyDescent="0.25">
      <c r="A760" s="41" t="s">
        <v>2336</v>
      </c>
      <c r="B760" s="25" t="s">
        <v>1685</v>
      </c>
      <c r="C760" s="29" t="s">
        <v>664</v>
      </c>
      <c r="D760" s="29" t="s">
        <v>666</v>
      </c>
      <c r="E760" s="25" t="s">
        <v>3126</v>
      </c>
      <c r="F760" s="26" t="s">
        <v>180</v>
      </c>
      <c r="G760" s="27" t="s">
        <v>338</v>
      </c>
      <c r="H760" s="27" t="s">
        <v>338</v>
      </c>
      <c r="I760" s="27"/>
      <c r="J760" s="27" t="s">
        <v>561</v>
      </c>
      <c r="K760" s="106" t="str">
        <f t="shared" si="35"/>
        <v>О</v>
      </c>
      <c r="L760" s="106" t="str">
        <f t="shared" si="36"/>
        <v>Д</v>
      </c>
      <c r="M760" s="107" t="str">
        <f t="shared" si="37"/>
        <v>Гематология</v>
      </c>
    </row>
    <row r="761" spans="1:13" customFormat="1" ht="30" hidden="1" customHeight="1" x14ac:dyDescent="0.25">
      <c r="A761" s="41" t="s">
        <v>2337</v>
      </c>
      <c r="B761" s="25" t="s">
        <v>1686</v>
      </c>
      <c r="C761" s="29" t="s">
        <v>664</v>
      </c>
      <c r="D761" s="29" t="s">
        <v>666</v>
      </c>
      <c r="E761" s="25" t="s">
        <v>3126</v>
      </c>
      <c r="F761" s="26" t="s">
        <v>180</v>
      </c>
      <c r="G761" s="27" t="s">
        <v>339</v>
      </c>
      <c r="H761" s="27" t="s">
        <v>339</v>
      </c>
      <c r="I761" s="27"/>
      <c r="J761" s="27" t="s">
        <v>561</v>
      </c>
      <c r="K761" s="106" t="str">
        <f t="shared" si="35"/>
        <v>О</v>
      </c>
      <c r="L761" s="106" t="str">
        <f t="shared" si="36"/>
        <v>Д</v>
      </c>
      <c r="M761" s="107" t="str">
        <f t="shared" si="37"/>
        <v>Дерматовенерология</v>
      </c>
    </row>
    <row r="762" spans="1:13" customFormat="1" ht="30" hidden="1" customHeight="1" x14ac:dyDescent="0.25">
      <c r="A762" s="41" t="s">
        <v>2338</v>
      </c>
      <c r="B762" s="25" t="s">
        <v>1687</v>
      </c>
      <c r="C762" s="29" t="s">
        <v>664</v>
      </c>
      <c r="D762" s="29" t="s">
        <v>666</v>
      </c>
      <c r="E762" s="25" t="s">
        <v>3126</v>
      </c>
      <c r="F762" s="26" t="s">
        <v>180</v>
      </c>
      <c r="G762" s="27" t="s">
        <v>340</v>
      </c>
      <c r="H762" s="27" t="s">
        <v>340</v>
      </c>
      <c r="I762" s="27"/>
      <c r="J762" s="27" t="s">
        <v>561</v>
      </c>
      <c r="K762" s="106" t="str">
        <f t="shared" si="35"/>
        <v>О</v>
      </c>
      <c r="L762" s="106" t="str">
        <f t="shared" si="36"/>
        <v>Д</v>
      </c>
      <c r="M762" s="107" t="str">
        <f t="shared" si="37"/>
        <v>Инфекционные болезни</v>
      </c>
    </row>
    <row r="763" spans="1:13" customFormat="1" ht="30" hidden="1" customHeight="1" x14ac:dyDescent="0.25">
      <c r="A763" s="41" t="s">
        <v>2339</v>
      </c>
      <c r="B763" s="25" t="s">
        <v>1688</v>
      </c>
      <c r="C763" s="29" t="s">
        <v>664</v>
      </c>
      <c r="D763" s="29" t="s">
        <v>666</v>
      </c>
      <c r="E763" s="25" t="s">
        <v>3126</v>
      </c>
      <c r="F763" s="26" t="s">
        <v>180</v>
      </c>
      <c r="G763" s="27" t="s">
        <v>341</v>
      </c>
      <c r="H763" s="27" t="s">
        <v>341</v>
      </c>
      <c r="I763" s="27"/>
      <c r="J763" s="27" t="s">
        <v>561</v>
      </c>
      <c r="K763" s="106" t="str">
        <f t="shared" si="35"/>
        <v>О</v>
      </c>
      <c r="L763" s="106" t="str">
        <f t="shared" si="36"/>
        <v>Д</v>
      </c>
      <c r="M763" s="107" t="str">
        <f t="shared" si="37"/>
        <v>Кардиология</v>
      </c>
    </row>
    <row r="764" spans="1:13" customFormat="1" ht="30" hidden="1" customHeight="1" x14ac:dyDescent="0.25">
      <c r="A764" s="41" t="s">
        <v>2340</v>
      </c>
      <c r="B764" s="25" t="s">
        <v>1689</v>
      </c>
      <c r="C764" s="29" t="s">
        <v>664</v>
      </c>
      <c r="D764" s="29" t="s">
        <v>666</v>
      </c>
      <c r="E764" s="25" t="s">
        <v>3126</v>
      </c>
      <c r="F764" s="26" t="s">
        <v>180</v>
      </c>
      <c r="G764" s="27" t="s">
        <v>342</v>
      </c>
      <c r="H764" s="27" t="s">
        <v>342</v>
      </c>
      <c r="I764" s="27"/>
      <c r="J764" s="27" t="s">
        <v>561</v>
      </c>
      <c r="K764" s="106" t="str">
        <f t="shared" si="35"/>
        <v>О</v>
      </c>
      <c r="L764" s="106" t="str">
        <f t="shared" si="36"/>
        <v>Д</v>
      </c>
      <c r="M764" s="107" t="str">
        <f t="shared" si="37"/>
        <v>Клиническая фармакология</v>
      </c>
    </row>
    <row r="765" spans="1:13" customFormat="1" ht="30" hidden="1" customHeight="1" x14ac:dyDescent="0.25">
      <c r="A765" s="41" t="s">
        <v>2341</v>
      </c>
      <c r="B765" s="25" t="s">
        <v>1690</v>
      </c>
      <c r="C765" s="29" t="s">
        <v>664</v>
      </c>
      <c r="D765" s="29" t="s">
        <v>666</v>
      </c>
      <c r="E765" s="25" t="s">
        <v>3126</v>
      </c>
      <c r="F765" s="26" t="s">
        <v>180</v>
      </c>
      <c r="G765" s="27" t="s">
        <v>343</v>
      </c>
      <c r="H765" s="27" t="s">
        <v>343</v>
      </c>
      <c r="I765" s="27"/>
      <c r="J765" s="27" t="s">
        <v>561</v>
      </c>
      <c r="K765" s="106" t="str">
        <f t="shared" si="35"/>
        <v>О</v>
      </c>
      <c r="L765" s="106" t="str">
        <f t="shared" si="36"/>
        <v>Д</v>
      </c>
      <c r="M765" s="107" t="str">
        <f t="shared" si="37"/>
        <v>Лечебная физкультура и спортивная медицина</v>
      </c>
    </row>
    <row r="766" spans="1:13" customFormat="1" ht="30" hidden="1" customHeight="1" x14ac:dyDescent="0.25">
      <c r="A766" s="41" t="s">
        <v>2342</v>
      </c>
      <c r="B766" s="25" t="s">
        <v>1691</v>
      </c>
      <c r="C766" s="29" t="s">
        <v>664</v>
      </c>
      <c r="D766" s="29" t="s">
        <v>666</v>
      </c>
      <c r="E766" s="25" t="s">
        <v>3126</v>
      </c>
      <c r="F766" s="26" t="s">
        <v>180</v>
      </c>
      <c r="G766" s="27" t="s">
        <v>575</v>
      </c>
      <c r="H766" s="27" t="s">
        <v>575</v>
      </c>
      <c r="I766" s="27"/>
      <c r="J766" s="27" t="s">
        <v>561</v>
      </c>
      <c r="K766" s="106" t="str">
        <f t="shared" si="35"/>
        <v>О</v>
      </c>
      <c r="L766" s="106" t="str">
        <f t="shared" si="36"/>
        <v>Д</v>
      </c>
      <c r="M766" s="107" t="str">
        <f t="shared" si="37"/>
        <v>Неврология</v>
      </c>
    </row>
    <row r="767" spans="1:13" customFormat="1" ht="30" hidden="1" customHeight="1" x14ac:dyDescent="0.25">
      <c r="A767" s="41" t="s">
        <v>2343</v>
      </c>
      <c r="B767" s="25" t="s">
        <v>1692</v>
      </c>
      <c r="C767" s="29" t="s">
        <v>664</v>
      </c>
      <c r="D767" s="29" t="s">
        <v>666</v>
      </c>
      <c r="E767" s="25" t="s">
        <v>3126</v>
      </c>
      <c r="F767" s="26" t="s">
        <v>180</v>
      </c>
      <c r="G767" s="27" t="s">
        <v>344</v>
      </c>
      <c r="H767" s="27" t="s">
        <v>344</v>
      </c>
      <c r="I767" s="27"/>
      <c r="J767" s="27" t="s">
        <v>561</v>
      </c>
      <c r="K767" s="106" t="str">
        <f t="shared" si="35"/>
        <v>О</v>
      </c>
      <c r="L767" s="106" t="str">
        <f t="shared" si="36"/>
        <v>Д</v>
      </c>
      <c r="M767" s="107" t="str">
        <f t="shared" si="37"/>
        <v>Нефрология</v>
      </c>
    </row>
    <row r="768" spans="1:13" customFormat="1" ht="30" hidden="1" customHeight="1" x14ac:dyDescent="0.25">
      <c r="A768" s="41" t="s">
        <v>2344</v>
      </c>
      <c r="B768" s="25" t="s">
        <v>1693</v>
      </c>
      <c r="C768" s="29" t="s">
        <v>664</v>
      </c>
      <c r="D768" s="29" t="s">
        <v>666</v>
      </c>
      <c r="E768" s="25" t="s">
        <v>3126</v>
      </c>
      <c r="F768" s="26" t="s">
        <v>180</v>
      </c>
      <c r="G768" s="27" t="s">
        <v>345</v>
      </c>
      <c r="H768" s="27" t="s">
        <v>345</v>
      </c>
      <c r="I768" s="27"/>
      <c r="J768" s="27" t="s">
        <v>561</v>
      </c>
      <c r="K768" s="106" t="str">
        <f t="shared" si="35"/>
        <v>О</v>
      </c>
      <c r="L768" s="106" t="str">
        <f t="shared" si="36"/>
        <v>Д</v>
      </c>
      <c r="M768" s="107" t="str">
        <f t="shared" si="37"/>
        <v>Пульмонология</v>
      </c>
    </row>
    <row r="769" spans="1:13" customFormat="1" ht="30" hidden="1" customHeight="1" x14ac:dyDescent="0.25">
      <c r="A769" s="41" t="s">
        <v>2345</v>
      </c>
      <c r="B769" s="25" t="s">
        <v>1694</v>
      </c>
      <c r="C769" s="29" t="s">
        <v>664</v>
      </c>
      <c r="D769" s="29" t="s">
        <v>666</v>
      </c>
      <c r="E769" s="25" t="s">
        <v>3126</v>
      </c>
      <c r="F769" s="26" t="s">
        <v>180</v>
      </c>
      <c r="G769" s="27" t="s">
        <v>346</v>
      </c>
      <c r="H769" s="27" t="s">
        <v>346</v>
      </c>
      <c r="I769" s="27"/>
      <c r="J769" s="27" t="s">
        <v>561</v>
      </c>
      <c r="K769" s="106" t="str">
        <f t="shared" si="35"/>
        <v>О</v>
      </c>
      <c r="L769" s="106" t="str">
        <f t="shared" si="36"/>
        <v>Д</v>
      </c>
      <c r="M769" s="107" t="str">
        <f t="shared" si="37"/>
        <v>Ревматология</v>
      </c>
    </row>
    <row r="770" spans="1:13" customFormat="1" ht="30" hidden="1" customHeight="1" x14ac:dyDescent="0.25">
      <c r="A770" s="41" t="s">
        <v>2346</v>
      </c>
      <c r="B770" s="25" t="s">
        <v>1695</v>
      </c>
      <c r="C770" s="29" t="s">
        <v>664</v>
      </c>
      <c r="D770" s="29" t="s">
        <v>666</v>
      </c>
      <c r="E770" s="25" t="s">
        <v>3126</v>
      </c>
      <c r="F770" s="26" t="s">
        <v>180</v>
      </c>
      <c r="G770" s="27" t="s">
        <v>347</v>
      </c>
      <c r="H770" s="27" t="s">
        <v>347</v>
      </c>
      <c r="I770" s="27"/>
      <c r="J770" s="27" t="s">
        <v>561</v>
      </c>
      <c r="K770" s="106" t="str">
        <f t="shared" si="35"/>
        <v>О</v>
      </c>
      <c r="L770" s="106" t="str">
        <f t="shared" si="36"/>
        <v>Д</v>
      </c>
      <c r="M770" s="107" t="str">
        <f t="shared" si="37"/>
        <v>Рефлексотерапия</v>
      </c>
    </row>
    <row r="771" spans="1:13" customFormat="1" ht="30" hidden="1" customHeight="1" x14ac:dyDescent="0.25">
      <c r="A771" s="41" t="s">
        <v>2347</v>
      </c>
      <c r="B771" s="25" t="s">
        <v>1696</v>
      </c>
      <c r="C771" s="29" t="s">
        <v>664</v>
      </c>
      <c r="D771" s="29" t="s">
        <v>666</v>
      </c>
      <c r="E771" s="25" t="s">
        <v>3126</v>
      </c>
      <c r="F771" s="26" t="s">
        <v>180</v>
      </c>
      <c r="G771" s="27" t="s">
        <v>579</v>
      </c>
      <c r="H771" s="27" t="s">
        <v>579</v>
      </c>
      <c r="I771" s="27"/>
      <c r="J771" s="27" t="s">
        <v>561</v>
      </c>
      <c r="K771" s="106" t="str">
        <f t="shared" si="35"/>
        <v>О</v>
      </c>
      <c r="L771" s="106" t="str">
        <f t="shared" si="36"/>
        <v>Д</v>
      </c>
      <c r="M771" s="107" t="str">
        <f t="shared" si="37"/>
        <v>Терапия</v>
      </c>
    </row>
    <row r="772" spans="1:13" customFormat="1" ht="30" hidden="1" customHeight="1" x14ac:dyDescent="0.25">
      <c r="A772" s="41" t="s">
        <v>2348</v>
      </c>
      <c r="B772" s="25" t="s">
        <v>1697</v>
      </c>
      <c r="C772" s="29" t="s">
        <v>664</v>
      </c>
      <c r="D772" s="29" t="s">
        <v>666</v>
      </c>
      <c r="E772" s="25" t="s">
        <v>3126</v>
      </c>
      <c r="F772" s="26" t="s">
        <v>180</v>
      </c>
      <c r="G772" s="27" t="s">
        <v>348</v>
      </c>
      <c r="H772" s="27" t="s">
        <v>348</v>
      </c>
      <c r="I772" s="27"/>
      <c r="J772" s="27" t="s">
        <v>561</v>
      </c>
      <c r="K772" s="106" t="str">
        <f t="shared" ref="K772:K835" si="38">LEFT(F772, 1)</f>
        <v>О</v>
      </c>
      <c r="L772" s="106" t="str">
        <f t="shared" ref="L772:L835" si="39">IF(C772="очная","Д",IF(C772="Очно-заочная","В",IF(C772="Заочная","З","-")))</f>
        <v>Д</v>
      </c>
      <c r="M772" s="107" t="str">
        <f t="shared" ref="M772:M835" si="40">CONCATENATE(H772,IF(D772="Русский","",CONCATENATE(" (",D772," язык)")),IF(I772&gt;0,CONCATENATE(" (Вуз-партнёр - ",I772,")"),""))</f>
        <v>Физиотерапия</v>
      </c>
    </row>
    <row r="773" spans="1:13" customFormat="1" ht="30" hidden="1" customHeight="1" x14ac:dyDescent="0.25">
      <c r="A773" s="41" t="s">
        <v>2349</v>
      </c>
      <c r="B773" s="25" t="s">
        <v>1698</v>
      </c>
      <c r="C773" s="29" t="s">
        <v>664</v>
      </c>
      <c r="D773" s="29" t="s">
        <v>666</v>
      </c>
      <c r="E773" s="25" t="s">
        <v>3126</v>
      </c>
      <c r="F773" s="26" t="s">
        <v>180</v>
      </c>
      <c r="G773" s="27" t="s">
        <v>349</v>
      </c>
      <c r="H773" s="27" t="s">
        <v>349</v>
      </c>
      <c r="I773" s="27"/>
      <c r="J773" s="27" t="s">
        <v>561</v>
      </c>
      <c r="K773" s="106" t="str">
        <f t="shared" si="38"/>
        <v>О</v>
      </c>
      <c r="L773" s="106" t="str">
        <f t="shared" si="39"/>
        <v>Д</v>
      </c>
      <c r="M773" s="107" t="str">
        <f t="shared" si="40"/>
        <v>Фтизиатрия</v>
      </c>
    </row>
    <row r="774" spans="1:13" customFormat="1" ht="30" hidden="1" customHeight="1" x14ac:dyDescent="0.25">
      <c r="A774" s="41" t="s">
        <v>2350</v>
      </c>
      <c r="B774" s="25" t="s">
        <v>1699</v>
      </c>
      <c r="C774" s="29" t="s">
        <v>664</v>
      </c>
      <c r="D774" s="29" t="s">
        <v>666</v>
      </c>
      <c r="E774" s="25" t="s">
        <v>3126</v>
      </c>
      <c r="F774" s="26" t="s">
        <v>180</v>
      </c>
      <c r="G774" s="27" t="s">
        <v>580</v>
      </c>
      <c r="H774" s="27" t="s">
        <v>580</v>
      </c>
      <c r="I774" s="27"/>
      <c r="J774" s="27" t="s">
        <v>561</v>
      </c>
      <c r="K774" s="106" t="str">
        <f t="shared" si="38"/>
        <v>О</v>
      </c>
      <c r="L774" s="106" t="str">
        <f t="shared" si="39"/>
        <v>Д</v>
      </c>
      <c r="M774" s="107" t="str">
        <f t="shared" si="40"/>
        <v>Эндокринология</v>
      </c>
    </row>
    <row r="775" spans="1:13" customFormat="1" ht="30" hidden="1" customHeight="1" x14ac:dyDescent="0.25">
      <c r="A775" s="41" t="s">
        <v>2351</v>
      </c>
      <c r="B775" s="25" t="s">
        <v>1700</v>
      </c>
      <c r="C775" s="29" t="s">
        <v>664</v>
      </c>
      <c r="D775" s="29" t="s">
        <v>666</v>
      </c>
      <c r="E775" s="25" t="s">
        <v>3126</v>
      </c>
      <c r="F775" s="26" t="s">
        <v>180</v>
      </c>
      <c r="G775" s="27" t="s">
        <v>350</v>
      </c>
      <c r="H775" s="27" t="s">
        <v>350</v>
      </c>
      <c r="I775" s="27"/>
      <c r="J775" s="27" t="s">
        <v>561</v>
      </c>
      <c r="K775" s="106" t="str">
        <f t="shared" si="38"/>
        <v>О</v>
      </c>
      <c r="L775" s="106" t="str">
        <f t="shared" si="39"/>
        <v>Д</v>
      </c>
      <c r="M775" s="107" t="str">
        <f t="shared" si="40"/>
        <v>Общая врачебная практика (семейная медицина)</v>
      </c>
    </row>
    <row r="776" spans="1:13" customFormat="1" ht="30" hidden="1" customHeight="1" x14ac:dyDescent="0.25">
      <c r="A776" s="41" t="s">
        <v>2352</v>
      </c>
      <c r="B776" s="25" t="s">
        <v>1701</v>
      </c>
      <c r="C776" s="29" t="s">
        <v>664</v>
      </c>
      <c r="D776" s="29" t="s">
        <v>666</v>
      </c>
      <c r="E776" s="25" t="s">
        <v>3126</v>
      </c>
      <c r="F776" s="26" t="s">
        <v>180</v>
      </c>
      <c r="G776" s="27" t="s">
        <v>351</v>
      </c>
      <c r="H776" s="27" t="s">
        <v>351</v>
      </c>
      <c r="I776" s="27"/>
      <c r="J776" s="27" t="s">
        <v>561</v>
      </c>
      <c r="K776" s="106" t="str">
        <f t="shared" si="38"/>
        <v>О</v>
      </c>
      <c r="L776" s="106" t="str">
        <f t="shared" si="39"/>
        <v>Д</v>
      </c>
      <c r="M776" s="107" t="str">
        <f t="shared" si="40"/>
        <v>Нейрохирургия</v>
      </c>
    </row>
    <row r="777" spans="1:13" customFormat="1" ht="30" hidden="1" customHeight="1" x14ac:dyDescent="0.25">
      <c r="A777" s="41" t="s">
        <v>2353</v>
      </c>
      <c r="B777" s="25" t="s">
        <v>1702</v>
      </c>
      <c r="C777" s="29" t="s">
        <v>664</v>
      </c>
      <c r="D777" s="29" t="s">
        <v>666</v>
      </c>
      <c r="E777" s="25" t="s">
        <v>3126</v>
      </c>
      <c r="F777" s="26" t="s">
        <v>180</v>
      </c>
      <c r="G777" s="27" t="s">
        <v>352</v>
      </c>
      <c r="H777" s="27" t="s">
        <v>352</v>
      </c>
      <c r="I777" s="27"/>
      <c r="J777" s="27" t="s">
        <v>561</v>
      </c>
      <c r="K777" s="106" t="str">
        <f t="shared" si="38"/>
        <v>О</v>
      </c>
      <c r="L777" s="106" t="str">
        <f t="shared" si="39"/>
        <v>Д</v>
      </c>
      <c r="M777" s="107" t="str">
        <f t="shared" si="40"/>
        <v>Онкология</v>
      </c>
    </row>
    <row r="778" spans="1:13" customFormat="1" ht="30" hidden="1" customHeight="1" x14ac:dyDescent="0.25">
      <c r="A778" s="41" t="s">
        <v>2354</v>
      </c>
      <c r="B778" s="25" t="s">
        <v>1703</v>
      </c>
      <c r="C778" s="29" t="s">
        <v>664</v>
      </c>
      <c r="D778" s="29" t="s">
        <v>666</v>
      </c>
      <c r="E778" s="25" t="s">
        <v>3126</v>
      </c>
      <c r="F778" s="26" t="s">
        <v>180</v>
      </c>
      <c r="G778" s="27" t="s">
        <v>353</v>
      </c>
      <c r="H778" s="27" t="s">
        <v>353</v>
      </c>
      <c r="I778" s="27"/>
      <c r="J778" s="27" t="s">
        <v>561</v>
      </c>
      <c r="K778" s="106" t="str">
        <f t="shared" si="38"/>
        <v>О</v>
      </c>
      <c r="L778" s="106" t="str">
        <f t="shared" si="39"/>
        <v>Д</v>
      </c>
      <c r="M778" s="107" t="str">
        <f t="shared" si="40"/>
        <v>Оториноларингология</v>
      </c>
    </row>
    <row r="779" spans="1:13" customFormat="1" ht="30" hidden="1" customHeight="1" x14ac:dyDescent="0.25">
      <c r="A779" s="41" t="s">
        <v>2355</v>
      </c>
      <c r="B779" s="25" t="s">
        <v>1704</v>
      </c>
      <c r="C779" s="29" t="s">
        <v>664</v>
      </c>
      <c r="D779" s="29" t="s">
        <v>666</v>
      </c>
      <c r="E779" s="25" t="s">
        <v>3126</v>
      </c>
      <c r="F779" s="26" t="s">
        <v>180</v>
      </c>
      <c r="G779" s="27" t="s">
        <v>354</v>
      </c>
      <c r="H779" s="27" t="s">
        <v>354</v>
      </c>
      <c r="I779" s="27"/>
      <c r="J779" s="27" t="s">
        <v>561</v>
      </c>
      <c r="K779" s="106" t="str">
        <f t="shared" si="38"/>
        <v>О</v>
      </c>
      <c r="L779" s="106" t="str">
        <f t="shared" si="39"/>
        <v>Д</v>
      </c>
      <c r="M779" s="107" t="str">
        <f t="shared" si="40"/>
        <v>Офтальмология</v>
      </c>
    </row>
    <row r="780" spans="1:13" customFormat="1" ht="30" hidden="1" customHeight="1" x14ac:dyDescent="0.25">
      <c r="A780" s="41" t="s">
        <v>3072</v>
      </c>
      <c r="B780" s="25" t="s">
        <v>1724</v>
      </c>
      <c r="C780" s="29" t="s">
        <v>664</v>
      </c>
      <c r="D780" s="29" t="s">
        <v>666</v>
      </c>
      <c r="E780" s="25" t="s">
        <v>3123</v>
      </c>
      <c r="F780" s="26" t="s">
        <v>180</v>
      </c>
      <c r="G780" s="27" t="s">
        <v>573</v>
      </c>
      <c r="H780" s="27" t="s">
        <v>573</v>
      </c>
      <c r="I780" s="27"/>
      <c r="J780" s="27" t="s">
        <v>561</v>
      </c>
      <c r="K780" s="106" t="str">
        <f t="shared" si="38"/>
        <v>О</v>
      </c>
      <c r="L780" s="106" t="str">
        <f t="shared" si="39"/>
        <v>Д</v>
      </c>
      <c r="M780" s="107" t="str">
        <f t="shared" si="40"/>
        <v>Пластическая хирургия</v>
      </c>
    </row>
    <row r="781" spans="1:13" customFormat="1" ht="30" hidden="1" customHeight="1" x14ac:dyDescent="0.25">
      <c r="A781" s="41" t="s">
        <v>2369</v>
      </c>
      <c r="B781" s="25" t="s">
        <v>1705</v>
      </c>
      <c r="C781" s="29" t="s">
        <v>664</v>
      </c>
      <c r="D781" s="29" t="s">
        <v>666</v>
      </c>
      <c r="E781" s="25" t="s">
        <v>3126</v>
      </c>
      <c r="F781" s="26" t="s">
        <v>180</v>
      </c>
      <c r="G781" s="27" t="s">
        <v>576</v>
      </c>
      <c r="H781" s="27" t="s">
        <v>576</v>
      </c>
      <c r="I781" s="27"/>
      <c r="J781" s="27" t="s">
        <v>561</v>
      </c>
      <c r="K781" s="106" t="str">
        <f t="shared" si="38"/>
        <v>О</v>
      </c>
      <c r="L781" s="106" t="str">
        <f t="shared" si="39"/>
        <v>Д</v>
      </c>
      <c r="M781" s="107" t="str">
        <f t="shared" si="40"/>
        <v>Радиотерапия</v>
      </c>
    </row>
    <row r="782" spans="1:13" customFormat="1" ht="30" hidden="1" customHeight="1" x14ac:dyDescent="0.25">
      <c r="A782" s="41" t="s">
        <v>2356</v>
      </c>
      <c r="B782" s="25" t="s">
        <v>1706</v>
      </c>
      <c r="C782" s="29" t="s">
        <v>664</v>
      </c>
      <c r="D782" s="29" t="s">
        <v>666</v>
      </c>
      <c r="E782" s="25" t="s">
        <v>3126</v>
      </c>
      <c r="F782" s="26" t="s">
        <v>180</v>
      </c>
      <c r="G782" s="27" t="s">
        <v>577</v>
      </c>
      <c r="H782" s="27" t="s">
        <v>577</v>
      </c>
      <c r="I782" s="27"/>
      <c r="J782" s="27" t="s">
        <v>561</v>
      </c>
      <c r="K782" s="106" t="str">
        <f t="shared" si="38"/>
        <v>О</v>
      </c>
      <c r="L782" s="106" t="str">
        <f t="shared" si="39"/>
        <v>Д</v>
      </c>
      <c r="M782" s="107" t="str">
        <f t="shared" si="40"/>
        <v>Рентгенэндоваскулярные диагностика и лечение</v>
      </c>
    </row>
    <row r="783" spans="1:13" customFormat="1" ht="30" hidden="1" customHeight="1" x14ac:dyDescent="0.25">
      <c r="A783" s="41" t="s">
        <v>2370</v>
      </c>
      <c r="B783" s="25" t="s">
        <v>1707</v>
      </c>
      <c r="C783" s="29" t="s">
        <v>664</v>
      </c>
      <c r="D783" s="29" t="s">
        <v>666</v>
      </c>
      <c r="E783" s="25" t="s">
        <v>3128</v>
      </c>
      <c r="F783" s="26" t="s">
        <v>180</v>
      </c>
      <c r="G783" s="27" t="s">
        <v>323</v>
      </c>
      <c r="H783" s="27" t="s">
        <v>323</v>
      </c>
      <c r="I783" s="27"/>
      <c r="J783" s="27" t="s">
        <v>561</v>
      </c>
      <c r="K783" s="106" t="str">
        <f t="shared" si="38"/>
        <v>О</v>
      </c>
      <c r="L783" s="106" t="str">
        <f t="shared" si="39"/>
        <v>Д</v>
      </c>
      <c r="M783" s="107" t="str">
        <f t="shared" si="40"/>
        <v>Сердечно-сосудистая хирургия</v>
      </c>
    </row>
    <row r="784" spans="1:13" customFormat="1" ht="30" hidden="1" customHeight="1" x14ac:dyDescent="0.25">
      <c r="A784" s="41" t="s">
        <v>2357</v>
      </c>
      <c r="B784" s="25" t="s">
        <v>1708</v>
      </c>
      <c r="C784" s="29" t="s">
        <v>664</v>
      </c>
      <c r="D784" s="29" t="s">
        <v>666</v>
      </c>
      <c r="E784" s="25" t="s">
        <v>3126</v>
      </c>
      <c r="F784" s="26" t="s">
        <v>180</v>
      </c>
      <c r="G784" s="27" t="s">
        <v>322</v>
      </c>
      <c r="H784" s="27" t="s">
        <v>322</v>
      </c>
      <c r="I784" s="27"/>
      <c r="J784" s="27" t="s">
        <v>561</v>
      </c>
      <c r="K784" s="106" t="str">
        <f t="shared" si="38"/>
        <v>О</v>
      </c>
      <c r="L784" s="106" t="str">
        <f t="shared" si="39"/>
        <v>Д</v>
      </c>
      <c r="M784" s="107" t="str">
        <f t="shared" si="40"/>
        <v>Травматология и ортопедия</v>
      </c>
    </row>
    <row r="785" spans="1:13" customFormat="1" ht="30" hidden="1" customHeight="1" x14ac:dyDescent="0.25">
      <c r="A785" s="41" t="s">
        <v>2358</v>
      </c>
      <c r="B785" s="25" t="s">
        <v>1709</v>
      </c>
      <c r="C785" s="29" t="s">
        <v>664</v>
      </c>
      <c r="D785" s="29" t="s">
        <v>666</v>
      </c>
      <c r="E785" s="25" t="s">
        <v>3126</v>
      </c>
      <c r="F785" s="26" t="s">
        <v>180</v>
      </c>
      <c r="G785" s="27" t="s">
        <v>321</v>
      </c>
      <c r="H785" s="27" t="s">
        <v>321</v>
      </c>
      <c r="I785" s="27"/>
      <c r="J785" s="27" t="s">
        <v>561</v>
      </c>
      <c r="K785" s="106" t="str">
        <f t="shared" si="38"/>
        <v>О</v>
      </c>
      <c r="L785" s="106" t="str">
        <f t="shared" si="39"/>
        <v>Д</v>
      </c>
      <c r="M785" s="107" t="str">
        <f t="shared" si="40"/>
        <v>Хирургия</v>
      </c>
    </row>
    <row r="786" spans="1:13" customFormat="1" ht="30" hidden="1" customHeight="1" x14ac:dyDescent="0.25">
      <c r="A786" s="41" t="s">
        <v>2359</v>
      </c>
      <c r="B786" s="25" t="s">
        <v>1710</v>
      </c>
      <c r="C786" s="29" t="s">
        <v>664</v>
      </c>
      <c r="D786" s="29" t="s">
        <v>666</v>
      </c>
      <c r="E786" s="25" t="s">
        <v>3126</v>
      </c>
      <c r="F786" s="26" t="s">
        <v>180</v>
      </c>
      <c r="G786" s="27" t="s">
        <v>320</v>
      </c>
      <c r="H786" s="27" t="s">
        <v>320</v>
      </c>
      <c r="I786" s="27"/>
      <c r="J786" s="27" t="s">
        <v>561</v>
      </c>
      <c r="K786" s="106" t="str">
        <f t="shared" si="38"/>
        <v>О</v>
      </c>
      <c r="L786" s="106" t="str">
        <f t="shared" si="39"/>
        <v>Д</v>
      </c>
      <c r="M786" s="107" t="str">
        <f t="shared" si="40"/>
        <v>Урология</v>
      </c>
    </row>
    <row r="787" spans="1:13" customFormat="1" ht="30" hidden="1" customHeight="1" x14ac:dyDescent="0.25">
      <c r="A787" s="41" t="s">
        <v>2360</v>
      </c>
      <c r="B787" s="25" t="s">
        <v>1711</v>
      </c>
      <c r="C787" s="29" t="s">
        <v>664</v>
      </c>
      <c r="D787" s="29" t="s">
        <v>666</v>
      </c>
      <c r="E787" s="25" t="s">
        <v>3126</v>
      </c>
      <c r="F787" s="26" t="s">
        <v>180</v>
      </c>
      <c r="G787" s="27" t="s">
        <v>319</v>
      </c>
      <c r="H787" s="27" t="s">
        <v>319</v>
      </c>
      <c r="I787" s="27"/>
      <c r="J787" s="27" t="s">
        <v>561</v>
      </c>
      <c r="K787" s="106" t="str">
        <f t="shared" si="38"/>
        <v>О</v>
      </c>
      <c r="L787" s="106" t="str">
        <f t="shared" si="39"/>
        <v>Д</v>
      </c>
      <c r="M787" s="107" t="str">
        <f t="shared" si="40"/>
        <v>Челюстно-лицевая хирургия</v>
      </c>
    </row>
    <row r="788" spans="1:13" customFormat="1" ht="30" hidden="1" customHeight="1" x14ac:dyDescent="0.25">
      <c r="A788" s="41" t="s">
        <v>3073</v>
      </c>
      <c r="B788" s="25" t="s">
        <v>1725</v>
      </c>
      <c r="C788" s="29" t="s">
        <v>664</v>
      </c>
      <c r="D788" s="29" t="s">
        <v>666</v>
      </c>
      <c r="E788" s="25" t="s">
        <v>3126</v>
      </c>
      <c r="F788" s="26" t="s">
        <v>180</v>
      </c>
      <c r="G788" s="27" t="s">
        <v>318</v>
      </c>
      <c r="H788" s="27" t="s">
        <v>318</v>
      </c>
      <c r="I788" s="27"/>
      <c r="J788" s="27" t="s">
        <v>561</v>
      </c>
      <c r="K788" s="106" t="str">
        <f t="shared" si="38"/>
        <v>О</v>
      </c>
      <c r="L788" s="106" t="str">
        <f t="shared" si="39"/>
        <v>Д</v>
      </c>
      <c r="M788" s="107" t="str">
        <f t="shared" si="40"/>
        <v>Эндоскопия</v>
      </c>
    </row>
    <row r="789" spans="1:13" customFormat="1" ht="30" hidden="1" customHeight="1" x14ac:dyDescent="0.25">
      <c r="A789" s="41" t="s">
        <v>2361</v>
      </c>
      <c r="B789" s="25" t="s">
        <v>1712</v>
      </c>
      <c r="C789" s="29" t="s">
        <v>664</v>
      </c>
      <c r="D789" s="29" t="s">
        <v>666</v>
      </c>
      <c r="E789" s="25" t="s">
        <v>3126</v>
      </c>
      <c r="F789" s="26" t="s">
        <v>180</v>
      </c>
      <c r="G789" s="27" t="s">
        <v>317</v>
      </c>
      <c r="H789" s="27" t="s">
        <v>317</v>
      </c>
      <c r="I789" s="27"/>
      <c r="J789" s="27" t="s">
        <v>561</v>
      </c>
      <c r="K789" s="106" t="str">
        <f t="shared" si="38"/>
        <v>О</v>
      </c>
      <c r="L789" s="106" t="str">
        <f t="shared" si="39"/>
        <v>Д</v>
      </c>
      <c r="M789" s="107" t="str">
        <f t="shared" si="40"/>
        <v>Организация здравоохранения и общественное здоровье</v>
      </c>
    </row>
    <row r="790" spans="1:13" customFormat="1" ht="30" hidden="1" customHeight="1" x14ac:dyDescent="0.25">
      <c r="A790" s="41" t="s">
        <v>2362</v>
      </c>
      <c r="B790" s="25" t="s">
        <v>1713</v>
      </c>
      <c r="C790" s="29" t="s">
        <v>664</v>
      </c>
      <c r="D790" s="29" t="s">
        <v>666</v>
      </c>
      <c r="E790" s="25" t="s">
        <v>3126</v>
      </c>
      <c r="F790" s="26" t="s">
        <v>180</v>
      </c>
      <c r="G790" s="27" t="s">
        <v>578</v>
      </c>
      <c r="H790" s="27" t="s">
        <v>578</v>
      </c>
      <c r="I790" s="27"/>
      <c r="J790" s="27" t="s">
        <v>561</v>
      </c>
      <c r="K790" s="106" t="str">
        <f t="shared" si="38"/>
        <v>О</v>
      </c>
      <c r="L790" s="106" t="str">
        <f t="shared" si="39"/>
        <v>Д</v>
      </c>
      <c r="M790" s="107" t="str">
        <f t="shared" si="40"/>
        <v>Стоматология общей практики</v>
      </c>
    </row>
    <row r="791" spans="1:13" customFormat="1" ht="30" hidden="1" customHeight="1" x14ac:dyDescent="0.25">
      <c r="A791" s="41" t="s">
        <v>2363</v>
      </c>
      <c r="B791" s="25" t="s">
        <v>1714</v>
      </c>
      <c r="C791" s="29" t="s">
        <v>664</v>
      </c>
      <c r="D791" s="29" t="s">
        <v>666</v>
      </c>
      <c r="E791" s="25" t="s">
        <v>3126</v>
      </c>
      <c r="F791" s="26" t="s">
        <v>180</v>
      </c>
      <c r="G791" s="27" t="s">
        <v>316</v>
      </c>
      <c r="H791" s="27" t="s">
        <v>316</v>
      </c>
      <c r="I791" s="27"/>
      <c r="J791" s="27" t="s">
        <v>561</v>
      </c>
      <c r="K791" s="106" t="str">
        <f t="shared" si="38"/>
        <v>О</v>
      </c>
      <c r="L791" s="106" t="str">
        <f t="shared" si="39"/>
        <v>Д</v>
      </c>
      <c r="M791" s="107" t="str">
        <f t="shared" si="40"/>
        <v>Стоматология терапевтическая</v>
      </c>
    </row>
    <row r="792" spans="1:13" customFormat="1" ht="30" hidden="1" customHeight="1" x14ac:dyDescent="0.25">
      <c r="A792" s="41" t="s">
        <v>2364</v>
      </c>
      <c r="B792" s="25" t="s">
        <v>1715</v>
      </c>
      <c r="C792" s="29" t="s">
        <v>664</v>
      </c>
      <c r="D792" s="29" t="s">
        <v>666</v>
      </c>
      <c r="E792" s="25" t="s">
        <v>3126</v>
      </c>
      <c r="F792" s="26" t="s">
        <v>180</v>
      </c>
      <c r="G792" s="27" t="s">
        <v>315</v>
      </c>
      <c r="H792" s="27" t="s">
        <v>315</v>
      </c>
      <c r="I792" s="27"/>
      <c r="J792" s="27" t="s">
        <v>561</v>
      </c>
      <c r="K792" s="106" t="str">
        <f t="shared" si="38"/>
        <v>О</v>
      </c>
      <c r="L792" s="106" t="str">
        <f t="shared" si="39"/>
        <v>Д</v>
      </c>
      <c r="M792" s="107" t="str">
        <f t="shared" si="40"/>
        <v>Стоматология хирургическая</v>
      </c>
    </row>
    <row r="793" spans="1:13" customFormat="1" ht="30" hidden="1" customHeight="1" x14ac:dyDescent="0.25">
      <c r="A793" s="41" t="s">
        <v>2365</v>
      </c>
      <c r="B793" s="25" t="s">
        <v>1716</v>
      </c>
      <c r="C793" s="29" t="s">
        <v>664</v>
      </c>
      <c r="D793" s="29" t="s">
        <v>666</v>
      </c>
      <c r="E793" s="25" t="s">
        <v>3126</v>
      </c>
      <c r="F793" s="26" t="s">
        <v>180</v>
      </c>
      <c r="G793" s="27" t="s">
        <v>314</v>
      </c>
      <c r="H793" s="27" t="s">
        <v>314</v>
      </c>
      <c r="I793" s="27"/>
      <c r="J793" s="27" t="s">
        <v>561</v>
      </c>
      <c r="K793" s="106" t="str">
        <f t="shared" si="38"/>
        <v>О</v>
      </c>
      <c r="L793" s="106" t="str">
        <f t="shared" si="39"/>
        <v>Д</v>
      </c>
      <c r="M793" s="107" t="str">
        <f t="shared" si="40"/>
        <v>Стоматология ортопедическая</v>
      </c>
    </row>
    <row r="794" spans="1:13" customFormat="1" ht="30" hidden="1" customHeight="1" x14ac:dyDescent="0.25">
      <c r="A794" s="41" t="s">
        <v>2366</v>
      </c>
      <c r="B794" s="25" t="s">
        <v>1717</v>
      </c>
      <c r="C794" s="29" t="s">
        <v>664</v>
      </c>
      <c r="D794" s="29" t="s">
        <v>666</v>
      </c>
      <c r="E794" s="25" t="s">
        <v>3126</v>
      </c>
      <c r="F794" s="26" t="s">
        <v>180</v>
      </c>
      <c r="G794" s="27" t="s">
        <v>313</v>
      </c>
      <c r="H794" s="27" t="s">
        <v>313</v>
      </c>
      <c r="I794" s="27"/>
      <c r="J794" s="27" t="s">
        <v>561</v>
      </c>
      <c r="K794" s="106" t="str">
        <f t="shared" si="38"/>
        <v>О</v>
      </c>
      <c r="L794" s="106" t="str">
        <f t="shared" si="39"/>
        <v>Д</v>
      </c>
      <c r="M794" s="107" t="str">
        <f t="shared" si="40"/>
        <v>Стоматология детская</v>
      </c>
    </row>
    <row r="795" spans="1:13" customFormat="1" ht="30" hidden="1" customHeight="1" x14ac:dyDescent="0.25">
      <c r="A795" s="41" t="s">
        <v>2367</v>
      </c>
      <c r="B795" s="25" t="s">
        <v>1718</v>
      </c>
      <c r="C795" s="29" t="s">
        <v>664</v>
      </c>
      <c r="D795" s="29" t="s">
        <v>666</v>
      </c>
      <c r="E795" s="25" t="s">
        <v>3126</v>
      </c>
      <c r="F795" s="26" t="s">
        <v>180</v>
      </c>
      <c r="G795" s="27" t="s">
        <v>312</v>
      </c>
      <c r="H795" s="27" t="s">
        <v>312</v>
      </c>
      <c r="I795" s="27"/>
      <c r="J795" s="27" t="s">
        <v>561</v>
      </c>
      <c r="K795" s="106" t="str">
        <f t="shared" si="38"/>
        <v>О</v>
      </c>
      <c r="L795" s="106" t="str">
        <f t="shared" si="39"/>
        <v>Д</v>
      </c>
      <c r="M795" s="107" t="str">
        <f t="shared" si="40"/>
        <v>Ортодонтия</v>
      </c>
    </row>
    <row r="796" spans="1:13" customFormat="1" ht="30" hidden="1" customHeight="1" x14ac:dyDescent="0.25">
      <c r="A796" s="41" t="s">
        <v>2368</v>
      </c>
      <c r="B796" s="25" t="s">
        <v>1719</v>
      </c>
      <c r="C796" s="29" t="s">
        <v>664</v>
      </c>
      <c r="D796" s="29" t="s">
        <v>666</v>
      </c>
      <c r="E796" s="25" t="s">
        <v>3126</v>
      </c>
      <c r="F796" s="26" t="s">
        <v>180</v>
      </c>
      <c r="G796" s="27" t="s">
        <v>311</v>
      </c>
      <c r="H796" s="27" t="s">
        <v>311</v>
      </c>
      <c r="I796" s="27"/>
      <c r="J796" s="27" t="s">
        <v>561</v>
      </c>
      <c r="K796" s="106" t="str">
        <f t="shared" si="38"/>
        <v>О</v>
      </c>
      <c r="L796" s="106" t="str">
        <f t="shared" si="39"/>
        <v>Д</v>
      </c>
      <c r="M796" s="107" t="str">
        <f t="shared" si="40"/>
        <v>Эпидемиология</v>
      </c>
    </row>
    <row r="797" spans="1:13" customFormat="1" ht="30" hidden="1" customHeight="1" x14ac:dyDescent="0.25">
      <c r="A797" s="41" t="s">
        <v>1380</v>
      </c>
      <c r="B797" s="25" t="s">
        <v>1381</v>
      </c>
      <c r="C797" s="29" t="s">
        <v>664</v>
      </c>
      <c r="D797" s="29" t="s">
        <v>666</v>
      </c>
      <c r="E797" s="25" t="s">
        <v>3126</v>
      </c>
      <c r="F797" s="26" t="s">
        <v>115</v>
      </c>
      <c r="G797" s="27" t="s">
        <v>157</v>
      </c>
      <c r="H797" s="27" t="s">
        <v>615</v>
      </c>
      <c r="I797" s="27"/>
      <c r="J797" s="27" t="s">
        <v>3195</v>
      </c>
      <c r="K797" s="106" t="str">
        <f t="shared" si="38"/>
        <v>М</v>
      </c>
      <c r="L797" s="106" t="str">
        <f t="shared" si="39"/>
        <v>Д</v>
      </c>
      <c r="M797" s="107" t="str">
        <f t="shared" si="40"/>
        <v>Миграционные процессы и межкультурная коммуникация</v>
      </c>
    </row>
    <row r="798" spans="1:13" customFormat="1" ht="30" hidden="1" customHeight="1" x14ac:dyDescent="0.25">
      <c r="A798" s="41" t="s">
        <v>3074</v>
      </c>
      <c r="B798" s="25" t="s">
        <v>2405</v>
      </c>
      <c r="C798" s="29" t="s">
        <v>664</v>
      </c>
      <c r="D798" s="29" t="s">
        <v>666</v>
      </c>
      <c r="E798" s="25" t="s">
        <v>3128</v>
      </c>
      <c r="F798" s="26" t="s">
        <v>179</v>
      </c>
      <c r="G798" s="27" t="s">
        <v>1941</v>
      </c>
      <c r="H798" s="27" t="s">
        <v>1954</v>
      </c>
      <c r="I798" s="27"/>
      <c r="J798" s="27" t="s">
        <v>1955</v>
      </c>
      <c r="K798" s="106" t="str">
        <f t="shared" si="38"/>
        <v>А</v>
      </c>
      <c r="L798" s="106" t="str">
        <f t="shared" si="39"/>
        <v>Д</v>
      </c>
      <c r="M798" s="107" t="str">
        <f t="shared" si="40"/>
        <v>Фармацевтическая технология</v>
      </c>
    </row>
    <row r="799" spans="1:13" customFormat="1" ht="30" hidden="1" customHeight="1" x14ac:dyDescent="0.25">
      <c r="A799" s="41" t="s">
        <v>1953</v>
      </c>
      <c r="B799" s="25" t="s">
        <v>2405</v>
      </c>
      <c r="C799" s="29" t="s">
        <v>664</v>
      </c>
      <c r="D799" s="29" t="s">
        <v>1730</v>
      </c>
      <c r="E799" s="25" t="s">
        <v>3128</v>
      </c>
      <c r="F799" s="26" t="s">
        <v>179</v>
      </c>
      <c r="G799" s="27" t="s">
        <v>1941</v>
      </c>
      <c r="H799" s="27" t="s">
        <v>1954</v>
      </c>
      <c r="I799" s="27" t="s">
        <v>932</v>
      </c>
      <c r="J799" s="27" t="s">
        <v>1955</v>
      </c>
      <c r="K799" s="106" t="str">
        <f t="shared" si="38"/>
        <v>А</v>
      </c>
      <c r="L799" s="106" t="str">
        <f t="shared" si="39"/>
        <v>Д</v>
      </c>
      <c r="M799" s="107" t="str">
        <f t="shared" si="40"/>
        <v>Фармацевтическая технология (Английский язык) (Вуз-партнёр - Университет г. Базель)</v>
      </c>
    </row>
    <row r="800" spans="1:13" customFormat="1" ht="30" hidden="1" customHeight="1" x14ac:dyDescent="0.25">
      <c r="A800" s="41" t="s">
        <v>1382</v>
      </c>
      <c r="B800" s="25" t="s">
        <v>1383</v>
      </c>
      <c r="C800" s="29" t="s">
        <v>664</v>
      </c>
      <c r="D800" s="29" t="s">
        <v>1730</v>
      </c>
      <c r="E800" s="25" t="s">
        <v>3126</v>
      </c>
      <c r="F800" s="26" t="s">
        <v>115</v>
      </c>
      <c r="G800" s="27" t="s">
        <v>100</v>
      </c>
      <c r="H800" s="27" t="s">
        <v>982</v>
      </c>
      <c r="I800" s="27"/>
      <c r="J800" s="27" t="s">
        <v>983</v>
      </c>
      <c r="K800" s="106" t="str">
        <f t="shared" si="38"/>
        <v>М</v>
      </c>
      <c r="L800" s="106" t="str">
        <f t="shared" si="39"/>
        <v>Д</v>
      </c>
      <c r="M800" s="107" t="str">
        <f t="shared" si="40"/>
        <v>Гравитация, космология и релятивистская астрофизика (Английский язык)</v>
      </c>
    </row>
    <row r="801" spans="1:13" customFormat="1" ht="30" hidden="1" customHeight="1" x14ac:dyDescent="0.25">
      <c r="A801" s="41" t="s">
        <v>1384</v>
      </c>
      <c r="B801" s="25" t="s">
        <v>1383</v>
      </c>
      <c r="C801" s="29" t="s">
        <v>664</v>
      </c>
      <c r="D801" s="29" t="s">
        <v>1730</v>
      </c>
      <c r="E801" s="25" t="s">
        <v>3126</v>
      </c>
      <c r="F801" s="26" t="s">
        <v>115</v>
      </c>
      <c r="G801" s="27" t="s">
        <v>100</v>
      </c>
      <c r="H801" s="27" t="s">
        <v>982</v>
      </c>
      <c r="I801" s="27" t="s">
        <v>912</v>
      </c>
      <c r="J801" s="27" t="s">
        <v>983</v>
      </c>
      <c r="K801" s="106" t="str">
        <f t="shared" si="38"/>
        <v>М</v>
      </c>
      <c r="L801" s="106" t="str">
        <f t="shared" si="39"/>
        <v>Д</v>
      </c>
      <c r="M801" s="107" t="str">
        <f t="shared" si="40"/>
        <v>Гравитация, космология и релятивистская астрофизика (Английский язык) (Вуз-партнёр - Казахский национальный университет им. Аль-Фараби)</v>
      </c>
    </row>
    <row r="802" spans="1:13" customFormat="1" ht="30" hidden="1" customHeight="1" x14ac:dyDescent="0.25">
      <c r="A802" s="41" t="s">
        <v>2493</v>
      </c>
      <c r="B802" s="25" t="s">
        <v>1383</v>
      </c>
      <c r="C802" s="29" t="s">
        <v>664</v>
      </c>
      <c r="D802" s="29" t="s">
        <v>666</v>
      </c>
      <c r="E802" s="25" t="s">
        <v>3126</v>
      </c>
      <c r="F802" s="26" t="s">
        <v>115</v>
      </c>
      <c r="G802" s="27" t="s">
        <v>100</v>
      </c>
      <c r="H802" s="27" t="s">
        <v>982</v>
      </c>
      <c r="I802" s="27"/>
      <c r="J802" s="27" t="s">
        <v>983</v>
      </c>
      <c r="K802" s="106" t="str">
        <f t="shared" si="38"/>
        <v>М</v>
      </c>
      <c r="L802" s="106" t="str">
        <f t="shared" si="39"/>
        <v>Д</v>
      </c>
      <c r="M802" s="107" t="str">
        <f t="shared" si="40"/>
        <v>Гравитация, космология и релятивистская астрофизика</v>
      </c>
    </row>
    <row r="803" spans="1:13" customFormat="1" ht="30" hidden="1" customHeight="1" x14ac:dyDescent="0.25">
      <c r="A803" s="41" t="s">
        <v>1388</v>
      </c>
      <c r="B803" s="25" t="s">
        <v>1104</v>
      </c>
      <c r="C803" s="29" t="s">
        <v>664</v>
      </c>
      <c r="D803" s="29" t="s">
        <v>666</v>
      </c>
      <c r="E803" s="25" t="s">
        <v>3126</v>
      </c>
      <c r="F803" s="26" t="s">
        <v>115</v>
      </c>
      <c r="G803" s="27" t="s">
        <v>300</v>
      </c>
      <c r="H803" s="27" t="s">
        <v>616</v>
      </c>
      <c r="I803" s="27"/>
      <c r="J803" s="27" t="s">
        <v>563</v>
      </c>
      <c r="K803" s="106" t="str">
        <f t="shared" si="38"/>
        <v>М</v>
      </c>
      <c r="L803" s="106" t="str">
        <f t="shared" si="39"/>
        <v>Д</v>
      </c>
      <c r="M803" s="107" t="str">
        <f t="shared" si="40"/>
        <v>Организация деятельности специалистов психолого-медико-педагогической комиссии</v>
      </c>
    </row>
    <row r="804" spans="1:13" customFormat="1" ht="30" hidden="1" customHeight="1" x14ac:dyDescent="0.25">
      <c r="A804" s="41" t="s">
        <v>1387</v>
      </c>
      <c r="B804" s="25" t="s">
        <v>1104</v>
      </c>
      <c r="C804" s="29" t="s">
        <v>664</v>
      </c>
      <c r="D804" s="29" t="s">
        <v>666</v>
      </c>
      <c r="E804" s="25" t="s">
        <v>3126</v>
      </c>
      <c r="F804" s="26" t="s">
        <v>115</v>
      </c>
      <c r="G804" s="27" t="s">
        <v>300</v>
      </c>
      <c r="H804" s="27" t="s">
        <v>239</v>
      </c>
      <c r="I804" s="27"/>
      <c r="J804" s="27" t="s">
        <v>563</v>
      </c>
      <c r="K804" s="106" t="str">
        <f t="shared" si="38"/>
        <v>М</v>
      </c>
      <c r="L804" s="106" t="str">
        <f t="shared" si="39"/>
        <v>Д</v>
      </c>
      <c r="M804" s="107" t="str">
        <f t="shared" si="40"/>
        <v>Менеджмент довузовского образования</v>
      </c>
    </row>
    <row r="805" spans="1:13" customFormat="1" ht="30" hidden="1" customHeight="1" x14ac:dyDescent="0.25">
      <c r="A805" s="41" t="s">
        <v>1386</v>
      </c>
      <c r="B805" s="25" t="s">
        <v>1104</v>
      </c>
      <c r="C805" s="29" t="s">
        <v>664</v>
      </c>
      <c r="D805" s="29" t="s">
        <v>666</v>
      </c>
      <c r="E805" s="25" t="s">
        <v>3126</v>
      </c>
      <c r="F805" s="26" t="s">
        <v>115</v>
      </c>
      <c r="G805" s="27" t="s">
        <v>300</v>
      </c>
      <c r="H805" s="27" t="s">
        <v>175</v>
      </c>
      <c r="I805" s="27"/>
      <c r="J805" s="27" t="s">
        <v>563</v>
      </c>
      <c r="K805" s="106" t="str">
        <f t="shared" si="38"/>
        <v>М</v>
      </c>
      <c r="L805" s="106" t="str">
        <f t="shared" si="39"/>
        <v>Д</v>
      </c>
      <c r="M805" s="107" t="str">
        <f t="shared" si="40"/>
        <v>Менеджмент высшего образования</v>
      </c>
    </row>
    <row r="806" spans="1:13" customFormat="1" ht="30" hidden="1" customHeight="1" x14ac:dyDescent="0.25">
      <c r="A806" s="41" t="s">
        <v>1385</v>
      </c>
      <c r="B806" s="25" t="s">
        <v>1104</v>
      </c>
      <c r="C806" s="29" t="s">
        <v>664</v>
      </c>
      <c r="D806" s="29" t="s">
        <v>666</v>
      </c>
      <c r="E806" s="25" t="s">
        <v>3126</v>
      </c>
      <c r="F806" s="26" t="s">
        <v>115</v>
      </c>
      <c r="G806" s="27" t="s">
        <v>300</v>
      </c>
      <c r="H806" s="27" t="s">
        <v>176</v>
      </c>
      <c r="I806" s="27"/>
      <c r="J806" s="27" t="s">
        <v>563</v>
      </c>
      <c r="K806" s="106" t="str">
        <f t="shared" si="38"/>
        <v>М</v>
      </c>
      <c r="L806" s="106" t="str">
        <f t="shared" si="39"/>
        <v>Д</v>
      </c>
      <c r="M806" s="107" t="str">
        <f t="shared" si="40"/>
        <v>Менеджмент международного образования</v>
      </c>
    </row>
    <row r="807" spans="1:13" customFormat="1" ht="30" hidden="1" customHeight="1" x14ac:dyDescent="0.25">
      <c r="A807" s="41" t="s">
        <v>1389</v>
      </c>
      <c r="B807" s="25" t="s">
        <v>1104</v>
      </c>
      <c r="C807" s="29" t="s">
        <v>663</v>
      </c>
      <c r="D807" s="29" t="s">
        <v>666</v>
      </c>
      <c r="E807" s="25" t="s">
        <v>3127</v>
      </c>
      <c r="F807" s="26" t="s">
        <v>115</v>
      </c>
      <c r="G807" s="27" t="s">
        <v>300</v>
      </c>
      <c r="H807" s="27" t="s">
        <v>176</v>
      </c>
      <c r="I807" s="27"/>
      <c r="J807" s="27" t="s">
        <v>563</v>
      </c>
      <c r="K807" s="106" t="str">
        <f t="shared" si="38"/>
        <v>М</v>
      </c>
      <c r="L807" s="106" t="str">
        <f t="shared" si="39"/>
        <v>В</v>
      </c>
      <c r="M807" s="107" t="str">
        <f t="shared" si="40"/>
        <v>Менеджмент международного образования</v>
      </c>
    </row>
    <row r="808" spans="1:13" customFormat="1" ht="30" hidden="1" customHeight="1" x14ac:dyDescent="0.25">
      <c r="A808" s="41" t="s">
        <v>1391</v>
      </c>
      <c r="B808" s="25" t="s">
        <v>1104</v>
      </c>
      <c r="C808" s="29" t="s">
        <v>663</v>
      </c>
      <c r="D808" s="29" t="s">
        <v>666</v>
      </c>
      <c r="E808" s="25" t="s">
        <v>3127</v>
      </c>
      <c r="F808" s="26" t="s">
        <v>115</v>
      </c>
      <c r="G808" s="27" t="s">
        <v>300</v>
      </c>
      <c r="H808" s="27" t="s">
        <v>239</v>
      </c>
      <c r="I808" s="27"/>
      <c r="J808" s="27" t="s">
        <v>563</v>
      </c>
      <c r="K808" s="106" t="str">
        <f t="shared" si="38"/>
        <v>М</v>
      </c>
      <c r="L808" s="106" t="str">
        <f t="shared" si="39"/>
        <v>В</v>
      </c>
      <c r="M808" s="107" t="str">
        <f t="shared" si="40"/>
        <v>Менеджмент довузовского образования</v>
      </c>
    </row>
    <row r="809" spans="1:13" customFormat="1" ht="30" hidden="1" customHeight="1" x14ac:dyDescent="0.25">
      <c r="A809" s="41" t="s">
        <v>1390</v>
      </c>
      <c r="B809" s="25" t="s">
        <v>1104</v>
      </c>
      <c r="C809" s="29" t="s">
        <v>663</v>
      </c>
      <c r="D809" s="29" t="s">
        <v>666</v>
      </c>
      <c r="E809" s="25" t="s">
        <v>3127</v>
      </c>
      <c r="F809" s="26" t="s">
        <v>115</v>
      </c>
      <c r="G809" s="27" t="s">
        <v>300</v>
      </c>
      <c r="H809" s="27" t="s">
        <v>175</v>
      </c>
      <c r="I809" s="27"/>
      <c r="J809" s="27" t="s">
        <v>563</v>
      </c>
      <c r="K809" s="106" t="str">
        <f t="shared" si="38"/>
        <v>М</v>
      </c>
      <c r="L809" s="106" t="str">
        <f t="shared" si="39"/>
        <v>В</v>
      </c>
      <c r="M809" s="107" t="str">
        <f t="shared" si="40"/>
        <v>Менеджмент высшего образования</v>
      </c>
    </row>
    <row r="810" spans="1:13" customFormat="1" ht="30" hidden="1" customHeight="1" x14ac:dyDescent="0.25">
      <c r="A810" s="41" t="s">
        <v>1392</v>
      </c>
      <c r="B810" s="25" t="s">
        <v>1104</v>
      </c>
      <c r="C810" s="29" t="s">
        <v>663</v>
      </c>
      <c r="D810" s="29" t="s">
        <v>666</v>
      </c>
      <c r="E810" s="25" t="s">
        <v>3127</v>
      </c>
      <c r="F810" s="26" t="s">
        <v>115</v>
      </c>
      <c r="G810" s="27" t="s">
        <v>300</v>
      </c>
      <c r="H810" s="27" t="s">
        <v>616</v>
      </c>
      <c r="I810" s="27"/>
      <c r="J810" s="27" t="s">
        <v>563</v>
      </c>
      <c r="K810" s="106" t="str">
        <f t="shared" si="38"/>
        <v>М</v>
      </c>
      <c r="L810" s="106" t="str">
        <f t="shared" si="39"/>
        <v>В</v>
      </c>
      <c r="M810" s="107" t="str">
        <f t="shared" si="40"/>
        <v>Организация деятельности специалистов психолого-медико-педагогической комиссии</v>
      </c>
    </row>
    <row r="811" spans="1:13" customFormat="1" ht="30" hidden="1" customHeight="1" x14ac:dyDescent="0.25">
      <c r="A811" s="41" t="s">
        <v>1393</v>
      </c>
      <c r="B811" s="25" t="s">
        <v>1104</v>
      </c>
      <c r="C811" s="29" t="s">
        <v>665</v>
      </c>
      <c r="D811" s="29" t="s">
        <v>666</v>
      </c>
      <c r="E811" s="25" t="s">
        <v>3127</v>
      </c>
      <c r="F811" s="26" t="s">
        <v>115</v>
      </c>
      <c r="G811" s="27" t="s">
        <v>300</v>
      </c>
      <c r="H811" s="27" t="s">
        <v>176</v>
      </c>
      <c r="I811" s="27"/>
      <c r="J811" s="27" t="s">
        <v>563</v>
      </c>
      <c r="K811" s="106" t="str">
        <f t="shared" si="38"/>
        <v>М</v>
      </c>
      <c r="L811" s="106" t="str">
        <f t="shared" si="39"/>
        <v>З</v>
      </c>
      <c r="M811" s="107" t="str">
        <f t="shared" si="40"/>
        <v>Менеджмент международного образования</v>
      </c>
    </row>
    <row r="812" spans="1:13" customFormat="1" ht="30" hidden="1" customHeight="1" x14ac:dyDescent="0.25">
      <c r="A812" s="41" t="s">
        <v>1396</v>
      </c>
      <c r="B812" s="25" t="s">
        <v>1104</v>
      </c>
      <c r="C812" s="29" t="s">
        <v>665</v>
      </c>
      <c r="D812" s="29" t="s">
        <v>666</v>
      </c>
      <c r="E812" s="25" t="s">
        <v>3127</v>
      </c>
      <c r="F812" s="26" t="s">
        <v>115</v>
      </c>
      <c r="G812" s="27" t="s">
        <v>300</v>
      </c>
      <c r="H812" s="27" t="s">
        <v>616</v>
      </c>
      <c r="I812" s="27"/>
      <c r="J812" s="27" t="s">
        <v>563</v>
      </c>
      <c r="K812" s="106" t="str">
        <f t="shared" si="38"/>
        <v>М</v>
      </c>
      <c r="L812" s="106" t="str">
        <f t="shared" si="39"/>
        <v>З</v>
      </c>
      <c r="M812" s="107" t="str">
        <f t="shared" si="40"/>
        <v>Организация деятельности специалистов психолого-медико-педагогической комиссии</v>
      </c>
    </row>
    <row r="813" spans="1:13" customFormat="1" ht="30" hidden="1" customHeight="1" x14ac:dyDescent="0.25">
      <c r="A813" s="41" t="s">
        <v>1395</v>
      </c>
      <c r="B813" s="25" t="s">
        <v>1104</v>
      </c>
      <c r="C813" s="29" t="s">
        <v>665</v>
      </c>
      <c r="D813" s="29" t="s">
        <v>666</v>
      </c>
      <c r="E813" s="25" t="s">
        <v>3127</v>
      </c>
      <c r="F813" s="26" t="s">
        <v>115</v>
      </c>
      <c r="G813" s="27" t="s">
        <v>300</v>
      </c>
      <c r="H813" s="27" t="s">
        <v>239</v>
      </c>
      <c r="I813" s="27"/>
      <c r="J813" s="27" t="s">
        <v>563</v>
      </c>
      <c r="K813" s="106" t="str">
        <f t="shared" si="38"/>
        <v>М</v>
      </c>
      <c r="L813" s="106" t="str">
        <f t="shared" si="39"/>
        <v>З</v>
      </c>
      <c r="M813" s="107" t="str">
        <f t="shared" si="40"/>
        <v>Менеджмент довузовского образования</v>
      </c>
    </row>
    <row r="814" spans="1:13" customFormat="1" ht="30" hidden="1" customHeight="1" x14ac:dyDescent="0.25">
      <c r="A814" s="41" t="s">
        <v>1394</v>
      </c>
      <c r="B814" s="25" t="s">
        <v>1104</v>
      </c>
      <c r="C814" s="29" t="s">
        <v>665</v>
      </c>
      <c r="D814" s="29" t="s">
        <v>666</v>
      </c>
      <c r="E814" s="25" t="s">
        <v>3127</v>
      </c>
      <c r="F814" s="26" t="s">
        <v>115</v>
      </c>
      <c r="G814" s="27" t="s">
        <v>300</v>
      </c>
      <c r="H814" s="27" t="s">
        <v>175</v>
      </c>
      <c r="I814" s="27"/>
      <c r="J814" s="27" t="s">
        <v>563</v>
      </c>
      <c r="K814" s="106" t="str">
        <f t="shared" si="38"/>
        <v>М</v>
      </c>
      <c r="L814" s="106" t="str">
        <f t="shared" si="39"/>
        <v>З</v>
      </c>
      <c r="M814" s="107" t="str">
        <f t="shared" si="40"/>
        <v>Менеджмент высшего образования</v>
      </c>
    </row>
    <row r="815" spans="1:13" customFormat="1" ht="30" hidden="1" customHeight="1" x14ac:dyDescent="0.25">
      <c r="A815" s="41" t="s">
        <v>2936</v>
      </c>
      <c r="B815" s="25" t="s">
        <v>2262</v>
      </c>
      <c r="C815" s="29" t="s">
        <v>664</v>
      </c>
      <c r="D815" s="29" t="s">
        <v>666</v>
      </c>
      <c r="E815" s="25" t="s">
        <v>3128</v>
      </c>
      <c r="F815" s="26" t="s">
        <v>179</v>
      </c>
      <c r="G815" s="27" t="s">
        <v>393</v>
      </c>
      <c r="H815" s="27" t="s">
        <v>393</v>
      </c>
      <c r="I815" s="27"/>
      <c r="J815" s="27" t="s">
        <v>563</v>
      </c>
      <c r="K815" s="106" t="str">
        <f t="shared" si="38"/>
        <v>А</v>
      </c>
      <c r="L815" s="106" t="str">
        <f t="shared" si="39"/>
        <v>Д</v>
      </c>
      <c r="M815" s="107" t="str">
        <f t="shared" si="40"/>
        <v>Общая педагогика, история педагогики и образования</v>
      </c>
    </row>
    <row r="816" spans="1:13" customFormat="1" ht="30" hidden="1" customHeight="1" x14ac:dyDescent="0.25">
      <c r="A816" s="41" t="s">
        <v>2937</v>
      </c>
      <c r="B816" s="25" t="s">
        <v>2263</v>
      </c>
      <c r="C816" s="29" t="s">
        <v>664</v>
      </c>
      <c r="D816" s="29" t="s">
        <v>666</v>
      </c>
      <c r="E816" s="25" t="s">
        <v>3128</v>
      </c>
      <c r="F816" s="26" t="s">
        <v>179</v>
      </c>
      <c r="G816" s="27" t="s">
        <v>1869</v>
      </c>
      <c r="H816" s="27" t="s">
        <v>2938</v>
      </c>
      <c r="I816" s="27"/>
      <c r="J816" s="27" t="s">
        <v>563</v>
      </c>
      <c r="K816" s="106" t="str">
        <f t="shared" si="38"/>
        <v>А</v>
      </c>
      <c r="L816" s="106" t="str">
        <f t="shared" si="39"/>
        <v>Д</v>
      </c>
      <c r="M816" s="107" t="str">
        <f t="shared" si="40"/>
        <v>Теория и методика обучения и воспитания (информатизация образования)</v>
      </c>
    </row>
    <row r="817" spans="1:13" customFormat="1" ht="30" hidden="1" customHeight="1" x14ac:dyDescent="0.25">
      <c r="A817" s="41" t="s">
        <v>1956</v>
      </c>
      <c r="B817" s="25" t="s">
        <v>2294</v>
      </c>
      <c r="C817" s="29" t="s">
        <v>664</v>
      </c>
      <c r="D817" s="29" t="s">
        <v>666</v>
      </c>
      <c r="E817" s="25" t="s">
        <v>3128</v>
      </c>
      <c r="F817" s="26" t="s">
        <v>179</v>
      </c>
      <c r="G817" s="27" t="s">
        <v>1875</v>
      </c>
      <c r="H817" s="27" t="s">
        <v>390</v>
      </c>
      <c r="I817" s="27"/>
      <c r="J817" s="27" t="s">
        <v>563</v>
      </c>
      <c r="K817" s="106" t="str">
        <f t="shared" si="38"/>
        <v>А</v>
      </c>
      <c r="L817" s="106" t="str">
        <f t="shared" si="39"/>
        <v>Д</v>
      </c>
      <c r="M817" s="107" t="str">
        <f t="shared" si="40"/>
        <v>Теория и методика профессионального образования</v>
      </c>
    </row>
    <row r="818" spans="1:13" customFormat="1" ht="30" hidden="1" customHeight="1" x14ac:dyDescent="0.25">
      <c r="A818" s="41" t="s">
        <v>2494</v>
      </c>
      <c r="B818" s="25" t="s">
        <v>1664</v>
      </c>
      <c r="C818" s="29" t="s">
        <v>665</v>
      </c>
      <c r="D818" s="29" t="s">
        <v>666</v>
      </c>
      <c r="E818" s="25" t="s">
        <v>1732</v>
      </c>
      <c r="F818" s="26" t="s">
        <v>179</v>
      </c>
      <c r="G818" s="27" t="s">
        <v>570</v>
      </c>
      <c r="H818" s="27" t="s">
        <v>390</v>
      </c>
      <c r="I818" s="27"/>
      <c r="J818" s="27" t="s">
        <v>563</v>
      </c>
      <c r="K818" s="106" t="str">
        <f t="shared" si="38"/>
        <v>А</v>
      </c>
      <c r="L818" s="106" t="str">
        <f t="shared" si="39"/>
        <v>З</v>
      </c>
      <c r="M818" s="107" t="str">
        <f t="shared" si="40"/>
        <v>Теория и методика профессионального образования</v>
      </c>
    </row>
    <row r="819" spans="1:13" customFormat="1" ht="30" hidden="1" customHeight="1" x14ac:dyDescent="0.25">
      <c r="A819" s="41" t="s">
        <v>1397</v>
      </c>
      <c r="B819" s="25" t="s">
        <v>1398</v>
      </c>
      <c r="C819" s="29" t="s">
        <v>664</v>
      </c>
      <c r="D819" s="29" t="s">
        <v>666</v>
      </c>
      <c r="E819" s="25" t="s">
        <v>1732</v>
      </c>
      <c r="F819" s="26" t="s">
        <v>113</v>
      </c>
      <c r="G819" s="27" t="s">
        <v>157</v>
      </c>
      <c r="H819" s="27" t="s">
        <v>157</v>
      </c>
      <c r="I819" s="27"/>
      <c r="J819" s="27" t="s">
        <v>564</v>
      </c>
      <c r="K819" s="106" t="str">
        <f t="shared" si="38"/>
        <v>Б</v>
      </c>
      <c r="L819" s="106" t="str">
        <f t="shared" si="39"/>
        <v>Д</v>
      </c>
      <c r="M819" s="107" t="str">
        <f t="shared" si="40"/>
        <v>Государственное и муниципальное управление</v>
      </c>
    </row>
    <row r="820" spans="1:13" customFormat="1" ht="30" hidden="1" customHeight="1" x14ac:dyDescent="0.25">
      <c r="A820" s="41" t="s">
        <v>1399</v>
      </c>
      <c r="B820" s="25" t="s">
        <v>1400</v>
      </c>
      <c r="C820" s="29" t="s">
        <v>664</v>
      </c>
      <c r="D820" s="29" t="s">
        <v>666</v>
      </c>
      <c r="E820" s="25" t="s">
        <v>1732</v>
      </c>
      <c r="F820" s="26" t="s">
        <v>113</v>
      </c>
      <c r="G820" s="27" t="s">
        <v>150</v>
      </c>
      <c r="H820" s="27" t="s">
        <v>150</v>
      </c>
      <c r="I820" s="27"/>
      <c r="J820" s="27" t="s">
        <v>564</v>
      </c>
      <c r="K820" s="106" t="str">
        <f t="shared" si="38"/>
        <v>Б</v>
      </c>
      <c r="L820" s="106" t="str">
        <f t="shared" si="39"/>
        <v>Д</v>
      </c>
      <c r="M820" s="107" t="str">
        <f t="shared" si="40"/>
        <v>Социология</v>
      </c>
    </row>
    <row r="821" spans="1:13" customFormat="1" ht="30" hidden="1" customHeight="1" x14ac:dyDescent="0.25">
      <c r="A821" s="41" t="s">
        <v>1790</v>
      </c>
      <c r="B821" s="25" t="s">
        <v>2525</v>
      </c>
      <c r="C821" s="29" t="s">
        <v>664</v>
      </c>
      <c r="D821" s="29" t="s">
        <v>666</v>
      </c>
      <c r="E821" s="25" t="s">
        <v>1732</v>
      </c>
      <c r="F821" s="26" t="s">
        <v>113</v>
      </c>
      <c r="G821" s="27" t="s">
        <v>541</v>
      </c>
      <c r="H821" s="27" t="s">
        <v>1779</v>
      </c>
      <c r="I821" s="27"/>
      <c r="J821" s="27" t="s">
        <v>564</v>
      </c>
      <c r="K821" s="106" t="str">
        <f t="shared" si="38"/>
        <v>Б</v>
      </c>
      <c r="L821" s="106" t="str">
        <f t="shared" si="39"/>
        <v>Д</v>
      </c>
      <c r="M821" s="107" t="str">
        <f t="shared" si="40"/>
        <v>Политические науки и регионоведение (УГСН)</v>
      </c>
    </row>
    <row r="822" spans="1:13" customFormat="1" ht="30" hidden="1" customHeight="1" x14ac:dyDescent="0.25">
      <c r="A822" s="41" t="s">
        <v>1401</v>
      </c>
      <c r="B822" s="25" t="s">
        <v>1268</v>
      </c>
      <c r="C822" s="29" t="s">
        <v>664</v>
      </c>
      <c r="D822" s="29" t="s">
        <v>666</v>
      </c>
      <c r="E822" s="25" t="s">
        <v>1732</v>
      </c>
      <c r="F822" s="26" t="s">
        <v>113</v>
      </c>
      <c r="G822" s="27" t="s">
        <v>167</v>
      </c>
      <c r="H822" s="27" t="s">
        <v>156</v>
      </c>
      <c r="I822" s="27"/>
      <c r="J822" s="27" t="s">
        <v>564</v>
      </c>
      <c r="K822" s="106" t="str">
        <f t="shared" si="38"/>
        <v>Б</v>
      </c>
      <c r="L822" s="106" t="str">
        <f t="shared" si="39"/>
        <v>Д</v>
      </c>
      <c r="M822" s="107" t="str">
        <f t="shared" si="40"/>
        <v>Зарубежное регионоведение: Китай, Арабский Восток</v>
      </c>
    </row>
    <row r="823" spans="1:13" customFormat="1" ht="30" hidden="1" customHeight="1" x14ac:dyDescent="0.25">
      <c r="A823" s="41" t="s">
        <v>1402</v>
      </c>
      <c r="B823" s="25" t="s">
        <v>1268</v>
      </c>
      <c r="C823" s="29" t="s">
        <v>664</v>
      </c>
      <c r="D823" s="29" t="s">
        <v>666</v>
      </c>
      <c r="E823" s="25" t="s">
        <v>1732</v>
      </c>
      <c r="F823" s="26" t="s">
        <v>113</v>
      </c>
      <c r="G823" s="27" t="s">
        <v>167</v>
      </c>
      <c r="H823" s="27" t="s">
        <v>617</v>
      </c>
      <c r="I823" s="27"/>
      <c r="J823" s="27" t="s">
        <v>564</v>
      </c>
      <c r="K823" s="106" t="str">
        <f t="shared" si="38"/>
        <v>Б</v>
      </c>
      <c r="L823" s="106" t="str">
        <f t="shared" si="39"/>
        <v>Д</v>
      </c>
      <c r="M823" s="107" t="str">
        <f t="shared" si="40"/>
        <v>Евразийские исследования: Россия и сопредельные регионы</v>
      </c>
    </row>
    <row r="824" spans="1:13" customFormat="1" ht="30" hidden="1" customHeight="1" x14ac:dyDescent="0.25">
      <c r="A824" s="41" t="s">
        <v>2507</v>
      </c>
      <c r="B824" s="25" t="s">
        <v>1268</v>
      </c>
      <c r="C824" s="29" t="s">
        <v>664</v>
      </c>
      <c r="D824" s="29" t="s">
        <v>666</v>
      </c>
      <c r="E824" s="25" t="s">
        <v>1732</v>
      </c>
      <c r="F824" s="26" t="s">
        <v>113</v>
      </c>
      <c r="G824" s="27" t="s">
        <v>167</v>
      </c>
      <c r="H824" s="27" t="s">
        <v>2508</v>
      </c>
      <c r="I824" s="27"/>
      <c r="J824" s="27" t="s">
        <v>564</v>
      </c>
      <c r="K824" s="106" t="str">
        <f t="shared" si="38"/>
        <v>Б</v>
      </c>
      <c r="L824" s="106" t="str">
        <f t="shared" si="39"/>
        <v>Д</v>
      </c>
      <c r="M824" s="107" t="str">
        <f t="shared" si="40"/>
        <v>Франкоязычные страны мира</v>
      </c>
    </row>
    <row r="825" spans="1:13" customFormat="1" ht="30" hidden="1" customHeight="1" x14ac:dyDescent="0.25">
      <c r="A825" s="41" t="s">
        <v>1403</v>
      </c>
      <c r="B825" s="25" t="s">
        <v>1404</v>
      </c>
      <c r="C825" s="29" t="s">
        <v>664</v>
      </c>
      <c r="D825" s="29" t="s">
        <v>666</v>
      </c>
      <c r="E825" s="25" t="s">
        <v>1732</v>
      </c>
      <c r="F825" s="26" t="s">
        <v>113</v>
      </c>
      <c r="G825" s="27" t="s">
        <v>152</v>
      </c>
      <c r="H825" s="27" t="s">
        <v>152</v>
      </c>
      <c r="I825" s="27"/>
      <c r="J825" s="27" t="s">
        <v>564</v>
      </c>
      <c r="K825" s="106" t="str">
        <f t="shared" si="38"/>
        <v>Б</v>
      </c>
      <c r="L825" s="106" t="str">
        <f t="shared" si="39"/>
        <v>Д</v>
      </c>
      <c r="M825" s="107" t="str">
        <f t="shared" si="40"/>
        <v>Политология</v>
      </c>
    </row>
    <row r="826" spans="1:13" customFormat="1" ht="30" hidden="1" customHeight="1" x14ac:dyDescent="0.25">
      <c r="A826" s="41" t="s">
        <v>1405</v>
      </c>
      <c r="B826" s="25" t="s">
        <v>1406</v>
      </c>
      <c r="C826" s="29" t="s">
        <v>664</v>
      </c>
      <c r="D826" s="29" t="s">
        <v>666</v>
      </c>
      <c r="E826" s="25" t="s">
        <v>1732</v>
      </c>
      <c r="F826" s="26" t="s">
        <v>113</v>
      </c>
      <c r="G826" s="27" t="s">
        <v>155</v>
      </c>
      <c r="H826" s="27" t="s">
        <v>155</v>
      </c>
      <c r="I826" s="27"/>
      <c r="J826" s="27" t="s">
        <v>564</v>
      </c>
      <c r="K826" s="106" t="str">
        <f t="shared" si="38"/>
        <v>Б</v>
      </c>
      <c r="L826" s="106" t="str">
        <f t="shared" si="39"/>
        <v>Д</v>
      </c>
      <c r="M826" s="107" t="str">
        <f t="shared" si="40"/>
        <v>Международные отношения</v>
      </c>
    </row>
    <row r="827" spans="1:13" customFormat="1" ht="30" hidden="1" customHeight="1" x14ac:dyDescent="0.25">
      <c r="A827" s="41" t="s">
        <v>1407</v>
      </c>
      <c r="B827" s="25" t="s">
        <v>1408</v>
      </c>
      <c r="C827" s="29" t="s">
        <v>664</v>
      </c>
      <c r="D827" s="29" t="s">
        <v>666</v>
      </c>
      <c r="E827" s="25" t="s">
        <v>1732</v>
      </c>
      <c r="F827" s="26" t="s">
        <v>113</v>
      </c>
      <c r="G827" s="27" t="s">
        <v>92</v>
      </c>
      <c r="H827" s="27" t="s">
        <v>92</v>
      </c>
      <c r="I827" s="27"/>
      <c r="J827" s="27" t="s">
        <v>564</v>
      </c>
      <c r="K827" s="106" t="str">
        <f t="shared" si="38"/>
        <v>Б</v>
      </c>
      <c r="L827" s="106" t="str">
        <f t="shared" si="39"/>
        <v>Д</v>
      </c>
      <c r="M827" s="107" t="str">
        <f t="shared" si="40"/>
        <v>История</v>
      </c>
    </row>
    <row r="828" spans="1:13" customFormat="1" ht="30" hidden="1" customHeight="1" x14ac:dyDescent="0.25">
      <c r="A828" s="41" t="s">
        <v>1409</v>
      </c>
      <c r="B828" s="25" t="s">
        <v>1410</v>
      </c>
      <c r="C828" s="29" t="s">
        <v>664</v>
      </c>
      <c r="D828" s="29" t="s">
        <v>666</v>
      </c>
      <c r="E828" s="25" t="s">
        <v>1732</v>
      </c>
      <c r="F828" s="26" t="s">
        <v>113</v>
      </c>
      <c r="G828" s="27" t="s">
        <v>93</v>
      </c>
      <c r="H828" s="27" t="s">
        <v>93</v>
      </c>
      <c r="I828" s="27"/>
      <c r="J828" s="27" t="s">
        <v>564</v>
      </c>
      <c r="K828" s="106" t="str">
        <f t="shared" si="38"/>
        <v>Б</v>
      </c>
      <c r="L828" s="106" t="str">
        <f t="shared" si="39"/>
        <v>Д</v>
      </c>
      <c r="M828" s="107" t="str">
        <f t="shared" si="40"/>
        <v>Философия</v>
      </c>
    </row>
    <row r="829" spans="1:13" customFormat="1" ht="30" hidden="1" customHeight="1" x14ac:dyDescent="0.25">
      <c r="A829" s="41" t="s">
        <v>3075</v>
      </c>
      <c r="B829" s="25" t="s">
        <v>3118</v>
      </c>
      <c r="C829" s="29" t="s">
        <v>664</v>
      </c>
      <c r="D829" s="29" t="s">
        <v>666</v>
      </c>
      <c r="E829" s="25" t="s">
        <v>1732</v>
      </c>
      <c r="F829" s="26" t="s">
        <v>113</v>
      </c>
      <c r="G829" s="27" t="s">
        <v>3170</v>
      </c>
      <c r="H829" s="27" t="s">
        <v>3170</v>
      </c>
      <c r="I829" s="27"/>
      <c r="J829" s="27" t="s">
        <v>564</v>
      </c>
      <c r="K829" s="106" t="str">
        <f t="shared" si="38"/>
        <v>Б</v>
      </c>
      <c r="L829" s="106" t="str">
        <f t="shared" si="39"/>
        <v>Д</v>
      </c>
      <c r="M829" s="107" t="str">
        <f t="shared" si="40"/>
        <v>Религиоведение</v>
      </c>
    </row>
    <row r="830" spans="1:13" customFormat="1" ht="30" hidden="1" customHeight="1" x14ac:dyDescent="0.25">
      <c r="A830" s="41" t="s">
        <v>1411</v>
      </c>
      <c r="B830" s="25" t="s">
        <v>1412</v>
      </c>
      <c r="C830" s="29" t="s">
        <v>664</v>
      </c>
      <c r="D830" s="29" t="s">
        <v>666</v>
      </c>
      <c r="E830" s="25" t="s">
        <v>1732</v>
      </c>
      <c r="F830" s="26" t="s">
        <v>113</v>
      </c>
      <c r="G830" s="27" t="s">
        <v>153</v>
      </c>
      <c r="H830" s="27" t="s">
        <v>153</v>
      </c>
      <c r="I830" s="27"/>
      <c r="J830" s="27" t="s">
        <v>564</v>
      </c>
      <c r="K830" s="106" t="str">
        <f t="shared" si="38"/>
        <v>Б</v>
      </c>
      <c r="L830" s="106" t="str">
        <f t="shared" si="39"/>
        <v>Д</v>
      </c>
      <c r="M830" s="107" t="str">
        <f t="shared" si="40"/>
        <v>Искусства и гуманитарные науки</v>
      </c>
    </row>
    <row r="831" spans="1:13" customFormat="1" ht="30" hidden="1" customHeight="1" x14ac:dyDescent="0.25">
      <c r="A831" s="41" t="s">
        <v>3076</v>
      </c>
      <c r="B831" s="25" t="s">
        <v>3119</v>
      </c>
      <c r="C831" s="29" t="s">
        <v>664</v>
      </c>
      <c r="D831" s="29" t="s">
        <v>666</v>
      </c>
      <c r="E831" s="25" t="s">
        <v>1732</v>
      </c>
      <c r="F831" s="26" t="s">
        <v>113</v>
      </c>
      <c r="G831" s="27" t="s">
        <v>3184</v>
      </c>
      <c r="H831" s="27" t="s">
        <v>3171</v>
      </c>
      <c r="I831" s="27"/>
      <c r="J831" s="27" t="s">
        <v>564</v>
      </c>
      <c r="K831" s="106" t="str">
        <f t="shared" si="38"/>
        <v>Б</v>
      </c>
      <c r="L831" s="106" t="str">
        <f t="shared" si="39"/>
        <v>Д</v>
      </c>
      <c r="M831" s="107" t="str">
        <f t="shared" si="40"/>
        <v>История и философия Востока</v>
      </c>
    </row>
    <row r="832" spans="1:13" customFormat="1" ht="30" hidden="1" customHeight="1" x14ac:dyDescent="0.25">
      <c r="A832" s="41" t="s">
        <v>1453</v>
      </c>
      <c r="B832" s="25" t="s">
        <v>1398</v>
      </c>
      <c r="C832" s="29" t="s">
        <v>663</v>
      </c>
      <c r="D832" s="29" t="s">
        <v>666</v>
      </c>
      <c r="E832" s="25" t="s">
        <v>3123</v>
      </c>
      <c r="F832" s="26" t="s">
        <v>113</v>
      </c>
      <c r="G832" s="27" t="s">
        <v>157</v>
      </c>
      <c r="H832" s="27" t="s">
        <v>157</v>
      </c>
      <c r="I832" s="27"/>
      <c r="J832" s="27" t="s">
        <v>564</v>
      </c>
      <c r="K832" s="106" t="str">
        <f t="shared" si="38"/>
        <v>Б</v>
      </c>
      <c r="L832" s="106" t="str">
        <f t="shared" si="39"/>
        <v>В</v>
      </c>
      <c r="M832" s="107" t="str">
        <f t="shared" si="40"/>
        <v>Государственное и муниципальное управление</v>
      </c>
    </row>
    <row r="833" spans="1:13" customFormat="1" ht="30" hidden="1" customHeight="1" x14ac:dyDescent="0.25">
      <c r="A833" s="41" t="s">
        <v>1454</v>
      </c>
      <c r="B833" s="25" t="s">
        <v>1400</v>
      </c>
      <c r="C833" s="29" t="s">
        <v>663</v>
      </c>
      <c r="D833" s="29" t="s">
        <v>666</v>
      </c>
      <c r="E833" s="25" t="s">
        <v>3123</v>
      </c>
      <c r="F833" s="26" t="s">
        <v>113</v>
      </c>
      <c r="G833" s="27" t="s">
        <v>150</v>
      </c>
      <c r="H833" s="27" t="s">
        <v>150</v>
      </c>
      <c r="I833" s="27"/>
      <c r="J833" s="27" t="s">
        <v>564</v>
      </c>
      <c r="K833" s="106" t="str">
        <f t="shared" si="38"/>
        <v>Б</v>
      </c>
      <c r="L833" s="106" t="str">
        <f t="shared" si="39"/>
        <v>В</v>
      </c>
      <c r="M833" s="107" t="str">
        <f t="shared" si="40"/>
        <v>Социология</v>
      </c>
    </row>
    <row r="834" spans="1:13" customFormat="1" ht="30" hidden="1" customHeight="1" x14ac:dyDescent="0.25">
      <c r="A834" s="41" t="s">
        <v>1455</v>
      </c>
      <c r="B834" s="25" t="s">
        <v>1404</v>
      </c>
      <c r="C834" s="29" t="s">
        <v>663</v>
      </c>
      <c r="D834" s="29" t="s">
        <v>666</v>
      </c>
      <c r="E834" s="25" t="s">
        <v>3123</v>
      </c>
      <c r="F834" s="26" t="s">
        <v>113</v>
      </c>
      <c r="G834" s="27" t="s">
        <v>152</v>
      </c>
      <c r="H834" s="27" t="s">
        <v>152</v>
      </c>
      <c r="I834" s="27"/>
      <c r="J834" s="27" t="s">
        <v>564</v>
      </c>
      <c r="K834" s="106" t="str">
        <f t="shared" si="38"/>
        <v>Б</v>
      </c>
      <c r="L834" s="106" t="str">
        <f t="shared" si="39"/>
        <v>В</v>
      </c>
      <c r="M834" s="107" t="str">
        <f t="shared" si="40"/>
        <v>Политология</v>
      </c>
    </row>
    <row r="835" spans="1:13" customFormat="1" ht="30" hidden="1" customHeight="1" x14ac:dyDescent="0.25">
      <c r="A835" s="41" t="s">
        <v>1456</v>
      </c>
      <c r="B835" s="25" t="s">
        <v>1406</v>
      </c>
      <c r="C835" s="29" t="s">
        <v>663</v>
      </c>
      <c r="D835" s="29" t="s">
        <v>666</v>
      </c>
      <c r="E835" s="25" t="s">
        <v>3123</v>
      </c>
      <c r="F835" s="26" t="s">
        <v>113</v>
      </c>
      <c r="G835" s="27" t="s">
        <v>155</v>
      </c>
      <c r="H835" s="27" t="s">
        <v>155</v>
      </c>
      <c r="I835" s="27"/>
      <c r="J835" s="27" t="s">
        <v>564</v>
      </c>
      <c r="K835" s="106" t="str">
        <f t="shared" si="38"/>
        <v>Б</v>
      </c>
      <c r="L835" s="106" t="str">
        <f t="shared" si="39"/>
        <v>В</v>
      </c>
      <c r="M835" s="107" t="str">
        <f t="shared" si="40"/>
        <v>Международные отношения</v>
      </c>
    </row>
    <row r="836" spans="1:13" customFormat="1" ht="30" hidden="1" customHeight="1" x14ac:dyDescent="0.25">
      <c r="A836" s="41" t="s">
        <v>1459</v>
      </c>
      <c r="B836" s="25" t="s">
        <v>1398</v>
      </c>
      <c r="C836" s="29" t="s">
        <v>665</v>
      </c>
      <c r="D836" s="29" t="s">
        <v>666</v>
      </c>
      <c r="E836" s="25" t="s">
        <v>3123</v>
      </c>
      <c r="F836" s="26" t="s">
        <v>113</v>
      </c>
      <c r="G836" s="27" t="s">
        <v>157</v>
      </c>
      <c r="H836" s="27" t="s">
        <v>157</v>
      </c>
      <c r="I836" s="27"/>
      <c r="J836" s="27" t="s">
        <v>564</v>
      </c>
      <c r="K836" s="106" t="str">
        <f t="shared" ref="K836:K899" si="41">LEFT(F836, 1)</f>
        <v>Б</v>
      </c>
      <c r="L836" s="106" t="str">
        <f t="shared" ref="L836:L899" si="42">IF(C836="очная","Д",IF(C836="Очно-заочная","В",IF(C836="Заочная","З","-")))</f>
        <v>З</v>
      </c>
      <c r="M836" s="107" t="str">
        <f t="shared" ref="M836:M899" si="43">CONCATENATE(H836,IF(D836="Русский","",CONCATENATE(" (",D836," язык)")),IF(I836&gt;0,CONCATENATE(" (Вуз-партнёр - ",I836,")"),""))</f>
        <v>Государственное и муниципальное управление</v>
      </c>
    </row>
    <row r="837" spans="1:13" customFormat="1" ht="30" hidden="1" customHeight="1" x14ac:dyDescent="0.25">
      <c r="A837" s="41" t="s">
        <v>2519</v>
      </c>
      <c r="B837" s="25" t="s">
        <v>1400</v>
      </c>
      <c r="C837" s="29" t="s">
        <v>665</v>
      </c>
      <c r="D837" s="29" t="s">
        <v>666</v>
      </c>
      <c r="E837" s="25" t="s">
        <v>3123</v>
      </c>
      <c r="F837" s="26" t="s">
        <v>113</v>
      </c>
      <c r="G837" s="27" t="s">
        <v>150</v>
      </c>
      <c r="H837" s="27" t="s">
        <v>150</v>
      </c>
      <c r="I837" s="27"/>
      <c r="J837" s="27" t="s">
        <v>564</v>
      </c>
      <c r="K837" s="106" t="str">
        <f t="shared" si="41"/>
        <v>Б</v>
      </c>
      <c r="L837" s="106" t="str">
        <f t="shared" si="42"/>
        <v>З</v>
      </c>
      <c r="M837" s="107" t="str">
        <f t="shared" si="43"/>
        <v>Социология</v>
      </c>
    </row>
    <row r="838" spans="1:13" customFormat="1" ht="30" hidden="1" customHeight="1" x14ac:dyDescent="0.25">
      <c r="A838" s="41" t="s">
        <v>2512</v>
      </c>
      <c r="B838" s="25" t="s">
        <v>1404</v>
      </c>
      <c r="C838" s="29" t="s">
        <v>665</v>
      </c>
      <c r="D838" s="29" t="s">
        <v>666</v>
      </c>
      <c r="E838" s="25" t="s">
        <v>1732</v>
      </c>
      <c r="F838" s="26" t="s">
        <v>113</v>
      </c>
      <c r="G838" s="27" t="s">
        <v>152</v>
      </c>
      <c r="H838" s="27" t="s">
        <v>152</v>
      </c>
      <c r="I838" s="27"/>
      <c r="J838" s="27" t="s">
        <v>564</v>
      </c>
      <c r="K838" s="106" t="str">
        <f t="shared" si="41"/>
        <v>Б</v>
      </c>
      <c r="L838" s="106" t="str">
        <f t="shared" si="42"/>
        <v>З</v>
      </c>
      <c r="M838" s="107" t="str">
        <f t="shared" si="43"/>
        <v>Политология</v>
      </c>
    </row>
    <row r="839" spans="1:13" customFormat="1" ht="30" hidden="1" customHeight="1" x14ac:dyDescent="0.25">
      <c r="A839" s="41" t="s">
        <v>1413</v>
      </c>
      <c r="B839" s="25" t="s">
        <v>1381</v>
      </c>
      <c r="C839" s="29" t="s">
        <v>664</v>
      </c>
      <c r="D839" s="29" t="s">
        <v>666</v>
      </c>
      <c r="E839" s="25" t="s">
        <v>3126</v>
      </c>
      <c r="F839" s="26" t="s">
        <v>115</v>
      </c>
      <c r="G839" s="27" t="s">
        <v>157</v>
      </c>
      <c r="H839" s="27" t="s">
        <v>157</v>
      </c>
      <c r="I839" s="27"/>
      <c r="J839" s="27" t="s">
        <v>564</v>
      </c>
      <c r="K839" s="106" t="str">
        <f t="shared" si="41"/>
        <v>М</v>
      </c>
      <c r="L839" s="106" t="str">
        <f t="shared" si="42"/>
        <v>Д</v>
      </c>
      <c r="M839" s="107" t="str">
        <f t="shared" si="43"/>
        <v>Государственное и муниципальное управление</v>
      </c>
    </row>
    <row r="840" spans="1:13" customFormat="1" ht="30" hidden="1" customHeight="1" x14ac:dyDescent="0.25">
      <c r="A840" s="41" t="s">
        <v>2562</v>
      </c>
      <c r="B840" s="25" t="s">
        <v>1381</v>
      </c>
      <c r="C840" s="29" t="s">
        <v>664</v>
      </c>
      <c r="D840" s="29" t="s">
        <v>666</v>
      </c>
      <c r="E840" s="25" t="s">
        <v>3126</v>
      </c>
      <c r="F840" s="26" t="s">
        <v>115</v>
      </c>
      <c r="G840" s="27" t="s">
        <v>157</v>
      </c>
      <c r="H840" s="27" t="s">
        <v>2563</v>
      </c>
      <c r="I840" s="27"/>
      <c r="J840" s="27" t="s">
        <v>564</v>
      </c>
      <c r="K840" s="108" t="s">
        <v>2828</v>
      </c>
      <c r="L840" s="106" t="str">
        <f t="shared" si="42"/>
        <v>Д</v>
      </c>
      <c r="M840" s="107" t="str">
        <f t="shared" si="43"/>
        <v>Государственное управление социально-экономическим развитием</v>
      </c>
    </row>
    <row r="841" spans="1:13" customFormat="1" ht="30" hidden="1" customHeight="1" x14ac:dyDescent="0.25">
      <c r="A841" s="41" t="s">
        <v>1417</v>
      </c>
      <c r="B841" s="25" t="s">
        <v>1415</v>
      </c>
      <c r="C841" s="29" t="s">
        <v>664</v>
      </c>
      <c r="D841" s="29" t="s">
        <v>666</v>
      </c>
      <c r="E841" s="25" t="s">
        <v>3126</v>
      </c>
      <c r="F841" s="26" t="s">
        <v>115</v>
      </c>
      <c r="G841" s="27" t="s">
        <v>150</v>
      </c>
      <c r="H841" s="27" t="s">
        <v>151</v>
      </c>
      <c r="I841" s="27" t="s">
        <v>944</v>
      </c>
      <c r="J841" s="27" t="s">
        <v>564</v>
      </c>
      <c r="K841" s="106" t="str">
        <f t="shared" si="41"/>
        <v>М</v>
      </c>
      <c r="L841" s="106" t="str">
        <f t="shared" si="42"/>
        <v>Д</v>
      </c>
      <c r="M841" s="107" t="str">
        <f t="shared" si="43"/>
        <v>Социология управления и социальный менеджмент (Вуз-партнёр - Шаньдунский университет)</v>
      </c>
    </row>
    <row r="842" spans="1:13" customFormat="1" ht="30" hidden="1" customHeight="1" x14ac:dyDescent="0.25">
      <c r="A842" s="41" t="s">
        <v>2541</v>
      </c>
      <c r="B842" s="25" t="s">
        <v>1415</v>
      </c>
      <c r="C842" s="29" t="s">
        <v>664</v>
      </c>
      <c r="D842" s="29" t="s">
        <v>666</v>
      </c>
      <c r="E842" s="25" t="s">
        <v>3126</v>
      </c>
      <c r="F842" s="26" t="s">
        <v>115</v>
      </c>
      <c r="G842" s="27" t="s">
        <v>150</v>
      </c>
      <c r="H842" s="27" t="s">
        <v>2542</v>
      </c>
      <c r="I842" s="27" t="s">
        <v>907</v>
      </c>
      <c r="J842" s="27" t="s">
        <v>564</v>
      </c>
      <c r="K842" s="106" t="str">
        <f t="shared" si="41"/>
        <v>М</v>
      </c>
      <c r="L842" s="106" t="str">
        <f t="shared" si="42"/>
        <v>Д</v>
      </c>
      <c r="M842" s="107" t="str">
        <f t="shared" si="43"/>
        <v>Современные методы и технологии в изучении социальных проблем общества (Вуз-партнёр - Евразийский национальный университет им. Л.Н. Гумилева)</v>
      </c>
    </row>
    <row r="843" spans="1:13" customFormat="1" ht="30" hidden="1" customHeight="1" x14ac:dyDescent="0.25">
      <c r="A843" s="41" t="s">
        <v>2520</v>
      </c>
      <c r="B843" s="25" t="s">
        <v>1415</v>
      </c>
      <c r="C843" s="29" t="s">
        <v>664</v>
      </c>
      <c r="D843" s="29" t="s">
        <v>666</v>
      </c>
      <c r="E843" s="25" t="s">
        <v>3126</v>
      </c>
      <c r="F843" s="26" t="s">
        <v>115</v>
      </c>
      <c r="G843" s="27" t="s">
        <v>150</v>
      </c>
      <c r="H843" s="27" t="s">
        <v>2521</v>
      </c>
      <c r="I843" s="27"/>
      <c r="J843" s="27" t="s">
        <v>564</v>
      </c>
      <c r="K843" s="106" t="str">
        <f t="shared" si="41"/>
        <v>М</v>
      </c>
      <c r="L843" s="106" t="str">
        <f t="shared" si="42"/>
        <v>Д</v>
      </c>
      <c r="M843" s="107" t="str">
        <f t="shared" si="43"/>
        <v>Методология и методы изучения социальных проблем современного общества</v>
      </c>
    </row>
    <row r="844" spans="1:13" customFormat="1" ht="30" hidden="1" customHeight="1" x14ac:dyDescent="0.25">
      <c r="A844" s="41" t="s">
        <v>2522</v>
      </c>
      <c r="B844" s="25" t="s">
        <v>1415</v>
      </c>
      <c r="C844" s="29" t="s">
        <v>664</v>
      </c>
      <c r="D844" s="29" t="s">
        <v>666</v>
      </c>
      <c r="E844" s="25" t="s">
        <v>3126</v>
      </c>
      <c r="F844" s="26" t="s">
        <v>115</v>
      </c>
      <c r="G844" s="27" t="s">
        <v>150</v>
      </c>
      <c r="H844" s="27" t="s">
        <v>2523</v>
      </c>
      <c r="I844" s="27"/>
      <c r="J844" s="27" t="s">
        <v>564</v>
      </c>
      <c r="K844" s="106" t="str">
        <f t="shared" si="41"/>
        <v>М</v>
      </c>
      <c r="L844" s="106" t="str">
        <f t="shared" si="42"/>
        <v>Д</v>
      </c>
      <c r="M844" s="107" t="str">
        <f t="shared" si="43"/>
        <v>Социологическая теория: история и современность</v>
      </c>
    </row>
    <row r="845" spans="1:13" customFormat="1" ht="30" hidden="1" customHeight="1" x14ac:dyDescent="0.25">
      <c r="A845" s="41" t="s">
        <v>3077</v>
      </c>
      <c r="B845" s="25" t="s">
        <v>1415</v>
      </c>
      <c r="C845" s="29" t="s">
        <v>664</v>
      </c>
      <c r="D845" s="29" t="s">
        <v>666</v>
      </c>
      <c r="E845" s="25" t="s">
        <v>3126</v>
      </c>
      <c r="F845" s="26" t="s">
        <v>115</v>
      </c>
      <c r="G845" s="27" t="s">
        <v>150</v>
      </c>
      <c r="H845" s="27" t="s">
        <v>3172</v>
      </c>
      <c r="I845" s="27"/>
      <c r="J845" s="27" t="s">
        <v>564</v>
      </c>
      <c r="K845" s="106" t="str">
        <f t="shared" si="41"/>
        <v>М</v>
      </c>
      <c r="L845" s="106" t="str">
        <f t="shared" si="42"/>
        <v>Д</v>
      </c>
      <c r="M845" s="107" t="str">
        <f t="shared" si="43"/>
        <v>Методология, методы социологических исследований и социальная аналитика</v>
      </c>
    </row>
    <row r="846" spans="1:13" customFormat="1" ht="30" hidden="1" customHeight="1" x14ac:dyDescent="0.25">
      <c r="A846" s="41" t="s">
        <v>3078</v>
      </c>
      <c r="B846" s="25" t="s">
        <v>1415</v>
      </c>
      <c r="C846" s="29" t="s">
        <v>664</v>
      </c>
      <c r="D846" s="29" t="s">
        <v>666</v>
      </c>
      <c r="E846" s="25" t="s">
        <v>3126</v>
      </c>
      <c r="F846" s="26" t="s">
        <v>115</v>
      </c>
      <c r="G846" s="27" t="s">
        <v>150</v>
      </c>
      <c r="H846" s="27" t="s">
        <v>3173</v>
      </c>
      <c r="I846" s="27"/>
      <c r="J846" s="27" t="s">
        <v>564</v>
      </c>
      <c r="K846" s="106" t="str">
        <f t="shared" si="41"/>
        <v>М</v>
      </c>
      <c r="L846" s="106" t="str">
        <f t="shared" si="42"/>
        <v>Д</v>
      </c>
      <c r="M846" s="107" t="str">
        <f t="shared" si="43"/>
        <v>Социология управления и организационный консалтинг</v>
      </c>
    </row>
    <row r="847" spans="1:13" customFormat="1" ht="30" hidden="1" customHeight="1" x14ac:dyDescent="0.25">
      <c r="A847" s="41" t="s">
        <v>1414</v>
      </c>
      <c r="B847" s="25" t="s">
        <v>1415</v>
      </c>
      <c r="C847" s="29" t="s">
        <v>664</v>
      </c>
      <c r="D847" s="29" t="s">
        <v>666</v>
      </c>
      <c r="E847" s="25" t="s">
        <v>3126</v>
      </c>
      <c r="F847" s="26" t="s">
        <v>115</v>
      </c>
      <c r="G847" s="27" t="s">
        <v>150</v>
      </c>
      <c r="H847" s="27" t="s">
        <v>151</v>
      </c>
      <c r="I847" s="27"/>
      <c r="J847" s="27" t="s">
        <v>564</v>
      </c>
      <c r="K847" s="106" t="str">
        <f t="shared" si="41"/>
        <v>М</v>
      </c>
      <c r="L847" s="106" t="str">
        <f t="shared" si="42"/>
        <v>Д</v>
      </c>
      <c r="M847" s="107" t="str">
        <f t="shared" si="43"/>
        <v>Социология управления и социальный менеджмент</v>
      </c>
    </row>
    <row r="848" spans="1:13" customFormat="1" ht="30" hidden="1" customHeight="1" x14ac:dyDescent="0.25">
      <c r="A848" s="41" t="s">
        <v>1416</v>
      </c>
      <c r="B848" s="25" t="s">
        <v>1415</v>
      </c>
      <c r="C848" s="29" t="s">
        <v>664</v>
      </c>
      <c r="D848" s="29" t="s">
        <v>666</v>
      </c>
      <c r="E848" s="25" t="s">
        <v>3126</v>
      </c>
      <c r="F848" s="26" t="s">
        <v>115</v>
      </c>
      <c r="G848" s="27" t="s">
        <v>150</v>
      </c>
      <c r="H848" s="27" t="s">
        <v>625</v>
      </c>
      <c r="I848" s="27"/>
      <c r="J848" s="27" t="s">
        <v>564</v>
      </c>
      <c r="K848" s="106" t="str">
        <f t="shared" si="41"/>
        <v>М</v>
      </c>
      <c r="L848" s="106" t="str">
        <f t="shared" si="42"/>
        <v>Д</v>
      </c>
      <c r="M848" s="107" t="str">
        <f t="shared" si="43"/>
        <v>Теория, методология и методы социологии: история и современность</v>
      </c>
    </row>
    <row r="849" spans="1:13" customFormat="1" ht="30" hidden="1" customHeight="1" x14ac:dyDescent="0.25">
      <c r="A849" s="41" t="s">
        <v>1418</v>
      </c>
      <c r="B849" s="25" t="s">
        <v>1276</v>
      </c>
      <c r="C849" s="29" t="s">
        <v>664</v>
      </c>
      <c r="D849" s="29" t="s">
        <v>666</v>
      </c>
      <c r="E849" s="25" t="s">
        <v>3126</v>
      </c>
      <c r="F849" s="26" t="s">
        <v>115</v>
      </c>
      <c r="G849" s="27" t="s">
        <v>167</v>
      </c>
      <c r="H849" s="27" t="s">
        <v>619</v>
      </c>
      <c r="I849" s="27"/>
      <c r="J849" s="27" t="s">
        <v>564</v>
      </c>
      <c r="K849" s="106" t="str">
        <f t="shared" si="41"/>
        <v>М</v>
      </c>
      <c r="L849" s="106" t="str">
        <f t="shared" si="42"/>
        <v>Д</v>
      </c>
      <c r="M849" s="107" t="str">
        <f t="shared" si="43"/>
        <v>Зарубежное регионоведение: Китай</v>
      </c>
    </row>
    <row r="850" spans="1:13" customFormat="1" ht="30" hidden="1" customHeight="1" x14ac:dyDescent="0.25">
      <c r="A850" s="41" t="s">
        <v>1419</v>
      </c>
      <c r="B850" s="25" t="s">
        <v>1276</v>
      </c>
      <c r="C850" s="29" t="s">
        <v>664</v>
      </c>
      <c r="D850" s="29" t="s">
        <v>666</v>
      </c>
      <c r="E850" s="25" t="s">
        <v>3126</v>
      </c>
      <c r="F850" s="26" t="s">
        <v>115</v>
      </c>
      <c r="G850" s="27" t="s">
        <v>167</v>
      </c>
      <c r="H850" s="27" t="s">
        <v>618</v>
      </c>
      <c r="I850" s="27"/>
      <c r="J850" s="27" t="s">
        <v>564</v>
      </c>
      <c r="K850" s="106" t="str">
        <f t="shared" si="41"/>
        <v>М</v>
      </c>
      <c r="L850" s="106" t="str">
        <f t="shared" si="42"/>
        <v>Д</v>
      </c>
      <c r="M850" s="107" t="str">
        <f t="shared" si="43"/>
        <v>Зарубежное регионоведение: Ближний Восток</v>
      </c>
    </row>
    <row r="851" spans="1:13" customFormat="1" ht="30" hidden="1" customHeight="1" x14ac:dyDescent="0.25">
      <c r="A851" s="41" t="s">
        <v>1420</v>
      </c>
      <c r="B851" s="25" t="s">
        <v>1276</v>
      </c>
      <c r="C851" s="29" t="s">
        <v>664</v>
      </c>
      <c r="D851" s="29" t="s">
        <v>666</v>
      </c>
      <c r="E851" s="25" t="s">
        <v>3126</v>
      </c>
      <c r="F851" s="26" t="s">
        <v>115</v>
      </c>
      <c r="G851" s="27" t="s">
        <v>167</v>
      </c>
      <c r="H851" s="27" t="s">
        <v>620</v>
      </c>
      <c r="I851" s="27"/>
      <c r="J851" s="27" t="s">
        <v>564</v>
      </c>
      <c r="K851" s="106" t="str">
        <f t="shared" si="41"/>
        <v>М</v>
      </c>
      <c r="L851" s="106" t="str">
        <f t="shared" si="42"/>
        <v>Д</v>
      </c>
      <c r="M851" s="107" t="str">
        <f t="shared" si="43"/>
        <v>Россия и сопредельные регионы</v>
      </c>
    </row>
    <row r="852" spans="1:13" customFormat="1" ht="30" hidden="1" customHeight="1" x14ac:dyDescent="0.25">
      <c r="A852" s="41" t="s">
        <v>1421</v>
      </c>
      <c r="B852" s="25" t="s">
        <v>1276</v>
      </c>
      <c r="C852" s="29" t="s">
        <v>664</v>
      </c>
      <c r="D852" s="29" t="s">
        <v>666</v>
      </c>
      <c r="E852" s="25" t="s">
        <v>3126</v>
      </c>
      <c r="F852" s="26" t="s">
        <v>115</v>
      </c>
      <c r="G852" s="27" t="s">
        <v>167</v>
      </c>
      <c r="H852" s="27" t="s">
        <v>620</v>
      </c>
      <c r="I852" s="27" t="s">
        <v>908</v>
      </c>
      <c r="J852" s="27" t="s">
        <v>564</v>
      </c>
      <c r="K852" s="106" t="str">
        <f t="shared" si="41"/>
        <v>М</v>
      </c>
      <c r="L852" s="106" t="str">
        <f t="shared" si="42"/>
        <v>Д</v>
      </c>
      <c r="M852" s="107" t="str">
        <f t="shared" si="43"/>
        <v>Россия и сопредельные регионы (Вуз-партнёр - Евразийский национальный университет имени Л. Н. Гумилёва)</v>
      </c>
    </row>
    <row r="853" spans="1:13" customFormat="1" ht="30" hidden="1" customHeight="1" x14ac:dyDescent="0.25">
      <c r="A853" s="41" t="s">
        <v>1422</v>
      </c>
      <c r="B853" s="25" t="s">
        <v>1276</v>
      </c>
      <c r="C853" s="29" t="s">
        <v>664</v>
      </c>
      <c r="D853" s="29" t="s">
        <v>666</v>
      </c>
      <c r="E853" s="25" t="s">
        <v>3126</v>
      </c>
      <c r="F853" s="26" t="s">
        <v>115</v>
      </c>
      <c r="G853" s="27" t="s">
        <v>167</v>
      </c>
      <c r="H853" s="27" t="s">
        <v>2496</v>
      </c>
      <c r="I853" s="27" t="s">
        <v>924</v>
      </c>
      <c r="J853" s="27" t="s">
        <v>564</v>
      </c>
      <c r="K853" s="106" t="str">
        <f t="shared" si="41"/>
        <v>М</v>
      </c>
      <c r="L853" s="106" t="str">
        <f t="shared" si="42"/>
        <v>Д</v>
      </c>
      <c r="M853" s="107" t="str">
        <f t="shared" si="43"/>
        <v>Регионоведение (Вуз-партнёр - Российско-Таджикский (Славянский) университет)</v>
      </c>
    </row>
    <row r="854" spans="1:13" customFormat="1" ht="30" hidden="1" customHeight="1" x14ac:dyDescent="0.25">
      <c r="A854" s="41" t="s">
        <v>1423</v>
      </c>
      <c r="B854" s="25" t="s">
        <v>1276</v>
      </c>
      <c r="C854" s="29" t="s">
        <v>664</v>
      </c>
      <c r="D854" s="29" t="s">
        <v>666</v>
      </c>
      <c r="E854" s="25" t="s">
        <v>3126</v>
      </c>
      <c r="F854" s="26" t="s">
        <v>115</v>
      </c>
      <c r="G854" s="27" t="s">
        <v>167</v>
      </c>
      <c r="H854" s="27" t="s">
        <v>2496</v>
      </c>
      <c r="I854" s="27" t="s">
        <v>906</v>
      </c>
      <c r="J854" s="27" t="s">
        <v>564</v>
      </c>
      <c r="K854" s="106" t="str">
        <f t="shared" si="41"/>
        <v>М</v>
      </c>
      <c r="L854" s="106" t="str">
        <f t="shared" si="42"/>
        <v>Д</v>
      </c>
      <c r="M854" s="107" t="str">
        <f t="shared" si="43"/>
        <v>Регионоведение (Вуз-партнёр - Даляньский университет иностранных языков)</v>
      </c>
    </row>
    <row r="855" spans="1:13" customFormat="1" ht="30" hidden="1" customHeight="1" x14ac:dyDescent="0.25">
      <c r="A855" s="41" t="s">
        <v>1424</v>
      </c>
      <c r="B855" s="25" t="s">
        <v>1276</v>
      </c>
      <c r="C855" s="29" t="s">
        <v>664</v>
      </c>
      <c r="D855" s="29" t="s">
        <v>666</v>
      </c>
      <c r="E855" s="25" t="s">
        <v>3126</v>
      </c>
      <c r="F855" s="26" t="s">
        <v>115</v>
      </c>
      <c r="G855" s="27" t="s">
        <v>167</v>
      </c>
      <c r="H855" s="27" t="s">
        <v>2496</v>
      </c>
      <c r="I855" s="27" t="s">
        <v>944</v>
      </c>
      <c r="J855" s="27" t="s">
        <v>564</v>
      </c>
      <c r="K855" s="106" t="str">
        <f t="shared" si="41"/>
        <v>М</v>
      </c>
      <c r="L855" s="106" t="str">
        <f t="shared" si="42"/>
        <v>Д</v>
      </c>
      <c r="M855" s="107" t="str">
        <f t="shared" si="43"/>
        <v>Регионоведение (Вуз-партнёр - Шаньдунский университет)</v>
      </c>
    </row>
    <row r="856" spans="1:13" customFormat="1" ht="30" hidden="1" customHeight="1" x14ac:dyDescent="0.25">
      <c r="A856" s="41" t="s">
        <v>2510</v>
      </c>
      <c r="B856" s="25" t="s">
        <v>1276</v>
      </c>
      <c r="C856" s="29" t="s">
        <v>664</v>
      </c>
      <c r="D856" s="29" t="s">
        <v>666</v>
      </c>
      <c r="E856" s="25" t="s">
        <v>3126</v>
      </c>
      <c r="F856" s="26" t="s">
        <v>115</v>
      </c>
      <c r="G856" s="27" t="s">
        <v>167</v>
      </c>
      <c r="H856" s="27" t="s">
        <v>620</v>
      </c>
      <c r="I856" s="27" t="s">
        <v>2814</v>
      </c>
      <c r="J856" s="27" t="s">
        <v>564</v>
      </c>
      <c r="K856" s="106" t="str">
        <f t="shared" si="41"/>
        <v>М</v>
      </c>
      <c r="L856" s="106" t="str">
        <f t="shared" si="42"/>
        <v>Д</v>
      </c>
      <c r="M856" s="107" t="str">
        <f t="shared" si="43"/>
        <v>Россия и сопредельные регионы (Вуз-партнёр - Государственный институт международных отношений Молдовы)</v>
      </c>
    </row>
    <row r="857" spans="1:13" customFormat="1" ht="30" hidden="1" customHeight="1" x14ac:dyDescent="0.25">
      <c r="A857" s="41" t="s">
        <v>2511</v>
      </c>
      <c r="B857" s="25" t="s">
        <v>1276</v>
      </c>
      <c r="C857" s="29" t="s">
        <v>664</v>
      </c>
      <c r="D857" s="29" t="s">
        <v>666</v>
      </c>
      <c r="E857" s="25" t="s">
        <v>3126</v>
      </c>
      <c r="F857" s="26" t="s">
        <v>115</v>
      </c>
      <c r="G857" s="27" t="s">
        <v>167</v>
      </c>
      <c r="H857" s="27" t="s">
        <v>620</v>
      </c>
      <c r="I857" s="27" t="s">
        <v>944</v>
      </c>
      <c r="J857" s="27" t="s">
        <v>564</v>
      </c>
      <c r="K857" s="106" t="str">
        <f t="shared" si="41"/>
        <v>М</v>
      </c>
      <c r="L857" s="106" t="str">
        <f t="shared" si="42"/>
        <v>Д</v>
      </c>
      <c r="M857" s="107" t="str">
        <f t="shared" si="43"/>
        <v>Россия и сопредельные регионы (Вуз-партнёр - Шаньдунский университет)</v>
      </c>
    </row>
    <row r="858" spans="1:13" customFormat="1" ht="30" hidden="1" customHeight="1" x14ac:dyDescent="0.25">
      <c r="A858" s="41" t="s">
        <v>2543</v>
      </c>
      <c r="B858" s="25" t="s">
        <v>1276</v>
      </c>
      <c r="C858" s="29" t="s">
        <v>664</v>
      </c>
      <c r="D858" s="29" t="s">
        <v>666</v>
      </c>
      <c r="E858" s="25" t="s">
        <v>3126</v>
      </c>
      <c r="F858" s="26" t="s">
        <v>115</v>
      </c>
      <c r="G858" s="27" t="s">
        <v>167</v>
      </c>
      <c r="H858" s="27" t="s">
        <v>620</v>
      </c>
      <c r="I858" s="27" t="s">
        <v>2822</v>
      </c>
      <c r="J858" s="27" t="s">
        <v>564</v>
      </c>
      <c r="K858" s="106" t="str">
        <f t="shared" si="41"/>
        <v>М</v>
      </c>
      <c r="L858" s="106" t="str">
        <f t="shared" si="42"/>
        <v>Д</v>
      </c>
      <c r="M858" s="107" t="str">
        <f t="shared" si="43"/>
        <v>Россия и сопредельные регионы (Вуз-партнёр - Казахский университет международных отношений и мировых языков имени Абылай хана)</v>
      </c>
    </row>
    <row r="859" spans="1:13" customFormat="1" ht="30" hidden="1" customHeight="1" x14ac:dyDescent="0.25">
      <c r="A859" s="41" t="s">
        <v>2544</v>
      </c>
      <c r="B859" s="25" t="s">
        <v>1276</v>
      </c>
      <c r="C859" s="29" t="s">
        <v>664</v>
      </c>
      <c r="D859" s="29" t="s">
        <v>666</v>
      </c>
      <c r="E859" s="25" t="s">
        <v>3126</v>
      </c>
      <c r="F859" s="26" t="s">
        <v>115</v>
      </c>
      <c r="G859" s="27" t="s">
        <v>167</v>
      </c>
      <c r="H859" s="27" t="s">
        <v>620</v>
      </c>
      <c r="I859" s="27" t="s">
        <v>2808</v>
      </c>
      <c r="J859" s="27" t="s">
        <v>564</v>
      </c>
      <c r="K859" s="106" t="str">
        <f t="shared" si="41"/>
        <v>М</v>
      </c>
      <c r="L859" s="106" t="str">
        <f t="shared" si="42"/>
        <v>Д</v>
      </c>
      <c r="M859" s="107" t="str">
        <f t="shared" si="43"/>
        <v>Россия и сопредельные регионы (Вуз-партнёр - Ланьчжоуский университет)</v>
      </c>
    </row>
    <row r="860" spans="1:13" customFormat="1" ht="30" hidden="1" customHeight="1" x14ac:dyDescent="0.25">
      <c r="A860" s="41" t="s">
        <v>2509</v>
      </c>
      <c r="B860" s="25" t="s">
        <v>1276</v>
      </c>
      <c r="C860" s="29" t="s">
        <v>664</v>
      </c>
      <c r="D860" s="29" t="s">
        <v>666</v>
      </c>
      <c r="E860" s="25" t="s">
        <v>3126</v>
      </c>
      <c r="F860" s="26" t="s">
        <v>115</v>
      </c>
      <c r="G860" s="27" t="s">
        <v>167</v>
      </c>
      <c r="H860" s="27" t="s">
        <v>2508</v>
      </c>
      <c r="I860" s="27"/>
      <c r="J860" s="27" t="s">
        <v>564</v>
      </c>
      <c r="K860" s="106" t="str">
        <f t="shared" si="41"/>
        <v>М</v>
      </c>
      <c r="L860" s="106" t="str">
        <f t="shared" si="42"/>
        <v>Д</v>
      </c>
      <c r="M860" s="107" t="str">
        <f t="shared" si="43"/>
        <v>Франкоязычные страны мира</v>
      </c>
    </row>
    <row r="861" spans="1:13" customFormat="1" ht="30" hidden="1" customHeight="1" x14ac:dyDescent="0.25">
      <c r="A861" s="41" t="s">
        <v>1425</v>
      </c>
      <c r="B861" s="25" t="s">
        <v>1426</v>
      </c>
      <c r="C861" s="29" t="s">
        <v>664</v>
      </c>
      <c r="D861" s="29" t="s">
        <v>666</v>
      </c>
      <c r="E861" s="25" t="s">
        <v>3126</v>
      </c>
      <c r="F861" s="26" t="s">
        <v>115</v>
      </c>
      <c r="G861" s="27" t="s">
        <v>152</v>
      </c>
      <c r="H861" s="27" t="s">
        <v>269</v>
      </c>
      <c r="I861" s="27"/>
      <c r="J861" s="27" t="s">
        <v>564</v>
      </c>
      <c r="K861" s="106" t="str">
        <f t="shared" si="41"/>
        <v>М</v>
      </c>
      <c r="L861" s="106" t="str">
        <f t="shared" si="42"/>
        <v>Д</v>
      </c>
      <c r="M861" s="107" t="str">
        <f t="shared" si="43"/>
        <v>Политические институты, процессы и технологии</v>
      </c>
    </row>
    <row r="862" spans="1:13" customFormat="1" ht="30" hidden="1" customHeight="1" x14ac:dyDescent="0.25">
      <c r="A862" s="41" t="s">
        <v>1427</v>
      </c>
      <c r="B862" s="25" t="s">
        <v>1426</v>
      </c>
      <c r="C862" s="29" t="s">
        <v>664</v>
      </c>
      <c r="D862" s="29" t="s">
        <v>666</v>
      </c>
      <c r="E862" s="25" t="s">
        <v>3126</v>
      </c>
      <c r="F862" s="26" t="s">
        <v>115</v>
      </c>
      <c r="G862" s="27" t="s">
        <v>152</v>
      </c>
      <c r="H862" s="27" t="s">
        <v>623</v>
      </c>
      <c r="I862" s="27"/>
      <c r="J862" s="27" t="s">
        <v>564</v>
      </c>
      <c r="K862" s="106" t="str">
        <f t="shared" si="41"/>
        <v>М</v>
      </c>
      <c r="L862" s="106" t="str">
        <f t="shared" si="42"/>
        <v>Д</v>
      </c>
      <c r="M862" s="107" t="str">
        <f t="shared" si="43"/>
        <v>Политические проблемы глобализирующегося мира</v>
      </c>
    </row>
    <row r="863" spans="1:13" customFormat="1" ht="30" hidden="1" customHeight="1" x14ac:dyDescent="0.25">
      <c r="A863" s="41" t="s">
        <v>1428</v>
      </c>
      <c r="B863" s="25" t="s">
        <v>1426</v>
      </c>
      <c r="C863" s="29" t="s">
        <v>664</v>
      </c>
      <c r="D863" s="29" t="s">
        <v>666</v>
      </c>
      <c r="E863" s="25" t="s">
        <v>3126</v>
      </c>
      <c r="F863" s="26" t="s">
        <v>115</v>
      </c>
      <c r="G863" s="27" t="s">
        <v>152</v>
      </c>
      <c r="H863" s="27" t="s">
        <v>2503</v>
      </c>
      <c r="I863" s="27" t="s">
        <v>2813</v>
      </c>
      <c r="J863" s="27" t="s">
        <v>564</v>
      </c>
      <c r="K863" s="106" t="str">
        <f t="shared" si="41"/>
        <v>М</v>
      </c>
      <c r="L863" s="106" t="str">
        <f t="shared" si="42"/>
        <v>Д</v>
      </c>
      <c r="M863" s="107" t="str">
        <f t="shared" si="43"/>
        <v>Политические проблемы европейской интеграции (Вуз-партнёр - Институт политических исследований университета Бордо)</v>
      </c>
    </row>
    <row r="864" spans="1:13" customFormat="1" ht="30" hidden="1" customHeight="1" x14ac:dyDescent="0.25">
      <c r="A864" s="41" t="s">
        <v>1429</v>
      </c>
      <c r="B864" s="25" t="s">
        <v>1426</v>
      </c>
      <c r="C864" s="29" t="s">
        <v>664</v>
      </c>
      <c r="D864" s="29" t="s">
        <v>666</v>
      </c>
      <c r="E864" s="25" t="s">
        <v>3126</v>
      </c>
      <c r="F864" s="26" t="s">
        <v>115</v>
      </c>
      <c r="G864" s="27" t="s">
        <v>152</v>
      </c>
      <c r="H864" s="27" t="s">
        <v>623</v>
      </c>
      <c r="I864" s="27" t="s">
        <v>944</v>
      </c>
      <c r="J864" s="27" t="s">
        <v>564</v>
      </c>
      <c r="K864" s="106" t="str">
        <f t="shared" si="41"/>
        <v>М</v>
      </c>
      <c r="L864" s="106" t="str">
        <f t="shared" si="42"/>
        <v>Д</v>
      </c>
      <c r="M864" s="107" t="str">
        <f t="shared" si="43"/>
        <v>Политические проблемы глобализирующегося мира (Вуз-партнёр - Шаньдунский университет)</v>
      </c>
    </row>
    <row r="865" spans="1:13" customFormat="1" ht="30" hidden="1" customHeight="1" x14ac:dyDescent="0.25">
      <c r="A865" s="41" t="s">
        <v>1430</v>
      </c>
      <c r="B865" s="25" t="s">
        <v>1426</v>
      </c>
      <c r="C865" s="29" t="s">
        <v>664</v>
      </c>
      <c r="D865" s="29" t="s">
        <v>666</v>
      </c>
      <c r="E865" s="25" t="s">
        <v>3126</v>
      </c>
      <c r="F865" s="26" t="s">
        <v>115</v>
      </c>
      <c r="G865" s="27" t="s">
        <v>152</v>
      </c>
      <c r="H865" s="27" t="s">
        <v>2505</v>
      </c>
      <c r="I865" s="27" t="s">
        <v>937</v>
      </c>
      <c r="J865" s="27" t="s">
        <v>564</v>
      </c>
      <c r="K865" s="106" t="str">
        <f t="shared" si="41"/>
        <v>М</v>
      </c>
      <c r="L865" s="106" t="str">
        <f t="shared" si="42"/>
        <v>Д</v>
      </c>
      <c r="M865" s="107" t="str">
        <f t="shared" si="43"/>
        <v>Публичное администрирование - политические науки (Вуз-партнёр - Университет Потсдам)</v>
      </c>
    </row>
    <row r="866" spans="1:13" customFormat="1" ht="30" hidden="1" customHeight="1" x14ac:dyDescent="0.25">
      <c r="A866" s="41" t="s">
        <v>1431</v>
      </c>
      <c r="B866" s="25" t="s">
        <v>1426</v>
      </c>
      <c r="C866" s="29" t="s">
        <v>664</v>
      </c>
      <c r="D866" s="29" t="s">
        <v>666</v>
      </c>
      <c r="E866" s="25" t="s">
        <v>3126</v>
      </c>
      <c r="F866" s="26" t="s">
        <v>115</v>
      </c>
      <c r="G866" s="27" t="s">
        <v>152</v>
      </c>
      <c r="H866" s="27" t="s">
        <v>2505</v>
      </c>
      <c r="I866" s="27" t="s">
        <v>933</v>
      </c>
      <c r="J866" s="27" t="s">
        <v>564</v>
      </c>
      <c r="K866" s="106" t="str">
        <f t="shared" si="41"/>
        <v>М</v>
      </c>
      <c r="L866" s="106" t="str">
        <f t="shared" si="42"/>
        <v>Д</v>
      </c>
      <c r="M866" s="107" t="str">
        <f t="shared" si="43"/>
        <v>Публичное администрирование - политические науки (Вуз-партнёр - Университет Гренобль-Альпы)</v>
      </c>
    </row>
    <row r="867" spans="1:13" customFormat="1" ht="30" hidden="1" customHeight="1" x14ac:dyDescent="0.25">
      <c r="A867" s="41" t="s">
        <v>1432</v>
      </c>
      <c r="B867" s="25" t="s">
        <v>1426</v>
      </c>
      <c r="C867" s="29" t="s">
        <v>664</v>
      </c>
      <c r="D867" s="29" t="s">
        <v>1730</v>
      </c>
      <c r="E867" s="25" t="s">
        <v>3126</v>
      </c>
      <c r="F867" s="26" t="s">
        <v>115</v>
      </c>
      <c r="G867" s="27" t="s">
        <v>152</v>
      </c>
      <c r="H867" s="27" t="s">
        <v>2506</v>
      </c>
      <c r="I867" s="27"/>
      <c r="J867" s="27" t="s">
        <v>564</v>
      </c>
      <c r="K867" s="106" t="str">
        <f t="shared" si="41"/>
        <v>М</v>
      </c>
      <c r="L867" s="106" t="str">
        <f t="shared" si="42"/>
        <v>Д</v>
      </c>
      <c r="M867" s="107" t="str">
        <f t="shared" si="43"/>
        <v>Политические институты и ценности (Английский язык)</v>
      </c>
    </row>
    <row r="868" spans="1:13" customFormat="1" ht="30" hidden="1" customHeight="1" x14ac:dyDescent="0.25">
      <c r="A868" s="41" t="s">
        <v>2513</v>
      </c>
      <c r="B868" s="25" t="s">
        <v>1426</v>
      </c>
      <c r="C868" s="29" t="s">
        <v>664</v>
      </c>
      <c r="D868" s="29" t="s">
        <v>666</v>
      </c>
      <c r="E868" s="25" t="s">
        <v>3126</v>
      </c>
      <c r="F868" s="26" t="s">
        <v>115</v>
      </c>
      <c r="G868" s="27" t="s">
        <v>152</v>
      </c>
      <c r="H868" s="27" t="s">
        <v>2514</v>
      </c>
      <c r="I868" s="27" t="s">
        <v>930</v>
      </c>
      <c r="J868" s="27" t="s">
        <v>564</v>
      </c>
      <c r="K868" s="106" t="str">
        <f t="shared" si="41"/>
        <v>М</v>
      </c>
      <c r="L868" s="106" t="str">
        <f t="shared" si="42"/>
        <v>Д</v>
      </c>
      <c r="M868" s="107" t="str">
        <f t="shared" si="43"/>
        <v>Россия и Европа перед вызовами современности (Вуз-партнёр - Университет Бордо)</v>
      </c>
    </row>
    <row r="869" spans="1:13" customFormat="1" ht="30" hidden="1" customHeight="1" x14ac:dyDescent="0.25">
      <c r="A869" s="41" t="s">
        <v>2515</v>
      </c>
      <c r="B869" s="25" t="s">
        <v>1426</v>
      </c>
      <c r="C869" s="29" t="s">
        <v>664</v>
      </c>
      <c r="D869" s="29" t="s">
        <v>666</v>
      </c>
      <c r="E869" s="25" t="s">
        <v>3126</v>
      </c>
      <c r="F869" s="26" t="s">
        <v>115</v>
      </c>
      <c r="G869" s="27" t="s">
        <v>152</v>
      </c>
      <c r="H869" s="27" t="s">
        <v>2516</v>
      </c>
      <c r="I869" s="27"/>
      <c r="J869" s="27" t="s">
        <v>564</v>
      </c>
      <c r="K869" s="106" t="str">
        <f t="shared" si="41"/>
        <v>М</v>
      </c>
      <c r="L869" s="106" t="str">
        <f t="shared" si="42"/>
        <v>Д</v>
      </c>
      <c r="M869" s="107" t="str">
        <f t="shared" si="43"/>
        <v>Стратегический анализ, моделирование и планирование социально-политических действий</v>
      </c>
    </row>
    <row r="870" spans="1:13" customFormat="1" ht="30" hidden="1" customHeight="1" x14ac:dyDescent="0.25">
      <c r="A870" s="41" t="s">
        <v>3079</v>
      </c>
      <c r="B870" s="25" t="s">
        <v>1426</v>
      </c>
      <c r="C870" s="29" t="s">
        <v>664</v>
      </c>
      <c r="D870" s="29" t="s">
        <v>666</v>
      </c>
      <c r="E870" s="25" t="s">
        <v>3126</v>
      </c>
      <c r="F870" s="26" t="s">
        <v>115</v>
      </c>
      <c r="G870" s="27" t="s">
        <v>152</v>
      </c>
      <c r="H870" s="27" t="s">
        <v>3174</v>
      </c>
      <c r="I870" s="27"/>
      <c r="J870" s="27" t="s">
        <v>564</v>
      </c>
      <c r="K870" s="106" t="str">
        <f t="shared" si="41"/>
        <v>М</v>
      </c>
      <c r="L870" s="106" t="str">
        <f t="shared" si="42"/>
        <v>Д</v>
      </c>
      <c r="M870" s="107" t="str">
        <f t="shared" si="43"/>
        <v>Международный GR-менеджмент и публичная политика</v>
      </c>
    </row>
    <row r="871" spans="1:13" customFormat="1" ht="30" hidden="1" customHeight="1" x14ac:dyDescent="0.25">
      <c r="A871" s="41" t="s">
        <v>1433</v>
      </c>
      <c r="B871" s="25" t="s">
        <v>1434</v>
      </c>
      <c r="C871" s="29" t="s">
        <v>664</v>
      </c>
      <c r="D871" s="29" t="s">
        <v>666</v>
      </c>
      <c r="E871" s="25" t="s">
        <v>3126</v>
      </c>
      <c r="F871" s="26" t="s">
        <v>115</v>
      </c>
      <c r="G871" s="27" t="s">
        <v>155</v>
      </c>
      <c r="H871" s="27" t="s">
        <v>622</v>
      </c>
      <c r="I871" s="27"/>
      <c r="J871" s="27" t="s">
        <v>564</v>
      </c>
      <c r="K871" s="106" t="str">
        <f t="shared" si="41"/>
        <v>М</v>
      </c>
      <c r="L871" s="106" t="str">
        <f t="shared" si="42"/>
        <v>Д</v>
      </c>
      <c r="M871" s="107" t="str">
        <f t="shared" si="43"/>
        <v>Мировая политика: концептуальные основы и межкультурное взаимодействие</v>
      </c>
    </row>
    <row r="872" spans="1:13" customFormat="1" ht="30" hidden="1" customHeight="1" x14ac:dyDescent="0.25">
      <c r="A872" s="41" t="s">
        <v>1435</v>
      </c>
      <c r="B872" s="25" t="s">
        <v>1434</v>
      </c>
      <c r="C872" s="29" t="s">
        <v>664</v>
      </c>
      <c r="D872" s="29" t="s">
        <v>1730</v>
      </c>
      <c r="E872" s="25" t="s">
        <v>3126</v>
      </c>
      <c r="F872" s="26" t="s">
        <v>115</v>
      </c>
      <c r="G872" s="27" t="s">
        <v>155</v>
      </c>
      <c r="H872" s="27" t="s">
        <v>2495</v>
      </c>
      <c r="I872" s="27"/>
      <c r="J872" s="27" t="s">
        <v>564</v>
      </c>
      <c r="K872" s="106" t="str">
        <f t="shared" si="41"/>
        <v>М</v>
      </c>
      <c r="L872" s="106" t="str">
        <f t="shared" si="42"/>
        <v>Д</v>
      </c>
      <c r="M872" s="107" t="str">
        <f t="shared" si="43"/>
        <v>Глобальная безопасность и сотрудничество в целях развития (Английский язык)</v>
      </c>
    </row>
    <row r="873" spans="1:13" customFormat="1" ht="30" hidden="1" customHeight="1" x14ac:dyDescent="0.25">
      <c r="A873" s="41" t="s">
        <v>1436</v>
      </c>
      <c r="B873" s="25" t="s">
        <v>1434</v>
      </c>
      <c r="C873" s="29" t="s">
        <v>664</v>
      </c>
      <c r="D873" s="29" t="s">
        <v>666</v>
      </c>
      <c r="E873" s="25" t="s">
        <v>3126</v>
      </c>
      <c r="F873" s="26" t="s">
        <v>115</v>
      </c>
      <c r="G873" s="27" t="s">
        <v>155</v>
      </c>
      <c r="H873" s="27" t="s">
        <v>2500</v>
      </c>
      <c r="I873" s="27" t="s">
        <v>923</v>
      </c>
      <c r="J873" s="27" t="s">
        <v>564</v>
      </c>
      <c r="K873" s="106" t="str">
        <f t="shared" si="41"/>
        <v>М</v>
      </c>
      <c r="L873" s="106" t="str">
        <f t="shared" si="42"/>
        <v>Д</v>
      </c>
      <c r="M873" s="107" t="str">
        <f t="shared" si="43"/>
        <v>Мировая политика: глобализация и конфликты (Вуз-партнёр - Пекинский университет иностранных языков)</v>
      </c>
    </row>
    <row r="874" spans="1:13" customFormat="1" ht="30" hidden="1" customHeight="1" x14ac:dyDescent="0.25">
      <c r="A874" s="41" t="s">
        <v>1437</v>
      </c>
      <c r="B874" s="25" t="s">
        <v>1434</v>
      </c>
      <c r="C874" s="29" t="s">
        <v>664</v>
      </c>
      <c r="D874" s="29" t="s">
        <v>666</v>
      </c>
      <c r="E874" s="25" t="s">
        <v>3126</v>
      </c>
      <c r="F874" s="26" t="s">
        <v>115</v>
      </c>
      <c r="G874" s="27" t="s">
        <v>155</v>
      </c>
      <c r="H874" s="27" t="s">
        <v>622</v>
      </c>
      <c r="I874" s="27" t="s">
        <v>918</v>
      </c>
      <c r="J874" s="27" t="s">
        <v>564</v>
      </c>
      <c r="K874" s="106" t="str">
        <f t="shared" si="41"/>
        <v>М</v>
      </c>
      <c r="L874" s="106" t="str">
        <f t="shared" si="42"/>
        <v>Д</v>
      </c>
      <c r="M874" s="107" t="str">
        <f t="shared" si="43"/>
        <v>Мировая политика: концептуальные основы и межкультурное взаимодействие (Вуз-партнёр - Мадридский университет Комплутенсе)</v>
      </c>
    </row>
    <row r="875" spans="1:13" customFormat="1" ht="30" hidden="1" customHeight="1" x14ac:dyDescent="0.25">
      <c r="A875" s="41" t="s">
        <v>1438</v>
      </c>
      <c r="B875" s="25" t="s">
        <v>1434</v>
      </c>
      <c r="C875" s="29" t="s">
        <v>664</v>
      </c>
      <c r="D875" s="29" t="s">
        <v>666</v>
      </c>
      <c r="E875" s="25" t="s">
        <v>3126</v>
      </c>
      <c r="F875" s="26" t="s">
        <v>115</v>
      </c>
      <c r="G875" s="27" t="s">
        <v>155</v>
      </c>
      <c r="H875" s="27" t="s">
        <v>2501</v>
      </c>
      <c r="I875" s="27" t="s">
        <v>916</v>
      </c>
      <c r="J875" s="27" t="s">
        <v>564</v>
      </c>
      <c r="K875" s="106" t="str">
        <f t="shared" si="41"/>
        <v>М</v>
      </c>
      <c r="L875" s="106" t="str">
        <f t="shared" si="42"/>
        <v>Д</v>
      </c>
      <c r="M875" s="107" t="str">
        <f t="shared" si="43"/>
        <v>Россия и Ближний Восток: основные направления взаимодействия и сотрудничества (Вуз-партнёр - Ливанский университет)</v>
      </c>
    </row>
    <row r="876" spans="1:13" customFormat="1" ht="30" hidden="1" customHeight="1" x14ac:dyDescent="0.25">
      <c r="A876" s="41" t="s">
        <v>1439</v>
      </c>
      <c r="B876" s="25" t="s">
        <v>1434</v>
      </c>
      <c r="C876" s="29" t="s">
        <v>664</v>
      </c>
      <c r="D876" s="29" t="s">
        <v>666</v>
      </c>
      <c r="E876" s="25" t="s">
        <v>3126</v>
      </c>
      <c r="F876" s="26" t="s">
        <v>115</v>
      </c>
      <c r="G876" s="27" t="s">
        <v>155</v>
      </c>
      <c r="H876" s="27" t="s">
        <v>2502</v>
      </c>
      <c r="I876" s="27" t="s">
        <v>926</v>
      </c>
      <c r="J876" s="27" t="s">
        <v>564</v>
      </c>
      <c r="K876" s="106" t="str">
        <f t="shared" si="41"/>
        <v>М</v>
      </c>
      <c r="L876" s="106" t="str">
        <f t="shared" si="42"/>
        <v>Д</v>
      </c>
      <c r="M876" s="107" t="str">
        <f t="shared" si="43"/>
        <v>Мировая политика (Вуз-партнёр - СУ СНГ)</v>
      </c>
    </row>
    <row r="877" spans="1:13" customFormat="1" ht="30" hidden="1" customHeight="1" x14ac:dyDescent="0.25">
      <c r="A877" s="41" t="s">
        <v>2524</v>
      </c>
      <c r="B877" s="25" t="s">
        <v>1434</v>
      </c>
      <c r="C877" s="29" t="s">
        <v>664</v>
      </c>
      <c r="D877" s="29" t="s">
        <v>1730</v>
      </c>
      <c r="E877" s="25" t="s">
        <v>3126</v>
      </c>
      <c r="F877" s="26" t="s">
        <v>115</v>
      </c>
      <c r="G877" s="27" t="s">
        <v>155</v>
      </c>
      <c r="H877" s="27" t="s">
        <v>2495</v>
      </c>
      <c r="I877" s="27" t="s">
        <v>918</v>
      </c>
      <c r="J877" s="27" t="s">
        <v>564</v>
      </c>
      <c r="K877" s="106" t="str">
        <f t="shared" si="41"/>
        <v>М</v>
      </c>
      <c r="L877" s="106" t="str">
        <f t="shared" si="42"/>
        <v>Д</v>
      </c>
      <c r="M877" s="107" t="str">
        <f t="shared" si="43"/>
        <v>Глобальная безопасность и сотрудничество в целях развития (Английский язык) (Вуз-партнёр - Мадридский университет Комплутенсе)</v>
      </c>
    </row>
    <row r="878" spans="1:13" customFormat="1" ht="30" hidden="1" customHeight="1" x14ac:dyDescent="0.25">
      <c r="A878" s="41" t="s">
        <v>2528</v>
      </c>
      <c r="B878" s="25" t="s">
        <v>1434</v>
      </c>
      <c r="C878" s="29" t="s">
        <v>664</v>
      </c>
      <c r="D878" s="29" t="s">
        <v>666</v>
      </c>
      <c r="E878" s="25" t="s">
        <v>3126</v>
      </c>
      <c r="F878" s="26" t="s">
        <v>115</v>
      </c>
      <c r="G878" s="27" t="s">
        <v>155</v>
      </c>
      <c r="H878" s="27" t="s">
        <v>2502</v>
      </c>
      <c r="I878" s="27" t="s">
        <v>2815</v>
      </c>
      <c r="J878" s="27" t="s">
        <v>564</v>
      </c>
      <c r="K878" s="106" t="str">
        <f t="shared" si="41"/>
        <v>М</v>
      </c>
      <c r="L878" s="106" t="str">
        <f t="shared" si="42"/>
        <v>Д</v>
      </c>
      <c r="M878" s="107" t="str">
        <f t="shared" si="43"/>
        <v>Мировая политика (Вуз-партнёр - Таджикский национальный университет)</v>
      </c>
    </row>
    <row r="879" spans="1:13" customFormat="1" ht="30" hidden="1" customHeight="1" x14ac:dyDescent="0.25">
      <c r="A879" s="41" t="s">
        <v>2529</v>
      </c>
      <c r="B879" s="25" t="s">
        <v>1434</v>
      </c>
      <c r="C879" s="29" t="s">
        <v>664</v>
      </c>
      <c r="D879" s="29" t="s">
        <v>666</v>
      </c>
      <c r="E879" s="25" t="s">
        <v>3126</v>
      </c>
      <c r="F879" s="26" t="s">
        <v>115</v>
      </c>
      <c r="G879" s="27" t="s">
        <v>155</v>
      </c>
      <c r="H879" s="27" t="s">
        <v>2502</v>
      </c>
      <c r="I879" s="27" t="s">
        <v>909</v>
      </c>
      <c r="J879" s="27" t="s">
        <v>564</v>
      </c>
      <c r="K879" s="106" t="str">
        <f t="shared" si="41"/>
        <v>М</v>
      </c>
      <c r="L879" s="106" t="str">
        <f t="shared" si="42"/>
        <v>Д</v>
      </c>
      <c r="M879" s="107" t="str">
        <f t="shared" si="43"/>
        <v>Мировая политика (Вуз-партнёр - Ереванский государственный университет)</v>
      </c>
    </row>
    <row r="880" spans="1:13" customFormat="1" ht="30" hidden="1" customHeight="1" x14ac:dyDescent="0.25">
      <c r="A880" s="41" t="s">
        <v>2530</v>
      </c>
      <c r="B880" s="25" t="s">
        <v>1434</v>
      </c>
      <c r="C880" s="29" t="s">
        <v>664</v>
      </c>
      <c r="D880" s="29" t="s">
        <v>666</v>
      </c>
      <c r="E880" s="25" t="s">
        <v>3126</v>
      </c>
      <c r="F880" s="26" t="s">
        <v>115</v>
      </c>
      <c r="G880" s="27" t="s">
        <v>155</v>
      </c>
      <c r="H880" s="27" t="s">
        <v>2502</v>
      </c>
      <c r="I880" s="27" t="s">
        <v>2816</v>
      </c>
      <c r="J880" s="27" t="s">
        <v>564</v>
      </c>
      <c r="K880" s="106" t="str">
        <f t="shared" si="41"/>
        <v>М</v>
      </c>
      <c r="L880" s="106" t="str">
        <f t="shared" si="42"/>
        <v>Д</v>
      </c>
      <c r="M880" s="107" t="str">
        <f t="shared" si="43"/>
        <v>Мировая политика (Вуз-партнёр - Бакинский славянский университет)</v>
      </c>
    </row>
    <row r="881" spans="1:13" customFormat="1" ht="30" hidden="1" customHeight="1" x14ac:dyDescent="0.25">
      <c r="A881" s="41" t="s">
        <v>2531</v>
      </c>
      <c r="B881" s="25" t="s">
        <v>1434</v>
      </c>
      <c r="C881" s="29" t="s">
        <v>664</v>
      </c>
      <c r="D881" s="29" t="s">
        <v>666</v>
      </c>
      <c r="E881" s="25" t="s">
        <v>3126</v>
      </c>
      <c r="F881" s="26" t="s">
        <v>115</v>
      </c>
      <c r="G881" s="27" t="s">
        <v>155</v>
      </c>
      <c r="H881" s="27" t="s">
        <v>2502</v>
      </c>
      <c r="I881" s="27" t="s">
        <v>907</v>
      </c>
      <c r="J881" s="27" t="s">
        <v>564</v>
      </c>
      <c r="K881" s="106" t="str">
        <f t="shared" si="41"/>
        <v>М</v>
      </c>
      <c r="L881" s="106" t="str">
        <f t="shared" si="42"/>
        <v>Д</v>
      </c>
      <c r="M881" s="107" t="str">
        <f t="shared" si="43"/>
        <v>Мировая политика (Вуз-партнёр - Евразийский национальный университет им. Л.Н. Гумилева)</v>
      </c>
    </row>
    <row r="882" spans="1:13" customFormat="1" ht="30" hidden="1" customHeight="1" x14ac:dyDescent="0.25">
      <c r="A882" s="41" t="s">
        <v>2532</v>
      </c>
      <c r="B882" s="25" t="s">
        <v>1434</v>
      </c>
      <c r="C882" s="29" t="s">
        <v>664</v>
      </c>
      <c r="D882" s="29" t="s">
        <v>666</v>
      </c>
      <c r="E882" s="25" t="s">
        <v>3126</v>
      </c>
      <c r="F882" s="26" t="s">
        <v>115</v>
      </c>
      <c r="G882" s="27" t="s">
        <v>155</v>
      </c>
      <c r="H882" s="27" t="s">
        <v>2502</v>
      </c>
      <c r="I882" s="27" t="s">
        <v>912</v>
      </c>
      <c r="J882" s="27" t="s">
        <v>564</v>
      </c>
      <c r="K882" s="106" t="str">
        <f t="shared" si="41"/>
        <v>М</v>
      </c>
      <c r="L882" s="106" t="str">
        <f t="shared" si="42"/>
        <v>Д</v>
      </c>
      <c r="M882" s="107" t="str">
        <f t="shared" si="43"/>
        <v>Мировая политика (Вуз-партнёр - Казахский национальный университет им. Аль-Фараби)</v>
      </c>
    </row>
    <row r="883" spans="1:13" customFormat="1" ht="30" hidden="1" customHeight="1" x14ac:dyDescent="0.25">
      <c r="A883" s="41" t="s">
        <v>2533</v>
      </c>
      <c r="B883" s="25" t="s">
        <v>1434</v>
      </c>
      <c r="C883" s="29" t="s">
        <v>664</v>
      </c>
      <c r="D883" s="29" t="s">
        <v>666</v>
      </c>
      <c r="E883" s="25" t="s">
        <v>3126</v>
      </c>
      <c r="F883" s="26" t="s">
        <v>115</v>
      </c>
      <c r="G883" s="27" t="s">
        <v>155</v>
      </c>
      <c r="H883" s="27" t="s">
        <v>2502</v>
      </c>
      <c r="I883" s="27" t="s">
        <v>915</v>
      </c>
      <c r="J883" s="27" t="s">
        <v>564</v>
      </c>
      <c r="K883" s="106" t="str">
        <f t="shared" si="41"/>
        <v>М</v>
      </c>
      <c r="L883" s="106" t="str">
        <f t="shared" si="42"/>
        <v>Д</v>
      </c>
      <c r="M883" s="107" t="str">
        <f t="shared" si="43"/>
        <v>Мировая политика (Вуз-партнёр - Кыргызский национальный университет им. Ж. Баласагына)</v>
      </c>
    </row>
    <row r="884" spans="1:13" customFormat="1" ht="30" hidden="1" customHeight="1" x14ac:dyDescent="0.25">
      <c r="A884" s="41" t="s">
        <v>2534</v>
      </c>
      <c r="B884" s="25" t="s">
        <v>1434</v>
      </c>
      <c r="C884" s="29" t="s">
        <v>664</v>
      </c>
      <c r="D884" s="29" t="s">
        <v>666</v>
      </c>
      <c r="E884" s="25" t="s">
        <v>3126</v>
      </c>
      <c r="F884" s="26" t="s">
        <v>115</v>
      </c>
      <c r="G884" s="27" t="s">
        <v>155</v>
      </c>
      <c r="H884" s="27" t="s">
        <v>2502</v>
      </c>
      <c r="I884" s="27" t="s">
        <v>924</v>
      </c>
      <c r="J884" s="27" t="s">
        <v>564</v>
      </c>
      <c r="K884" s="106" t="str">
        <f t="shared" si="41"/>
        <v>М</v>
      </c>
      <c r="L884" s="106" t="str">
        <f t="shared" si="42"/>
        <v>Д</v>
      </c>
      <c r="M884" s="107" t="str">
        <f t="shared" si="43"/>
        <v>Мировая политика (Вуз-партнёр - Российско-Таджикский (Славянский) университет)</v>
      </c>
    </row>
    <row r="885" spans="1:13" customFormat="1" ht="30" hidden="1" customHeight="1" x14ac:dyDescent="0.25">
      <c r="A885" s="41" t="s">
        <v>2535</v>
      </c>
      <c r="B885" s="25" t="s">
        <v>1434</v>
      </c>
      <c r="C885" s="29" t="s">
        <v>664</v>
      </c>
      <c r="D885" s="29" t="s">
        <v>666</v>
      </c>
      <c r="E885" s="25" t="s">
        <v>3126</v>
      </c>
      <c r="F885" s="26" t="s">
        <v>115</v>
      </c>
      <c r="G885" s="27" t="s">
        <v>155</v>
      </c>
      <c r="H885" s="27" t="s">
        <v>2502</v>
      </c>
      <c r="I885" s="27" t="s">
        <v>946</v>
      </c>
      <c r="J885" s="27" t="s">
        <v>564</v>
      </c>
      <c r="K885" s="106" t="str">
        <f t="shared" si="41"/>
        <v>М</v>
      </c>
      <c r="L885" s="106" t="str">
        <f t="shared" si="42"/>
        <v>Д</v>
      </c>
      <c r="M885" s="107" t="str">
        <f t="shared" si="43"/>
        <v>Мировая политика (Вуз-партнёр - Южно-Казахстанский государственный университет им. М.Ауезова)</v>
      </c>
    </row>
    <row r="886" spans="1:13" customFormat="1" ht="30" hidden="1" customHeight="1" x14ac:dyDescent="0.25">
      <c r="A886" s="41" t="s">
        <v>2536</v>
      </c>
      <c r="B886" s="25" t="s">
        <v>1434</v>
      </c>
      <c r="C886" s="29" t="s">
        <v>664</v>
      </c>
      <c r="D886" s="29" t="s">
        <v>666</v>
      </c>
      <c r="E886" s="25" t="s">
        <v>3126</v>
      </c>
      <c r="F886" s="26" t="s">
        <v>115</v>
      </c>
      <c r="G886" s="27" t="s">
        <v>155</v>
      </c>
      <c r="H886" s="27" t="s">
        <v>2502</v>
      </c>
      <c r="I886" s="27" t="s">
        <v>2817</v>
      </c>
      <c r="J886" s="27" t="s">
        <v>564</v>
      </c>
      <c r="K886" s="106" t="str">
        <f t="shared" si="41"/>
        <v>М</v>
      </c>
      <c r="L886" s="106" t="str">
        <f t="shared" si="42"/>
        <v>Д</v>
      </c>
      <c r="M886" s="107" t="str">
        <f t="shared" si="43"/>
        <v>Мировая политика (Вуз-партнёр - Белорусский государственный университет)</v>
      </c>
    </row>
    <row r="887" spans="1:13" customFormat="1" ht="30" hidden="1" customHeight="1" x14ac:dyDescent="0.25">
      <c r="A887" s="41" t="s">
        <v>2537</v>
      </c>
      <c r="B887" s="25" t="s">
        <v>1434</v>
      </c>
      <c r="C887" s="29" t="s">
        <v>664</v>
      </c>
      <c r="D887" s="29" t="s">
        <v>666</v>
      </c>
      <c r="E887" s="25" t="s">
        <v>3126</v>
      </c>
      <c r="F887" s="26" t="s">
        <v>115</v>
      </c>
      <c r="G887" s="27" t="s">
        <v>155</v>
      </c>
      <c r="H887" s="27" t="s">
        <v>2502</v>
      </c>
      <c r="I887" s="27" t="s">
        <v>2818</v>
      </c>
      <c r="J887" s="27" t="s">
        <v>564</v>
      </c>
      <c r="K887" s="106" t="str">
        <f t="shared" si="41"/>
        <v>М</v>
      </c>
      <c r="L887" s="106" t="str">
        <f t="shared" si="42"/>
        <v>Д</v>
      </c>
      <c r="M887" s="107" t="str">
        <f t="shared" si="43"/>
        <v>Мировая политика (Вуз-партнёр - Дипломатическая академия Министерства иностранных дел Кыргызской Республики им. К. Дикамбаева)</v>
      </c>
    </row>
    <row r="888" spans="1:13" customFormat="1" ht="30" hidden="1" customHeight="1" x14ac:dyDescent="0.25">
      <c r="A888" s="41" t="s">
        <v>2538</v>
      </c>
      <c r="B888" s="25" t="s">
        <v>1434</v>
      </c>
      <c r="C888" s="29" t="s">
        <v>664</v>
      </c>
      <c r="D888" s="29" t="s">
        <v>666</v>
      </c>
      <c r="E888" s="25" t="s">
        <v>3126</v>
      </c>
      <c r="F888" s="26" t="s">
        <v>115</v>
      </c>
      <c r="G888" s="27" t="s">
        <v>155</v>
      </c>
      <c r="H888" s="27" t="s">
        <v>2502</v>
      </c>
      <c r="I888" s="27" t="s">
        <v>2819</v>
      </c>
      <c r="J888" s="27" t="s">
        <v>564</v>
      </c>
      <c r="K888" s="106" t="str">
        <f t="shared" si="41"/>
        <v>М</v>
      </c>
      <c r="L888" s="106" t="str">
        <f t="shared" si="42"/>
        <v>Д</v>
      </c>
      <c r="M888" s="107" t="str">
        <f t="shared" si="43"/>
        <v>Мировая политика (Вуз-партнёр - Кыргызско-Российский (Славянский) Университет)</v>
      </c>
    </row>
    <row r="889" spans="1:13" customFormat="1" ht="30" hidden="1" customHeight="1" x14ac:dyDescent="0.25">
      <c r="A889" s="41" t="s">
        <v>2539</v>
      </c>
      <c r="B889" s="25" t="s">
        <v>1434</v>
      </c>
      <c r="C889" s="29" t="s">
        <v>664</v>
      </c>
      <c r="D889" s="29" t="s">
        <v>666</v>
      </c>
      <c r="E889" s="25" t="s">
        <v>3126</v>
      </c>
      <c r="F889" s="26" t="s">
        <v>115</v>
      </c>
      <c r="G889" s="27" t="s">
        <v>155</v>
      </c>
      <c r="H889" s="27" t="s">
        <v>2502</v>
      </c>
      <c r="I889" s="27" t="s">
        <v>2820</v>
      </c>
      <c r="J889" s="27" t="s">
        <v>564</v>
      </c>
      <c r="K889" s="106" t="str">
        <f t="shared" si="41"/>
        <v>М</v>
      </c>
      <c r="L889" s="106" t="str">
        <f t="shared" si="42"/>
        <v>Д</v>
      </c>
      <c r="M889" s="107" t="str">
        <f t="shared" si="43"/>
        <v>Мировая политика (Вуз-партнёр - Донецкий национальный университет)</v>
      </c>
    </row>
    <row r="890" spans="1:13" customFormat="1" ht="30" hidden="1" customHeight="1" x14ac:dyDescent="0.25">
      <c r="A890" s="41" t="s">
        <v>2540</v>
      </c>
      <c r="B890" s="25" t="s">
        <v>1434</v>
      </c>
      <c r="C890" s="29" t="s">
        <v>664</v>
      </c>
      <c r="D890" s="29" t="s">
        <v>666</v>
      </c>
      <c r="E890" s="25" t="s">
        <v>3126</v>
      </c>
      <c r="F890" s="26" t="s">
        <v>115</v>
      </c>
      <c r="G890" s="27" t="s">
        <v>155</v>
      </c>
      <c r="H890" s="27" t="s">
        <v>2502</v>
      </c>
      <c r="I890" s="27" t="s">
        <v>2821</v>
      </c>
      <c r="J890" s="27" t="s">
        <v>564</v>
      </c>
      <c r="K890" s="106" t="str">
        <f t="shared" si="41"/>
        <v>М</v>
      </c>
      <c r="L890" s="106" t="str">
        <f t="shared" si="42"/>
        <v>Д</v>
      </c>
      <c r="M890" s="107" t="str">
        <f t="shared" si="43"/>
        <v>Мировая политика (Вуз-партнёр - Днепропетровский национальный университет им. О. Гончара)</v>
      </c>
    </row>
    <row r="891" spans="1:13" customFormat="1" ht="30" hidden="1" customHeight="1" x14ac:dyDescent="0.25">
      <c r="A891" s="41" t="s">
        <v>1441</v>
      </c>
      <c r="B891" s="25" t="s">
        <v>1440</v>
      </c>
      <c r="C891" s="29" t="s">
        <v>664</v>
      </c>
      <c r="D891" s="29" t="s">
        <v>666</v>
      </c>
      <c r="E891" s="25" t="s">
        <v>3126</v>
      </c>
      <c r="F891" s="26" t="s">
        <v>115</v>
      </c>
      <c r="G891" s="27" t="s">
        <v>92</v>
      </c>
      <c r="H891" s="27" t="s">
        <v>149</v>
      </c>
      <c r="I891" s="27"/>
      <c r="J891" s="27" t="s">
        <v>564</v>
      </c>
      <c r="K891" s="106" t="str">
        <f t="shared" si="41"/>
        <v>М</v>
      </c>
      <c r="L891" s="106" t="str">
        <f t="shared" si="42"/>
        <v>Д</v>
      </c>
      <c r="M891" s="107" t="str">
        <f t="shared" si="43"/>
        <v>Всемирная история и массовые коммуникации</v>
      </c>
    </row>
    <row r="892" spans="1:13" customFormat="1" ht="30" hidden="1" customHeight="1" x14ac:dyDescent="0.25">
      <c r="A892" s="41" t="s">
        <v>1442</v>
      </c>
      <c r="B892" s="25" t="s">
        <v>1440</v>
      </c>
      <c r="C892" s="29" t="s">
        <v>664</v>
      </c>
      <c r="D892" s="29" t="s">
        <v>666</v>
      </c>
      <c r="E892" s="25" t="s">
        <v>3126</v>
      </c>
      <c r="F892" s="26" t="s">
        <v>115</v>
      </c>
      <c r="G892" s="27" t="s">
        <v>92</v>
      </c>
      <c r="H892" s="27" t="s">
        <v>2498</v>
      </c>
      <c r="I892" s="27" t="s">
        <v>933</v>
      </c>
      <c r="J892" s="27" t="s">
        <v>564</v>
      </c>
      <c r="K892" s="106" t="str">
        <f t="shared" si="41"/>
        <v>М</v>
      </c>
      <c r="L892" s="106" t="str">
        <f t="shared" si="42"/>
        <v>Д</v>
      </c>
      <c r="M892" s="107" t="str">
        <f t="shared" si="43"/>
        <v>История и диалог культур (Вуз-партнёр - Университет Гренобль-Альпы)</v>
      </c>
    </row>
    <row r="893" spans="1:13" customFormat="1" ht="30" hidden="1" customHeight="1" x14ac:dyDescent="0.25">
      <c r="A893" s="41" t="s">
        <v>1443</v>
      </c>
      <c r="B893" s="25" t="s">
        <v>1440</v>
      </c>
      <c r="C893" s="29" t="s">
        <v>664</v>
      </c>
      <c r="D893" s="29" t="s">
        <v>666</v>
      </c>
      <c r="E893" s="25" t="s">
        <v>3126</v>
      </c>
      <c r="F893" s="26" t="s">
        <v>115</v>
      </c>
      <c r="G893" s="27" t="s">
        <v>92</v>
      </c>
      <c r="H893" s="27" t="s">
        <v>2499</v>
      </c>
      <c r="I893" s="27" t="s">
        <v>944</v>
      </c>
      <c r="J893" s="27" t="s">
        <v>564</v>
      </c>
      <c r="K893" s="106" t="str">
        <f t="shared" si="41"/>
        <v>М</v>
      </c>
      <c r="L893" s="106" t="str">
        <f t="shared" si="42"/>
        <v>Д</v>
      </c>
      <c r="M893" s="107" t="str">
        <f t="shared" si="43"/>
        <v>Современные тенденции истории России и Китая: компаративистский подход (Вуз-партнёр - Шаньдунский университет)</v>
      </c>
    </row>
    <row r="894" spans="1:13" customFormat="1" ht="30" hidden="1" customHeight="1" x14ac:dyDescent="0.25">
      <c r="A894" s="41" t="s">
        <v>1444</v>
      </c>
      <c r="B894" s="25" t="s">
        <v>1440</v>
      </c>
      <c r="C894" s="29" t="s">
        <v>664</v>
      </c>
      <c r="D894" s="29" t="s">
        <v>666</v>
      </c>
      <c r="E894" s="25" t="s">
        <v>3126</v>
      </c>
      <c r="F894" s="26" t="s">
        <v>115</v>
      </c>
      <c r="G894" s="27" t="s">
        <v>92</v>
      </c>
      <c r="H894" s="27" t="s">
        <v>2497</v>
      </c>
      <c r="I894" s="27" t="s">
        <v>929</v>
      </c>
      <c r="J894" s="27" t="s">
        <v>564</v>
      </c>
      <c r="K894" s="106" t="str">
        <f t="shared" si="41"/>
        <v>М</v>
      </c>
      <c r="L894" s="106" t="str">
        <f t="shared" si="42"/>
        <v>Д</v>
      </c>
      <c r="M894" s="107" t="str">
        <f t="shared" si="43"/>
        <v>Культурное наследие: исследование и управление (Вуз-партнёр - Университет Балеарских островов)</v>
      </c>
    </row>
    <row r="895" spans="1:13" customFormat="1" ht="30" hidden="1" customHeight="1" x14ac:dyDescent="0.25">
      <c r="A895" s="41" t="s">
        <v>1445</v>
      </c>
      <c r="B895" s="25" t="s">
        <v>1440</v>
      </c>
      <c r="C895" s="29" t="s">
        <v>664</v>
      </c>
      <c r="D895" s="29" t="s">
        <v>666</v>
      </c>
      <c r="E895" s="25" t="s">
        <v>3126</v>
      </c>
      <c r="F895" s="26" t="s">
        <v>115</v>
      </c>
      <c r="G895" s="27" t="s">
        <v>92</v>
      </c>
      <c r="H895" s="27" t="s">
        <v>1032</v>
      </c>
      <c r="I895" s="27"/>
      <c r="J895" s="27" t="s">
        <v>564</v>
      </c>
      <c r="K895" s="106" t="str">
        <f t="shared" si="41"/>
        <v>М</v>
      </c>
      <c r="L895" s="106" t="str">
        <f t="shared" si="42"/>
        <v>Д</v>
      </c>
      <c r="M895" s="107" t="str">
        <f t="shared" si="43"/>
        <v>Россия в истории и в современном мире</v>
      </c>
    </row>
    <row r="896" spans="1:13" customFormat="1" ht="30" hidden="1" customHeight="1" x14ac:dyDescent="0.25">
      <c r="A896" s="41" t="s">
        <v>2526</v>
      </c>
      <c r="B896" s="25" t="s">
        <v>1440</v>
      </c>
      <c r="C896" s="29" t="s">
        <v>664</v>
      </c>
      <c r="D896" s="29" t="s">
        <v>666</v>
      </c>
      <c r="E896" s="25" t="s">
        <v>3126</v>
      </c>
      <c r="F896" s="26" t="s">
        <v>115</v>
      </c>
      <c r="G896" s="27" t="s">
        <v>92</v>
      </c>
      <c r="H896" s="27" t="s">
        <v>2527</v>
      </c>
      <c r="I896" s="27"/>
      <c r="J896" s="27" t="s">
        <v>564</v>
      </c>
      <c r="K896" s="106" t="str">
        <f t="shared" si="41"/>
        <v>М</v>
      </c>
      <c r="L896" s="106" t="str">
        <f t="shared" si="42"/>
        <v>Д</v>
      </c>
      <c r="M896" s="107" t="str">
        <f t="shared" si="43"/>
        <v>Компаративная история цивилизаций и проблемы безопасности</v>
      </c>
    </row>
    <row r="897" spans="1:13" customFormat="1" ht="30" hidden="1" customHeight="1" x14ac:dyDescent="0.25">
      <c r="A897" s="41" t="s">
        <v>1446</v>
      </c>
      <c r="B897" s="25" t="s">
        <v>1447</v>
      </c>
      <c r="C897" s="29" t="s">
        <v>664</v>
      </c>
      <c r="D897" s="29" t="s">
        <v>666</v>
      </c>
      <c r="E897" s="25" t="s">
        <v>3126</v>
      </c>
      <c r="F897" s="26" t="s">
        <v>115</v>
      </c>
      <c r="G897" s="27" t="s">
        <v>93</v>
      </c>
      <c r="H897" s="27" t="s">
        <v>148</v>
      </c>
      <c r="I897" s="27"/>
      <c r="J897" s="27" t="s">
        <v>564</v>
      </c>
      <c r="K897" s="106" t="str">
        <f t="shared" si="41"/>
        <v>М</v>
      </c>
      <c r="L897" s="106" t="str">
        <f t="shared" si="42"/>
        <v>Д</v>
      </c>
      <c r="M897" s="107" t="str">
        <f t="shared" si="43"/>
        <v>Знание и ценности: трансформации в изменяющемся мире</v>
      </c>
    </row>
    <row r="898" spans="1:13" customFormat="1" ht="30" hidden="1" customHeight="1" x14ac:dyDescent="0.25">
      <c r="A898" s="41" t="s">
        <v>1448</v>
      </c>
      <c r="B898" s="25" t="s">
        <v>1447</v>
      </c>
      <c r="C898" s="29" t="s">
        <v>664</v>
      </c>
      <c r="D898" s="29" t="s">
        <v>666</v>
      </c>
      <c r="E898" s="25" t="s">
        <v>3126</v>
      </c>
      <c r="F898" s="26" t="s">
        <v>115</v>
      </c>
      <c r="G898" s="27" t="s">
        <v>93</v>
      </c>
      <c r="H898" s="27" t="s">
        <v>2504</v>
      </c>
      <c r="I898" s="27" t="s">
        <v>944</v>
      </c>
      <c r="J898" s="27" t="s">
        <v>564</v>
      </c>
      <c r="K898" s="106" t="str">
        <f t="shared" si="41"/>
        <v>М</v>
      </c>
      <c r="L898" s="106" t="str">
        <f t="shared" si="42"/>
        <v>Д</v>
      </c>
      <c r="M898" s="107" t="str">
        <f t="shared" si="43"/>
        <v>Философия: диалог культур (Вуз-партнёр - Шаньдунский университет)</v>
      </c>
    </row>
    <row r="899" spans="1:13" customFormat="1" ht="30" hidden="1" customHeight="1" x14ac:dyDescent="0.25">
      <c r="A899" s="41" t="s">
        <v>1449</v>
      </c>
      <c r="B899" s="25" t="s">
        <v>1447</v>
      </c>
      <c r="C899" s="29" t="s">
        <v>664</v>
      </c>
      <c r="D899" s="29" t="s">
        <v>666</v>
      </c>
      <c r="E899" s="25" t="s">
        <v>3126</v>
      </c>
      <c r="F899" s="26" t="s">
        <v>115</v>
      </c>
      <c r="G899" s="27" t="s">
        <v>93</v>
      </c>
      <c r="H899" s="27" t="s">
        <v>148</v>
      </c>
      <c r="I899" s="27" t="s">
        <v>912</v>
      </c>
      <c r="J899" s="27" t="s">
        <v>564</v>
      </c>
      <c r="K899" s="106" t="str">
        <f t="shared" si="41"/>
        <v>М</v>
      </c>
      <c r="L899" s="106" t="str">
        <f t="shared" si="42"/>
        <v>Д</v>
      </c>
      <c r="M899" s="107" t="str">
        <f t="shared" si="43"/>
        <v>Знание и ценности: трансформации в изменяющемся мире (Вуз-партнёр - Казахский национальный университет им. Аль-Фараби)</v>
      </c>
    </row>
    <row r="900" spans="1:13" customFormat="1" ht="30" hidden="1" customHeight="1" x14ac:dyDescent="0.25">
      <c r="A900" s="41" t="s">
        <v>2564</v>
      </c>
      <c r="B900" s="25" t="s">
        <v>1447</v>
      </c>
      <c r="C900" s="29" t="s">
        <v>664</v>
      </c>
      <c r="D900" s="29" t="s">
        <v>666</v>
      </c>
      <c r="E900" s="25" t="s">
        <v>3126</v>
      </c>
      <c r="F900" s="26" t="s">
        <v>115</v>
      </c>
      <c r="G900" s="27" t="s">
        <v>93</v>
      </c>
      <c r="H900" s="27" t="s">
        <v>2565</v>
      </c>
      <c r="I900" s="27"/>
      <c r="J900" s="27" t="s">
        <v>564</v>
      </c>
      <c r="K900" s="106" t="str">
        <f t="shared" ref="K900:K963" si="44">LEFT(F900, 1)</f>
        <v>М</v>
      </c>
      <c r="L900" s="106" t="str">
        <f t="shared" ref="L900:L963" si="45">IF(C900="очная","Д",IF(C900="Очно-заочная","В",IF(C900="Заочная","З","-")))</f>
        <v>Д</v>
      </c>
      <c r="M900" s="107" t="str">
        <f t="shared" ref="M900:M963" si="46">CONCATENATE(H900,IF(D900="Русский","",CONCATENATE(" (",D900," язык)")),IF(I900&gt;0,CONCATENATE(" (Вуз-партнёр - ",I900,")"),""))</f>
        <v>Философия Индии в контексте религии и культуры</v>
      </c>
    </row>
    <row r="901" spans="1:13" customFormat="1" ht="30" hidden="1" customHeight="1" x14ac:dyDescent="0.25">
      <c r="A901" s="41" t="s">
        <v>1450</v>
      </c>
      <c r="B901" s="25" t="s">
        <v>1451</v>
      </c>
      <c r="C901" s="29" t="s">
        <v>664</v>
      </c>
      <c r="D901" s="29" t="s">
        <v>666</v>
      </c>
      <c r="E901" s="25" t="s">
        <v>3126</v>
      </c>
      <c r="F901" s="26" t="s">
        <v>115</v>
      </c>
      <c r="G901" s="27" t="s">
        <v>153</v>
      </c>
      <c r="H901" s="27" t="s">
        <v>154</v>
      </c>
      <c r="I901" s="27"/>
      <c r="J901" s="27" t="s">
        <v>564</v>
      </c>
      <c r="K901" s="106" t="str">
        <f t="shared" si="44"/>
        <v>М</v>
      </c>
      <c r="L901" s="106" t="str">
        <f t="shared" si="45"/>
        <v>Д</v>
      </c>
      <c r="M901" s="107" t="str">
        <f t="shared" si="46"/>
        <v>Креативные индустрии и менеджмент в сфере культуры</v>
      </c>
    </row>
    <row r="902" spans="1:13" customFormat="1" ht="30" hidden="1" customHeight="1" x14ac:dyDescent="0.25">
      <c r="A902" s="41" t="s">
        <v>1452</v>
      </c>
      <c r="B902" s="25" t="s">
        <v>1451</v>
      </c>
      <c r="C902" s="29" t="s">
        <v>664</v>
      </c>
      <c r="D902" s="29" t="s">
        <v>666</v>
      </c>
      <c r="E902" s="25" t="s">
        <v>3126</v>
      </c>
      <c r="F902" s="26" t="s">
        <v>115</v>
      </c>
      <c r="G902" s="27" t="s">
        <v>153</v>
      </c>
      <c r="H902" s="27" t="s">
        <v>2497</v>
      </c>
      <c r="I902" s="27" t="s">
        <v>929</v>
      </c>
      <c r="J902" s="27" t="s">
        <v>564</v>
      </c>
      <c r="K902" s="106" t="str">
        <f t="shared" si="44"/>
        <v>М</v>
      </c>
      <c r="L902" s="106" t="str">
        <f t="shared" si="45"/>
        <v>Д</v>
      </c>
      <c r="M902" s="107" t="str">
        <f t="shared" si="46"/>
        <v>Культурное наследие: исследование и управление (Вуз-партнёр - Университет Балеарских островов)</v>
      </c>
    </row>
    <row r="903" spans="1:13" customFormat="1" ht="30" hidden="1" customHeight="1" x14ac:dyDescent="0.25">
      <c r="A903" s="41" t="s">
        <v>2517</v>
      </c>
      <c r="B903" s="25" t="s">
        <v>1451</v>
      </c>
      <c r="C903" s="29" t="s">
        <v>664</v>
      </c>
      <c r="D903" s="29" t="s">
        <v>666</v>
      </c>
      <c r="E903" s="25" t="s">
        <v>3126</v>
      </c>
      <c r="F903" s="26" t="s">
        <v>115</v>
      </c>
      <c r="G903" s="27" t="s">
        <v>153</v>
      </c>
      <c r="H903" s="27" t="s">
        <v>2518</v>
      </c>
      <c r="I903" s="27"/>
      <c r="J903" s="27" t="s">
        <v>564</v>
      </c>
      <c r="K903" s="106" t="str">
        <f t="shared" si="44"/>
        <v>М</v>
      </c>
      <c r="L903" s="106" t="str">
        <f t="shared" si="45"/>
        <v>Д</v>
      </c>
      <c r="M903" s="107" t="str">
        <f t="shared" si="46"/>
        <v>История и теория культуры и искусства</v>
      </c>
    </row>
    <row r="904" spans="1:13" customFormat="1" ht="30" hidden="1" customHeight="1" x14ac:dyDescent="0.25">
      <c r="A904" s="41" t="s">
        <v>1457</v>
      </c>
      <c r="B904" s="25" t="s">
        <v>1381</v>
      </c>
      <c r="C904" s="29" t="s">
        <v>663</v>
      </c>
      <c r="D904" s="29" t="s">
        <v>666</v>
      </c>
      <c r="E904" s="25" t="s">
        <v>3127</v>
      </c>
      <c r="F904" s="26" t="s">
        <v>115</v>
      </c>
      <c r="G904" s="27" t="s">
        <v>157</v>
      </c>
      <c r="H904" s="27" t="s">
        <v>439</v>
      </c>
      <c r="I904" s="27"/>
      <c r="J904" s="27" t="s">
        <v>564</v>
      </c>
      <c r="K904" s="106" t="str">
        <f t="shared" si="44"/>
        <v>М</v>
      </c>
      <c r="L904" s="106" t="str">
        <f t="shared" si="45"/>
        <v>В</v>
      </c>
      <c r="M904" s="107" t="str">
        <f t="shared" si="46"/>
        <v>Социальные процессы и социальный менеджмент</v>
      </c>
    </row>
    <row r="905" spans="1:13" customFormat="1" ht="30" hidden="1" customHeight="1" x14ac:dyDescent="0.25">
      <c r="A905" s="41" t="s">
        <v>1458</v>
      </c>
      <c r="B905" s="25" t="s">
        <v>1434</v>
      </c>
      <c r="C905" s="29" t="s">
        <v>663</v>
      </c>
      <c r="D905" s="29" t="s">
        <v>666</v>
      </c>
      <c r="E905" s="25" t="s">
        <v>3127</v>
      </c>
      <c r="F905" s="26" t="s">
        <v>115</v>
      </c>
      <c r="G905" s="27" t="s">
        <v>155</v>
      </c>
      <c r="H905" s="27" t="s">
        <v>440</v>
      </c>
      <c r="I905" s="27"/>
      <c r="J905" s="27" t="s">
        <v>564</v>
      </c>
      <c r="K905" s="106" t="str">
        <f t="shared" si="44"/>
        <v>М</v>
      </c>
      <c r="L905" s="106" t="str">
        <f t="shared" si="45"/>
        <v>В</v>
      </c>
      <c r="M905" s="107" t="str">
        <f t="shared" si="46"/>
        <v>Международные институты и политические процессы</v>
      </c>
    </row>
    <row r="906" spans="1:13" customFormat="1" ht="30" hidden="1" customHeight="1" x14ac:dyDescent="0.25">
      <c r="A906" s="41" t="s">
        <v>2566</v>
      </c>
      <c r="B906" s="25" t="s">
        <v>1447</v>
      </c>
      <c r="C906" s="29" t="s">
        <v>663</v>
      </c>
      <c r="D906" s="29" t="s">
        <v>666</v>
      </c>
      <c r="E906" s="25" t="s">
        <v>3127</v>
      </c>
      <c r="F906" s="26" t="s">
        <v>115</v>
      </c>
      <c r="G906" s="27" t="s">
        <v>93</v>
      </c>
      <c r="H906" s="27" t="s">
        <v>2565</v>
      </c>
      <c r="I906" s="27"/>
      <c r="J906" s="27" t="s">
        <v>564</v>
      </c>
      <c r="K906" s="106" t="str">
        <f t="shared" si="44"/>
        <v>М</v>
      </c>
      <c r="L906" s="106" t="str">
        <f t="shared" si="45"/>
        <v>В</v>
      </c>
      <c r="M906" s="107" t="str">
        <f t="shared" si="46"/>
        <v>Философия Индии в контексте религии и культуры</v>
      </c>
    </row>
    <row r="907" spans="1:13" customFormat="1" ht="30" hidden="1" customHeight="1" x14ac:dyDescent="0.25">
      <c r="A907" s="41" t="s">
        <v>1957</v>
      </c>
      <c r="B907" s="25" t="s">
        <v>2545</v>
      </c>
      <c r="C907" s="29" t="s">
        <v>664</v>
      </c>
      <c r="D907" s="29" t="s">
        <v>666</v>
      </c>
      <c r="E907" s="25" t="s">
        <v>3128</v>
      </c>
      <c r="F907" s="26" t="s">
        <v>179</v>
      </c>
      <c r="G907" s="27" t="s">
        <v>402</v>
      </c>
      <c r="H907" s="27" t="s">
        <v>402</v>
      </c>
      <c r="I907" s="27"/>
      <c r="J907" s="27" t="s">
        <v>564</v>
      </c>
      <c r="K907" s="106" t="str">
        <f t="shared" si="44"/>
        <v>А</v>
      </c>
      <c r="L907" s="106" t="str">
        <f t="shared" si="45"/>
        <v>Д</v>
      </c>
      <c r="M907" s="107" t="str">
        <f t="shared" si="46"/>
        <v>Теория, методология и история социологии</v>
      </c>
    </row>
    <row r="908" spans="1:13" customFormat="1" ht="30" hidden="1" customHeight="1" x14ac:dyDescent="0.25">
      <c r="A908" s="41" t="s">
        <v>1958</v>
      </c>
      <c r="B908" s="25" t="s">
        <v>2546</v>
      </c>
      <c r="C908" s="29" t="s">
        <v>664</v>
      </c>
      <c r="D908" s="29" t="s">
        <v>666</v>
      </c>
      <c r="E908" s="25" t="s">
        <v>3128</v>
      </c>
      <c r="F908" s="26" t="s">
        <v>179</v>
      </c>
      <c r="G908" s="27" t="s">
        <v>403</v>
      </c>
      <c r="H908" s="27" t="s">
        <v>403</v>
      </c>
      <c r="I908" s="27"/>
      <c r="J908" s="27" t="s">
        <v>564</v>
      </c>
      <c r="K908" s="106" t="str">
        <f t="shared" si="44"/>
        <v>А</v>
      </c>
      <c r="L908" s="106" t="str">
        <f t="shared" si="45"/>
        <v>Д</v>
      </c>
      <c r="M908" s="107" t="str">
        <f t="shared" si="46"/>
        <v>Социология управления</v>
      </c>
    </row>
    <row r="909" spans="1:13" customFormat="1" ht="30" hidden="1" customHeight="1" x14ac:dyDescent="0.25">
      <c r="A909" s="41" t="s">
        <v>1959</v>
      </c>
      <c r="B909" s="25" t="s">
        <v>2547</v>
      </c>
      <c r="C909" s="29" t="s">
        <v>664</v>
      </c>
      <c r="D909" s="29" t="s">
        <v>666</v>
      </c>
      <c r="E909" s="25" t="s">
        <v>3128</v>
      </c>
      <c r="F909" s="26" t="s">
        <v>179</v>
      </c>
      <c r="G909" s="27" t="s">
        <v>1960</v>
      </c>
      <c r="H909" s="27" t="s">
        <v>1960</v>
      </c>
      <c r="I909" s="27"/>
      <c r="J909" s="27" t="s">
        <v>564</v>
      </c>
      <c r="K909" s="106" t="str">
        <f t="shared" si="44"/>
        <v>А</v>
      </c>
      <c r="L909" s="106" t="str">
        <f t="shared" si="45"/>
        <v>Д</v>
      </c>
      <c r="M909" s="107" t="str">
        <f t="shared" si="46"/>
        <v>История и теория политики</v>
      </c>
    </row>
    <row r="910" spans="1:13" customFormat="1" ht="30" hidden="1" customHeight="1" x14ac:dyDescent="0.25">
      <c r="A910" s="41" t="s">
        <v>1961</v>
      </c>
      <c r="B910" s="25" t="s">
        <v>2548</v>
      </c>
      <c r="C910" s="29" t="s">
        <v>664</v>
      </c>
      <c r="D910" s="29" t="s">
        <v>666</v>
      </c>
      <c r="E910" s="25" t="s">
        <v>3128</v>
      </c>
      <c r="F910" s="26" t="s">
        <v>179</v>
      </c>
      <c r="G910" s="27" t="s">
        <v>1962</v>
      </c>
      <c r="H910" s="27" t="s">
        <v>1962</v>
      </c>
      <c r="I910" s="27"/>
      <c r="J910" s="27" t="s">
        <v>564</v>
      </c>
      <c r="K910" s="106" t="str">
        <f t="shared" si="44"/>
        <v>А</v>
      </c>
      <c r="L910" s="106" t="str">
        <f t="shared" si="45"/>
        <v>Д</v>
      </c>
      <c r="M910" s="107" t="str">
        <f t="shared" si="46"/>
        <v>Политические институты, процессы, технологии</v>
      </c>
    </row>
    <row r="911" spans="1:13" customFormat="1" ht="30" hidden="1" customHeight="1" x14ac:dyDescent="0.25">
      <c r="A911" s="41" t="s">
        <v>1963</v>
      </c>
      <c r="B911" s="25" t="s">
        <v>2548</v>
      </c>
      <c r="C911" s="29" t="s">
        <v>664</v>
      </c>
      <c r="D911" s="29" t="s">
        <v>1730</v>
      </c>
      <c r="E911" s="25" t="s">
        <v>3128</v>
      </c>
      <c r="F911" s="26" t="s">
        <v>179</v>
      </c>
      <c r="G911" s="27" t="s">
        <v>1962</v>
      </c>
      <c r="H911" s="27" t="s">
        <v>1962</v>
      </c>
      <c r="I911" s="27"/>
      <c r="J911" s="27" t="s">
        <v>564</v>
      </c>
      <c r="K911" s="106" t="str">
        <f t="shared" si="44"/>
        <v>А</v>
      </c>
      <c r="L911" s="106" t="str">
        <f t="shared" si="45"/>
        <v>Д</v>
      </c>
      <c r="M911" s="107" t="str">
        <f t="shared" si="46"/>
        <v>Политические институты, процессы, технологии (Английский язык)</v>
      </c>
    </row>
    <row r="912" spans="1:13" customFormat="1" ht="30" hidden="1" customHeight="1" x14ac:dyDescent="0.25">
      <c r="A912" s="41" t="s">
        <v>1964</v>
      </c>
      <c r="B912" s="25" t="s">
        <v>2549</v>
      </c>
      <c r="C912" s="29" t="s">
        <v>664</v>
      </c>
      <c r="D912" s="29" t="s">
        <v>666</v>
      </c>
      <c r="E912" s="25" t="s">
        <v>3128</v>
      </c>
      <c r="F912" s="26" t="s">
        <v>179</v>
      </c>
      <c r="G912" s="27" t="s">
        <v>2550</v>
      </c>
      <c r="H912" s="27" t="s">
        <v>155</v>
      </c>
      <c r="I912" s="27"/>
      <c r="J912" s="27" t="s">
        <v>564</v>
      </c>
      <c r="K912" s="106" t="str">
        <f t="shared" si="44"/>
        <v>А</v>
      </c>
      <c r="L912" s="106" t="str">
        <f t="shared" si="45"/>
        <v>Д</v>
      </c>
      <c r="M912" s="107" t="str">
        <f t="shared" si="46"/>
        <v>Международные отношения</v>
      </c>
    </row>
    <row r="913" spans="1:13" customFormat="1" ht="30" hidden="1" customHeight="1" x14ac:dyDescent="0.25">
      <c r="A913" s="41" t="s">
        <v>1965</v>
      </c>
      <c r="B913" s="25" t="s">
        <v>2551</v>
      </c>
      <c r="C913" s="29" t="s">
        <v>664</v>
      </c>
      <c r="D913" s="29" t="s">
        <v>666</v>
      </c>
      <c r="E913" s="25" t="s">
        <v>3128</v>
      </c>
      <c r="F913" s="26" t="s">
        <v>179</v>
      </c>
      <c r="G913" s="27" t="s">
        <v>400</v>
      </c>
      <c r="H913" s="27" t="s">
        <v>400</v>
      </c>
      <c r="I913" s="27"/>
      <c r="J913" s="27" t="s">
        <v>564</v>
      </c>
      <c r="K913" s="106" t="str">
        <f t="shared" si="44"/>
        <v>А</v>
      </c>
      <c r="L913" s="106" t="str">
        <f t="shared" si="45"/>
        <v>Д</v>
      </c>
      <c r="M913" s="107" t="str">
        <f t="shared" si="46"/>
        <v>Отечественная история</v>
      </c>
    </row>
    <row r="914" spans="1:13" customFormat="1" ht="30" hidden="1" customHeight="1" x14ac:dyDescent="0.25">
      <c r="A914" s="41" t="s">
        <v>1966</v>
      </c>
      <c r="B914" s="25" t="s">
        <v>2552</v>
      </c>
      <c r="C914" s="29" t="s">
        <v>664</v>
      </c>
      <c r="D914" s="29" t="s">
        <v>666</v>
      </c>
      <c r="E914" s="25" t="s">
        <v>3128</v>
      </c>
      <c r="F914" s="26" t="s">
        <v>179</v>
      </c>
      <c r="G914" s="27" t="s">
        <v>1967</v>
      </c>
      <c r="H914" s="27" t="s">
        <v>1967</v>
      </c>
      <c r="I914" s="27"/>
      <c r="J914" s="27" t="s">
        <v>564</v>
      </c>
      <c r="K914" s="106" t="str">
        <f t="shared" si="44"/>
        <v>А</v>
      </c>
      <c r="L914" s="106" t="str">
        <f t="shared" si="45"/>
        <v>Д</v>
      </c>
      <c r="M914" s="107" t="str">
        <f t="shared" si="46"/>
        <v>Всеобщая история</v>
      </c>
    </row>
    <row r="915" spans="1:13" customFormat="1" ht="30" hidden="1" customHeight="1" x14ac:dyDescent="0.25">
      <c r="A915" s="41" t="s">
        <v>3080</v>
      </c>
      <c r="B915" s="25" t="s">
        <v>2553</v>
      </c>
      <c r="C915" s="29" t="s">
        <v>664</v>
      </c>
      <c r="D915" s="29" t="s">
        <v>666</v>
      </c>
      <c r="E915" s="25" t="s">
        <v>3128</v>
      </c>
      <c r="F915" s="26" t="s">
        <v>179</v>
      </c>
      <c r="G915" s="27" t="s">
        <v>1968</v>
      </c>
      <c r="H915" s="27" t="s">
        <v>1968</v>
      </c>
      <c r="I915" s="27"/>
      <c r="J915" s="27" t="s">
        <v>564</v>
      </c>
      <c r="K915" s="106" t="str">
        <f t="shared" si="44"/>
        <v>А</v>
      </c>
      <c r="L915" s="106" t="str">
        <f t="shared" si="45"/>
        <v>Д</v>
      </c>
      <c r="M915" s="107" t="str">
        <f t="shared" si="46"/>
        <v>Историография, источниковедение, методы исторического исследования</v>
      </c>
    </row>
    <row r="916" spans="1:13" customFormat="1" ht="30" hidden="1" customHeight="1" x14ac:dyDescent="0.25">
      <c r="A916" s="41" t="s">
        <v>1969</v>
      </c>
      <c r="B916" s="25" t="s">
        <v>2554</v>
      </c>
      <c r="C916" s="29" t="s">
        <v>664</v>
      </c>
      <c r="D916" s="29" t="s">
        <v>666</v>
      </c>
      <c r="E916" s="25" t="s">
        <v>3128</v>
      </c>
      <c r="F916" s="26" t="s">
        <v>179</v>
      </c>
      <c r="G916" s="27" t="s">
        <v>401</v>
      </c>
      <c r="H916" s="27" t="s">
        <v>401</v>
      </c>
      <c r="I916" s="27"/>
      <c r="J916" s="27" t="s">
        <v>564</v>
      </c>
      <c r="K916" s="106" t="str">
        <f t="shared" si="44"/>
        <v>А</v>
      </c>
      <c r="L916" s="106" t="str">
        <f t="shared" si="45"/>
        <v>Д</v>
      </c>
      <c r="M916" s="107" t="str">
        <f t="shared" si="46"/>
        <v>История международных отношений и внешней политики</v>
      </c>
    </row>
    <row r="917" spans="1:13" customFormat="1" ht="30" hidden="1" customHeight="1" x14ac:dyDescent="0.25">
      <c r="A917" s="41" t="s">
        <v>1970</v>
      </c>
      <c r="B917" s="25" t="s">
        <v>2554</v>
      </c>
      <c r="C917" s="29" t="s">
        <v>664</v>
      </c>
      <c r="D917" s="29" t="s">
        <v>1730</v>
      </c>
      <c r="E917" s="25" t="s">
        <v>3128</v>
      </c>
      <c r="F917" s="26" t="s">
        <v>179</v>
      </c>
      <c r="G917" s="27" t="s">
        <v>401</v>
      </c>
      <c r="H917" s="27" t="s">
        <v>621</v>
      </c>
      <c r="I917" s="27"/>
      <c r="J917" s="27" t="s">
        <v>564</v>
      </c>
      <c r="K917" s="106" t="str">
        <f t="shared" si="44"/>
        <v>А</v>
      </c>
      <c r="L917" s="106" t="str">
        <f t="shared" si="45"/>
        <v>Д</v>
      </c>
      <c r="M917" s="107" t="str">
        <f t="shared" si="46"/>
        <v>История международных отношений и внешней политики: международные отношения (Английский язык)</v>
      </c>
    </row>
    <row r="918" spans="1:13" customFormat="1" ht="30" hidden="1" customHeight="1" x14ac:dyDescent="0.25">
      <c r="A918" s="41" t="s">
        <v>1971</v>
      </c>
      <c r="B918" s="25" t="s">
        <v>2555</v>
      </c>
      <c r="C918" s="29" t="s">
        <v>664</v>
      </c>
      <c r="D918" s="29" t="s">
        <v>666</v>
      </c>
      <c r="E918" s="25" t="s">
        <v>3128</v>
      </c>
      <c r="F918" s="26" t="s">
        <v>179</v>
      </c>
      <c r="G918" s="27" t="s">
        <v>398</v>
      </c>
      <c r="H918" s="27" t="s">
        <v>398</v>
      </c>
      <c r="I918" s="27"/>
      <c r="J918" s="27" t="s">
        <v>564</v>
      </c>
      <c r="K918" s="106" t="str">
        <f t="shared" si="44"/>
        <v>А</v>
      </c>
      <c r="L918" s="106" t="str">
        <f t="shared" si="45"/>
        <v>Д</v>
      </c>
      <c r="M918" s="107" t="str">
        <f t="shared" si="46"/>
        <v>Онтология и теория познания</v>
      </c>
    </row>
    <row r="919" spans="1:13" customFormat="1" ht="30" hidden="1" customHeight="1" x14ac:dyDescent="0.25">
      <c r="A919" s="41" t="s">
        <v>1972</v>
      </c>
      <c r="B919" s="25" t="s">
        <v>2556</v>
      </c>
      <c r="C919" s="29" t="s">
        <v>664</v>
      </c>
      <c r="D919" s="29" t="s">
        <v>666</v>
      </c>
      <c r="E919" s="25" t="s">
        <v>3128</v>
      </c>
      <c r="F919" s="26" t="s">
        <v>179</v>
      </c>
      <c r="G919" s="27" t="s">
        <v>399</v>
      </c>
      <c r="H919" s="27" t="s">
        <v>399</v>
      </c>
      <c r="I919" s="27"/>
      <c r="J919" s="27" t="s">
        <v>564</v>
      </c>
      <c r="K919" s="106" t="str">
        <f t="shared" si="44"/>
        <v>А</v>
      </c>
      <c r="L919" s="106" t="str">
        <f t="shared" si="45"/>
        <v>Д</v>
      </c>
      <c r="M919" s="107" t="str">
        <f t="shared" si="46"/>
        <v>История философии</v>
      </c>
    </row>
    <row r="920" spans="1:13" customFormat="1" ht="30" hidden="1" customHeight="1" x14ac:dyDescent="0.25">
      <c r="A920" s="41" t="s">
        <v>1973</v>
      </c>
      <c r="B920" s="25" t="s">
        <v>2557</v>
      </c>
      <c r="C920" s="29" t="s">
        <v>664</v>
      </c>
      <c r="D920" s="29" t="s">
        <v>666</v>
      </c>
      <c r="E920" s="25" t="s">
        <v>3128</v>
      </c>
      <c r="F920" s="26" t="s">
        <v>179</v>
      </c>
      <c r="G920" s="27" t="s">
        <v>1974</v>
      </c>
      <c r="H920" s="27" t="s">
        <v>1974</v>
      </c>
      <c r="I920" s="27"/>
      <c r="J920" s="27" t="s">
        <v>564</v>
      </c>
      <c r="K920" s="106" t="str">
        <f t="shared" si="44"/>
        <v>А</v>
      </c>
      <c r="L920" s="106" t="str">
        <f t="shared" si="45"/>
        <v>Д</v>
      </c>
      <c r="M920" s="107" t="str">
        <f t="shared" si="46"/>
        <v>Социальная и политическая философия</v>
      </c>
    </row>
    <row r="921" spans="1:13" customFormat="1" ht="30" hidden="1" customHeight="1" x14ac:dyDescent="0.25">
      <c r="A921" s="41" t="s">
        <v>2558</v>
      </c>
      <c r="B921" s="25" t="s">
        <v>1720</v>
      </c>
      <c r="C921" s="29" t="s">
        <v>665</v>
      </c>
      <c r="D921" s="29" t="s">
        <v>666</v>
      </c>
      <c r="E921" s="25" t="s">
        <v>1732</v>
      </c>
      <c r="F921" s="26" t="s">
        <v>179</v>
      </c>
      <c r="G921" s="27" t="s">
        <v>541</v>
      </c>
      <c r="H921" s="27" t="s">
        <v>269</v>
      </c>
      <c r="I921" s="27"/>
      <c r="J921" s="27" t="s">
        <v>564</v>
      </c>
      <c r="K921" s="106" t="str">
        <f t="shared" si="44"/>
        <v>А</v>
      </c>
      <c r="L921" s="106" t="str">
        <f t="shared" si="45"/>
        <v>З</v>
      </c>
      <c r="M921" s="107" t="str">
        <f t="shared" si="46"/>
        <v>Политические институты, процессы и технологии</v>
      </c>
    </row>
    <row r="922" spans="1:13" customFormat="1" ht="30" hidden="1" customHeight="1" x14ac:dyDescent="0.25">
      <c r="A922" s="41" t="s">
        <v>2559</v>
      </c>
      <c r="B922" s="25" t="s">
        <v>1720</v>
      </c>
      <c r="C922" s="29" t="s">
        <v>665</v>
      </c>
      <c r="D922" s="29" t="s">
        <v>1730</v>
      </c>
      <c r="E922" s="25" t="s">
        <v>1732</v>
      </c>
      <c r="F922" s="26" t="s">
        <v>179</v>
      </c>
      <c r="G922" s="27" t="s">
        <v>541</v>
      </c>
      <c r="H922" s="27" t="s">
        <v>624</v>
      </c>
      <c r="I922" s="27"/>
      <c r="J922" s="27" t="s">
        <v>564</v>
      </c>
      <c r="K922" s="106" t="str">
        <f t="shared" si="44"/>
        <v>А</v>
      </c>
      <c r="L922" s="106" t="str">
        <f t="shared" si="45"/>
        <v>З</v>
      </c>
      <c r="M922" s="107" t="str">
        <f t="shared" si="46"/>
        <v>Политические науки: российские и сравнительные исследования (Английский язык)</v>
      </c>
    </row>
    <row r="923" spans="1:13" customFormat="1" ht="30" hidden="1" customHeight="1" x14ac:dyDescent="0.25">
      <c r="A923" s="41" t="s">
        <v>2560</v>
      </c>
      <c r="B923" s="25" t="s">
        <v>1721</v>
      </c>
      <c r="C923" s="29" t="s">
        <v>665</v>
      </c>
      <c r="D923" s="29" t="s">
        <v>1730</v>
      </c>
      <c r="E923" s="25" t="s">
        <v>1732</v>
      </c>
      <c r="F923" s="26" t="s">
        <v>179</v>
      </c>
      <c r="G923" s="27" t="s">
        <v>445</v>
      </c>
      <c r="H923" s="27" t="s">
        <v>621</v>
      </c>
      <c r="I923" s="27"/>
      <c r="J923" s="27" t="s">
        <v>564</v>
      </c>
      <c r="K923" s="106" t="str">
        <f t="shared" si="44"/>
        <v>А</v>
      </c>
      <c r="L923" s="106" t="str">
        <f t="shared" si="45"/>
        <v>З</v>
      </c>
      <c r="M923" s="107" t="str">
        <f t="shared" si="46"/>
        <v>История международных отношений и внешней политики: международные отношения (Английский язык)</v>
      </c>
    </row>
    <row r="924" spans="1:13" customFormat="1" ht="30" hidden="1" customHeight="1" x14ac:dyDescent="0.25">
      <c r="A924" s="41" t="s">
        <v>2561</v>
      </c>
      <c r="B924" s="25" t="s">
        <v>1721</v>
      </c>
      <c r="C924" s="29" t="s">
        <v>665</v>
      </c>
      <c r="D924" s="29" t="s">
        <v>666</v>
      </c>
      <c r="E924" s="25" t="s">
        <v>1732</v>
      </c>
      <c r="F924" s="26" t="s">
        <v>179</v>
      </c>
      <c r="G924" s="27" t="s">
        <v>445</v>
      </c>
      <c r="H924" s="27" t="s">
        <v>401</v>
      </c>
      <c r="I924" s="27"/>
      <c r="J924" s="27" t="s">
        <v>564</v>
      </c>
      <c r="K924" s="106" t="str">
        <f t="shared" si="44"/>
        <v>А</v>
      </c>
      <c r="L924" s="106" t="str">
        <f t="shared" si="45"/>
        <v>З</v>
      </c>
      <c r="M924" s="107" t="str">
        <f t="shared" si="46"/>
        <v>История международных отношений и внешней политики</v>
      </c>
    </row>
    <row r="925" spans="1:13" customFormat="1" ht="30" hidden="1" customHeight="1" x14ac:dyDescent="0.25">
      <c r="A925" s="41" t="s">
        <v>3081</v>
      </c>
      <c r="B925" s="25" t="s">
        <v>1466</v>
      </c>
      <c r="C925" s="29" t="s">
        <v>664</v>
      </c>
      <c r="D925" s="29" t="s">
        <v>666</v>
      </c>
      <c r="E925" s="25" t="s">
        <v>1732</v>
      </c>
      <c r="F925" s="26" t="s">
        <v>113</v>
      </c>
      <c r="G925" s="27" t="s">
        <v>236</v>
      </c>
      <c r="H925" s="27" t="s">
        <v>3175</v>
      </c>
      <c r="I925" s="27"/>
      <c r="J925" s="27" t="s">
        <v>3196</v>
      </c>
      <c r="K925" s="106" t="str">
        <f t="shared" si="44"/>
        <v>Б</v>
      </c>
      <c r="L925" s="106" t="str">
        <f t="shared" si="45"/>
        <v>Д</v>
      </c>
      <c r="M925" s="107" t="str">
        <f t="shared" si="46"/>
        <v>Искусственный интеллект: разработка и обучение интеллектуальных систем</v>
      </c>
    </row>
    <row r="926" spans="1:13" customFormat="1" ht="30" hidden="1" customHeight="1" x14ac:dyDescent="0.25">
      <c r="A926" s="41" t="s">
        <v>3082</v>
      </c>
      <c r="B926" s="25" t="s">
        <v>1466</v>
      </c>
      <c r="C926" s="29" t="s">
        <v>664</v>
      </c>
      <c r="D926" s="29" t="s">
        <v>666</v>
      </c>
      <c r="E926" s="25" t="s">
        <v>1732</v>
      </c>
      <c r="F926" s="26" t="s">
        <v>113</v>
      </c>
      <c r="G926" s="27" t="s">
        <v>236</v>
      </c>
      <c r="H926" s="27" t="s">
        <v>3176</v>
      </c>
      <c r="I926" s="27"/>
      <c r="J926" s="27" t="s">
        <v>3196</v>
      </c>
      <c r="K926" s="106" t="str">
        <f t="shared" si="44"/>
        <v>Б</v>
      </c>
      <c r="L926" s="106" t="str">
        <f t="shared" si="45"/>
        <v>Д</v>
      </c>
      <c r="M926" s="107" t="str">
        <f t="shared" si="46"/>
        <v>Разработка и обучение систем искусственного интеллекта</v>
      </c>
    </row>
    <row r="927" spans="1:13" customFormat="1" ht="30" hidden="1" customHeight="1" x14ac:dyDescent="0.25">
      <c r="A927" s="41" t="s">
        <v>3083</v>
      </c>
      <c r="B927" s="25" t="s">
        <v>1472</v>
      </c>
      <c r="C927" s="29" t="s">
        <v>664</v>
      </c>
      <c r="D927" s="29" t="s">
        <v>666</v>
      </c>
      <c r="E927" s="25" t="s">
        <v>1732</v>
      </c>
      <c r="F927" s="26" t="s">
        <v>113</v>
      </c>
      <c r="G927" s="27" t="s">
        <v>581</v>
      </c>
      <c r="H927" s="27" t="s">
        <v>3175</v>
      </c>
      <c r="I927" s="27"/>
      <c r="J927" s="27" t="s">
        <v>3196</v>
      </c>
      <c r="K927" s="106" t="str">
        <f t="shared" si="44"/>
        <v>Б</v>
      </c>
      <c r="L927" s="106" t="str">
        <f t="shared" si="45"/>
        <v>Д</v>
      </c>
      <c r="M927" s="107" t="str">
        <f t="shared" si="46"/>
        <v>Искусственный интеллект: разработка и обучение интеллектуальных систем</v>
      </c>
    </row>
    <row r="928" spans="1:13" customFormat="1" ht="30" hidden="1" customHeight="1" x14ac:dyDescent="0.25">
      <c r="A928" s="41" t="s">
        <v>3084</v>
      </c>
      <c r="B928" s="25" t="s">
        <v>1472</v>
      </c>
      <c r="C928" s="29" t="s">
        <v>664</v>
      </c>
      <c r="D928" s="29" t="s">
        <v>666</v>
      </c>
      <c r="E928" s="25" t="s">
        <v>1732</v>
      </c>
      <c r="F928" s="26" t="s">
        <v>113</v>
      </c>
      <c r="G928" s="27" t="s">
        <v>581</v>
      </c>
      <c r="H928" s="27" t="s">
        <v>3176</v>
      </c>
      <c r="I928" s="27"/>
      <c r="J928" s="27" t="s">
        <v>3196</v>
      </c>
      <c r="K928" s="106" t="str">
        <f t="shared" si="44"/>
        <v>Б</v>
      </c>
      <c r="L928" s="106" t="str">
        <f t="shared" si="45"/>
        <v>Д</v>
      </c>
      <c r="M928" s="107" t="str">
        <f t="shared" si="46"/>
        <v>Разработка и обучение систем искусственного интеллекта</v>
      </c>
    </row>
    <row r="929" spans="1:13" customFormat="1" ht="30" hidden="1" customHeight="1" x14ac:dyDescent="0.25">
      <c r="A929" s="41" t="s">
        <v>3085</v>
      </c>
      <c r="B929" s="25" t="s">
        <v>1165</v>
      </c>
      <c r="C929" s="29" t="s">
        <v>664</v>
      </c>
      <c r="D929" s="29" t="s">
        <v>666</v>
      </c>
      <c r="E929" s="25" t="s">
        <v>3126</v>
      </c>
      <c r="F929" s="26" t="s">
        <v>115</v>
      </c>
      <c r="G929" s="27" t="s">
        <v>236</v>
      </c>
      <c r="H929" s="27" t="s">
        <v>3177</v>
      </c>
      <c r="I929" s="27"/>
      <c r="J929" s="27" t="s">
        <v>3196</v>
      </c>
      <c r="K929" s="106" t="str">
        <f t="shared" si="44"/>
        <v>М</v>
      </c>
      <c r="L929" s="106" t="str">
        <f t="shared" si="45"/>
        <v>Д</v>
      </c>
      <c r="M929" s="107" t="str">
        <f t="shared" si="46"/>
        <v>Управление данными и искусственный интеллект</v>
      </c>
    </row>
    <row r="930" spans="1:13" customFormat="1" ht="30" hidden="1" customHeight="1" x14ac:dyDescent="0.25">
      <c r="A930" s="41" t="s">
        <v>3086</v>
      </c>
      <c r="B930" s="25" t="s">
        <v>1724</v>
      </c>
      <c r="C930" s="29" t="s">
        <v>664</v>
      </c>
      <c r="D930" s="29" t="s">
        <v>666</v>
      </c>
      <c r="E930" s="25" t="s">
        <v>3126</v>
      </c>
      <c r="F930" s="26" t="s">
        <v>180</v>
      </c>
      <c r="G930" s="27" t="s">
        <v>573</v>
      </c>
      <c r="H930" s="27" t="s">
        <v>573</v>
      </c>
      <c r="I930" s="27"/>
      <c r="J930" s="27" t="s">
        <v>2567</v>
      </c>
      <c r="K930" s="106" t="str">
        <f t="shared" si="44"/>
        <v>О</v>
      </c>
      <c r="L930" s="106" t="str">
        <f t="shared" si="45"/>
        <v>Д</v>
      </c>
      <c r="M930" s="107" t="str">
        <f t="shared" si="46"/>
        <v>Пластическая хирургия</v>
      </c>
    </row>
    <row r="931" spans="1:13" customFormat="1" ht="30" customHeight="1" x14ac:dyDescent="0.25">
      <c r="A931" s="41" t="s">
        <v>1785</v>
      </c>
      <c r="B931" s="25" t="s">
        <v>1783</v>
      </c>
      <c r="C931" s="29" t="s">
        <v>664</v>
      </c>
      <c r="D931" s="29" t="s">
        <v>666</v>
      </c>
      <c r="E931" s="25" t="s">
        <v>1732</v>
      </c>
      <c r="F931" s="26" t="s">
        <v>113</v>
      </c>
      <c r="G931" s="27" t="s">
        <v>526</v>
      </c>
      <c r="H931" s="27" t="s">
        <v>1774</v>
      </c>
      <c r="I931" s="27"/>
      <c r="J931" s="27" t="s">
        <v>565</v>
      </c>
      <c r="K931" s="106" t="str">
        <f t="shared" si="44"/>
        <v>Б</v>
      </c>
      <c r="L931" s="106" t="str">
        <f t="shared" si="45"/>
        <v>Д</v>
      </c>
      <c r="M931" s="107" t="str">
        <f t="shared" si="46"/>
        <v>Математика и механика (УГСН)</v>
      </c>
    </row>
    <row r="932" spans="1:13" customFormat="1" ht="30" customHeight="1" x14ac:dyDescent="0.25">
      <c r="A932" s="41" t="s">
        <v>1460</v>
      </c>
      <c r="B932" s="25" t="s">
        <v>1461</v>
      </c>
      <c r="C932" s="29" t="s">
        <v>664</v>
      </c>
      <c r="D932" s="29" t="s">
        <v>666</v>
      </c>
      <c r="E932" s="25" t="s">
        <v>1732</v>
      </c>
      <c r="F932" s="26" t="s">
        <v>113</v>
      </c>
      <c r="G932" s="27" t="s">
        <v>248</v>
      </c>
      <c r="H932" s="27" t="s">
        <v>248</v>
      </c>
      <c r="I932" s="27"/>
      <c r="J932" s="27" t="s">
        <v>565</v>
      </c>
      <c r="K932" s="106" t="str">
        <f t="shared" si="44"/>
        <v>Б</v>
      </c>
      <c r="L932" s="106" t="str">
        <f t="shared" si="45"/>
        <v>Д</v>
      </c>
      <c r="M932" s="107" t="str">
        <f t="shared" si="46"/>
        <v>Математика</v>
      </c>
    </row>
    <row r="933" spans="1:13" customFormat="1" ht="30" customHeight="1" x14ac:dyDescent="0.25">
      <c r="A933" s="41" t="s">
        <v>1462</v>
      </c>
      <c r="B933" s="25" t="s">
        <v>1115</v>
      </c>
      <c r="C933" s="29" t="s">
        <v>664</v>
      </c>
      <c r="D933" s="29" t="s">
        <v>666</v>
      </c>
      <c r="E933" s="25" t="s">
        <v>1732</v>
      </c>
      <c r="F933" s="26" t="s">
        <v>113</v>
      </c>
      <c r="G933" s="27" t="s">
        <v>127</v>
      </c>
      <c r="H933" s="27" t="s">
        <v>127</v>
      </c>
      <c r="I933" s="27"/>
      <c r="J933" s="27" t="s">
        <v>565</v>
      </c>
      <c r="K933" s="106" t="str">
        <f t="shared" si="44"/>
        <v>Б</v>
      </c>
      <c r="L933" s="106" t="str">
        <f t="shared" si="45"/>
        <v>Д</v>
      </c>
      <c r="M933" s="107" t="str">
        <f t="shared" si="46"/>
        <v>Прикладная математика и информатика</v>
      </c>
    </row>
    <row r="934" spans="1:13" customFormat="1" ht="30" customHeight="1" x14ac:dyDescent="0.25">
      <c r="A934" s="41" t="s">
        <v>3087</v>
      </c>
      <c r="B934" s="25" t="s">
        <v>1115</v>
      </c>
      <c r="C934" s="29" t="s">
        <v>664</v>
      </c>
      <c r="D934" s="29" t="s">
        <v>666</v>
      </c>
      <c r="E934" s="25" t="s">
        <v>1732</v>
      </c>
      <c r="F934" s="26" t="s">
        <v>113</v>
      </c>
      <c r="G934" s="27" t="s">
        <v>127</v>
      </c>
      <c r="H934" s="27" t="s">
        <v>3178</v>
      </c>
      <c r="I934" s="27"/>
      <c r="J934" s="27" t="s">
        <v>565</v>
      </c>
      <c r="K934" s="106" t="str">
        <f t="shared" si="44"/>
        <v>Б</v>
      </c>
      <c r="L934" s="106" t="str">
        <f t="shared" si="45"/>
        <v>Д</v>
      </c>
      <c r="M934" s="107" t="str">
        <f t="shared" si="46"/>
        <v>Прикладная математика и программирование</v>
      </c>
    </row>
    <row r="935" spans="1:13" customFormat="1" ht="30" customHeight="1" x14ac:dyDescent="0.25">
      <c r="A935" s="41" t="s">
        <v>1786</v>
      </c>
      <c r="B935" s="25" t="s">
        <v>1784</v>
      </c>
      <c r="C935" s="29" t="s">
        <v>664</v>
      </c>
      <c r="D935" s="29" t="s">
        <v>666</v>
      </c>
      <c r="E935" s="25" t="s">
        <v>1732</v>
      </c>
      <c r="F935" s="26" t="s">
        <v>113</v>
      </c>
      <c r="G935" s="27" t="s">
        <v>527</v>
      </c>
      <c r="H935" s="27" t="s">
        <v>1775</v>
      </c>
      <c r="I935" s="27"/>
      <c r="J935" s="27" t="s">
        <v>565</v>
      </c>
      <c r="K935" s="106" t="str">
        <f t="shared" si="44"/>
        <v>Б</v>
      </c>
      <c r="L935" s="106" t="str">
        <f t="shared" si="45"/>
        <v>Д</v>
      </c>
      <c r="M935" s="107" t="str">
        <f t="shared" si="46"/>
        <v>Компьютерные и информационные науки (УГСН)</v>
      </c>
    </row>
    <row r="936" spans="1:13" customFormat="1" ht="30" customHeight="1" x14ac:dyDescent="0.25">
      <c r="A936" s="41" t="s">
        <v>1463</v>
      </c>
      <c r="B936" s="25" t="s">
        <v>1464</v>
      </c>
      <c r="C936" s="29" t="s">
        <v>664</v>
      </c>
      <c r="D936" s="29" t="s">
        <v>666</v>
      </c>
      <c r="E936" s="25" t="s">
        <v>1732</v>
      </c>
      <c r="F936" s="26" t="s">
        <v>113</v>
      </c>
      <c r="G936" s="27" t="s">
        <v>252</v>
      </c>
      <c r="H936" s="27" t="s">
        <v>252</v>
      </c>
      <c r="I936" s="27"/>
      <c r="J936" s="27" t="s">
        <v>565</v>
      </c>
      <c r="K936" s="106" t="str">
        <f t="shared" si="44"/>
        <v>Б</v>
      </c>
      <c r="L936" s="106" t="str">
        <f t="shared" si="45"/>
        <v>Д</v>
      </c>
      <c r="M936" s="107" t="str">
        <f t="shared" si="46"/>
        <v>Математика и компьютерные науки</v>
      </c>
    </row>
    <row r="937" spans="1:13" customFormat="1" ht="30" customHeight="1" x14ac:dyDescent="0.25">
      <c r="A937" s="41" t="s">
        <v>1465</v>
      </c>
      <c r="B937" s="25" t="s">
        <v>1466</v>
      </c>
      <c r="C937" s="29" t="s">
        <v>664</v>
      </c>
      <c r="D937" s="29" t="s">
        <v>666</v>
      </c>
      <c r="E937" s="25" t="s">
        <v>1732</v>
      </c>
      <c r="F937" s="26" t="s">
        <v>113</v>
      </c>
      <c r="G937" s="27" t="s">
        <v>236</v>
      </c>
      <c r="H937" s="27" t="s">
        <v>236</v>
      </c>
      <c r="I937" s="27"/>
      <c r="J937" s="27" t="s">
        <v>565</v>
      </c>
      <c r="K937" s="106" t="str">
        <f t="shared" si="44"/>
        <v>Б</v>
      </c>
      <c r="L937" s="106" t="str">
        <f t="shared" si="45"/>
        <v>Д</v>
      </c>
      <c r="M937" s="107" t="str">
        <f t="shared" si="46"/>
        <v>Фундаментальная информатика и информационные технологии</v>
      </c>
    </row>
    <row r="938" spans="1:13" customFormat="1" ht="30" customHeight="1" x14ac:dyDescent="0.25">
      <c r="A938" s="41" t="s">
        <v>1467</v>
      </c>
      <c r="B938" s="25" t="s">
        <v>1468</v>
      </c>
      <c r="C938" s="29" t="s">
        <v>664</v>
      </c>
      <c r="D938" s="29" t="s">
        <v>666</v>
      </c>
      <c r="E938" s="25" t="s">
        <v>1732</v>
      </c>
      <c r="F938" s="26" t="s">
        <v>113</v>
      </c>
      <c r="G938" s="27" t="s">
        <v>100</v>
      </c>
      <c r="H938" s="27" t="s">
        <v>100</v>
      </c>
      <c r="I938" s="27"/>
      <c r="J938" s="27" t="s">
        <v>565</v>
      </c>
      <c r="K938" s="106" t="str">
        <f t="shared" si="44"/>
        <v>Б</v>
      </c>
      <c r="L938" s="106" t="str">
        <f t="shared" si="45"/>
        <v>Д</v>
      </c>
      <c r="M938" s="107" t="str">
        <f t="shared" si="46"/>
        <v>Физика</v>
      </c>
    </row>
    <row r="939" spans="1:13" customFormat="1" ht="30" customHeight="1" x14ac:dyDescent="0.25">
      <c r="A939" s="41" t="s">
        <v>1469</v>
      </c>
      <c r="B939" s="25" t="s">
        <v>1470</v>
      </c>
      <c r="C939" s="29" t="s">
        <v>664</v>
      </c>
      <c r="D939" s="29" t="s">
        <v>666</v>
      </c>
      <c r="E939" s="25" t="s">
        <v>1732</v>
      </c>
      <c r="F939" s="26" t="s">
        <v>113</v>
      </c>
      <c r="G939" s="27" t="s">
        <v>101</v>
      </c>
      <c r="H939" s="27" t="s">
        <v>101</v>
      </c>
      <c r="I939" s="27"/>
      <c r="J939" s="27" t="s">
        <v>565</v>
      </c>
      <c r="K939" s="106" t="str">
        <f t="shared" si="44"/>
        <v>Б</v>
      </c>
      <c r="L939" s="106" t="str">
        <f t="shared" si="45"/>
        <v>Д</v>
      </c>
      <c r="M939" s="107" t="str">
        <f t="shared" si="46"/>
        <v>Химия</v>
      </c>
    </row>
    <row r="940" spans="1:13" customFormat="1" ht="30" customHeight="1" x14ac:dyDescent="0.25">
      <c r="A940" s="41" t="s">
        <v>1471</v>
      </c>
      <c r="B940" s="25" t="s">
        <v>1472</v>
      </c>
      <c r="C940" s="29" t="s">
        <v>664</v>
      </c>
      <c r="D940" s="29" t="s">
        <v>666</v>
      </c>
      <c r="E940" s="25" t="s">
        <v>1732</v>
      </c>
      <c r="F940" s="26" t="s">
        <v>113</v>
      </c>
      <c r="G940" s="27" t="s">
        <v>581</v>
      </c>
      <c r="H940" s="27" t="s">
        <v>581</v>
      </c>
      <c r="I940" s="27"/>
      <c r="J940" s="27" t="s">
        <v>565</v>
      </c>
      <c r="K940" s="106" t="str">
        <f t="shared" si="44"/>
        <v>Б</v>
      </c>
      <c r="L940" s="106" t="str">
        <f t="shared" si="45"/>
        <v>Д</v>
      </c>
      <c r="M940" s="107" t="str">
        <f t="shared" si="46"/>
        <v>Прикладная информатика</v>
      </c>
    </row>
    <row r="941" spans="1:13" customFormat="1" ht="30" customHeight="1" x14ac:dyDescent="0.25">
      <c r="A941" s="41" t="s">
        <v>1473</v>
      </c>
      <c r="B941" s="25" t="s">
        <v>1474</v>
      </c>
      <c r="C941" s="29" t="s">
        <v>664</v>
      </c>
      <c r="D941" s="29" t="s">
        <v>666</v>
      </c>
      <c r="E941" s="25" t="s">
        <v>1732</v>
      </c>
      <c r="F941" s="26" t="s">
        <v>113</v>
      </c>
      <c r="G941" s="27" t="s">
        <v>130</v>
      </c>
      <c r="H941" s="27" t="s">
        <v>130</v>
      </c>
      <c r="I941" s="27"/>
      <c r="J941" s="27" t="s">
        <v>565</v>
      </c>
      <c r="K941" s="106" t="str">
        <f t="shared" si="44"/>
        <v>Б</v>
      </c>
      <c r="L941" s="106" t="str">
        <f t="shared" si="45"/>
        <v>Д</v>
      </c>
      <c r="M941" s="107" t="str">
        <f t="shared" si="46"/>
        <v>Бизнес-информатика</v>
      </c>
    </row>
    <row r="942" spans="1:13" s="15" customFormat="1" ht="30" customHeight="1" x14ac:dyDescent="0.25">
      <c r="A942" s="41" t="s">
        <v>1475</v>
      </c>
      <c r="B942" s="25" t="s">
        <v>1474</v>
      </c>
      <c r="C942" s="29" t="s">
        <v>664</v>
      </c>
      <c r="D942" s="29" t="s">
        <v>666</v>
      </c>
      <c r="E942" s="25" t="s">
        <v>1732</v>
      </c>
      <c r="F942" s="26" t="s">
        <v>113</v>
      </c>
      <c r="G942" s="27" t="s">
        <v>130</v>
      </c>
      <c r="H942" s="27" t="s">
        <v>1476</v>
      </c>
      <c r="I942" s="27"/>
      <c r="J942" s="27" t="s">
        <v>565</v>
      </c>
      <c r="K942" s="106" t="str">
        <f t="shared" si="44"/>
        <v>Б</v>
      </c>
      <c r="L942" s="106" t="str">
        <f t="shared" si="45"/>
        <v>Д</v>
      </c>
      <c r="M942" s="107" t="str">
        <f t="shared" si="46"/>
        <v>Кибербезопасность в экономике</v>
      </c>
    </row>
    <row r="943" spans="1:13" ht="30" customHeight="1" x14ac:dyDescent="0.25">
      <c r="A943" s="41" t="s">
        <v>1495</v>
      </c>
      <c r="B943" s="25" t="s">
        <v>1115</v>
      </c>
      <c r="C943" s="29" t="s">
        <v>663</v>
      </c>
      <c r="D943" s="29" t="s">
        <v>666</v>
      </c>
      <c r="E943" s="25" t="s">
        <v>3123</v>
      </c>
      <c r="F943" s="26" t="s">
        <v>113</v>
      </c>
      <c r="G943" s="27" t="s">
        <v>127</v>
      </c>
      <c r="H943" s="27" t="s">
        <v>127</v>
      </c>
      <c r="I943" s="27"/>
      <c r="J943" s="27" t="s">
        <v>565</v>
      </c>
      <c r="K943" s="106" t="str">
        <f t="shared" si="44"/>
        <v>Б</v>
      </c>
      <c r="L943" s="106" t="str">
        <f t="shared" si="45"/>
        <v>В</v>
      </c>
      <c r="M943" s="107" t="str">
        <f t="shared" si="46"/>
        <v>Прикладная математика и информатика</v>
      </c>
    </row>
    <row r="944" spans="1:13" ht="30" customHeight="1" x14ac:dyDescent="0.25">
      <c r="A944" s="41" t="s">
        <v>3088</v>
      </c>
      <c r="B944" s="25" t="s">
        <v>1115</v>
      </c>
      <c r="C944" s="29" t="s">
        <v>663</v>
      </c>
      <c r="D944" s="29" t="s">
        <v>666</v>
      </c>
      <c r="E944" s="25" t="s">
        <v>3123</v>
      </c>
      <c r="F944" s="26" t="s">
        <v>113</v>
      </c>
      <c r="G944" s="27" t="s">
        <v>127</v>
      </c>
      <c r="H944" s="27" t="s">
        <v>3178</v>
      </c>
      <c r="I944" s="27"/>
      <c r="J944" s="27" t="s">
        <v>565</v>
      </c>
      <c r="K944" s="106" t="str">
        <f t="shared" si="44"/>
        <v>Б</v>
      </c>
      <c r="L944" s="106" t="str">
        <f t="shared" si="45"/>
        <v>В</v>
      </c>
      <c r="M944" s="107" t="str">
        <f t="shared" si="46"/>
        <v>Прикладная математика и программирование</v>
      </c>
    </row>
    <row r="945" spans="1:13" ht="30" customHeight="1" x14ac:dyDescent="0.25">
      <c r="A945" s="41" t="s">
        <v>1477</v>
      </c>
      <c r="B945" s="25" t="s">
        <v>1478</v>
      </c>
      <c r="C945" s="29" t="s">
        <v>664</v>
      </c>
      <c r="D945" s="29" t="s">
        <v>1730</v>
      </c>
      <c r="E945" s="25" t="s">
        <v>3126</v>
      </c>
      <c r="F945" s="26" t="s">
        <v>115</v>
      </c>
      <c r="G945" s="27" t="s">
        <v>248</v>
      </c>
      <c r="H945" s="27" t="s">
        <v>249</v>
      </c>
      <c r="I945" s="27"/>
      <c r="J945" s="27" t="s">
        <v>565</v>
      </c>
      <c r="K945" s="106" t="str">
        <f t="shared" si="44"/>
        <v>М</v>
      </c>
      <c r="L945" s="106" t="str">
        <f t="shared" si="45"/>
        <v>Д</v>
      </c>
      <c r="M945" s="107" t="str">
        <f t="shared" si="46"/>
        <v>Функциональные методы в дифференциальных уравнениях и междисциплинарных исследованиях (Английский язык)</v>
      </c>
    </row>
    <row r="946" spans="1:13" ht="30" customHeight="1" x14ac:dyDescent="0.25">
      <c r="A946" s="41" t="s">
        <v>1479</v>
      </c>
      <c r="B946" s="25" t="s">
        <v>1478</v>
      </c>
      <c r="C946" s="29" t="s">
        <v>664</v>
      </c>
      <c r="D946" s="29" t="s">
        <v>666</v>
      </c>
      <c r="E946" s="25" t="s">
        <v>3126</v>
      </c>
      <c r="F946" s="26" t="s">
        <v>115</v>
      </c>
      <c r="G946" s="27" t="s">
        <v>248</v>
      </c>
      <c r="H946" s="27" t="s">
        <v>984</v>
      </c>
      <c r="I946" s="27"/>
      <c r="J946" s="27" t="s">
        <v>565</v>
      </c>
      <c r="K946" s="106" t="str">
        <f t="shared" si="44"/>
        <v>М</v>
      </c>
      <c r="L946" s="106" t="str">
        <f t="shared" si="45"/>
        <v>Д</v>
      </c>
      <c r="M946" s="107" t="str">
        <f t="shared" si="46"/>
        <v>Неклассические задачи анализа и дифференциальных уравнений, математическое моделирование и машинное обучение</v>
      </c>
    </row>
    <row r="947" spans="1:13" ht="30" customHeight="1" x14ac:dyDescent="0.25">
      <c r="A947" s="41" t="s">
        <v>1480</v>
      </c>
      <c r="B947" s="25" t="s">
        <v>1160</v>
      </c>
      <c r="C947" s="29" t="s">
        <v>664</v>
      </c>
      <c r="D947" s="29" t="s">
        <v>666</v>
      </c>
      <c r="E947" s="25" t="s">
        <v>3126</v>
      </c>
      <c r="F947" s="26" t="s">
        <v>115</v>
      </c>
      <c r="G947" s="27" t="s">
        <v>127</v>
      </c>
      <c r="H947" s="27" t="s">
        <v>250</v>
      </c>
      <c r="I947" s="27"/>
      <c r="J947" s="27" t="s">
        <v>565</v>
      </c>
      <c r="K947" s="106" t="str">
        <f t="shared" si="44"/>
        <v>М</v>
      </c>
      <c r="L947" s="106" t="str">
        <f t="shared" si="45"/>
        <v>Д</v>
      </c>
      <c r="M947" s="107" t="str">
        <f t="shared" si="46"/>
        <v>Теория вероятностей и математическая статистика</v>
      </c>
    </row>
    <row r="948" spans="1:13" ht="30" customHeight="1" x14ac:dyDescent="0.25">
      <c r="A948" s="41" t="s">
        <v>1481</v>
      </c>
      <c r="B948" s="25" t="s">
        <v>1160</v>
      </c>
      <c r="C948" s="29" t="s">
        <v>664</v>
      </c>
      <c r="D948" s="29" t="s">
        <v>666</v>
      </c>
      <c r="E948" s="25" t="s">
        <v>3126</v>
      </c>
      <c r="F948" s="26" t="s">
        <v>115</v>
      </c>
      <c r="G948" s="27" t="s">
        <v>127</v>
      </c>
      <c r="H948" s="27" t="s">
        <v>251</v>
      </c>
      <c r="I948" s="27"/>
      <c r="J948" s="27" t="s">
        <v>565</v>
      </c>
      <c r="K948" s="106" t="str">
        <f t="shared" si="44"/>
        <v>М</v>
      </c>
      <c r="L948" s="106" t="str">
        <f t="shared" si="45"/>
        <v>Д</v>
      </c>
      <c r="M948" s="107" t="str">
        <f t="shared" si="46"/>
        <v>Математические модели в междисциплинарных исследованиях</v>
      </c>
    </row>
    <row r="949" spans="1:13" ht="30" customHeight="1" x14ac:dyDescent="0.25">
      <c r="A949" s="41" t="s">
        <v>1482</v>
      </c>
      <c r="B949" s="25" t="s">
        <v>1160</v>
      </c>
      <c r="C949" s="29" t="s">
        <v>664</v>
      </c>
      <c r="D949" s="29" t="s">
        <v>666</v>
      </c>
      <c r="E949" s="25" t="s">
        <v>3126</v>
      </c>
      <c r="F949" s="26" t="s">
        <v>115</v>
      </c>
      <c r="G949" s="27" t="s">
        <v>127</v>
      </c>
      <c r="H949" s="27" t="s">
        <v>251</v>
      </c>
      <c r="I949" s="27" t="s">
        <v>912</v>
      </c>
      <c r="J949" s="27" t="s">
        <v>565</v>
      </c>
      <c r="K949" s="106" t="str">
        <f t="shared" si="44"/>
        <v>М</v>
      </c>
      <c r="L949" s="106" t="str">
        <f t="shared" si="45"/>
        <v>Д</v>
      </c>
      <c r="M949" s="107" t="str">
        <f t="shared" si="46"/>
        <v>Математические модели в междисциплинарных исследованиях (Вуз-партнёр - Казахский национальный университет им. Аль-Фараби)</v>
      </c>
    </row>
    <row r="950" spans="1:13" ht="30" customHeight="1" x14ac:dyDescent="0.25">
      <c r="A950" s="41" t="s">
        <v>1483</v>
      </c>
      <c r="B950" s="25" t="s">
        <v>1165</v>
      </c>
      <c r="C950" s="29" t="s">
        <v>664</v>
      </c>
      <c r="D950" s="29" t="s">
        <v>666</v>
      </c>
      <c r="E950" s="25" t="s">
        <v>3126</v>
      </c>
      <c r="F950" s="26" t="s">
        <v>115</v>
      </c>
      <c r="G950" s="27" t="s">
        <v>236</v>
      </c>
      <c r="H950" s="27" t="s">
        <v>253</v>
      </c>
      <c r="I950" s="27"/>
      <c r="J950" s="27" t="s">
        <v>565</v>
      </c>
      <c r="K950" s="106" t="str">
        <f t="shared" si="44"/>
        <v>М</v>
      </c>
      <c r="L950" s="106" t="str">
        <f t="shared" si="45"/>
        <v>Д</v>
      </c>
      <c r="M950" s="107" t="str">
        <f t="shared" si="46"/>
        <v>Управление инфокоммуникациями и интеллектуальные системы</v>
      </c>
    </row>
    <row r="951" spans="1:13" ht="30" customHeight="1" x14ac:dyDescent="0.25">
      <c r="A951" s="41" t="s">
        <v>1484</v>
      </c>
      <c r="B951" s="25" t="s">
        <v>1383</v>
      </c>
      <c r="C951" s="29" t="s">
        <v>664</v>
      </c>
      <c r="D951" s="29" t="s">
        <v>666</v>
      </c>
      <c r="E951" s="25" t="s">
        <v>3126</v>
      </c>
      <c r="F951" s="26" t="s">
        <v>115</v>
      </c>
      <c r="G951" s="27" t="s">
        <v>100</v>
      </c>
      <c r="H951" s="27" t="s">
        <v>254</v>
      </c>
      <c r="I951" s="27"/>
      <c r="J951" s="27" t="s">
        <v>565</v>
      </c>
      <c r="K951" s="106" t="str">
        <f t="shared" si="44"/>
        <v>М</v>
      </c>
      <c r="L951" s="106" t="str">
        <f t="shared" si="45"/>
        <v>Д</v>
      </c>
      <c r="M951" s="107" t="str">
        <f t="shared" si="46"/>
        <v>Фундаментальная и прикладная физика</v>
      </c>
    </row>
    <row r="952" spans="1:13" ht="30" customHeight="1" x14ac:dyDescent="0.25">
      <c r="A952" s="41" t="s">
        <v>1485</v>
      </c>
      <c r="B952" s="25" t="s">
        <v>1383</v>
      </c>
      <c r="C952" s="29" t="s">
        <v>664</v>
      </c>
      <c r="D952" s="29" t="s">
        <v>1730</v>
      </c>
      <c r="E952" s="25" t="s">
        <v>3126</v>
      </c>
      <c r="F952" s="26" t="s">
        <v>115</v>
      </c>
      <c r="G952" s="27" t="s">
        <v>100</v>
      </c>
      <c r="H952" s="27" t="s">
        <v>515</v>
      </c>
      <c r="I952" s="27"/>
      <c r="J952" s="27" t="s">
        <v>565</v>
      </c>
      <c r="K952" s="106" t="str">
        <f t="shared" si="44"/>
        <v>М</v>
      </c>
      <c r="L952" s="106" t="str">
        <f t="shared" si="45"/>
        <v>Д</v>
      </c>
      <c r="M952" s="107" t="str">
        <f t="shared" si="46"/>
        <v>Теоретическая и математическая физика (Английский язык)</v>
      </c>
    </row>
    <row r="953" spans="1:13" ht="30" customHeight="1" x14ac:dyDescent="0.25">
      <c r="A953" s="41" t="s">
        <v>2601</v>
      </c>
      <c r="B953" s="25" t="s">
        <v>1383</v>
      </c>
      <c r="C953" s="29" t="s">
        <v>664</v>
      </c>
      <c r="D953" s="29" t="s">
        <v>1730</v>
      </c>
      <c r="E953" s="25" t="s">
        <v>3126</v>
      </c>
      <c r="F953" s="26" t="s">
        <v>115</v>
      </c>
      <c r="G953" s="27" t="s">
        <v>100</v>
      </c>
      <c r="H953" s="27" t="s">
        <v>386</v>
      </c>
      <c r="I953" s="27"/>
      <c r="J953" s="27" t="s">
        <v>565</v>
      </c>
      <c r="K953" s="106" t="str">
        <f t="shared" si="44"/>
        <v>М</v>
      </c>
      <c r="L953" s="106" t="str">
        <f t="shared" si="45"/>
        <v>Д</v>
      </c>
      <c r="M953" s="107" t="str">
        <f t="shared" si="46"/>
        <v>Теоретическая физика (Английский язык)</v>
      </c>
    </row>
    <row r="954" spans="1:13" ht="30" customHeight="1" x14ac:dyDescent="0.25">
      <c r="A954" s="41" t="s">
        <v>1486</v>
      </c>
      <c r="B954" s="25" t="s">
        <v>1233</v>
      </c>
      <c r="C954" s="29" t="s">
        <v>664</v>
      </c>
      <c r="D954" s="29" t="s">
        <v>666</v>
      </c>
      <c r="E954" s="25" t="s">
        <v>3126</v>
      </c>
      <c r="F954" s="26" t="s">
        <v>115</v>
      </c>
      <c r="G954" s="27" t="s">
        <v>101</v>
      </c>
      <c r="H954" s="27" t="s">
        <v>129</v>
      </c>
      <c r="I954" s="27"/>
      <c r="J954" s="27" t="s">
        <v>565</v>
      </c>
      <c r="K954" s="106" t="str">
        <f t="shared" si="44"/>
        <v>М</v>
      </c>
      <c r="L954" s="106" t="str">
        <f t="shared" si="45"/>
        <v>Д</v>
      </c>
      <c r="M954" s="107" t="str">
        <f t="shared" si="46"/>
        <v>Фундаментальная и прикладная химия</v>
      </c>
    </row>
    <row r="955" spans="1:13" ht="30" customHeight="1" x14ac:dyDescent="0.25">
      <c r="A955" s="41" t="s">
        <v>1489</v>
      </c>
      <c r="B955" s="25" t="s">
        <v>1233</v>
      </c>
      <c r="C955" s="29" t="s">
        <v>664</v>
      </c>
      <c r="D955" s="29" t="s">
        <v>666</v>
      </c>
      <c r="E955" s="25" t="s">
        <v>3126</v>
      </c>
      <c r="F955" s="26" t="s">
        <v>115</v>
      </c>
      <c r="G955" s="27" t="s">
        <v>101</v>
      </c>
      <c r="H955" s="27" t="s">
        <v>255</v>
      </c>
      <c r="I955" s="27" t="s">
        <v>909</v>
      </c>
      <c r="J955" s="27" t="s">
        <v>565</v>
      </c>
      <c r="K955" s="106" t="str">
        <f t="shared" si="44"/>
        <v>М</v>
      </c>
      <c r="L955" s="106" t="str">
        <f t="shared" si="45"/>
        <v>Д</v>
      </c>
      <c r="M955" s="107" t="str">
        <f t="shared" si="46"/>
        <v>Фармацевтический анализ в производстве и контроле качества лекарственных средств (Вуз-партнёр - Ереванский государственный университет)</v>
      </c>
    </row>
    <row r="956" spans="1:13" ht="30" customHeight="1" x14ac:dyDescent="0.25">
      <c r="A956" s="41" t="s">
        <v>1490</v>
      </c>
      <c r="B956" s="25" t="s">
        <v>1233</v>
      </c>
      <c r="C956" s="29" t="s">
        <v>664</v>
      </c>
      <c r="D956" s="29" t="s">
        <v>666</v>
      </c>
      <c r="E956" s="25" t="s">
        <v>3126</v>
      </c>
      <c r="F956" s="26" t="s">
        <v>115</v>
      </c>
      <c r="G956" s="27" t="s">
        <v>101</v>
      </c>
      <c r="H956" s="27" t="s">
        <v>255</v>
      </c>
      <c r="I956" s="27" t="s">
        <v>921</v>
      </c>
      <c r="J956" s="27" t="s">
        <v>565</v>
      </c>
      <c r="K956" s="106" t="str">
        <f t="shared" si="44"/>
        <v>М</v>
      </c>
      <c r="L956" s="106" t="str">
        <f t="shared" si="45"/>
        <v>Д</v>
      </c>
      <c r="M956" s="107" t="str">
        <f t="shared" si="46"/>
        <v>Фармацевтический анализ в производстве и контроле качества лекарственных средств (Вуз-партнёр - Национальный политехнический университет Армении)</v>
      </c>
    </row>
    <row r="957" spans="1:13" ht="30" customHeight="1" x14ac:dyDescent="0.25">
      <c r="A957" s="41" t="s">
        <v>1491</v>
      </c>
      <c r="B957" s="25" t="s">
        <v>1233</v>
      </c>
      <c r="C957" s="29" t="s">
        <v>664</v>
      </c>
      <c r="D957" s="29" t="s">
        <v>666</v>
      </c>
      <c r="E957" s="25" t="s">
        <v>3126</v>
      </c>
      <c r="F957" s="26" t="s">
        <v>115</v>
      </c>
      <c r="G957" s="27" t="s">
        <v>101</v>
      </c>
      <c r="H957" s="27" t="s">
        <v>2568</v>
      </c>
      <c r="I957" s="27" t="s">
        <v>934</v>
      </c>
      <c r="J957" s="27" t="s">
        <v>565</v>
      </c>
      <c r="K957" s="106" t="str">
        <f t="shared" si="44"/>
        <v>М</v>
      </c>
      <c r="L957" s="106" t="str">
        <f t="shared" si="45"/>
        <v>Д</v>
      </c>
      <c r="M957" s="107" t="str">
        <f t="shared" si="46"/>
        <v>Химия душистых веществ, тонкий органический синтез и прикладная органическая химия (Вуз-партнёр - Университет Лазурного берега)</v>
      </c>
    </row>
    <row r="958" spans="1:13" ht="30" customHeight="1" x14ac:dyDescent="0.25">
      <c r="A958" s="41" t="s">
        <v>1488</v>
      </c>
      <c r="B958" s="25" t="s">
        <v>1233</v>
      </c>
      <c r="C958" s="29" t="s">
        <v>664</v>
      </c>
      <c r="D958" s="29" t="s">
        <v>1730</v>
      </c>
      <c r="E958" s="25" t="s">
        <v>3126</v>
      </c>
      <c r="F958" s="26" t="s">
        <v>115</v>
      </c>
      <c r="G958" s="27" t="s">
        <v>101</v>
      </c>
      <c r="H958" s="27" t="s">
        <v>516</v>
      </c>
      <c r="I958" s="27"/>
      <c r="J958" s="27" t="s">
        <v>565</v>
      </c>
      <c r="K958" s="106" t="str">
        <f t="shared" si="44"/>
        <v>М</v>
      </c>
      <c r="L958" s="106" t="str">
        <f t="shared" si="45"/>
        <v>Д</v>
      </c>
      <c r="M958" s="107" t="str">
        <f t="shared" si="46"/>
        <v>Химия гетероциклических соединений (Английский язык)</v>
      </c>
    </row>
    <row r="959" spans="1:13" ht="30" customHeight="1" x14ac:dyDescent="0.25">
      <c r="A959" s="41" t="s">
        <v>2952</v>
      </c>
      <c r="B959" s="25" t="s">
        <v>1233</v>
      </c>
      <c r="C959" s="29" t="s">
        <v>664</v>
      </c>
      <c r="D959" s="29" t="s">
        <v>1730</v>
      </c>
      <c r="E959" s="25" t="s">
        <v>3126</v>
      </c>
      <c r="F959" s="26" t="s">
        <v>115</v>
      </c>
      <c r="G959" s="27" t="s">
        <v>101</v>
      </c>
      <c r="H959" s="27" t="s">
        <v>2953</v>
      </c>
      <c r="I959" s="27"/>
      <c r="J959" s="27" t="s">
        <v>565</v>
      </c>
      <c r="K959" s="106" t="str">
        <f t="shared" si="44"/>
        <v>М</v>
      </c>
      <c r="L959" s="106" t="str">
        <f t="shared" si="45"/>
        <v>Д</v>
      </c>
      <c r="M959" s="107" t="str">
        <f t="shared" si="46"/>
        <v>Биоэнергетика и продукты переработки биомассы (Английский язык)</v>
      </c>
    </row>
    <row r="960" spans="1:13" ht="30" customHeight="1" x14ac:dyDescent="0.25">
      <c r="A960" s="41" t="s">
        <v>1487</v>
      </c>
      <c r="B960" s="25" t="s">
        <v>1233</v>
      </c>
      <c r="C960" s="29" t="s">
        <v>664</v>
      </c>
      <c r="D960" s="29" t="s">
        <v>666</v>
      </c>
      <c r="E960" s="25" t="s">
        <v>3126</v>
      </c>
      <c r="F960" s="26" t="s">
        <v>115</v>
      </c>
      <c r="G960" s="27" t="s">
        <v>101</v>
      </c>
      <c r="H960" s="27" t="s">
        <v>255</v>
      </c>
      <c r="I960" s="27"/>
      <c r="J960" s="27" t="s">
        <v>565</v>
      </c>
      <c r="K960" s="106" t="str">
        <f t="shared" si="44"/>
        <v>М</v>
      </c>
      <c r="L960" s="106" t="str">
        <f t="shared" si="45"/>
        <v>Д</v>
      </c>
      <c r="M960" s="107" t="str">
        <f t="shared" si="46"/>
        <v>Фармацевтический анализ в производстве и контроле качества лекарственных средств</v>
      </c>
    </row>
    <row r="961" spans="1:13" ht="30" customHeight="1" x14ac:dyDescent="0.25">
      <c r="A961" s="41" t="s">
        <v>3089</v>
      </c>
      <c r="B961" s="25" t="s">
        <v>1233</v>
      </c>
      <c r="C961" s="29" t="s">
        <v>664</v>
      </c>
      <c r="D961" s="29" t="s">
        <v>666</v>
      </c>
      <c r="E961" s="25" t="s">
        <v>3126</v>
      </c>
      <c r="F961" s="26" t="s">
        <v>115</v>
      </c>
      <c r="G961" s="27" t="s">
        <v>101</v>
      </c>
      <c r="H961" s="27" t="s">
        <v>3179</v>
      </c>
      <c r="I961" s="27" t="s">
        <v>912</v>
      </c>
      <c r="J961" s="27" t="s">
        <v>565</v>
      </c>
      <c r="K961" s="106" t="str">
        <f t="shared" si="44"/>
        <v>М</v>
      </c>
      <c r="L961" s="106" t="str">
        <f t="shared" si="45"/>
        <v>Д</v>
      </c>
      <c r="M961" s="107" t="str">
        <f t="shared" si="46"/>
        <v>Современная интегративная химия (Вуз-партнёр - Казахский национальный университет им. Аль-Фараби)</v>
      </c>
    </row>
    <row r="962" spans="1:13" ht="30" customHeight="1" x14ac:dyDescent="0.25">
      <c r="A962" s="41" t="s">
        <v>3090</v>
      </c>
      <c r="B962" s="25" t="s">
        <v>1233</v>
      </c>
      <c r="C962" s="29" t="s">
        <v>664</v>
      </c>
      <c r="D962" s="29" t="s">
        <v>666</v>
      </c>
      <c r="E962" s="25" t="s">
        <v>3126</v>
      </c>
      <c r="F962" s="26" t="s">
        <v>115</v>
      </c>
      <c r="G962" s="27" t="s">
        <v>101</v>
      </c>
      <c r="H962" s="27" t="s">
        <v>3180</v>
      </c>
      <c r="I962" s="27" t="s">
        <v>908</v>
      </c>
      <c r="J962" s="27" t="s">
        <v>565</v>
      </c>
      <c r="K962" s="106" t="str">
        <f t="shared" si="44"/>
        <v>М</v>
      </c>
      <c r="L962" s="106" t="str">
        <f t="shared" si="45"/>
        <v>Д</v>
      </c>
      <c r="M962" s="107" t="str">
        <f t="shared" si="46"/>
        <v>Химия органических соединений (Вуз-партнёр - Евразийский национальный университет имени Л. Н. Гумилёва)</v>
      </c>
    </row>
    <row r="963" spans="1:13" ht="30" customHeight="1" x14ac:dyDescent="0.25">
      <c r="A963" s="41" t="s">
        <v>3091</v>
      </c>
      <c r="B963" s="25" t="s">
        <v>1233</v>
      </c>
      <c r="C963" s="29" t="s">
        <v>664</v>
      </c>
      <c r="D963" s="29" t="s">
        <v>1730</v>
      </c>
      <c r="E963" s="25" t="s">
        <v>3126</v>
      </c>
      <c r="F963" s="26" t="s">
        <v>115</v>
      </c>
      <c r="G963" s="27" t="s">
        <v>101</v>
      </c>
      <c r="H963" s="27" t="s">
        <v>2953</v>
      </c>
      <c r="I963" s="27" t="s">
        <v>907</v>
      </c>
      <c r="J963" s="27" t="s">
        <v>565</v>
      </c>
      <c r="K963" s="106" t="str">
        <f t="shared" si="44"/>
        <v>М</v>
      </c>
      <c r="L963" s="106" t="str">
        <f t="shared" si="45"/>
        <v>Д</v>
      </c>
      <c r="M963" s="107" t="str">
        <f t="shared" si="46"/>
        <v>Биоэнергетика и продукты переработки биомассы (Английский язык) (Вуз-партнёр - Евразийский национальный университет им. Л.Н. Гумилева)</v>
      </c>
    </row>
    <row r="964" spans="1:13" ht="30" customHeight="1" x14ac:dyDescent="0.25">
      <c r="A964" s="41" t="s">
        <v>1492</v>
      </c>
      <c r="B964" s="25" t="s">
        <v>1493</v>
      </c>
      <c r="C964" s="29" t="s">
        <v>664</v>
      </c>
      <c r="D964" s="29" t="s">
        <v>666</v>
      </c>
      <c r="E964" s="25" t="s">
        <v>3126</v>
      </c>
      <c r="F964" s="26" t="s">
        <v>115</v>
      </c>
      <c r="G964" s="27" t="s">
        <v>581</v>
      </c>
      <c r="H964" s="27" t="s">
        <v>1494</v>
      </c>
      <c r="I964" s="27"/>
      <c r="J964" s="27" t="s">
        <v>565</v>
      </c>
      <c r="K964" s="106" t="str">
        <f t="shared" ref="K964:K1027" si="47">LEFT(F964, 1)</f>
        <v>М</v>
      </c>
      <c r="L964" s="106" t="str">
        <f t="shared" ref="L964:L1027" si="48">IF(C964="очная","Д",IF(C964="Очно-заочная","В",IF(C964="Заочная","З","-")))</f>
        <v>Д</v>
      </c>
      <c r="M964" s="107" t="str">
        <f t="shared" ref="M964:M1027" si="49">CONCATENATE(H964,IF(D964="Русский","",CONCATENATE(" (",D964," язык)")),IF(I964&gt;0,CONCATENATE(" (Вуз-партнёр - ",I964,")"),""))</f>
        <v>Искусственный интеллект и анализ данных</v>
      </c>
    </row>
    <row r="965" spans="1:13" ht="30" customHeight="1" x14ac:dyDescent="0.25">
      <c r="A965" s="41" t="s">
        <v>1496</v>
      </c>
      <c r="B965" s="25" t="s">
        <v>1233</v>
      </c>
      <c r="C965" s="29" t="s">
        <v>663</v>
      </c>
      <c r="D965" s="29" t="s">
        <v>666</v>
      </c>
      <c r="E965" s="25" t="s">
        <v>3133</v>
      </c>
      <c r="F965" s="26" t="s">
        <v>115</v>
      </c>
      <c r="G965" s="27" t="s">
        <v>101</v>
      </c>
      <c r="H965" s="27" t="s">
        <v>255</v>
      </c>
      <c r="I965" s="27"/>
      <c r="J965" s="27" t="s">
        <v>565</v>
      </c>
      <c r="K965" s="106" t="str">
        <f t="shared" si="47"/>
        <v>М</v>
      </c>
      <c r="L965" s="106" t="str">
        <f t="shared" si="48"/>
        <v>В</v>
      </c>
      <c r="M965" s="107" t="str">
        <f t="shared" si="49"/>
        <v>Фармацевтический анализ в производстве и контроле качества лекарственных средств</v>
      </c>
    </row>
    <row r="966" spans="1:13" ht="30" customHeight="1" x14ac:dyDescent="0.25">
      <c r="A966" s="41" t="s">
        <v>2580</v>
      </c>
      <c r="B966" s="25" t="s">
        <v>1655</v>
      </c>
      <c r="C966" s="29" t="s">
        <v>664</v>
      </c>
      <c r="D966" s="29" t="s">
        <v>666</v>
      </c>
      <c r="E966" s="25" t="s">
        <v>1732</v>
      </c>
      <c r="F966" s="26" t="s">
        <v>179</v>
      </c>
      <c r="G966" s="27" t="s">
        <v>526</v>
      </c>
      <c r="H966" s="27" t="s">
        <v>377</v>
      </c>
      <c r="I966" s="27"/>
      <c r="J966" s="27" t="s">
        <v>565</v>
      </c>
      <c r="K966" s="106" t="str">
        <f t="shared" si="47"/>
        <v>А</v>
      </c>
      <c r="L966" s="106" t="str">
        <f t="shared" si="48"/>
        <v>Д</v>
      </c>
      <c r="M966" s="107" t="str">
        <f t="shared" si="49"/>
        <v>Вещественный, комплексный и функциональный анализ</v>
      </c>
    </row>
    <row r="967" spans="1:13" ht="30" customHeight="1" x14ac:dyDescent="0.25">
      <c r="A967" s="41" t="s">
        <v>2581</v>
      </c>
      <c r="B967" s="25" t="s">
        <v>1655</v>
      </c>
      <c r="C967" s="29" t="s">
        <v>664</v>
      </c>
      <c r="D967" s="29" t="s">
        <v>666</v>
      </c>
      <c r="E967" s="25" t="s">
        <v>1732</v>
      </c>
      <c r="F967" s="26" t="s">
        <v>179</v>
      </c>
      <c r="G967" s="27" t="s">
        <v>526</v>
      </c>
      <c r="H967" s="27" t="s">
        <v>378</v>
      </c>
      <c r="I967" s="27"/>
      <c r="J967" s="27" t="s">
        <v>565</v>
      </c>
      <c r="K967" s="106" t="str">
        <f t="shared" si="47"/>
        <v>А</v>
      </c>
      <c r="L967" s="106" t="str">
        <f t="shared" si="48"/>
        <v>Д</v>
      </c>
      <c r="M967" s="107" t="str">
        <f t="shared" si="49"/>
        <v>Дифференциальные уравнения, динамические системы и оптимальное управление</v>
      </c>
    </row>
    <row r="968" spans="1:13" ht="30" customHeight="1" x14ac:dyDescent="0.25">
      <c r="A968" s="41" t="s">
        <v>2582</v>
      </c>
      <c r="B968" s="25" t="s">
        <v>1655</v>
      </c>
      <c r="C968" s="29" t="s">
        <v>664</v>
      </c>
      <c r="D968" s="29" t="s">
        <v>666</v>
      </c>
      <c r="E968" s="25" t="s">
        <v>1732</v>
      </c>
      <c r="F968" s="26" t="s">
        <v>179</v>
      </c>
      <c r="G968" s="27" t="s">
        <v>526</v>
      </c>
      <c r="H968" s="27" t="s">
        <v>379</v>
      </c>
      <c r="I968" s="27"/>
      <c r="J968" s="27" t="s">
        <v>565</v>
      </c>
      <c r="K968" s="106" t="str">
        <f t="shared" si="47"/>
        <v>А</v>
      </c>
      <c r="L968" s="106" t="str">
        <f t="shared" si="48"/>
        <v>Д</v>
      </c>
      <c r="M968" s="107" t="str">
        <f t="shared" si="49"/>
        <v>Теоретическая механика</v>
      </c>
    </row>
    <row r="969" spans="1:13" ht="30" customHeight="1" x14ac:dyDescent="0.25">
      <c r="A969" s="41" t="s">
        <v>2583</v>
      </c>
      <c r="B969" s="25" t="s">
        <v>1655</v>
      </c>
      <c r="C969" s="29" t="s">
        <v>664</v>
      </c>
      <c r="D969" s="29" t="s">
        <v>1730</v>
      </c>
      <c r="E969" s="25" t="s">
        <v>1732</v>
      </c>
      <c r="F969" s="26" t="s">
        <v>179</v>
      </c>
      <c r="G969" s="27" t="s">
        <v>526</v>
      </c>
      <c r="H969" s="27" t="s">
        <v>377</v>
      </c>
      <c r="I969" s="27"/>
      <c r="J969" s="27" t="s">
        <v>565</v>
      </c>
      <c r="K969" s="106" t="str">
        <f t="shared" si="47"/>
        <v>А</v>
      </c>
      <c r="L969" s="106" t="str">
        <f t="shared" si="48"/>
        <v>Д</v>
      </c>
      <c r="M969" s="107" t="str">
        <f t="shared" si="49"/>
        <v>Вещественный, комплексный и функциональный анализ (Английский язык)</v>
      </c>
    </row>
    <row r="970" spans="1:13" ht="30" customHeight="1" x14ac:dyDescent="0.25">
      <c r="A970" s="41" t="s">
        <v>2584</v>
      </c>
      <c r="B970" s="25" t="s">
        <v>1726</v>
      </c>
      <c r="C970" s="29" t="s">
        <v>664</v>
      </c>
      <c r="D970" s="29" t="s">
        <v>666</v>
      </c>
      <c r="E970" s="25" t="s">
        <v>1732</v>
      </c>
      <c r="F970" s="26" t="s">
        <v>179</v>
      </c>
      <c r="G970" s="27" t="s">
        <v>528</v>
      </c>
      <c r="H970" s="27" t="s">
        <v>386</v>
      </c>
      <c r="I970" s="27"/>
      <c r="J970" s="27" t="s">
        <v>565</v>
      </c>
      <c r="K970" s="106" t="str">
        <f t="shared" si="47"/>
        <v>А</v>
      </c>
      <c r="L970" s="106" t="str">
        <f t="shared" si="48"/>
        <v>Д</v>
      </c>
      <c r="M970" s="107" t="str">
        <f t="shared" si="49"/>
        <v>Теоретическая физика</v>
      </c>
    </row>
    <row r="971" spans="1:13" ht="30" customHeight="1" x14ac:dyDescent="0.25">
      <c r="A971" s="41" t="s">
        <v>2585</v>
      </c>
      <c r="B971" s="25" t="s">
        <v>1726</v>
      </c>
      <c r="C971" s="29" t="s">
        <v>664</v>
      </c>
      <c r="D971" s="29" t="s">
        <v>1730</v>
      </c>
      <c r="E971" s="25" t="s">
        <v>1732</v>
      </c>
      <c r="F971" s="26" t="s">
        <v>179</v>
      </c>
      <c r="G971" s="27" t="s">
        <v>528</v>
      </c>
      <c r="H971" s="27" t="s">
        <v>386</v>
      </c>
      <c r="I971" s="27"/>
      <c r="J971" s="27" t="s">
        <v>565</v>
      </c>
      <c r="K971" s="106" t="str">
        <f t="shared" si="47"/>
        <v>А</v>
      </c>
      <c r="L971" s="106" t="str">
        <f t="shared" si="48"/>
        <v>Д</v>
      </c>
      <c r="M971" s="107" t="str">
        <f t="shared" si="49"/>
        <v>Теоретическая физика (Английский язык)</v>
      </c>
    </row>
    <row r="972" spans="1:13" ht="30" customHeight="1" x14ac:dyDescent="0.25">
      <c r="A972" s="41" t="s">
        <v>2586</v>
      </c>
      <c r="B972" s="25" t="s">
        <v>1726</v>
      </c>
      <c r="C972" s="29" t="s">
        <v>664</v>
      </c>
      <c r="D972" s="29" t="s">
        <v>666</v>
      </c>
      <c r="E972" s="25" t="s">
        <v>1732</v>
      </c>
      <c r="F972" s="26" t="s">
        <v>179</v>
      </c>
      <c r="G972" s="27" t="s">
        <v>528</v>
      </c>
      <c r="H972" s="27" t="s">
        <v>128</v>
      </c>
      <c r="I972" s="27"/>
      <c r="J972" s="27" t="s">
        <v>565</v>
      </c>
      <c r="K972" s="106" t="str">
        <f t="shared" si="47"/>
        <v>А</v>
      </c>
      <c r="L972" s="106" t="str">
        <f t="shared" si="48"/>
        <v>Д</v>
      </c>
      <c r="M972" s="107" t="str">
        <f t="shared" si="49"/>
        <v>Радиофизика</v>
      </c>
    </row>
    <row r="973" spans="1:13" ht="30" customHeight="1" x14ac:dyDescent="0.25">
      <c r="A973" s="41" t="s">
        <v>2587</v>
      </c>
      <c r="B973" s="25" t="s">
        <v>1726</v>
      </c>
      <c r="C973" s="29" t="s">
        <v>664</v>
      </c>
      <c r="D973" s="29" t="s">
        <v>666</v>
      </c>
      <c r="E973" s="25" t="s">
        <v>1732</v>
      </c>
      <c r="F973" s="26" t="s">
        <v>179</v>
      </c>
      <c r="G973" s="27" t="s">
        <v>528</v>
      </c>
      <c r="H973" s="27" t="s">
        <v>387</v>
      </c>
      <c r="I973" s="27"/>
      <c r="J973" s="27" t="s">
        <v>565</v>
      </c>
      <c r="K973" s="106" t="str">
        <f t="shared" si="47"/>
        <v>А</v>
      </c>
      <c r="L973" s="106" t="str">
        <f t="shared" si="48"/>
        <v>Д</v>
      </c>
      <c r="M973" s="107" t="str">
        <f t="shared" si="49"/>
        <v>Физика плазмы</v>
      </c>
    </row>
    <row r="974" spans="1:13" ht="30" customHeight="1" x14ac:dyDescent="0.25">
      <c r="A974" s="41" t="s">
        <v>2588</v>
      </c>
      <c r="B974" s="25" t="s">
        <v>1727</v>
      </c>
      <c r="C974" s="29" t="s">
        <v>664</v>
      </c>
      <c r="D974" s="29" t="s">
        <v>666</v>
      </c>
      <c r="E974" s="25" t="s">
        <v>1732</v>
      </c>
      <c r="F974" s="26" t="s">
        <v>179</v>
      </c>
      <c r="G974" s="27" t="s">
        <v>529</v>
      </c>
      <c r="H974" s="27" t="s">
        <v>383</v>
      </c>
      <c r="I974" s="27"/>
      <c r="J974" s="27" t="s">
        <v>565</v>
      </c>
      <c r="K974" s="106" t="str">
        <f t="shared" si="47"/>
        <v>А</v>
      </c>
      <c r="L974" s="106" t="str">
        <f t="shared" si="48"/>
        <v>Д</v>
      </c>
      <c r="M974" s="107" t="str">
        <f t="shared" si="49"/>
        <v>Неорганическая химия</v>
      </c>
    </row>
    <row r="975" spans="1:13" ht="30" customHeight="1" x14ac:dyDescent="0.25">
      <c r="A975" s="41" t="s">
        <v>2589</v>
      </c>
      <c r="B975" s="25" t="s">
        <v>1727</v>
      </c>
      <c r="C975" s="29" t="s">
        <v>664</v>
      </c>
      <c r="D975" s="29" t="s">
        <v>666</v>
      </c>
      <c r="E975" s="25" t="s">
        <v>1732</v>
      </c>
      <c r="F975" s="26" t="s">
        <v>179</v>
      </c>
      <c r="G975" s="27" t="s">
        <v>529</v>
      </c>
      <c r="H975" s="27" t="s">
        <v>382</v>
      </c>
      <c r="I975" s="27"/>
      <c r="J975" s="27" t="s">
        <v>565</v>
      </c>
      <c r="K975" s="106" t="str">
        <f t="shared" si="47"/>
        <v>А</v>
      </c>
      <c r="L975" s="106" t="str">
        <f t="shared" si="48"/>
        <v>Д</v>
      </c>
      <c r="M975" s="107" t="str">
        <f t="shared" si="49"/>
        <v>Физическая химия</v>
      </c>
    </row>
    <row r="976" spans="1:13" ht="30" customHeight="1" x14ac:dyDescent="0.25">
      <c r="A976" s="41" t="s">
        <v>2590</v>
      </c>
      <c r="B976" s="25" t="s">
        <v>1727</v>
      </c>
      <c r="C976" s="29" t="s">
        <v>664</v>
      </c>
      <c r="D976" s="29" t="s">
        <v>666</v>
      </c>
      <c r="E976" s="25" t="s">
        <v>1732</v>
      </c>
      <c r="F976" s="26" t="s">
        <v>179</v>
      </c>
      <c r="G976" s="27" t="s">
        <v>529</v>
      </c>
      <c r="H976" s="27" t="s">
        <v>381</v>
      </c>
      <c r="I976" s="27"/>
      <c r="J976" s="27" t="s">
        <v>565</v>
      </c>
      <c r="K976" s="106" t="str">
        <f t="shared" si="47"/>
        <v>А</v>
      </c>
      <c r="L976" s="106" t="str">
        <f t="shared" si="48"/>
        <v>Д</v>
      </c>
      <c r="M976" s="107" t="str">
        <f t="shared" si="49"/>
        <v>Органическая химия</v>
      </c>
    </row>
    <row r="977" spans="1:13" ht="30" customHeight="1" x14ac:dyDescent="0.25">
      <c r="A977" s="41" t="s">
        <v>2591</v>
      </c>
      <c r="B977" s="25" t="s">
        <v>1727</v>
      </c>
      <c r="C977" s="29" t="s">
        <v>664</v>
      </c>
      <c r="D977" s="29" t="s">
        <v>1730</v>
      </c>
      <c r="E977" s="25" t="s">
        <v>1732</v>
      </c>
      <c r="F977" s="26" t="s">
        <v>179</v>
      </c>
      <c r="G977" s="27" t="s">
        <v>529</v>
      </c>
      <c r="H977" s="27" t="s">
        <v>626</v>
      </c>
      <c r="I977" s="27"/>
      <c r="J977" s="27" t="s">
        <v>565</v>
      </c>
      <c r="K977" s="106" t="str">
        <f t="shared" si="47"/>
        <v>А</v>
      </c>
      <c r="L977" s="106" t="str">
        <f t="shared" si="48"/>
        <v>Д</v>
      </c>
      <c r="M977" s="107" t="str">
        <f t="shared" si="49"/>
        <v>Органическая химия: Химия гетероциклических соединений (Английский язык)</v>
      </c>
    </row>
    <row r="978" spans="1:13" ht="30" customHeight="1" x14ac:dyDescent="0.25">
      <c r="A978" s="41" t="s">
        <v>2592</v>
      </c>
      <c r="B978" s="25" t="s">
        <v>1727</v>
      </c>
      <c r="C978" s="29" t="s">
        <v>664</v>
      </c>
      <c r="D978" s="29" t="s">
        <v>1730</v>
      </c>
      <c r="E978" s="25" t="s">
        <v>1732</v>
      </c>
      <c r="F978" s="26" t="s">
        <v>179</v>
      </c>
      <c r="G978" s="27" t="s">
        <v>529</v>
      </c>
      <c r="H978" s="27" t="s">
        <v>627</v>
      </c>
      <c r="I978" s="27"/>
      <c r="J978" s="27" t="s">
        <v>565</v>
      </c>
      <c r="K978" s="106" t="str">
        <f t="shared" si="47"/>
        <v>А</v>
      </c>
      <c r="L978" s="106" t="str">
        <f t="shared" si="48"/>
        <v>Д</v>
      </c>
      <c r="M978" s="107" t="str">
        <f t="shared" si="49"/>
        <v>Физическая химия адсорбции и катализа (Английский язык)</v>
      </c>
    </row>
    <row r="979" spans="1:13" ht="30" customHeight="1" x14ac:dyDescent="0.25">
      <c r="A979" s="41" t="s">
        <v>2600</v>
      </c>
      <c r="B979" s="25" t="s">
        <v>1727</v>
      </c>
      <c r="C979" s="29" t="s">
        <v>664</v>
      </c>
      <c r="D979" s="29" t="s">
        <v>666</v>
      </c>
      <c r="E979" s="25" t="s">
        <v>1732</v>
      </c>
      <c r="F979" s="26" t="s">
        <v>179</v>
      </c>
      <c r="G979" s="27" t="s">
        <v>529</v>
      </c>
      <c r="H979" s="27" t="s">
        <v>381</v>
      </c>
      <c r="I979" s="27" t="s">
        <v>911</v>
      </c>
      <c r="J979" s="27" t="s">
        <v>565</v>
      </c>
      <c r="K979" s="106" t="str">
        <f t="shared" si="47"/>
        <v>А</v>
      </c>
      <c r="L979" s="106" t="str">
        <f t="shared" si="48"/>
        <v>Д</v>
      </c>
      <c r="M979" s="107" t="str">
        <f t="shared" si="49"/>
        <v>Органическая химия (Вуз-партнёр - Институт нефтехимического синтеза РАН)</v>
      </c>
    </row>
    <row r="980" spans="1:13" ht="30" customHeight="1" x14ac:dyDescent="0.25">
      <c r="A980" s="41" t="s">
        <v>2593</v>
      </c>
      <c r="B980" s="25" t="s">
        <v>1658</v>
      </c>
      <c r="C980" s="29" t="s">
        <v>664</v>
      </c>
      <c r="D980" s="29" t="s">
        <v>666</v>
      </c>
      <c r="E980" s="25" t="s">
        <v>1732</v>
      </c>
      <c r="F980" s="26" t="s">
        <v>179</v>
      </c>
      <c r="G980" s="27" t="s">
        <v>524</v>
      </c>
      <c r="H980" s="27" t="s">
        <v>384</v>
      </c>
      <c r="I980" s="27"/>
      <c r="J980" s="27" t="s">
        <v>565</v>
      </c>
      <c r="K980" s="106" t="str">
        <f t="shared" si="47"/>
        <v>А</v>
      </c>
      <c r="L980" s="106" t="str">
        <f t="shared" si="48"/>
        <v>Д</v>
      </c>
      <c r="M980" s="107" t="str">
        <f t="shared" si="49"/>
        <v>Теоретические основы информатики</v>
      </c>
    </row>
    <row r="981" spans="1:13" ht="30" customHeight="1" x14ac:dyDescent="0.25">
      <c r="A981" s="41" t="s">
        <v>2594</v>
      </c>
      <c r="B981" s="25" t="s">
        <v>1658</v>
      </c>
      <c r="C981" s="29" t="s">
        <v>664</v>
      </c>
      <c r="D981" s="29" t="s">
        <v>666</v>
      </c>
      <c r="E981" s="25" t="s">
        <v>1732</v>
      </c>
      <c r="F981" s="26" t="s">
        <v>179</v>
      </c>
      <c r="G981" s="27" t="s">
        <v>524</v>
      </c>
      <c r="H981" s="27" t="s">
        <v>385</v>
      </c>
      <c r="I981" s="27"/>
      <c r="J981" s="27" t="s">
        <v>565</v>
      </c>
      <c r="K981" s="106" t="str">
        <f t="shared" si="47"/>
        <v>А</v>
      </c>
      <c r="L981" s="106" t="str">
        <f t="shared" si="48"/>
        <v>Д</v>
      </c>
      <c r="M981" s="107" t="str">
        <f t="shared" si="49"/>
        <v>Математическое моделирование, численные методы и комплексы программ</v>
      </c>
    </row>
    <row r="982" spans="1:13" ht="30" customHeight="1" x14ac:dyDescent="0.25">
      <c r="A982" s="41" t="s">
        <v>1975</v>
      </c>
      <c r="B982" s="25" t="s">
        <v>2569</v>
      </c>
      <c r="C982" s="29" t="s">
        <v>664</v>
      </c>
      <c r="D982" s="29" t="s">
        <v>666</v>
      </c>
      <c r="E982" s="25" t="s">
        <v>1732</v>
      </c>
      <c r="F982" s="26" t="s">
        <v>179</v>
      </c>
      <c r="G982" s="27" t="s">
        <v>377</v>
      </c>
      <c r="H982" s="27" t="s">
        <v>377</v>
      </c>
      <c r="I982" s="27"/>
      <c r="J982" s="27" t="s">
        <v>565</v>
      </c>
      <c r="K982" s="106" t="str">
        <f t="shared" si="47"/>
        <v>А</v>
      </c>
      <c r="L982" s="106" t="str">
        <f t="shared" si="48"/>
        <v>Д</v>
      </c>
      <c r="M982" s="107" t="str">
        <f t="shared" si="49"/>
        <v>Вещественный, комплексный и функциональный анализ</v>
      </c>
    </row>
    <row r="983" spans="1:13" ht="30" customHeight="1" x14ac:dyDescent="0.25">
      <c r="A983" s="41" t="s">
        <v>1976</v>
      </c>
      <c r="B983" s="25" t="s">
        <v>2570</v>
      </c>
      <c r="C983" s="29" t="s">
        <v>664</v>
      </c>
      <c r="D983" s="29" t="s">
        <v>666</v>
      </c>
      <c r="E983" s="25" t="s">
        <v>1732</v>
      </c>
      <c r="F983" s="26" t="s">
        <v>179</v>
      </c>
      <c r="G983" s="27" t="s">
        <v>1977</v>
      </c>
      <c r="H983" s="27" t="s">
        <v>1977</v>
      </c>
      <c r="I983" s="27"/>
      <c r="J983" s="27" t="s">
        <v>565</v>
      </c>
      <c r="K983" s="106" t="str">
        <f t="shared" si="47"/>
        <v>А</v>
      </c>
      <c r="L983" s="106" t="str">
        <f t="shared" si="48"/>
        <v>Д</v>
      </c>
      <c r="M983" s="107" t="str">
        <f t="shared" si="49"/>
        <v>Дифференциальные уравнения и математическая физика</v>
      </c>
    </row>
    <row r="984" spans="1:13" ht="30" customHeight="1" x14ac:dyDescent="0.25">
      <c r="A984" s="41" t="s">
        <v>1978</v>
      </c>
      <c r="B984" s="25" t="s">
        <v>2571</v>
      </c>
      <c r="C984" s="29" t="s">
        <v>664</v>
      </c>
      <c r="D984" s="29" t="s">
        <v>666</v>
      </c>
      <c r="E984" s="25" t="s">
        <v>1732</v>
      </c>
      <c r="F984" s="26" t="s">
        <v>179</v>
      </c>
      <c r="G984" s="27" t="s">
        <v>380</v>
      </c>
      <c r="H984" s="27" t="s">
        <v>380</v>
      </c>
      <c r="I984" s="27"/>
      <c r="J984" s="27" t="s">
        <v>565</v>
      </c>
      <c r="K984" s="106" t="str">
        <f t="shared" si="47"/>
        <v>А</v>
      </c>
      <c r="L984" s="106" t="str">
        <f t="shared" si="48"/>
        <v>Д</v>
      </c>
      <c r="M984" s="107" t="str">
        <f t="shared" si="49"/>
        <v>Вычислительная математика</v>
      </c>
    </row>
    <row r="985" spans="1:13" ht="30" customHeight="1" x14ac:dyDescent="0.25">
      <c r="A985" s="41" t="s">
        <v>3092</v>
      </c>
      <c r="B985" s="25" t="s">
        <v>2228</v>
      </c>
      <c r="C985" s="29" t="s">
        <v>664</v>
      </c>
      <c r="D985" s="29" t="s">
        <v>666</v>
      </c>
      <c r="E985" s="25" t="s">
        <v>1732</v>
      </c>
      <c r="F985" s="26" t="s">
        <v>179</v>
      </c>
      <c r="G985" s="27" t="s">
        <v>1817</v>
      </c>
      <c r="H985" s="27" t="s">
        <v>1817</v>
      </c>
      <c r="I985" s="27"/>
      <c r="J985" s="27" t="s">
        <v>565</v>
      </c>
      <c r="K985" s="106" t="str">
        <f t="shared" si="47"/>
        <v>А</v>
      </c>
      <c r="L985" s="106" t="str">
        <f t="shared" si="48"/>
        <v>Д</v>
      </c>
      <c r="M985" s="107" t="str">
        <f t="shared" si="49"/>
        <v>Теоретическая механика, динамика машин</v>
      </c>
    </row>
    <row r="986" spans="1:13" ht="30" customHeight="1" x14ac:dyDescent="0.25">
      <c r="A986" s="41" t="s">
        <v>1979</v>
      </c>
      <c r="B986" s="25" t="s">
        <v>2572</v>
      </c>
      <c r="C986" s="29" t="s">
        <v>664</v>
      </c>
      <c r="D986" s="29" t="s">
        <v>666</v>
      </c>
      <c r="E986" s="25" t="s">
        <v>3128</v>
      </c>
      <c r="F986" s="26" t="s">
        <v>179</v>
      </c>
      <c r="G986" s="27" t="s">
        <v>385</v>
      </c>
      <c r="H986" s="27" t="s">
        <v>385</v>
      </c>
      <c r="I986" s="27"/>
      <c r="J986" s="27" t="s">
        <v>565</v>
      </c>
      <c r="K986" s="106" t="str">
        <f t="shared" si="47"/>
        <v>А</v>
      </c>
      <c r="L986" s="106" t="str">
        <f t="shared" si="48"/>
        <v>Д</v>
      </c>
      <c r="M986" s="107" t="str">
        <f t="shared" si="49"/>
        <v>Математическое моделирование, численные методы и комплексы программ</v>
      </c>
    </row>
    <row r="987" spans="1:13" ht="30" customHeight="1" x14ac:dyDescent="0.25">
      <c r="A987" s="41" t="s">
        <v>1980</v>
      </c>
      <c r="B987" s="25" t="s">
        <v>2573</v>
      </c>
      <c r="C987" s="29" t="s">
        <v>664</v>
      </c>
      <c r="D987" s="29" t="s">
        <v>666</v>
      </c>
      <c r="E987" s="25" t="s">
        <v>3128</v>
      </c>
      <c r="F987" s="26" t="s">
        <v>179</v>
      </c>
      <c r="G987" s="27" t="s">
        <v>1981</v>
      </c>
      <c r="H987" s="27" t="s">
        <v>1981</v>
      </c>
      <c r="I987" s="27"/>
      <c r="J987" s="27" t="s">
        <v>565</v>
      </c>
      <c r="K987" s="106" t="str">
        <f t="shared" si="47"/>
        <v>А</v>
      </c>
      <c r="L987" s="106" t="str">
        <f t="shared" si="48"/>
        <v>Д</v>
      </c>
      <c r="M987" s="107" t="str">
        <f t="shared" si="49"/>
        <v>Теоретическая информатика, кибернетика</v>
      </c>
    </row>
    <row r="988" spans="1:13" ht="30" customHeight="1" x14ac:dyDescent="0.25">
      <c r="A988" s="41" t="s">
        <v>1982</v>
      </c>
      <c r="B988" s="25" t="s">
        <v>2574</v>
      </c>
      <c r="C988" s="29" t="s">
        <v>664</v>
      </c>
      <c r="D988" s="29" t="s">
        <v>666</v>
      </c>
      <c r="E988" s="25" t="s">
        <v>1732</v>
      </c>
      <c r="F988" s="26" t="s">
        <v>179</v>
      </c>
      <c r="G988" s="27" t="s">
        <v>386</v>
      </c>
      <c r="H988" s="27" t="s">
        <v>386</v>
      </c>
      <c r="I988" s="27"/>
      <c r="J988" s="27" t="s">
        <v>565</v>
      </c>
      <c r="K988" s="106" t="str">
        <f t="shared" si="47"/>
        <v>А</v>
      </c>
      <c r="L988" s="106" t="str">
        <f t="shared" si="48"/>
        <v>Д</v>
      </c>
      <c r="M988" s="107" t="str">
        <f t="shared" si="49"/>
        <v>Теоретическая физика</v>
      </c>
    </row>
    <row r="989" spans="1:13" ht="30" customHeight="1" x14ac:dyDescent="0.25">
      <c r="A989" s="41" t="s">
        <v>1983</v>
      </c>
      <c r="B989" s="25" t="s">
        <v>2575</v>
      </c>
      <c r="C989" s="29" t="s">
        <v>664</v>
      </c>
      <c r="D989" s="29" t="s">
        <v>666</v>
      </c>
      <c r="E989" s="25" t="s">
        <v>1732</v>
      </c>
      <c r="F989" s="26" t="s">
        <v>179</v>
      </c>
      <c r="G989" s="27" t="s">
        <v>128</v>
      </c>
      <c r="H989" s="27" t="s">
        <v>128</v>
      </c>
      <c r="I989" s="27"/>
      <c r="J989" s="27" t="s">
        <v>565</v>
      </c>
      <c r="K989" s="106" t="str">
        <f t="shared" si="47"/>
        <v>А</v>
      </c>
      <c r="L989" s="106" t="str">
        <f t="shared" si="48"/>
        <v>Д</v>
      </c>
      <c r="M989" s="107" t="str">
        <f t="shared" si="49"/>
        <v>Радиофизика</v>
      </c>
    </row>
    <row r="990" spans="1:13" ht="30" customHeight="1" x14ac:dyDescent="0.25">
      <c r="A990" s="41" t="s">
        <v>1984</v>
      </c>
      <c r="B990" s="25" t="s">
        <v>2576</v>
      </c>
      <c r="C990" s="29" t="s">
        <v>664</v>
      </c>
      <c r="D990" s="29" t="s">
        <v>666</v>
      </c>
      <c r="E990" s="25" t="s">
        <v>1732</v>
      </c>
      <c r="F990" s="26" t="s">
        <v>179</v>
      </c>
      <c r="G990" s="27" t="s">
        <v>387</v>
      </c>
      <c r="H990" s="27" t="s">
        <v>387</v>
      </c>
      <c r="I990" s="27"/>
      <c r="J990" s="27" t="s">
        <v>565</v>
      </c>
      <c r="K990" s="106" t="str">
        <f t="shared" si="47"/>
        <v>А</v>
      </c>
      <c r="L990" s="106" t="str">
        <f t="shared" si="48"/>
        <v>Д</v>
      </c>
      <c r="M990" s="107" t="str">
        <f t="shared" si="49"/>
        <v>Физика плазмы</v>
      </c>
    </row>
    <row r="991" spans="1:13" ht="30" customHeight="1" x14ac:dyDescent="0.25">
      <c r="A991" s="41" t="s">
        <v>1985</v>
      </c>
      <c r="B991" s="25" t="s">
        <v>2577</v>
      </c>
      <c r="C991" s="29" t="s">
        <v>664</v>
      </c>
      <c r="D991" s="29" t="s">
        <v>666</v>
      </c>
      <c r="E991" s="25" t="s">
        <v>1732</v>
      </c>
      <c r="F991" s="26" t="s">
        <v>179</v>
      </c>
      <c r="G991" s="27" t="s">
        <v>383</v>
      </c>
      <c r="H991" s="27" t="s">
        <v>383</v>
      </c>
      <c r="I991" s="27"/>
      <c r="J991" s="27" t="s">
        <v>565</v>
      </c>
      <c r="K991" s="106" t="str">
        <f t="shared" si="47"/>
        <v>А</v>
      </c>
      <c r="L991" s="106" t="str">
        <f t="shared" si="48"/>
        <v>Д</v>
      </c>
      <c r="M991" s="107" t="str">
        <f t="shared" si="49"/>
        <v>Неорганическая химия</v>
      </c>
    </row>
    <row r="992" spans="1:13" ht="30" customHeight="1" x14ac:dyDescent="0.25">
      <c r="A992" s="41" t="s">
        <v>1986</v>
      </c>
      <c r="B992" s="25" t="s">
        <v>2578</v>
      </c>
      <c r="C992" s="29" t="s">
        <v>664</v>
      </c>
      <c r="D992" s="29" t="s">
        <v>666</v>
      </c>
      <c r="E992" s="25" t="s">
        <v>1732</v>
      </c>
      <c r="F992" s="26" t="s">
        <v>179</v>
      </c>
      <c r="G992" s="27" t="s">
        <v>381</v>
      </c>
      <c r="H992" s="27" t="s">
        <v>381</v>
      </c>
      <c r="I992" s="27"/>
      <c r="J992" s="27" t="s">
        <v>565</v>
      </c>
      <c r="K992" s="106" t="str">
        <f t="shared" si="47"/>
        <v>А</v>
      </c>
      <c r="L992" s="106" t="str">
        <f t="shared" si="48"/>
        <v>Д</v>
      </c>
      <c r="M992" s="107" t="str">
        <f t="shared" si="49"/>
        <v>Органическая химия</v>
      </c>
    </row>
    <row r="993" spans="1:13" ht="30" customHeight="1" x14ac:dyDescent="0.25">
      <c r="A993" s="41" t="s">
        <v>1987</v>
      </c>
      <c r="B993" s="25" t="s">
        <v>2579</v>
      </c>
      <c r="C993" s="29" t="s">
        <v>664</v>
      </c>
      <c r="D993" s="29" t="s">
        <v>666</v>
      </c>
      <c r="E993" s="25" t="s">
        <v>1732</v>
      </c>
      <c r="F993" s="26" t="s">
        <v>179</v>
      </c>
      <c r="G993" s="27" t="s">
        <v>382</v>
      </c>
      <c r="H993" s="27" t="s">
        <v>382</v>
      </c>
      <c r="I993" s="27"/>
      <c r="J993" s="27" t="s">
        <v>565</v>
      </c>
      <c r="K993" s="106" t="str">
        <f t="shared" si="47"/>
        <v>А</v>
      </c>
      <c r="L993" s="106" t="str">
        <f t="shared" si="48"/>
        <v>Д</v>
      </c>
      <c r="M993" s="107" t="str">
        <f t="shared" si="49"/>
        <v>Физическая химия</v>
      </c>
    </row>
    <row r="994" spans="1:13" ht="30" customHeight="1" x14ac:dyDescent="0.25">
      <c r="A994" s="41" t="s">
        <v>2931</v>
      </c>
      <c r="B994" s="25" t="s">
        <v>2143</v>
      </c>
      <c r="C994" s="29" t="s">
        <v>664</v>
      </c>
      <c r="D994" s="29" t="s">
        <v>666</v>
      </c>
      <c r="E994" s="25" t="s">
        <v>3128</v>
      </c>
      <c r="F994" s="26" t="s">
        <v>179</v>
      </c>
      <c r="G994" s="27" t="s">
        <v>2144</v>
      </c>
      <c r="H994" s="27" t="s">
        <v>2144</v>
      </c>
      <c r="I994" s="27"/>
      <c r="J994" s="27" t="s">
        <v>565</v>
      </c>
      <c r="K994" s="106" t="str">
        <f t="shared" si="47"/>
        <v>А</v>
      </c>
      <c r="L994" s="106" t="str">
        <f t="shared" si="48"/>
        <v>Д</v>
      </c>
      <c r="M994" s="107" t="str">
        <f t="shared" si="49"/>
        <v>Системный анализ, управление и обработка информации, статистика</v>
      </c>
    </row>
    <row r="995" spans="1:13" ht="30" customHeight="1" x14ac:dyDescent="0.25">
      <c r="A995" s="41" t="s">
        <v>2595</v>
      </c>
      <c r="B995" s="25" t="s">
        <v>1655</v>
      </c>
      <c r="C995" s="29" t="s">
        <v>665</v>
      </c>
      <c r="D995" s="29" t="s">
        <v>666</v>
      </c>
      <c r="E995" s="25" t="s">
        <v>3123</v>
      </c>
      <c r="F995" s="26" t="s">
        <v>179</v>
      </c>
      <c r="G995" s="27" t="s">
        <v>526</v>
      </c>
      <c r="H995" s="27" t="s">
        <v>377</v>
      </c>
      <c r="I995" s="27"/>
      <c r="J995" s="27" t="s">
        <v>565</v>
      </c>
      <c r="K995" s="106" t="str">
        <f t="shared" si="47"/>
        <v>А</v>
      </c>
      <c r="L995" s="106" t="str">
        <f t="shared" si="48"/>
        <v>З</v>
      </c>
      <c r="M995" s="107" t="str">
        <f t="shared" si="49"/>
        <v>Вещественный, комплексный и функциональный анализ</v>
      </c>
    </row>
    <row r="996" spans="1:13" ht="30" customHeight="1" x14ac:dyDescent="0.25">
      <c r="A996" s="41" t="s">
        <v>2596</v>
      </c>
      <c r="B996" s="25" t="s">
        <v>1655</v>
      </c>
      <c r="C996" s="29" t="s">
        <v>665</v>
      </c>
      <c r="D996" s="29" t="s">
        <v>666</v>
      </c>
      <c r="E996" s="25" t="s">
        <v>3123</v>
      </c>
      <c r="F996" s="26" t="s">
        <v>179</v>
      </c>
      <c r="G996" s="27" t="s">
        <v>526</v>
      </c>
      <c r="H996" s="27" t="s">
        <v>378</v>
      </c>
      <c r="I996" s="27"/>
      <c r="J996" s="27" t="s">
        <v>565</v>
      </c>
      <c r="K996" s="106" t="str">
        <f t="shared" si="47"/>
        <v>А</v>
      </c>
      <c r="L996" s="106" t="str">
        <f t="shared" si="48"/>
        <v>З</v>
      </c>
      <c r="M996" s="107" t="str">
        <f t="shared" si="49"/>
        <v>Дифференциальные уравнения, динамические системы и оптимальное управление</v>
      </c>
    </row>
    <row r="997" spans="1:13" ht="30" customHeight="1" x14ac:dyDescent="0.25">
      <c r="A997" s="41" t="s">
        <v>2597</v>
      </c>
      <c r="B997" s="25" t="s">
        <v>1655</v>
      </c>
      <c r="C997" s="29" t="s">
        <v>665</v>
      </c>
      <c r="D997" s="29" t="s">
        <v>666</v>
      </c>
      <c r="E997" s="25" t="s">
        <v>3123</v>
      </c>
      <c r="F997" s="26" t="s">
        <v>179</v>
      </c>
      <c r="G997" s="27" t="s">
        <v>526</v>
      </c>
      <c r="H997" s="27" t="s">
        <v>379</v>
      </c>
      <c r="I997" s="27"/>
      <c r="J997" s="27" t="s">
        <v>565</v>
      </c>
      <c r="K997" s="106" t="str">
        <f t="shared" si="47"/>
        <v>А</v>
      </c>
      <c r="L997" s="106" t="str">
        <f t="shared" si="48"/>
        <v>З</v>
      </c>
      <c r="M997" s="107" t="str">
        <f t="shared" si="49"/>
        <v>Теоретическая механика</v>
      </c>
    </row>
    <row r="998" spans="1:13" ht="30" customHeight="1" x14ac:dyDescent="0.25">
      <c r="A998" s="41" t="s">
        <v>2598</v>
      </c>
      <c r="B998" s="25" t="s">
        <v>1658</v>
      </c>
      <c r="C998" s="29" t="s">
        <v>665</v>
      </c>
      <c r="D998" s="29" t="s">
        <v>666</v>
      </c>
      <c r="E998" s="25" t="s">
        <v>3123</v>
      </c>
      <c r="F998" s="26" t="s">
        <v>179</v>
      </c>
      <c r="G998" s="27" t="s">
        <v>524</v>
      </c>
      <c r="H998" s="27" t="s">
        <v>384</v>
      </c>
      <c r="I998" s="27"/>
      <c r="J998" s="27" t="s">
        <v>565</v>
      </c>
      <c r="K998" s="106" t="str">
        <f t="shared" si="47"/>
        <v>А</v>
      </c>
      <c r="L998" s="106" t="str">
        <f t="shared" si="48"/>
        <v>З</v>
      </c>
      <c r="M998" s="107" t="str">
        <f t="shared" si="49"/>
        <v>Теоретические основы информатики</v>
      </c>
    </row>
    <row r="999" spans="1:13" ht="30" customHeight="1" x14ac:dyDescent="0.25">
      <c r="A999" s="41" t="s">
        <v>2599</v>
      </c>
      <c r="B999" s="25" t="s">
        <v>1658</v>
      </c>
      <c r="C999" s="29" t="s">
        <v>665</v>
      </c>
      <c r="D999" s="29" t="s">
        <v>666</v>
      </c>
      <c r="E999" s="25" t="s">
        <v>3123</v>
      </c>
      <c r="F999" s="26" t="s">
        <v>179</v>
      </c>
      <c r="G999" s="27" t="s">
        <v>524</v>
      </c>
      <c r="H999" s="27" t="s">
        <v>385</v>
      </c>
      <c r="I999" s="27"/>
      <c r="J999" s="27" t="s">
        <v>565</v>
      </c>
      <c r="K999" s="106" t="str">
        <f t="shared" si="47"/>
        <v>А</v>
      </c>
      <c r="L999" s="106" t="str">
        <f t="shared" si="48"/>
        <v>З</v>
      </c>
      <c r="M999" s="107" t="str">
        <f t="shared" si="49"/>
        <v>Математическое моделирование, численные методы и комплексы программ</v>
      </c>
    </row>
    <row r="1000" spans="1:13" ht="30" hidden="1" customHeight="1" x14ac:dyDescent="0.25">
      <c r="A1000" s="41" t="s">
        <v>3093</v>
      </c>
      <c r="B1000" s="25" t="s">
        <v>3120</v>
      </c>
      <c r="C1000" s="29" t="s">
        <v>664</v>
      </c>
      <c r="D1000" s="29" t="s">
        <v>666</v>
      </c>
      <c r="E1000" s="25" t="s">
        <v>3124</v>
      </c>
      <c r="F1000" s="26" t="s">
        <v>662</v>
      </c>
      <c r="G1000" s="27" t="s">
        <v>3192</v>
      </c>
      <c r="H1000" s="27" t="s">
        <v>3181</v>
      </c>
      <c r="I1000" s="27"/>
      <c r="J1000" s="27" t="s">
        <v>566</v>
      </c>
      <c r="K1000" s="106" t="str">
        <f t="shared" si="47"/>
        <v>С</v>
      </c>
      <c r="L1000" s="106" t="str">
        <f t="shared" si="48"/>
        <v>Д</v>
      </c>
      <c r="M1000" s="107" t="str">
        <f t="shared" si="49"/>
        <v>Психология здоровья</v>
      </c>
    </row>
    <row r="1001" spans="1:13" ht="30" hidden="1" customHeight="1" x14ac:dyDescent="0.25">
      <c r="A1001" s="41" t="s">
        <v>1497</v>
      </c>
      <c r="B1001" s="25" t="s">
        <v>1498</v>
      </c>
      <c r="C1001" s="29" t="s">
        <v>664</v>
      </c>
      <c r="D1001" s="29" t="s">
        <v>666</v>
      </c>
      <c r="E1001" s="25" t="s">
        <v>1732</v>
      </c>
      <c r="F1001" s="26" t="s">
        <v>113</v>
      </c>
      <c r="G1001" s="27" t="s">
        <v>144</v>
      </c>
      <c r="H1001" s="27" t="s">
        <v>144</v>
      </c>
      <c r="I1001" s="27"/>
      <c r="J1001" s="27" t="s">
        <v>566</v>
      </c>
      <c r="K1001" s="106" t="str">
        <f t="shared" si="47"/>
        <v>Б</v>
      </c>
      <c r="L1001" s="106" t="str">
        <f t="shared" si="48"/>
        <v>Д</v>
      </c>
      <c r="M1001" s="107" t="str">
        <f t="shared" si="49"/>
        <v>Психология</v>
      </c>
    </row>
    <row r="1002" spans="1:13" ht="30" hidden="1" customHeight="1" x14ac:dyDescent="0.25">
      <c r="A1002" s="41" t="s">
        <v>1499</v>
      </c>
      <c r="B1002" s="25" t="s">
        <v>1296</v>
      </c>
      <c r="C1002" s="29" t="s">
        <v>664</v>
      </c>
      <c r="D1002" s="29" t="s">
        <v>666</v>
      </c>
      <c r="E1002" s="25" t="s">
        <v>1732</v>
      </c>
      <c r="F1002" s="26" t="s">
        <v>113</v>
      </c>
      <c r="G1002" s="27" t="s">
        <v>145</v>
      </c>
      <c r="H1002" s="27" t="s">
        <v>145</v>
      </c>
      <c r="I1002" s="27"/>
      <c r="J1002" s="27" t="s">
        <v>566</v>
      </c>
      <c r="K1002" s="106" t="str">
        <f t="shared" si="47"/>
        <v>Б</v>
      </c>
      <c r="L1002" s="106" t="str">
        <f t="shared" si="48"/>
        <v>Д</v>
      </c>
      <c r="M1002" s="107" t="str">
        <f t="shared" si="49"/>
        <v>Реклама и связи с общественностью</v>
      </c>
    </row>
    <row r="1003" spans="1:13" ht="30" hidden="1" customHeight="1" x14ac:dyDescent="0.25">
      <c r="A1003" s="41" t="s">
        <v>1500</v>
      </c>
      <c r="B1003" s="25" t="s">
        <v>1501</v>
      </c>
      <c r="C1003" s="29" t="s">
        <v>664</v>
      </c>
      <c r="D1003" s="29" t="s">
        <v>666</v>
      </c>
      <c r="E1003" s="25" t="s">
        <v>1732</v>
      </c>
      <c r="F1003" s="26" t="s">
        <v>113</v>
      </c>
      <c r="G1003" s="27" t="s">
        <v>139</v>
      </c>
      <c r="H1003" s="27" t="s">
        <v>139</v>
      </c>
      <c r="I1003" s="27"/>
      <c r="J1003" s="27" t="s">
        <v>566</v>
      </c>
      <c r="K1003" s="106" t="str">
        <f t="shared" si="47"/>
        <v>Б</v>
      </c>
      <c r="L1003" s="106" t="str">
        <f t="shared" si="48"/>
        <v>Д</v>
      </c>
      <c r="M1003" s="107" t="str">
        <f t="shared" si="49"/>
        <v>Журналистика</v>
      </c>
    </row>
    <row r="1004" spans="1:13" ht="30" hidden="1" customHeight="1" x14ac:dyDescent="0.25">
      <c r="A1004" s="41" t="s">
        <v>1502</v>
      </c>
      <c r="B1004" s="25" t="s">
        <v>1501</v>
      </c>
      <c r="C1004" s="29" t="s">
        <v>664</v>
      </c>
      <c r="D1004" s="29" t="s">
        <v>1730</v>
      </c>
      <c r="E1004" s="25" t="s">
        <v>1732</v>
      </c>
      <c r="F1004" s="26" t="s">
        <v>113</v>
      </c>
      <c r="G1004" s="27" t="s">
        <v>139</v>
      </c>
      <c r="H1004" s="27" t="s">
        <v>1025</v>
      </c>
      <c r="I1004" s="27"/>
      <c r="J1004" s="27" t="s">
        <v>566</v>
      </c>
      <c r="K1004" s="106" t="str">
        <f t="shared" si="47"/>
        <v>Б</v>
      </c>
      <c r="L1004" s="106" t="str">
        <f t="shared" si="48"/>
        <v>Д</v>
      </c>
      <c r="M1004" s="107" t="str">
        <f t="shared" si="49"/>
        <v>Мультимедийная журналистика (Английский язык)</v>
      </c>
    </row>
    <row r="1005" spans="1:13" ht="30" hidden="1" customHeight="1" x14ac:dyDescent="0.25">
      <c r="A1005" s="41" t="s">
        <v>1503</v>
      </c>
      <c r="B1005" s="25" t="s">
        <v>1504</v>
      </c>
      <c r="C1005" s="29" t="s">
        <v>664</v>
      </c>
      <c r="D1005" s="29" t="s">
        <v>666</v>
      </c>
      <c r="E1005" s="25" t="s">
        <v>1732</v>
      </c>
      <c r="F1005" s="26" t="s">
        <v>113</v>
      </c>
      <c r="G1005" s="27" t="s">
        <v>147</v>
      </c>
      <c r="H1005" s="27" t="s">
        <v>147</v>
      </c>
      <c r="I1005" s="27"/>
      <c r="J1005" s="27" t="s">
        <v>566</v>
      </c>
      <c r="K1005" s="106" t="str">
        <f t="shared" si="47"/>
        <v>Б</v>
      </c>
      <c r="L1005" s="106" t="str">
        <f t="shared" si="48"/>
        <v>Д</v>
      </c>
      <c r="M1005" s="107" t="str">
        <f t="shared" si="49"/>
        <v>Телевидение</v>
      </c>
    </row>
    <row r="1006" spans="1:13" ht="30" hidden="1" customHeight="1" x14ac:dyDescent="0.25">
      <c r="A1006" s="41" t="s">
        <v>3094</v>
      </c>
      <c r="B1006" s="25" t="s">
        <v>3121</v>
      </c>
      <c r="C1006" s="29" t="s">
        <v>664</v>
      </c>
      <c r="D1006" s="29" t="s">
        <v>666</v>
      </c>
      <c r="E1006" s="25" t="s">
        <v>1732</v>
      </c>
      <c r="F1006" s="26" t="s">
        <v>113</v>
      </c>
      <c r="G1006" s="27" t="s">
        <v>3193</v>
      </c>
      <c r="H1006" s="27" t="s">
        <v>3182</v>
      </c>
      <c r="I1006" s="27"/>
      <c r="J1006" s="27" t="s">
        <v>566</v>
      </c>
      <c r="K1006" s="106" t="str">
        <f t="shared" si="47"/>
        <v>Б</v>
      </c>
      <c r="L1006" s="106" t="str">
        <f t="shared" si="48"/>
        <v>Д</v>
      </c>
      <c r="M1006" s="107" t="str">
        <f t="shared" si="49"/>
        <v>Преподаватель французского языка и практика перевода</v>
      </c>
    </row>
    <row r="1007" spans="1:13" ht="30" hidden="1" customHeight="1" x14ac:dyDescent="0.25">
      <c r="A1007" s="41" t="s">
        <v>1505</v>
      </c>
      <c r="B1007" s="25" t="s">
        <v>1311</v>
      </c>
      <c r="C1007" s="29" t="s">
        <v>664</v>
      </c>
      <c r="D1007" s="29" t="s">
        <v>666</v>
      </c>
      <c r="E1007" s="25" t="s">
        <v>1732</v>
      </c>
      <c r="F1007" s="26" t="s">
        <v>113</v>
      </c>
      <c r="G1007" s="27" t="s">
        <v>137</v>
      </c>
      <c r="H1007" s="27" t="s">
        <v>137</v>
      </c>
      <c r="I1007" s="27"/>
      <c r="J1007" s="27" t="s">
        <v>566</v>
      </c>
      <c r="K1007" s="106" t="str">
        <f t="shared" si="47"/>
        <v>Б</v>
      </c>
      <c r="L1007" s="106" t="str">
        <f t="shared" si="48"/>
        <v>Д</v>
      </c>
      <c r="M1007" s="107" t="str">
        <f t="shared" si="49"/>
        <v>Филология</v>
      </c>
    </row>
    <row r="1008" spans="1:13" ht="30" hidden="1" customHeight="1" x14ac:dyDescent="0.25">
      <c r="A1008" s="41" t="s">
        <v>1506</v>
      </c>
      <c r="B1008" s="25" t="s">
        <v>1273</v>
      </c>
      <c r="C1008" s="29" t="s">
        <v>664</v>
      </c>
      <c r="D1008" s="29" t="s">
        <v>666</v>
      </c>
      <c r="E1008" s="25" t="s">
        <v>1732</v>
      </c>
      <c r="F1008" s="26" t="s">
        <v>113</v>
      </c>
      <c r="G1008" s="27" t="s">
        <v>142</v>
      </c>
      <c r="H1008" s="27" t="s">
        <v>142</v>
      </c>
      <c r="I1008" s="27"/>
      <c r="J1008" s="27" t="s">
        <v>566</v>
      </c>
      <c r="K1008" s="106" t="str">
        <f t="shared" si="47"/>
        <v>Б</v>
      </c>
      <c r="L1008" s="106" t="str">
        <f t="shared" si="48"/>
        <v>Д</v>
      </c>
      <c r="M1008" s="107" t="str">
        <f t="shared" si="49"/>
        <v>Лингвистика</v>
      </c>
    </row>
    <row r="1009" spans="1:13" ht="30" hidden="1" customHeight="1" x14ac:dyDescent="0.25">
      <c r="A1009" s="41" t="s">
        <v>1507</v>
      </c>
      <c r="B1009" s="25" t="s">
        <v>1273</v>
      </c>
      <c r="C1009" s="29" t="s">
        <v>664</v>
      </c>
      <c r="D1009" s="29" t="s">
        <v>666</v>
      </c>
      <c r="E1009" s="25" t="s">
        <v>1732</v>
      </c>
      <c r="F1009" s="26" t="s">
        <v>113</v>
      </c>
      <c r="G1009" s="27" t="s">
        <v>142</v>
      </c>
      <c r="H1009" s="27" t="s">
        <v>1029</v>
      </c>
      <c r="I1009" s="27"/>
      <c r="J1009" s="27" t="s">
        <v>566</v>
      </c>
      <c r="K1009" s="106" t="str">
        <f t="shared" si="47"/>
        <v>Б</v>
      </c>
      <c r="L1009" s="106" t="str">
        <f t="shared" si="48"/>
        <v>Д</v>
      </c>
      <c r="M1009" s="107" t="str">
        <f t="shared" si="49"/>
        <v>Лингвистика: русский язык</v>
      </c>
    </row>
    <row r="1010" spans="1:13" ht="30" hidden="1" customHeight="1" x14ac:dyDescent="0.25">
      <c r="A1010" s="41" t="s">
        <v>1508</v>
      </c>
      <c r="B1010" s="25" t="s">
        <v>1273</v>
      </c>
      <c r="C1010" s="29" t="s">
        <v>664</v>
      </c>
      <c r="D1010" s="29" t="s">
        <v>666</v>
      </c>
      <c r="E1010" s="25" t="s">
        <v>1732</v>
      </c>
      <c r="F1010" s="26" t="s">
        <v>113</v>
      </c>
      <c r="G1010" s="27" t="s">
        <v>142</v>
      </c>
      <c r="H1010" s="27" t="s">
        <v>1030</v>
      </c>
      <c r="I1010" s="27"/>
      <c r="J1010" s="27" t="s">
        <v>566</v>
      </c>
      <c r="K1010" s="106" t="str">
        <f t="shared" si="47"/>
        <v>Б</v>
      </c>
      <c r="L1010" s="106" t="str">
        <f t="shared" si="48"/>
        <v>Д</v>
      </c>
      <c r="M1010" s="107" t="str">
        <f t="shared" si="49"/>
        <v>Лингвистика: иностранные языки</v>
      </c>
    </row>
    <row r="1011" spans="1:13" ht="30" hidden="1" customHeight="1" x14ac:dyDescent="0.25">
      <c r="A1011" s="41" t="s">
        <v>3095</v>
      </c>
      <c r="B1011" s="25" t="s">
        <v>3119</v>
      </c>
      <c r="C1011" s="29" t="s">
        <v>664</v>
      </c>
      <c r="D1011" s="29" t="s">
        <v>666</v>
      </c>
      <c r="E1011" s="25" t="s">
        <v>1732</v>
      </c>
      <c r="F1011" s="26" t="s">
        <v>113</v>
      </c>
      <c r="G1011" s="27" t="s">
        <v>3184</v>
      </c>
      <c r="H1011" s="27" t="s">
        <v>3183</v>
      </c>
      <c r="I1011" s="27"/>
      <c r="J1011" s="27" t="s">
        <v>566</v>
      </c>
      <c r="K1011" s="106" t="str">
        <f t="shared" si="47"/>
        <v>Б</v>
      </c>
      <c r="L1011" s="106" t="str">
        <f t="shared" si="48"/>
        <v>Д</v>
      </c>
      <c r="M1011" s="107" t="str">
        <f t="shared" si="49"/>
        <v>Востоковедение: языки и культуры</v>
      </c>
    </row>
    <row r="1012" spans="1:13" ht="30" hidden="1" customHeight="1" x14ac:dyDescent="0.25">
      <c r="A1012" s="41" t="s">
        <v>3096</v>
      </c>
      <c r="B1012" s="25" t="s">
        <v>3119</v>
      </c>
      <c r="C1012" s="29" t="s">
        <v>664</v>
      </c>
      <c r="D1012" s="29" t="s">
        <v>666</v>
      </c>
      <c r="E1012" s="25" t="s">
        <v>1732</v>
      </c>
      <c r="F1012" s="26" t="s">
        <v>113</v>
      </c>
      <c r="G1012" s="27" t="s">
        <v>3184</v>
      </c>
      <c r="H1012" s="27" t="s">
        <v>3184</v>
      </c>
      <c r="I1012" s="27"/>
      <c r="J1012" s="27" t="s">
        <v>566</v>
      </c>
      <c r="K1012" s="106" t="str">
        <f t="shared" si="47"/>
        <v>Б</v>
      </c>
      <c r="L1012" s="106" t="str">
        <f t="shared" si="48"/>
        <v>Д</v>
      </c>
      <c r="M1012" s="107" t="str">
        <f t="shared" si="49"/>
        <v>Востоковедение и африканистика</v>
      </c>
    </row>
    <row r="1013" spans="1:13" ht="30" hidden="1" customHeight="1" x14ac:dyDescent="0.25">
      <c r="A1013" s="41" t="s">
        <v>1528</v>
      </c>
      <c r="B1013" s="25" t="s">
        <v>1498</v>
      </c>
      <c r="C1013" s="29" t="s">
        <v>663</v>
      </c>
      <c r="D1013" s="29" t="s">
        <v>666</v>
      </c>
      <c r="E1013" s="25" t="s">
        <v>3125</v>
      </c>
      <c r="F1013" s="26" t="s">
        <v>113</v>
      </c>
      <c r="G1013" s="27" t="s">
        <v>144</v>
      </c>
      <c r="H1013" s="27" t="s">
        <v>144</v>
      </c>
      <c r="I1013" s="27"/>
      <c r="J1013" s="27" t="s">
        <v>566</v>
      </c>
      <c r="K1013" s="106" t="str">
        <f t="shared" si="47"/>
        <v>Б</v>
      </c>
      <c r="L1013" s="106" t="str">
        <f t="shared" si="48"/>
        <v>В</v>
      </c>
      <c r="M1013" s="107" t="str">
        <f t="shared" si="49"/>
        <v>Психология</v>
      </c>
    </row>
    <row r="1014" spans="1:13" ht="30" hidden="1" customHeight="1" x14ac:dyDescent="0.25">
      <c r="A1014" s="41" t="s">
        <v>1529</v>
      </c>
      <c r="B1014" s="25" t="s">
        <v>1296</v>
      </c>
      <c r="C1014" s="29" t="s">
        <v>663</v>
      </c>
      <c r="D1014" s="29" t="s">
        <v>666</v>
      </c>
      <c r="E1014" s="25" t="s">
        <v>3125</v>
      </c>
      <c r="F1014" s="26" t="s">
        <v>113</v>
      </c>
      <c r="G1014" s="27" t="s">
        <v>145</v>
      </c>
      <c r="H1014" s="27" t="s">
        <v>145</v>
      </c>
      <c r="I1014" s="27"/>
      <c r="J1014" s="27" t="s">
        <v>566</v>
      </c>
      <c r="K1014" s="106" t="str">
        <f t="shared" si="47"/>
        <v>Б</v>
      </c>
      <c r="L1014" s="106" t="str">
        <f t="shared" si="48"/>
        <v>В</v>
      </c>
      <c r="M1014" s="107" t="str">
        <f t="shared" si="49"/>
        <v>Реклама и связи с общественностью</v>
      </c>
    </row>
    <row r="1015" spans="1:13" ht="30" hidden="1" customHeight="1" x14ac:dyDescent="0.25">
      <c r="A1015" s="41" t="s">
        <v>1530</v>
      </c>
      <c r="B1015" s="25" t="s">
        <v>1501</v>
      </c>
      <c r="C1015" s="29" t="s">
        <v>663</v>
      </c>
      <c r="D1015" s="29" t="s">
        <v>666</v>
      </c>
      <c r="E1015" s="25" t="s">
        <v>3125</v>
      </c>
      <c r="F1015" s="26" t="s">
        <v>113</v>
      </c>
      <c r="G1015" s="27" t="s">
        <v>139</v>
      </c>
      <c r="H1015" s="27" t="s">
        <v>139</v>
      </c>
      <c r="I1015" s="27"/>
      <c r="J1015" s="27" t="s">
        <v>566</v>
      </c>
      <c r="K1015" s="106" t="str">
        <f t="shared" si="47"/>
        <v>Б</v>
      </c>
      <c r="L1015" s="106" t="str">
        <f t="shared" si="48"/>
        <v>В</v>
      </c>
      <c r="M1015" s="107" t="str">
        <f t="shared" si="49"/>
        <v>Журналистика</v>
      </c>
    </row>
    <row r="1016" spans="1:13" ht="30" hidden="1" customHeight="1" x14ac:dyDescent="0.25">
      <c r="A1016" s="41" t="s">
        <v>1531</v>
      </c>
      <c r="B1016" s="25" t="s">
        <v>1504</v>
      </c>
      <c r="C1016" s="29" t="s">
        <v>663</v>
      </c>
      <c r="D1016" s="29" t="s">
        <v>666</v>
      </c>
      <c r="E1016" s="25" t="s">
        <v>3125</v>
      </c>
      <c r="F1016" s="26" t="s">
        <v>113</v>
      </c>
      <c r="G1016" s="27" t="s">
        <v>147</v>
      </c>
      <c r="H1016" s="27" t="s">
        <v>147</v>
      </c>
      <c r="I1016" s="27"/>
      <c r="J1016" s="27" t="s">
        <v>566</v>
      </c>
      <c r="K1016" s="106" t="str">
        <f t="shared" si="47"/>
        <v>Б</v>
      </c>
      <c r="L1016" s="106" t="str">
        <f t="shared" si="48"/>
        <v>В</v>
      </c>
      <c r="M1016" s="107" t="str">
        <f t="shared" si="49"/>
        <v>Телевидение</v>
      </c>
    </row>
    <row r="1017" spans="1:13" ht="30" hidden="1" customHeight="1" x14ac:dyDescent="0.25">
      <c r="A1017" s="41" t="s">
        <v>1532</v>
      </c>
      <c r="B1017" s="25" t="s">
        <v>1311</v>
      </c>
      <c r="C1017" s="29" t="s">
        <v>663</v>
      </c>
      <c r="D1017" s="29" t="s">
        <v>666</v>
      </c>
      <c r="E1017" s="25" t="s">
        <v>3125</v>
      </c>
      <c r="F1017" s="26" t="s">
        <v>113</v>
      </c>
      <c r="G1017" s="27" t="s">
        <v>137</v>
      </c>
      <c r="H1017" s="27" t="s">
        <v>137</v>
      </c>
      <c r="I1017" s="27"/>
      <c r="J1017" s="27" t="s">
        <v>566</v>
      </c>
      <c r="K1017" s="106" t="str">
        <f t="shared" si="47"/>
        <v>Б</v>
      </c>
      <c r="L1017" s="106" t="str">
        <f t="shared" si="48"/>
        <v>В</v>
      </c>
      <c r="M1017" s="107" t="str">
        <f t="shared" si="49"/>
        <v>Филология</v>
      </c>
    </row>
    <row r="1018" spans="1:13" ht="30" hidden="1" customHeight="1" x14ac:dyDescent="0.25">
      <c r="A1018" s="41" t="s">
        <v>1533</v>
      </c>
      <c r="B1018" s="25" t="s">
        <v>1273</v>
      </c>
      <c r="C1018" s="29" t="s">
        <v>663</v>
      </c>
      <c r="D1018" s="29" t="s">
        <v>666</v>
      </c>
      <c r="E1018" s="25" t="s">
        <v>3125</v>
      </c>
      <c r="F1018" s="26" t="s">
        <v>113</v>
      </c>
      <c r="G1018" s="27" t="s">
        <v>142</v>
      </c>
      <c r="H1018" s="27" t="s">
        <v>142</v>
      </c>
      <c r="I1018" s="27"/>
      <c r="J1018" s="27" t="s">
        <v>566</v>
      </c>
      <c r="K1018" s="106" t="str">
        <f t="shared" si="47"/>
        <v>Б</v>
      </c>
      <c r="L1018" s="106" t="str">
        <f t="shared" si="48"/>
        <v>В</v>
      </c>
      <c r="M1018" s="107" t="str">
        <f t="shared" si="49"/>
        <v>Лингвистика</v>
      </c>
    </row>
    <row r="1019" spans="1:13" ht="30" hidden="1" customHeight="1" x14ac:dyDescent="0.25">
      <c r="A1019" s="41" t="s">
        <v>1538</v>
      </c>
      <c r="B1019" s="25" t="s">
        <v>1498</v>
      </c>
      <c r="C1019" s="29" t="s">
        <v>665</v>
      </c>
      <c r="D1019" s="29" t="s">
        <v>666</v>
      </c>
      <c r="E1019" s="25" t="s">
        <v>3123</v>
      </c>
      <c r="F1019" s="26" t="s">
        <v>113</v>
      </c>
      <c r="G1019" s="27" t="s">
        <v>144</v>
      </c>
      <c r="H1019" s="27" t="s">
        <v>144</v>
      </c>
      <c r="I1019" s="27"/>
      <c r="J1019" s="27" t="s">
        <v>566</v>
      </c>
      <c r="K1019" s="106" t="str">
        <f t="shared" si="47"/>
        <v>Б</v>
      </c>
      <c r="L1019" s="106" t="str">
        <f t="shared" si="48"/>
        <v>З</v>
      </c>
      <c r="M1019" s="107" t="str">
        <f t="shared" si="49"/>
        <v>Психология</v>
      </c>
    </row>
    <row r="1020" spans="1:13" ht="30" hidden="1" customHeight="1" x14ac:dyDescent="0.25">
      <c r="A1020" s="41" t="s">
        <v>2650</v>
      </c>
      <c r="B1020" s="25" t="s">
        <v>1296</v>
      </c>
      <c r="C1020" s="29" t="s">
        <v>665</v>
      </c>
      <c r="D1020" s="29" t="s">
        <v>666</v>
      </c>
      <c r="E1020" s="25" t="s">
        <v>3125</v>
      </c>
      <c r="F1020" s="26" t="s">
        <v>113</v>
      </c>
      <c r="G1020" s="27" t="s">
        <v>145</v>
      </c>
      <c r="H1020" s="27" t="s">
        <v>145</v>
      </c>
      <c r="I1020" s="27"/>
      <c r="J1020" s="27" t="s">
        <v>566</v>
      </c>
      <c r="K1020" s="106" t="str">
        <f t="shared" si="47"/>
        <v>Б</v>
      </c>
      <c r="L1020" s="106" t="str">
        <f t="shared" si="48"/>
        <v>З</v>
      </c>
      <c r="M1020" s="107" t="str">
        <f t="shared" si="49"/>
        <v>Реклама и связи с общественностью</v>
      </c>
    </row>
    <row r="1021" spans="1:13" ht="30" hidden="1" customHeight="1" x14ac:dyDescent="0.25">
      <c r="A1021" s="41" t="s">
        <v>2651</v>
      </c>
      <c r="B1021" s="25" t="s">
        <v>1501</v>
      </c>
      <c r="C1021" s="29" t="s">
        <v>665</v>
      </c>
      <c r="D1021" s="29" t="s">
        <v>666</v>
      </c>
      <c r="E1021" s="25" t="s">
        <v>3125</v>
      </c>
      <c r="F1021" s="26" t="s">
        <v>113</v>
      </c>
      <c r="G1021" s="27" t="s">
        <v>139</v>
      </c>
      <c r="H1021" s="27" t="s">
        <v>139</v>
      </c>
      <c r="I1021" s="27"/>
      <c r="J1021" s="27" t="s">
        <v>566</v>
      </c>
      <c r="K1021" s="106" t="str">
        <f t="shared" si="47"/>
        <v>Б</v>
      </c>
      <c r="L1021" s="106" t="str">
        <f t="shared" si="48"/>
        <v>З</v>
      </c>
      <c r="M1021" s="107" t="str">
        <f t="shared" si="49"/>
        <v>Журналистика</v>
      </c>
    </row>
    <row r="1022" spans="1:13" ht="30" hidden="1" customHeight="1" x14ac:dyDescent="0.25">
      <c r="A1022" s="41" t="s">
        <v>2652</v>
      </c>
      <c r="B1022" s="25" t="s">
        <v>1311</v>
      </c>
      <c r="C1022" s="29" t="s">
        <v>665</v>
      </c>
      <c r="D1022" s="29" t="s">
        <v>666</v>
      </c>
      <c r="E1022" s="25" t="s">
        <v>3125</v>
      </c>
      <c r="F1022" s="26" t="s">
        <v>113</v>
      </c>
      <c r="G1022" s="27" t="s">
        <v>137</v>
      </c>
      <c r="H1022" s="27" t="s">
        <v>137</v>
      </c>
      <c r="I1022" s="27"/>
      <c r="J1022" s="27" t="s">
        <v>566</v>
      </c>
      <c r="K1022" s="106" t="str">
        <f t="shared" si="47"/>
        <v>Б</v>
      </c>
      <c r="L1022" s="106" t="str">
        <f t="shared" si="48"/>
        <v>З</v>
      </c>
      <c r="M1022" s="107" t="str">
        <f t="shared" si="49"/>
        <v>Филология</v>
      </c>
    </row>
    <row r="1023" spans="1:13" ht="30" hidden="1" customHeight="1" x14ac:dyDescent="0.25">
      <c r="A1023" s="41" t="s">
        <v>1539</v>
      </c>
      <c r="B1023" s="25" t="s">
        <v>1273</v>
      </c>
      <c r="C1023" s="29" t="s">
        <v>665</v>
      </c>
      <c r="D1023" s="29" t="s">
        <v>666</v>
      </c>
      <c r="E1023" s="25" t="s">
        <v>3125</v>
      </c>
      <c r="F1023" s="26" t="s">
        <v>113</v>
      </c>
      <c r="G1023" s="27" t="s">
        <v>142</v>
      </c>
      <c r="H1023" s="27" t="s">
        <v>142</v>
      </c>
      <c r="I1023" s="27"/>
      <c r="J1023" s="27" t="s">
        <v>566</v>
      </c>
      <c r="K1023" s="106" t="str">
        <f t="shared" si="47"/>
        <v>Б</v>
      </c>
      <c r="L1023" s="106" t="str">
        <f t="shared" si="48"/>
        <v>З</v>
      </c>
      <c r="M1023" s="107" t="str">
        <f t="shared" si="49"/>
        <v>Лингвистика</v>
      </c>
    </row>
    <row r="1024" spans="1:13" ht="30" hidden="1" customHeight="1" x14ac:dyDescent="0.25">
      <c r="A1024" s="41" t="s">
        <v>1509</v>
      </c>
      <c r="B1024" s="25" t="s">
        <v>1510</v>
      </c>
      <c r="C1024" s="29" t="s">
        <v>664</v>
      </c>
      <c r="D1024" s="29" t="s">
        <v>666</v>
      </c>
      <c r="E1024" s="25" t="s">
        <v>3126</v>
      </c>
      <c r="F1024" s="26" t="s">
        <v>115</v>
      </c>
      <c r="G1024" s="27" t="s">
        <v>144</v>
      </c>
      <c r="H1024" s="27" t="s">
        <v>267</v>
      </c>
      <c r="I1024" s="27"/>
      <c r="J1024" s="27" t="s">
        <v>566</v>
      </c>
      <c r="K1024" s="106" t="str">
        <f t="shared" si="47"/>
        <v>М</v>
      </c>
      <c r="L1024" s="106" t="str">
        <f t="shared" si="48"/>
        <v>Д</v>
      </c>
      <c r="M1024" s="107" t="str">
        <f t="shared" si="49"/>
        <v>Психологическое консультирование</v>
      </c>
    </row>
    <row r="1025" spans="1:13" ht="30" hidden="1" customHeight="1" x14ac:dyDescent="0.25">
      <c r="A1025" s="41" t="s">
        <v>1511</v>
      </c>
      <c r="B1025" s="25" t="s">
        <v>1510</v>
      </c>
      <c r="C1025" s="29" t="s">
        <v>664</v>
      </c>
      <c r="D1025" s="29" t="s">
        <v>666</v>
      </c>
      <c r="E1025" s="25" t="s">
        <v>3126</v>
      </c>
      <c r="F1025" s="26" t="s">
        <v>115</v>
      </c>
      <c r="G1025" s="27" t="s">
        <v>144</v>
      </c>
      <c r="H1025" s="27" t="s">
        <v>268</v>
      </c>
      <c r="I1025" s="27"/>
      <c r="J1025" s="27" t="s">
        <v>566</v>
      </c>
      <c r="K1025" s="106" t="str">
        <f t="shared" si="47"/>
        <v>М</v>
      </c>
      <c r="L1025" s="106" t="str">
        <f t="shared" si="48"/>
        <v>Д</v>
      </c>
      <c r="M1025" s="107" t="str">
        <f t="shared" si="49"/>
        <v>Интегративные технологии в практической психологии</v>
      </c>
    </row>
    <row r="1026" spans="1:13" ht="30" hidden="1" customHeight="1" x14ac:dyDescent="0.25">
      <c r="A1026" s="41" t="s">
        <v>2657</v>
      </c>
      <c r="B1026" s="25" t="s">
        <v>1510</v>
      </c>
      <c r="C1026" s="29" t="s">
        <v>664</v>
      </c>
      <c r="D1026" s="29" t="s">
        <v>666</v>
      </c>
      <c r="E1026" s="25" t="s">
        <v>3126</v>
      </c>
      <c r="F1026" s="26" t="s">
        <v>115</v>
      </c>
      <c r="G1026" s="27" t="s">
        <v>144</v>
      </c>
      <c r="H1026" s="27" t="s">
        <v>2658</v>
      </c>
      <c r="I1026" s="27"/>
      <c r="J1026" s="27" t="s">
        <v>566</v>
      </c>
      <c r="K1026" s="106" t="str">
        <f t="shared" si="47"/>
        <v>М</v>
      </c>
      <c r="L1026" s="106" t="str">
        <f t="shared" si="48"/>
        <v>Д</v>
      </c>
      <c r="M1026" s="107" t="str">
        <f t="shared" si="49"/>
        <v>Психология менеджмента</v>
      </c>
    </row>
    <row r="1027" spans="1:13" ht="30" hidden="1" customHeight="1" x14ac:dyDescent="0.25">
      <c r="A1027" s="41" t="s">
        <v>2661</v>
      </c>
      <c r="B1027" s="25" t="s">
        <v>1510</v>
      </c>
      <c r="C1027" s="29" t="s">
        <v>664</v>
      </c>
      <c r="D1027" s="29" t="s">
        <v>666</v>
      </c>
      <c r="E1027" s="25" t="s">
        <v>3126</v>
      </c>
      <c r="F1027" s="26" t="s">
        <v>115</v>
      </c>
      <c r="G1027" s="27" t="s">
        <v>144</v>
      </c>
      <c r="H1027" s="27" t="s">
        <v>2662</v>
      </c>
      <c r="I1027" s="27"/>
      <c r="J1027" s="27" t="s">
        <v>566</v>
      </c>
      <c r="K1027" s="106" t="str">
        <f t="shared" si="47"/>
        <v>М</v>
      </c>
      <c r="L1027" s="106" t="str">
        <f t="shared" si="48"/>
        <v>Д</v>
      </c>
      <c r="M1027" s="107" t="str">
        <f t="shared" si="49"/>
        <v>Юридическая психология</v>
      </c>
    </row>
    <row r="1028" spans="1:13" ht="30" hidden="1" customHeight="1" x14ac:dyDescent="0.25">
      <c r="A1028" s="41" t="s">
        <v>1512</v>
      </c>
      <c r="B1028" s="25" t="s">
        <v>1305</v>
      </c>
      <c r="C1028" s="29" t="s">
        <v>664</v>
      </c>
      <c r="D1028" s="29" t="s">
        <v>666</v>
      </c>
      <c r="E1028" s="25" t="s">
        <v>3126</v>
      </c>
      <c r="F1028" s="26" t="s">
        <v>115</v>
      </c>
      <c r="G1028" s="27" t="s">
        <v>145</v>
      </c>
      <c r="H1028" s="27" t="s">
        <v>146</v>
      </c>
      <c r="I1028" s="27"/>
      <c r="J1028" s="27" t="s">
        <v>566</v>
      </c>
      <c r="K1028" s="106" t="str">
        <f t="shared" ref="K1028:K1091" si="50">LEFT(F1028, 1)</f>
        <v>М</v>
      </c>
      <c r="L1028" s="106" t="str">
        <f t="shared" ref="L1028:L1091" si="51">IF(C1028="очная","Д",IF(C1028="Очно-заочная","В",IF(C1028="Заочная","З","-")))</f>
        <v>Д</v>
      </c>
      <c r="M1028" s="107" t="str">
        <f t="shared" ref="M1028:M1091" si="52">CONCATENATE(H1028,IF(D1028="Русский","",CONCATENATE(" (",D1028," язык)")),IF(I1028&gt;0,CONCATENATE(" (Вуз-партнёр - ",I1028,")"),""))</f>
        <v>Управление бизнес-коммуникациями</v>
      </c>
    </row>
    <row r="1029" spans="1:13" ht="30" hidden="1" customHeight="1" x14ac:dyDescent="0.25">
      <c r="A1029" s="41" t="s">
        <v>2672</v>
      </c>
      <c r="B1029" s="25" t="s">
        <v>1305</v>
      </c>
      <c r="C1029" s="29" t="s">
        <v>664</v>
      </c>
      <c r="D1029" s="29" t="s">
        <v>666</v>
      </c>
      <c r="E1029" s="25" t="s">
        <v>3126</v>
      </c>
      <c r="F1029" s="26" t="s">
        <v>115</v>
      </c>
      <c r="G1029" s="27" t="s">
        <v>145</v>
      </c>
      <c r="H1029" s="27" t="s">
        <v>2673</v>
      </c>
      <c r="I1029" s="27"/>
      <c r="J1029" s="27" t="s">
        <v>566</v>
      </c>
      <c r="K1029" s="108" t="s">
        <v>2828</v>
      </c>
      <c r="L1029" s="106" t="str">
        <f t="shared" si="51"/>
        <v>Д</v>
      </c>
      <c r="M1029" s="107" t="str">
        <f t="shared" si="52"/>
        <v>Реклама и связи с общественностью в цифровой среде</v>
      </c>
    </row>
    <row r="1030" spans="1:13" ht="30" hidden="1" customHeight="1" x14ac:dyDescent="0.25">
      <c r="A1030" s="41" t="s">
        <v>1513</v>
      </c>
      <c r="B1030" s="25" t="s">
        <v>1514</v>
      </c>
      <c r="C1030" s="29" t="s">
        <v>664</v>
      </c>
      <c r="D1030" s="29" t="s">
        <v>666</v>
      </c>
      <c r="E1030" s="25" t="s">
        <v>3126</v>
      </c>
      <c r="F1030" s="26" t="s">
        <v>115</v>
      </c>
      <c r="G1030" s="27" t="s">
        <v>139</v>
      </c>
      <c r="H1030" s="27" t="s">
        <v>140</v>
      </c>
      <c r="I1030" s="27"/>
      <c r="J1030" s="27" t="s">
        <v>566</v>
      </c>
      <c r="K1030" s="106" t="str">
        <f t="shared" si="50"/>
        <v>М</v>
      </c>
      <c r="L1030" s="106" t="str">
        <f t="shared" si="51"/>
        <v>Д</v>
      </c>
      <c r="M1030" s="107" t="str">
        <f t="shared" si="52"/>
        <v>Современная международная журналистика</v>
      </c>
    </row>
    <row r="1031" spans="1:13" ht="30" hidden="1" customHeight="1" x14ac:dyDescent="0.25">
      <c r="A1031" s="41" t="s">
        <v>1515</v>
      </c>
      <c r="B1031" s="25" t="s">
        <v>1514</v>
      </c>
      <c r="C1031" s="29" t="s">
        <v>664</v>
      </c>
      <c r="D1031" s="29" t="s">
        <v>666</v>
      </c>
      <c r="E1031" s="25" t="s">
        <v>3126</v>
      </c>
      <c r="F1031" s="26" t="s">
        <v>115</v>
      </c>
      <c r="G1031" s="27" t="s">
        <v>139</v>
      </c>
      <c r="H1031" s="27" t="s">
        <v>141</v>
      </c>
      <c r="I1031" s="27"/>
      <c r="J1031" s="27" t="s">
        <v>566</v>
      </c>
      <c r="K1031" s="106" t="str">
        <f t="shared" si="50"/>
        <v>М</v>
      </c>
      <c r="L1031" s="106" t="str">
        <f t="shared" si="51"/>
        <v>Д</v>
      </c>
      <c r="M1031" s="107" t="str">
        <f t="shared" si="52"/>
        <v>Организация информационного производства</v>
      </c>
    </row>
    <row r="1032" spans="1:13" ht="30" hidden="1" customHeight="1" x14ac:dyDescent="0.25">
      <c r="A1032" s="41" t="s">
        <v>1516</v>
      </c>
      <c r="B1032" s="25" t="s">
        <v>1514</v>
      </c>
      <c r="C1032" s="29" t="s">
        <v>664</v>
      </c>
      <c r="D1032" s="29" t="s">
        <v>666</v>
      </c>
      <c r="E1032" s="25" t="s">
        <v>3126</v>
      </c>
      <c r="F1032" s="26" t="s">
        <v>115</v>
      </c>
      <c r="G1032" s="27" t="s">
        <v>139</v>
      </c>
      <c r="H1032" s="27" t="s">
        <v>1027</v>
      </c>
      <c r="I1032" s="27"/>
      <c r="J1032" s="27" t="s">
        <v>566</v>
      </c>
      <c r="K1032" s="108" t="s">
        <v>2828</v>
      </c>
      <c r="L1032" s="106" t="str">
        <f t="shared" si="51"/>
        <v>Д</v>
      </c>
      <c r="M1032" s="107" t="str">
        <f t="shared" si="52"/>
        <v>Журналистика больших данных</v>
      </c>
    </row>
    <row r="1033" spans="1:13" ht="30" hidden="1" customHeight="1" x14ac:dyDescent="0.25">
      <c r="A1033" s="41" t="s">
        <v>1517</v>
      </c>
      <c r="B1033" s="25" t="s">
        <v>1514</v>
      </c>
      <c r="C1033" s="29" t="s">
        <v>664</v>
      </c>
      <c r="D1033" s="29" t="s">
        <v>1730</v>
      </c>
      <c r="E1033" s="25" t="s">
        <v>3126</v>
      </c>
      <c r="F1033" s="26" t="s">
        <v>115</v>
      </c>
      <c r="G1033" s="27" t="s">
        <v>139</v>
      </c>
      <c r="H1033" s="27" t="s">
        <v>1026</v>
      </c>
      <c r="I1033" s="27"/>
      <c r="J1033" s="27" t="s">
        <v>566</v>
      </c>
      <c r="K1033" s="106" t="str">
        <f t="shared" si="50"/>
        <v>М</v>
      </c>
      <c r="L1033" s="106" t="str">
        <f t="shared" si="51"/>
        <v>Д</v>
      </c>
      <c r="M1033" s="107" t="str">
        <f t="shared" si="52"/>
        <v>Глобальные и цифровые медиа (Английский язык)</v>
      </c>
    </row>
    <row r="1034" spans="1:13" ht="30" hidden="1" customHeight="1" x14ac:dyDescent="0.25">
      <c r="A1034" s="41" t="s">
        <v>1518</v>
      </c>
      <c r="B1034" s="25" t="s">
        <v>1279</v>
      </c>
      <c r="C1034" s="29" t="s">
        <v>664</v>
      </c>
      <c r="D1034" s="29" t="s">
        <v>666</v>
      </c>
      <c r="E1034" s="25" t="s">
        <v>3126</v>
      </c>
      <c r="F1034" s="26" t="s">
        <v>115</v>
      </c>
      <c r="G1034" s="27" t="s">
        <v>166</v>
      </c>
      <c r="H1034" s="27" t="s">
        <v>2602</v>
      </c>
      <c r="I1034" s="27" t="s">
        <v>908</v>
      </c>
      <c r="J1034" s="27" t="s">
        <v>566</v>
      </c>
      <c r="K1034" s="106" t="str">
        <f t="shared" si="50"/>
        <v>М</v>
      </c>
      <c r="L1034" s="106" t="str">
        <f t="shared" si="51"/>
        <v>Д</v>
      </c>
      <c r="M1034" s="107" t="str">
        <f t="shared" si="52"/>
        <v>Педагогика и психология (Вуз-партнёр - Евразийский национальный университет имени Л. Н. Гумилёва)</v>
      </c>
    </row>
    <row r="1035" spans="1:13" ht="30" hidden="1" customHeight="1" x14ac:dyDescent="0.25">
      <c r="A1035" s="41" t="s">
        <v>2609</v>
      </c>
      <c r="B1035" s="25" t="s">
        <v>1279</v>
      </c>
      <c r="C1035" s="29" t="s">
        <v>664</v>
      </c>
      <c r="D1035" s="29" t="s">
        <v>666</v>
      </c>
      <c r="E1035" s="25" t="s">
        <v>3126</v>
      </c>
      <c r="F1035" s="26" t="s">
        <v>115</v>
      </c>
      <c r="G1035" s="27" t="s">
        <v>166</v>
      </c>
      <c r="H1035" s="27" t="s">
        <v>2610</v>
      </c>
      <c r="I1035" s="27" t="s">
        <v>912</v>
      </c>
      <c r="J1035" s="27" t="s">
        <v>566</v>
      </c>
      <c r="K1035" s="106" t="str">
        <f t="shared" si="50"/>
        <v>М</v>
      </c>
      <c r="L1035" s="106" t="str">
        <f t="shared" si="51"/>
        <v>Д</v>
      </c>
      <c r="M1035" s="107" t="str">
        <f t="shared" si="52"/>
        <v>Психология и педагогика (Вуз-партнёр - Казахский национальный университет им. Аль-Фараби)</v>
      </c>
    </row>
    <row r="1036" spans="1:13" ht="30" hidden="1" customHeight="1" x14ac:dyDescent="0.25">
      <c r="A1036" s="41" t="s">
        <v>2615</v>
      </c>
      <c r="B1036" s="25" t="s">
        <v>1279</v>
      </c>
      <c r="C1036" s="29" t="s">
        <v>664</v>
      </c>
      <c r="D1036" s="29" t="s">
        <v>666</v>
      </c>
      <c r="E1036" s="25" t="s">
        <v>3126</v>
      </c>
      <c r="F1036" s="26" t="s">
        <v>115</v>
      </c>
      <c r="G1036" s="27" t="s">
        <v>166</v>
      </c>
      <c r="H1036" s="27" t="s">
        <v>2610</v>
      </c>
      <c r="I1036" s="27" t="s">
        <v>2809</v>
      </c>
      <c r="J1036" s="27" t="s">
        <v>566</v>
      </c>
      <c r="K1036" s="106" t="str">
        <f t="shared" si="50"/>
        <v>М</v>
      </c>
      <c r="L1036" s="106" t="str">
        <f t="shared" si="51"/>
        <v>Д</v>
      </c>
      <c r="M1036" s="107" t="str">
        <f t="shared" si="52"/>
        <v>Психология и педагогика (Вуз-партнёр - Северо-восточный педагогический университет)</v>
      </c>
    </row>
    <row r="1037" spans="1:13" ht="30" hidden="1" customHeight="1" x14ac:dyDescent="0.25">
      <c r="A1037" s="41" t="s">
        <v>3097</v>
      </c>
      <c r="B1037" s="25" t="s">
        <v>3122</v>
      </c>
      <c r="C1037" s="29" t="s">
        <v>664</v>
      </c>
      <c r="D1037" s="29" t="s">
        <v>666</v>
      </c>
      <c r="E1037" s="25" t="s">
        <v>3126</v>
      </c>
      <c r="F1037" s="26" t="s">
        <v>115</v>
      </c>
      <c r="G1037" s="27" t="s">
        <v>3193</v>
      </c>
      <c r="H1037" s="27" t="s">
        <v>3185</v>
      </c>
      <c r="I1037" s="27"/>
      <c r="J1037" s="27" t="s">
        <v>566</v>
      </c>
      <c r="K1037" s="106" t="str">
        <f t="shared" si="50"/>
        <v>М</v>
      </c>
      <c r="L1037" s="106" t="str">
        <f t="shared" si="51"/>
        <v>Д</v>
      </c>
      <c r="M1037" s="107" t="str">
        <f t="shared" si="52"/>
        <v>Современные технологии преподавания французского языка</v>
      </c>
    </row>
    <row r="1038" spans="1:13" ht="30" hidden="1" customHeight="1" x14ac:dyDescent="0.25">
      <c r="A1038" s="41" t="s">
        <v>1519</v>
      </c>
      <c r="B1038" s="25" t="s">
        <v>1314</v>
      </c>
      <c r="C1038" s="29" t="s">
        <v>664</v>
      </c>
      <c r="D1038" s="29" t="s">
        <v>666</v>
      </c>
      <c r="E1038" s="25" t="s">
        <v>3126</v>
      </c>
      <c r="F1038" s="26" t="s">
        <v>115</v>
      </c>
      <c r="G1038" s="27" t="s">
        <v>137</v>
      </c>
      <c r="H1038" s="27" t="s">
        <v>266</v>
      </c>
      <c r="I1038" s="27"/>
      <c r="J1038" s="27" t="s">
        <v>566</v>
      </c>
      <c r="K1038" s="106" t="str">
        <f t="shared" si="50"/>
        <v>М</v>
      </c>
      <c r="L1038" s="106" t="str">
        <f t="shared" si="51"/>
        <v>Д</v>
      </c>
      <c r="M1038" s="107" t="str">
        <f t="shared" si="52"/>
        <v>Русский язык как иностранный</v>
      </c>
    </row>
    <row r="1039" spans="1:13" ht="30" hidden="1" customHeight="1" x14ac:dyDescent="0.25">
      <c r="A1039" s="41" t="s">
        <v>1520</v>
      </c>
      <c r="B1039" s="25" t="s">
        <v>1314</v>
      </c>
      <c r="C1039" s="29" t="s">
        <v>664</v>
      </c>
      <c r="D1039" s="29" t="s">
        <v>666</v>
      </c>
      <c r="E1039" s="25" t="s">
        <v>3126</v>
      </c>
      <c r="F1039" s="26" t="s">
        <v>115</v>
      </c>
      <c r="G1039" s="27" t="s">
        <v>137</v>
      </c>
      <c r="H1039" s="27" t="s">
        <v>138</v>
      </c>
      <c r="I1039" s="27"/>
      <c r="J1039" s="27" t="s">
        <v>566</v>
      </c>
      <c r="K1039" s="106" t="str">
        <f t="shared" si="50"/>
        <v>М</v>
      </c>
      <c r="L1039" s="106" t="str">
        <f t="shared" si="51"/>
        <v>Д</v>
      </c>
      <c r="M1039" s="107" t="str">
        <f t="shared" si="52"/>
        <v>Литературоведение</v>
      </c>
    </row>
    <row r="1040" spans="1:13" ht="30" hidden="1" customHeight="1" x14ac:dyDescent="0.25">
      <c r="A1040" s="41" t="s">
        <v>1522</v>
      </c>
      <c r="B1040" s="25" t="s">
        <v>1314</v>
      </c>
      <c r="C1040" s="29" t="s">
        <v>664</v>
      </c>
      <c r="D1040" s="29" t="s">
        <v>666</v>
      </c>
      <c r="E1040" s="25" t="s">
        <v>3126</v>
      </c>
      <c r="F1040" s="26" t="s">
        <v>115</v>
      </c>
      <c r="G1040" s="27" t="s">
        <v>137</v>
      </c>
      <c r="H1040" s="27" t="s">
        <v>2603</v>
      </c>
      <c r="I1040" s="27" t="s">
        <v>935</v>
      </c>
      <c r="J1040" s="27" t="s">
        <v>566</v>
      </c>
      <c r="K1040" s="106" t="str">
        <f t="shared" si="50"/>
        <v>М</v>
      </c>
      <c r="L1040" s="106" t="str">
        <f t="shared" si="51"/>
        <v>Д</v>
      </c>
      <c r="M1040" s="107" t="str">
        <f t="shared" si="52"/>
        <v>Россия - Европа: языки и культуры (Вуз-партнёр - Университет Мишеля де Монтень Бордо-3)</v>
      </c>
    </row>
    <row r="1041" spans="1:13" ht="30" hidden="1" customHeight="1" x14ac:dyDescent="0.25">
      <c r="A1041" s="41" t="s">
        <v>1523</v>
      </c>
      <c r="B1041" s="25" t="s">
        <v>1314</v>
      </c>
      <c r="C1041" s="29" t="s">
        <v>664</v>
      </c>
      <c r="D1041" s="29" t="s">
        <v>666</v>
      </c>
      <c r="E1041" s="25" t="s">
        <v>3126</v>
      </c>
      <c r="F1041" s="26" t="s">
        <v>115</v>
      </c>
      <c r="G1041" s="27" t="s">
        <v>137</v>
      </c>
      <c r="H1041" s="27" t="s">
        <v>2604</v>
      </c>
      <c r="I1041" s="27" t="s">
        <v>926</v>
      </c>
      <c r="J1041" s="27" t="s">
        <v>566</v>
      </c>
      <c r="K1041" s="106" t="str">
        <f t="shared" si="50"/>
        <v>М</v>
      </c>
      <c r="L1041" s="106" t="str">
        <f t="shared" si="51"/>
        <v>Д</v>
      </c>
      <c r="M1041" s="107" t="str">
        <f t="shared" si="52"/>
        <v>Русский язык и литература (Вуз-партнёр - СУ СНГ)</v>
      </c>
    </row>
    <row r="1042" spans="1:13" ht="30" hidden="1" customHeight="1" x14ac:dyDescent="0.25">
      <c r="A1042" s="41" t="s">
        <v>2605</v>
      </c>
      <c r="B1042" s="25" t="s">
        <v>1314</v>
      </c>
      <c r="C1042" s="29" t="s">
        <v>664</v>
      </c>
      <c r="D1042" s="29" t="s">
        <v>666</v>
      </c>
      <c r="E1042" s="25" t="s">
        <v>3126</v>
      </c>
      <c r="F1042" s="26" t="s">
        <v>115</v>
      </c>
      <c r="G1042" s="27" t="s">
        <v>137</v>
      </c>
      <c r="H1042" s="27" t="s">
        <v>2604</v>
      </c>
      <c r="I1042" s="27" t="s">
        <v>946</v>
      </c>
      <c r="J1042" s="27" t="s">
        <v>566</v>
      </c>
      <c r="K1042" s="106" t="str">
        <f t="shared" si="50"/>
        <v>М</v>
      </c>
      <c r="L1042" s="106" t="str">
        <f t="shared" si="51"/>
        <v>Д</v>
      </c>
      <c r="M1042" s="107" t="str">
        <f t="shared" si="52"/>
        <v>Русский язык и литература (Вуз-партнёр - Южно-Казахстанский государственный университет им. М.Ауезова)</v>
      </c>
    </row>
    <row r="1043" spans="1:13" ht="30" hidden="1" customHeight="1" x14ac:dyDescent="0.25">
      <c r="A1043" s="41" t="s">
        <v>2606</v>
      </c>
      <c r="B1043" s="25" t="s">
        <v>1314</v>
      </c>
      <c r="C1043" s="29" t="s">
        <v>664</v>
      </c>
      <c r="D1043" s="29" t="s">
        <v>666</v>
      </c>
      <c r="E1043" s="25" t="s">
        <v>3126</v>
      </c>
      <c r="F1043" s="26" t="s">
        <v>115</v>
      </c>
      <c r="G1043" s="27" t="s">
        <v>137</v>
      </c>
      <c r="H1043" s="27" t="s">
        <v>2604</v>
      </c>
      <c r="I1043" s="27" t="s">
        <v>925</v>
      </c>
      <c r="J1043" s="27" t="s">
        <v>566</v>
      </c>
      <c r="K1043" s="106" t="str">
        <f t="shared" si="50"/>
        <v>М</v>
      </c>
      <c r="L1043" s="106" t="str">
        <f t="shared" si="51"/>
        <v>Д</v>
      </c>
      <c r="M1043" s="107" t="str">
        <f t="shared" si="52"/>
        <v>Русский язык и литература (Вуз-партнёр - Славянский университет)</v>
      </c>
    </row>
    <row r="1044" spans="1:13" ht="30" hidden="1" customHeight="1" x14ac:dyDescent="0.25">
      <c r="A1044" s="41" t="s">
        <v>2611</v>
      </c>
      <c r="B1044" s="25" t="s">
        <v>1314</v>
      </c>
      <c r="C1044" s="29" t="s">
        <v>664</v>
      </c>
      <c r="D1044" s="29" t="s">
        <v>666</v>
      </c>
      <c r="E1044" s="25" t="s">
        <v>3126</v>
      </c>
      <c r="F1044" s="26" t="s">
        <v>115</v>
      </c>
      <c r="G1044" s="27" t="s">
        <v>137</v>
      </c>
      <c r="H1044" s="27" t="s">
        <v>2604</v>
      </c>
      <c r="I1044" s="27" t="s">
        <v>909</v>
      </c>
      <c r="J1044" s="27" t="s">
        <v>566</v>
      </c>
      <c r="K1044" s="106" t="str">
        <f t="shared" si="50"/>
        <v>М</v>
      </c>
      <c r="L1044" s="106" t="str">
        <f t="shared" si="51"/>
        <v>Д</v>
      </c>
      <c r="M1044" s="107" t="str">
        <f t="shared" si="52"/>
        <v>Русский язык и литература (Вуз-партнёр - Ереванский государственный университет)</v>
      </c>
    </row>
    <row r="1045" spans="1:13" ht="30" hidden="1" customHeight="1" x14ac:dyDescent="0.25">
      <c r="A1045" s="41" t="s">
        <v>2612</v>
      </c>
      <c r="B1045" s="25" t="s">
        <v>1314</v>
      </c>
      <c r="C1045" s="29" t="s">
        <v>664</v>
      </c>
      <c r="D1045" s="29" t="s">
        <v>666</v>
      </c>
      <c r="E1045" s="25" t="s">
        <v>3126</v>
      </c>
      <c r="F1045" s="26" t="s">
        <v>115</v>
      </c>
      <c r="G1045" s="27" t="s">
        <v>137</v>
      </c>
      <c r="H1045" s="27" t="s">
        <v>2604</v>
      </c>
      <c r="I1045" s="27" t="s">
        <v>915</v>
      </c>
      <c r="J1045" s="27" t="s">
        <v>566</v>
      </c>
      <c r="K1045" s="106" t="str">
        <f t="shared" si="50"/>
        <v>М</v>
      </c>
      <c r="L1045" s="106" t="str">
        <f t="shared" si="51"/>
        <v>Д</v>
      </c>
      <c r="M1045" s="107" t="str">
        <f t="shared" si="52"/>
        <v>Русский язык и литература (Вуз-партнёр - Кыргызский национальный университет им. Ж. Баласагына)</v>
      </c>
    </row>
    <row r="1046" spans="1:13" ht="30" hidden="1" customHeight="1" x14ac:dyDescent="0.25">
      <c r="A1046" s="41" t="s">
        <v>2613</v>
      </c>
      <c r="B1046" s="25" t="s">
        <v>1314</v>
      </c>
      <c r="C1046" s="29" t="s">
        <v>664</v>
      </c>
      <c r="D1046" s="29" t="s">
        <v>666</v>
      </c>
      <c r="E1046" s="25" t="s">
        <v>3126</v>
      </c>
      <c r="F1046" s="26" t="s">
        <v>115</v>
      </c>
      <c r="G1046" s="27" t="s">
        <v>137</v>
      </c>
      <c r="H1046" s="27" t="s">
        <v>2604</v>
      </c>
      <c r="I1046" s="27" t="s">
        <v>924</v>
      </c>
      <c r="J1046" s="27" t="s">
        <v>566</v>
      </c>
      <c r="K1046" s="106" t="str">
        <f t="shared" si="50"/>
        <v>М</v>
      </c>
      <c r="L1046" s="106" t="str">
        <f t="shared" si="51"/>
        <v>Д</v>
      </c>
      <c r="M1046" s="107" t="str">
        <f t="shared" si="52"/>
        <v>Русский язык и литература (Вуз-партнёр - Российско-Таджикский (Славянский) университет)</v>
      </c>
    </row>
    <row r="1047" spans="1:13" ht="30" hidden="1" customHeight="1" x14ac:dyDescent="0.25">
      <c r="A1047" s="41" t="s">
        <v>2614</v>
      </c>
      <c r="B1047" s="25" t="s">
        <v>1314</v>
      </c>
      <c r="C1047" s="29" t="s">
        <v>664</v>
      </c>
      <c r="D1047" s="29" t="s">
        <v>666</v>
      </c>
      <c r="E1047" s="25" t="s">
        <v>3126</v>
      </c>
      <c r="F1047" s="26" t="s">
        <v>115</v>
      </c>
      <c r="G1047" s="27" t="s">
        <v>137</v>
      </c>
      <c r="H1047" s="27" t="s">
        <v>2604</v>
      </c>
      <c r="I1047" s="27" t="s">
        <v>2821</v>
      </c>
      <c r="J1047" s="27" t="s">
        <v>566</v>
      </c>
      <c r="K1047" s="106" t="str">
        <f t="shared" si="50"/>
        <v>М</v>
      </c>
      <c r="L1047" s="106" t="str">
        <f t="shared" si="51"/>
        <v>Д</v>
      </c>
      <c r="M1047" s="107" t="str">
        <f t="shared" si="52"/>
        <v>Русский язык и литература (Вуз-партнёр - Днепропетровский национальный университет им. О. Гончара)</v>
      </c>
    </row>
    <row r="1048" spans="1:13" ht="30" hidden="1" customHeight="1" x14ac:dyDescent="0.25">
      <c r="A1048" s="41" t="s">
        <v>2653</v>
      </c>
      <c r="B1048" s="25" t="s">
        <v>1314</v>
      </c>
      <c r="C1048" s="29" t="s">
        <v>664</v>
      </c>
      <c r="D1048" s="29" t="s">
        <v>666</v>
      </c>
      <c r="E1048" s="25" t="s">
        <v>3126</v>
      </c>
      <c r="F1048" s="26" t="s">
        <v>115</v>
      </c>
      <c r="G1048" s="27" t="s">
        <v>137</v>
      </c>
      <c r="H1048" s="27" t="s">
        <v>2604</v>
      </c>
      <c r="I1048" s="27" t="s">
        <v>2820</v>
      </c>
      <c r="J1048" s="27" t="s">
        <v>566</v>
      </c>
      <c r="K1048" s="106" t="str">
        <f t="shared" si="50"/>
        <v>М</v>
      </c>
      <c r="L1048" s="106" t="str">
        <f t="shared" si="51"/>
        <v>Д</v>
      </c>
      <c r="M1048" s="107" t="str">
        <f t="shared" si="52"/>
        <v>Русский язык и литература (Вуз-партнёр - Донецкий национальный университет)</v>
      </c>
    </row>
    <row r="1049" spans="1:13" ht="30" hidden="1" customHeight="1" x14ac:dyDescent="0.25">
      <c r="A1049" s="41" t="s">
        <v>2654</v>
      </c>
      <c r="B1049" s="25" t="s">
        <v>1314</v>
      </c>
      <c r="C1049" s="29" t="s">
        <v>664</v>
      </c>
      <c r="D1049" s="29" t="s">
        <v>666</v>
      </c>
      <c r="E1049" s="25" t="s">
        <v>3126</v>
      </c>
      <c r="F1049" s="26" t="s">
        <v>115</v>
      </c>
      <c r="G1049" s="27" t="s">
        <v>137</v>
      </c>
      <c r="H1049" s="27" t="s">
        <v>2604</v>
      </c>
      <c r="I1049" s="27" t="s">
        <v>2815</v>
      </c>
      <c r="J1049" s="27" t="s">
        <v>566</v>
      </c>
      <c r="K1049" s="106" t="str">
        <f t="shared" si="50"/>
        <v>М</v>
      </c>
      <c r="L1049" s="106" t="str">
        <f t="shared" si="51"/>
        <v>Д</v>
      </c>
      <c r="M1049" s="107" t="str">
        <f t="shared" si="52"/>
        <v>Русский язык и литература (Вуз-партнёр - Таджикский национальный университет)</v>
      </c>
    </row>
    <row r="1050" spans="1:13" ht="30" hidden="1" customHeight="1" x14ac:dyDescent="0.25">
      <c r="A1050" s="41" t="s">
        <v>2655</v>
      </c>
      <c r="B1050" s="25" t="s">
        <v>1314</v>
      </c>
      <c r="C1050" s="29" t="s">
        <v>664</v>
      </c>
      <c r="D1050" s="29" t="s">
        <v>666</v>
      </c>
      <c r="E1050" s="25" t="s">
        <v>3126</v>
      </c>
      <c r="F1050" s="26" t="s">
        <v>115</v>
      </c>
      <c r="G1050" s="27" t="s">
        <v>137</v>
      </c>
      <c r="H1050" s="27" t="s">
        <v>2604</v>
      </c>
      <c r="I1050" s="27" t="s">
        <v>2819</v>
      </c>
      <c r="J1050" s="27" t="s">
        <v>566</v>
      </c>
      <c r="K1050" s="106" t="str">
        <f t="shared" si="50"/>
        <v>М</v>
      </c>
      <c r="L1050" s="106" t="str">
        <f t="shared" si="51"/>
        <v>Д</v>
      </c>
      <c r="M1050" s="107" t="str">
        <f t="shared" si="52"/>
        <v>Русский язык и литература (Вуз-партнёр - Кыргызско-Российский (Славянский) Университет)</v>
      </c>
    </row>
    <row r="1051" spans="1:13" ht="30" hidden="1" customHeight="1" x14ac:dyDescent="0.25">
      <c r="A1051" s="41" t="s">
        <v>2656</v>
      </c>
      <c r="B1051" s="25" t="s">
        <v>1314</v>
      </c>
      <c r="C1051" s="29" t="s">
        <v>664</v>
      </c>
      <c r="D1051" s="29" t="s">
        <v>666</v>
      </c>
      <c r="E1051" s="25" t="s">
        <v>3126</v>
      </c>
      <c r="F1051" s="26" t="s">
        <v>115</v>
      </c>
      <c r="G1051" s="27" t="s">
        <v>137</v>
      </c>
      <c r="H1051" s="27" t="s">
        <v>2604</v>
      </c>
      <c r="I1051" s="27" t="s">
        <v>907</v>
      </c>
      <c r="J1051" s="27" t="s">
        <v>566</v>
      </c>
      <c r="K1051" s="106" t="str">
        <f t="shared" si="50"/>
        <v>М</v>
      </c>
      <c r="L1051" s="106" t="str">
        <f t="shared" si="51"/>
        <v>Д</v>
      </c>
      <c r="M1051" s="107" t="str">
        <f t="shared" si="52"/>
        <v>Русский язык и литература (Вуз-партнёр - Евразийский национальный университет им. Л.Н. Гумилева)</v>
      </c>
    </row>
    <row r="1052" spans="1:13" ht="30" hidden="1" customHeight="1" x14ac:dyDescent="0.25">
      <c r="A1052" s="41" t="s">
        <v>1521</v>
      </c>
      <c r="B1052" s="25" t="s">
        <v>1314</v>
      </c>
      <c r="C1052" s="29" t="s">
        <v>664</v>
      </c>
      <c r="D1052" s="29" t="s">
        <v>1730</v>
      </c>
      <c r="E1052" s="25" t="s">
        <v>3126</v>
      </c>
      <c r="F1052" s="26" t="s">
        <v>115</v>
      </c>
      <c r="G1052" s="27" t="s">
        <v>137</v>
      </c>
      <c r="H1052" s="27" t="s">
        <v>517</v>
      </c>
      <c r="I1052" s="27"/>
      <c r="J1052" s="27" t="s">
        <v>566</v>
      </c>
      <c r="K1052" s="106" t="str">
        <f t="shared" si="50"/>
        <v>М</v>
      </c>
      <c r="L1052" s="106" t="str">
        <f t="shared" si="51"/>
        <v>Д</v>
      </c>
      <c r="M1052" s="107" t="str">
        <f t="shared" si="52"/>
        <v>Теоретическое и прикладное языкознание (Английский язык)</v>
      </c>
    </row>
    <row r="1053" spans="1:13" ht="30" hidden="1" customHeight="1" x14ac:dyDescent="0.25">
      <c r="A1053" s="41" t="s">
        <v>2664</v>
      </c>
      <c r="B1053" s="25" t="s">
        <v>1314</v>
      </c>
      <c r="C1053" s="29" t="s">
        <v>664</v>
      </c>
      <c r="D1053" s="29" t="s">
        <v>1730</v>
      </c>
      <c r="E1053" s="25" t="s">
        <v>3126</v>
      </c>
      <c r="F1053" s="26" t="s">
        <v>115</v>
      </c>
      <c r="G1053" s="27" t="s">
        <v>137</v>
      </c>
      <c r="H1053" s="27" t="s">
        <v>2665</v>
      </c>
      <c r="I1053" s="27"/>
      <c r="J1053" s="27" t="s">
        <v>566</v>
      </c>
      <c r="K1053" s="106" t="str">
        <f t="shared" si="50"/>
        <v>М</v>
      </c>
      <c r="L1053" s="106" t="str">
        <f t="shared" si="51"/>
        <v>Д</v>
      </c>
      <c r="M1053" s="107" t="str">
        <f t="shared" si="52"/>
        <v>Язык и культура: теория и практика (Английский язык)</v>
      </c>
    </row>
    <row r="1054" spans="1:13" ht="30" hidden="1" customHeight="1" x14ac:dyDescent="0.25">
      <c r="A1054" s="41" t="s">
        <v>1524</v>
      </c>
      <c r="B1054" s="25" t="s">
        <v>1314</v>
      </c>
      <c r="C1054" s="29" t="s">
        <v>664</v>
      </c>
      <c r="D1054" s="29" t="s">
        <v>666</v>
      </c>
      <c r="E1054" s="25" t="s">
        <v>3126</v>
      </c>
      <c r="F1054" s="26" t="s">
        <v>115</v>
      </c>
      <c r="G1054" s="27" t="s">
        <v>137</v>
      </c>
      <c r="H1054" s="27" t="s">
        <v>1525</v>
      </c>
      <c r="I1054" s="27"/>
      <c r="J1054" s="27" t="s">
        <v>566</v>
      </c>
      <c r="K1054" s="106" t="str">
        <f t="shared" si="50"/>
        <v>М</v>
      </c>
      <c r="L1054" s="106" t="str">
        <f t="shared" si="51"/>
        <v>Д</v>
      </c>
      <c r="M1054" s="107" t="str">
        <f t="shared" si="52"/>
        <v>Общее и русское языкознание</v>
      </c>
    </row>
    <row r="1055" spans="1:13" ht="30" hidden="1" customHeight="1" x14ac:dyDescent="0.25">
      <c r="A1055" s="41" t="s">
        <v>3098</v>
      </c>
      <c r="B1055" s="25" t="s">
        <v>1314</v>
      </c>
      <c r="C1055" s="29" t="s">
        <v>664</v>
      </c>
      <c r="D1055" s="29" t="s">
        <v>666</v>
      </c>
      <c r="E1055" s="25" t="s">
        <v>3126</v>
      </c>
      <c r="F1055" s="26" t="s">
        <v>115</v>
      </c>
      <c r="G1055" s="27" t="s">
        <v>137</v>
      </c>
      <c r="H1055" s="27" t="s">
        <v>3186</v>
      </c>
      <c r="I1055" s="27"/>
      <c r="J1055" s="27" t="s">
        <v>566</v>
      </c>
      <c r="K1055" s="106" t="str">
        <f t="shared" si="50"/>
        <v>М</v>
      </c>
      <c r="L1055" s="106" t="str">
        <f t="shared" si="51"/>
        <v>Д</v>
      </c>
      <c r="M1055" s="107" t="str">
        <f t="shared" si="52"/>
        <v>Русский язык и межкультурная коммуникация</v>
      </c>
    </row>
    <row r="1056" spans="1:13" ht="30" hidden="1" customHeight="1" x14ac:dyDescent="0.25">
      <c r="A1056" s="41" t="s">
        <v>1526</v>
      </c>
      <c r="B1056" s="25" t="s">
        <v>1281</v>
      </c>
      <c r="C1056" s="29" t="s">
        <v>664</v>
      </c>
      <c r="D1056" s="29" t="s">
        <v>666</v>
      </c>
      <c r="E1056" s="25" t="s">
        <v>3126</v>
      </c>
      <c r="F1056" s="26" t="s">
        <v>115</v>
      </c>
      <c r="G1056" s="27" t="s">
        <v>142</v>
      </c>
      <c r="H1056" s="27" t="s">
        <v>628</v>
      </c>
      <c r="I1056" s="27"/>
      <c r="J1056" s="27" t="s">
        <v>566</v>
      </c>
      <c r="K1056" s="106" t="str">
        <f t="shared" si="50"/>
        <v>М</v>
      </c>
      <c r="L1056" s="106" t="str">
        <f t="shared" si="51"/>
        <v>Д</v>
      </c>
      <c r="M1056" s="107" t="str">
        <f t="shared" si="52"/>
        <v>Методика обучения языкам. Переводоведение. Синхронный перевод</v>
      </c>
    </row>
    <row r="1057" spans="1:13" ht="30" hidden="1" customHeight="1" x14ac:dyDescent="0.25">
      <c r="A1057" s="41" t="s">
        <v>1527</v>
      </c>
      <c r="B1057" s="25" t="s">
        <v>1281</v>
      </c>
      <c r="C1057" s="29" t="s">
        <v>664</v>
      </c>
      <c r="D1057" s="29" t="s">
        <v>666</v>
      </c>
      <c r="E1057" s="25" t="s">
        <v>3126</v>
      </c>
      <c r="F1057" s="26" t="s">
        <v>115</v>
      </c>
      <c r="G1057" s="27" t="s">
        <v>142</v>
      </c>
      <c r="H1057" s="27" t="s">
        <v>143</v>
      </c>
      <c r="I1057" s="27"/>
      <c r="J1057" s="27" t="s">
        <v>566</v>
      </c>
      <c r="K1057" s="106" t="str">
        <f t="shared" si="50"/>
        <v>М</v>
      </c>
      <c r="L1057" s="106" t="str">
        <f t="shared" si="51"/>
        <v>Д</v>
      </c>
      <c r="M1057" s="107" t="str">
        <f t="shared" si="52"/>
        <v>Русский язык</v>
      </c>
    </row>
    <row r="1058" spans="1:13" ht="30" hidden="1" customHeight="1" x14ac:dyDescent="0.25">
      <c r="A1058" s="41" t="s">
        <v>2666</v>
      </c>
      <c r="B1058" s="25" t="s">
        <v>1281</v>
      </c>
      <c r="C1058" s="29" t="s">
        <v>664</v>
      </c>
      <c r="D1058" s="29" t="s">
        <v>666</v>
      </c>
      <c r="E1058" s="25" t="s">
        <v>3126</v>
      </c>
      <c r="F1058" s="26" t="s">
        <v>115</v>
      </c>
      <c r="G1058" s="27" t="s">
        <v>142</v>
      </c>
      <c r="H1058" s="27" t="s">
        <v>2667</v>
      </c>
      <c r="I1058" s="27" t="s">
        <v>925</v>
      </c>
      <c r="J1058" s="27" t="s">
        <v>566</v>
      </c>
      <c r="K1058" s="106" t="str">
        <f t="shared" si="50"/>
        <v>М</v>
      </c>
      <c r="L1058" s="106" t="str">
        <f t="shared" si="51"/>
        <v>Д</v>
      </c>
      <c r="M1058" s="107" t="str">
        <f t="shared" si="52"/>
        <v>Менеджмент в культуре и межкультурная коммуникация (Вуз-партнёр - Славянский университет)</v>
      </c>
    </row>
    <row r="1059" spans="1:13" ht="30" hidden="1" customHeight="1" x14ac:dyDescent="0.25">
      <c r="A1059" s="41" t="s">
        <v>2668</v>
      </c>
      <c r="B1059" s="25" t="s">
        <v>1281</v>
      </c>
      <c r="C1059" s="29" t="s">
        <v>664</v>
      </c>
      <c r="D1059" s="29" t="s">
        <v>666</v>
      </c>
      <c r="E1059" s="25" t="s">
        <v>3126</v>
      </c>
      <c r="F1059" s="26" t="s">
        <v>115</v>
      </c>
      <c r="G1059" s="27" t="s">
        <v>142</v>
      </c>
      <c r="H1059" s="27" t="s">
        <v>2669</v>
      </c>
      <c r="I1059" s="27" t="s">
        <v>925</v>
      </c>
      <c r="J1059" s="27" t="s">
        <v>566</v>
      </c>
      <c r="K1059" s="106" t="str">
        <f t="shared" si="50"/>
        <v>М</v>
      </c>
      <c r="L1059" s="106" t="str">
        <f t="shared" si="51"/>
        <v>Д</v>
      </c>
      <c r="M1059" s="107" t="str">
        <f t="shared" si="52"/>
        <v>Языки и культура. Славяноведение. Россия-Европа (Вуз-партнёр - Славянский университет)</v>
      </c>
    </row>
    <row r="1060" spans="1:13" ht="30" hidden="1" customHeight="1" x14ac:dyDescent="0.25">
      <c r="A1060" s="41" t="s">
        <v>2670</v>
      </c>
      <c r="B1060" s="25" t="s">
        <v>1281</v>
      </c>
      <c r="C1060" s="29" t="s">
        <v>664</v>
      </c>
      <c r="D1060" s="29" t="s">
        <v>666</v>
      </c>
      <c r="E1060" s="25" t="s">
        <v>3126</v>
      </c>
      <c r="F1060" s="26" t="s">
        <v>115</v>
      </c>
      <c r="G1060" s="27" t="s">
        <v>142</v>
      </c>
      <c r="H1060" s="27" t="s">
        <v>2671</v>
      </c>
      <c r="I1060" s="27"/>
      <c r="J1060" s="27" t="s">
        <v>566</v>
      </c>
      <c r="K1060" s="108" t="s">
        <v>2828</v>
      </c>
      <c r="L1060" s="106" t="str">
        <f t="shared" si="51"/>
        <v>Д</v>
      </c>
      <c r="M1060" s="107" t="str">
        <f t="shared" si="52"/>
        <v>Когнитивная и цифровая лингвистика</v>
      </c>
    </row>
    <row r="1061" spans="1:13" ht="30" hidden="1" customHeight="1" x14ac:dyDescent="0.25">
      <c r="A1061" s="41" t="s">
        <v>1534</v>
      </c>
      <c r="B1061" s="25" t="s">
        <v>1510</v>
      </c>
      <c r="C1061" s="29" t="s">
        <v>663</v>
      </c>
      <c r="D1061" s="29" t="s">
        <v>666</v>
      </c>
      <c r="E1061" s="25" t="s">
        <v>3127</v>
      </c>
      <c r="F1061" s="26" t="s">
        <v>115</v>
      </c>
      <c r="G1061" s="27" t="s">
        <v>144</v>
      </c>
      <c r="H1061" s="27" t="s">
        <v>267</v>
      </c>
      <c r="I1061" s="27"/>
      <c r="J1061" s="27" t="s">
        <v>566</v>
      </c>
      <c r="K1061" s="106" t="str">
        <f t="shared" si="50"/>
        <v>М</v>
      </c>
      <c r="L1061" s="106" t="str">
        <f t="shared" si="51"/>
        <v>В</v>
      </c>
      <c r="M1061" s="107" t="str">
        <f t="shared" si="52"/>
        <v>Психологическое консультирование</v>
      </c>
    </row>
    <row r="1062" spans="1:13" ht="30" hidden="1" customHeight="1" x14ac:dyDescent="0.25">
      <c r="A1062" s="41" t="s">
        <v>1535</v>
      </c>
      <c r="B1062" s="25" t="s">
        <v>1510</v>
      </c>
      <c r="C1062" s="29" t="s">
        <v>663</v>
      </c>
      <c r="D1062" s="29" t="s">
        <v>666</v>
      </c>
      <c r="E1062" s="25" t="s">
        <v>3127</v>
      </c>
      <c r="F1062" s="26" t="s">
        <v>115</v>
      </c>
      <c r="G1062" s="27" t="s">
        <v>144</v>
      </c>
      <c r="H1062" s="27" t="s">
        <v>268</v>
      </c>
      <c r="I1062" s="27"/>
      <c r="J1062" s="27" t="s">
        <v>566</v>
      </c>
      <c r="K1062" s="106" t="str">
        <f t="shared" si="50"/>
        <v>М</v>
      </c>
      <c r="L1062" s="106" t="str">
        <f t="shared" si="51"/>
        <v>В</v>
      </c>
      <c r="M1062" s="107" t="str">
        <f t="shared" si="52"/>
        <v>Интегративные технологии в практической психологии</v>
      </c>
    </row>
    <row r="1063" spans="1:13" ht="30" hidden="1" customHeight="1" x14ac:dyDescent="0.25">
      <c r="A1063" s="41" t="s">
        <v>2659</v>
      </c>
      <c r="B1063" s="25" t="s">
        <v>1510</v>
      </c>
      <c r="C1063" s="29" t="s">
        <v>663</v>
      </c>
      <c r="D1063" s="29" t="s">
        <v>666</v>
      </c>
      <c r="E1063" s="25" t="s">
        <v>3127</v>
      </c>
      <c r="F1063" s="26" t="s">
        <v>115</v>
      </c>
      <c r="G1063" s="27" t="s">
        <v>144</v>
      </c>
      <c r="H1063" s="27" t="s">
        <v>2658</v>
      </c>
      <c r="I1063" s="27"/>
      <c r="J1063" s="27" t="s">
        <v>566</v>
      </c>
      <c r="K1063" s="106" t="str">
        <f t="shared" si="50"/>
        <v>М</v>
      </c>
      <c r="L1063" s="106" t="str">
        <f t="shared" si="51"/>
        <v>В</v>
      </c>
      <c r="M1063" s="107" t="str">
        <f t="shared" si="52"/>
        <v>Психология менеджмента</v>
      </c>
    </row>
    <row r="1064" spans="1:13" ht="30" hidden="1" customHeight="1" x14ac:dyDescent="0.25">
      <c r="A1064" s="41" t="s">
        <v>2663</v>
      </c>
      <c r="B1064" s="25" t="s">
        <v>1510</v>
      </c>
      <c r="C1064" s="29" t="s">
        <v>663</v>
      </c>
      <c r="D1064" s="29" t="s">
        <v>666</v>
      </c>
      <c r="E1064" s="25" t="s">
        <v>3127</v>
      </c>
      <c r="F1064" s="26" t="s">
        <v>115</v>
      </c>
      <c r="G1064" s="27" t="s">
        <v>144</v>
      </c>
      <c r="H1064" s="27" t="s">
        <v>2662</v>
      </c>
      <c r="I1064" s="27"/>
      <c r="J1064" s="27" t="s">
        <v>566</v>
      </c>
      <c r="K1064" s="106" t="str">
        <f t="shared" si="50"/>
        <v>М</v>
      </c>
      <c r="L1064" s="106" t="str">
        <f t="shared" si="51"/>
        <v>В</v>
      </c>
      <c r="M1064" s="107" t="str">
        <f t="shared" si="52"/>
        <v>Юридическая психология</v>
      </c>
    </row>
    <row r="1065" spans="1:13" ht="30" hidden="1" customHeight="1" x14ac:dyDescent="0.25">
      <c r="A1065" s="41" t="s">
        <v>1536</v>
      </c>
      <c r="B1065" s="25" t="s">
        <v>1514</v>
      </c>
      <c r="C1065" s="29" t="s">
        <v>663</v>
      </c>
      <c r="D1065" s="29" t="s">
        <v>666</v>
      </c>
      <c r="E1065" s="25" t="s">
        <v>3127</v>
      </c>
      <c r="F1065" s="26" t="s">
        <v>115</v>
      </c>
      <c r="G1065" s="27" t="s">
        <v>139</v>
      </c>
      <c r="H1065" s="27" t="s">
        <v>141</v>
      </c>
      <c r="I1065" s="27"/>
      <c r="J1065" s="27" t="s">
        <v>566</v>
      </c>
      <c r="K1065" s="106" t="str">
        <f t="shared" si="50"/>
        <v>М</v>
      </c>
      <c r="L1065" s="106" t="str">
        <f t="shared" si="51"/>
        <v>В</v>
      </c>
      <c r="M1065" s="107" t="str">
        <f t="shared" si="52"/>
        <v>Организация информационного производства</v>
      </c>
    </row>
    <row r="1066" spans="1:13" ht="30" hidden="1" customHeight="1" x14ac:dyDescent="0.25">
      <c r="A1066" s="41" t="s">
        <v>1537</v>
      </c>
      <c r="B1066" s="25" t="s">
        <v>1514</v>
      </c>
      <c r="C1066" s="29" t="s">
        <v>663</v>
      </c>
      <c r="D1066" s="29" t="s">
        <v>666</v>
      </c>
      <c r="E1066" s="25" t="s">
        <v>3127</v>
      </c>
      <c r="F1066" s="26" t="s">
        <v>115</v>
      </c>
      <c r="G1066" s="27" t="s">
        <v>139</v>
      </c>
      <c r="H1066" s="27" t="s">
        <v>140</v>
      </c>
      <c r="I1066" s="27"/>
      <c r="J1066" s="27" t="s">
        <v>566</v>
      </c>
      <c r="K1066" s="106" t="str">
        <f t="shared" si="50"/>
        <v>М</v>
      </c>
      <c r="L1066" s="106" t="str">
        <f t="shared" si="51"/>
        <v>В</v>
      </c>
      <c r="M1066" s="107" t="str">
        <f t="shared" si="52"/>
        <v>Современная международная журналистика</v>
      </c>
    </row>
    <row r="1067" spans="1:13" ht="30" hidden="1" customHeight="1" x14ac:dyDescent="0.25">
      <c r="A1067" s="41" t="s">
        <v>2660</v>
      </c>
      <c r="B1067" s="25" t="s">
        <v>1510</v>
      </c>
      <c r="C1067" s="29" t="s">
        <v>665</v>
      </c>
      <c r="D1067" s="29" t="s">
        <v>666</v>
      </c>
      <c r="E1067" s="25" t="s">
        <v>3127</v>
      </c>
      <c r="F1067" s="26" t="s">
        <v>115</v>
      </c>
      <c r="G1067" s="27" t="s">
        <v>144</v>
      </c>
      <c r="H1067" s="27" t="s">
        <v>2658</v>
      </c>
      <c r="I1067" s="27"/>
      <c r="J1067" s="27" t="s">
        <v>566</v>
      </c>
      <c r="K1067" s="106" t="str">
        <f t="shared" si="50"/>
        <v>М</v>
      </c>
      <c r="L1067" s="106" t="str">
        <f t="shared" si="51"/>
        <v>З</v>
      </c>
      <c r="M1067" s="107" t="str">
        <f t="shared" si="52"/>
        <v>Психология менеджмента</v>
      </c>
    </row>
    <row r="1068" spans="1:13" ht="30" hidden="1" customHeight="1" x14ac:dyDescent="0.25">
      <c r="A1068" s="41" t="s">
        <v>2620</v>
      </c>
      <c r="B1068" s="25" t="s">
        <v>1663</v>
      </c>
      <c r="C1068" s="29" t="s">
        <v>664</v>
      </c>
      <c r="D1068" s="29" t="s">
        <v>666</v>
      </c>
      <c r="E1068" s="25" t="s">
        <v>3128</v>
      </c>
      <c r="F1068" s="26" t="s">
        <v>179</v>
      </c>
      <c r="G1068" s="27" t="s">
        <v>538</v>
      </c>
      <c r="H1068" s="27" t="s">
        <v>389</v>
      </c>
      <c r="I1068" s="27"/>
      <c r="J1068" s="27" t="s">
        <v>566</v>
      </c>
      <c r="K1068" s="106" t="str">
        <f t="shared" si="50"/>
        <v>А</v>
      </c>
      <c r="L1068" s="106" t="str">
        <f t="shared" si="51"/>
        <v>Д</v>
      </c>
      <c r="M1068" s="107" t="str">
        <f t="shared" si="52"/>
        <v>Общая психология, психология личности, история психологии</v>
      </c>
    </row>
    <row r="1069" spans="1:13" ht="30" hidden="1" customHeight="1" x14ac:dyDescent="0.25">
      <c r="A1069" s="41" t="s">
        <v>2622</v>
      </c>
      <c r="B1069" s="25" t="s">
        <v>1728</v>
      </c>
      <c r="C1069" s="29" t="s">
        <v>664</v>
      </c>
      <c r="D1069" s="29" t="s">
        <v>666</v>
      </c>
      <c r="E1069" s="25" t="s">
        <v>3128</v>
      </c>
      <c r="F1069" s="26" t="s">
        <v>179</v>
      </c>
      <c r="G1069" s="27" t="s">
        <v>539</v>
      </c>
      <c r="H1069" s="27" t="s">
        <v>139</v>
      </c>
      <c r="I1069" s="27"/>
      <c r="J1069" s="27" t="s">
        <v>566</v>
      </c>
      <c r="K1069" s="106" t="str">
        <f t="shared" si="50"/>
        <v>А</v>
      </c>
      <c r="L1069" s="106" t="str">
        <f t="shared" si="51"/>
        <v>Д</v>
      </c>
      <c r="M1069" s="107" t="str">
        <f t="shared" si="52"/>
        <v>Журналистика</v>
      </c>
    </row>
    <row r="1070" spans="1:13" ht="30" hidden="1" customHeight="1" x14ac:dyDescent="0.25">
      <c r="A1070" s="41" t="s">
        <v>2623</v>
      </c>
      <c r="B1070" s="25" t="s">
        <v>1728</v>
      </c>
      <c r="C1070" s="29" t="s">
        <v>664</v>
      </c>
      <c r="D1070" s="29" t="s">
        <v>1730</v>
      </c>
      <c r="E1070" s="25" t="s">
        <v>3128</v>
      </c>
      <c r="F1070" s="26" t="s">
        <v>179</v>
      </c>
      <c r="G1070" s="27" t="s">
        <v>539</v>
      </c>
      <c r="H1070" s="27" t="s">
        <v>630</v>
      </c>
      <c r="I1070" s="27"/>
      <c r="J1070" s="27" t="s">
        <v>566</v>
      </c>
      <c r="K1070" s="106" t="str">
        <f t="shared" si="50"/>
        <v>А</v>
      </c>
      <c r="L1070" s="106" t="str">
        <f t="shared" si="51"/>
        <v>Д</v>
      </c>
      <c r="M1070" s="107" t="str">
        <f t="shared" si="52"/>
        <v>Международная журналистика (Английский язык)</v>
      </c>
    </row>
    <row r="1071" spans="1:13" ht="30" hidden="1" customHeight="1" x14ac:dyDescent="0.25">
      <c r="A1071" s="41" t="s">
        <v>2625</v>
      </c>
      <c r="B1071" s="25" t="s">
        <v>1664</v>
      </c>
      <c r="C1071" s="29" t="s">
        <v>664</v>
      </c>
      <c r="D1071" s="29" t="s">
        <v>666</v>
      </c>
      <c r="E1071" s="25" t="s">
        <v>3128</v>
      </c>
      <c r="F1071" s="26" t="s">
        <v>179</v>
      </c>
      <c r="G1071" s="27" t="s">
        <v>570</v>
      </c>
      <c r="H1071" s="27" t="s">
        <v>391</v>
      </c>
      <c r="I1071" s="27"/>
      <c r="J1071" s="27" t="s">
        <v>566</v>
      </c>
      <c r="K1071" s="106" t="str">
        <f t="shared" si="50"/>
        <v>А</v>
      </c>
      <c r="L1071" s="106" t="str">
        <f t="shared" si="51"/>
        <v>Д</v>
      </c>
      <c r="M1071" s="107" t="str">
        <f t="shared" si="52"/>
        <v>Теория и методика обучения и воспитания (иностранные языки)</v>
      </c>
    </row>
    <row r="1072" spans="1:13" ht="30" hidden="1" customHeight="1" x14ac:dyDescent="0.25">
      <c r="A1072" s="41" t="s">
        <v>2626</v>
      </c>
      <c r="B1072" s="25" t="s">
        <v>1664</v>
      </c>
      <c r="C1072" s="29" t="s">
        <v>664</v>
      </c>
      <c r="D1072" s="29" t="s">
        <v>666</v>
      </c>
      <c r="E1072" s="25" t="s">
        <v>3128</v>
      </c>
      <c r="F1072" s="26" t="s">
        <v>179</v>
      </c>
      <c r="G1072" s="27" t="s">
        <v>570</v>
      </c>
      <c r="H1072" s="27" t="s">
        <v>392</v>
      </c>
      <c r="I1072" s="27"/>
      <c r="J1072" s="27" t="s">
        <v>566</v>
      </c>
      <c r="K1072" s="106" t="str">
        <f t="shared" si="50"/>
        <v>А</v>
      </c>
      <c r="L1072" s="106" t="str">
        <f t="shared" si="51"/>
        <v>Д</v>
      </c>
      <c r="M1072" s="107" t="str">
        <f t="shared" si="52"/>
        <v>Теория и методика обучения и воспитания (русский язык как иностранный)</v>
      </c>
    </row>
    <row r="1073" spans="1:13" ht="30" hidden="1" customHeight="1" x14ac:dyDescent="0.25">
      <c r="A1073" s="41" t="s">
        <v>2627</v>
      </c>
      <c r="B1073" s="25" t="s">
        <v>1664</v>
      </c>
      <c r="C1073" s="29" t="s">
        <v>664</v>
      </c>
      <c r="D1073" s="29" t="s">
        <v>666</v>
      </c>
      <c r="E1073" s="25" t="s">
        <v>3128</v>
      </c>
      <c r="F1073" s="26" t="s">
        <v>179</v>
      </c>
      <c r="G1073" s="27" t="s">
        <v>570</v>
      </c>
      <c r="H1073" s="27" t="s">
        <v>393</v>
      </c>
      <c r="I1073" s="27"/>
      <c r="J1073" s="27" t="s">
        <v>566</v>
      </c>
      <c r="K1073" s="106" t="str">
        <f t="shared" si="50"/>
        <v>А</v>
      </c>
      <c r="L1073" s="106" t="str">
        <f t="shared" si="51"/>
        <v>Д</v>
      </c>
      <c r="M1073" s="107" t="str">
        <f t="shared" si="52"/>
        <v>Общая педагогика, история педагогики и образования</v>
      </c>
    </row>
    <row r="1074" spans="1:13" ht="30" hidden="1" customHeight="1" x14ac:dyDescent="0.25">
      <c r="A1074" s="41" t="s">
        <v>2628</v>
      </c>
      <c r="B1074" s="25" t="s">
        <v>1664</v>
      </c>
      <c r="C1074" s="29" t="s">
        <v>664</v>
      </c>
      <c r="D1074" s="29" t="s">
        <v>666</v>
      </c>
      <c r="E1074" s="25" t="s">
        <v>3128</v>
      </c>
      <c r="F1074" s="26" t="s">
        <v>179</v>
      </c>
      <c r="G1074" s="27" t="s">
        <v>570</v>
      </c>
      <c r="H1074" s="27" t="s">
        <v>629</v>
      </c>
      <c r="I1074" s="27"/>
      <c r="J1074" s="27" t="s">
        <v>566</v>
      </c>
      <c r="K1074" s="106" t="str">
        <f t="shared" si="50"/>
        <v>А</v>
      </c>
      <c r="L1074" s="106" t="str">
        <f t="shared" si="51"/>
        <v>Д</v>
      </c>
      <c r="M1074" s="107" t="str">
        <f t="shared" si="52"/>
        <v>Теория и методика обучения и воспитания (русский язык)</v>
      </c>
    </row>
    <row r="1075" spans="1:13" ht="30" hidden="1" customHeight="1" x14ac:dyDescent="0.25">
      <c r="A1075" s="41" t="s">
        <v>2633</v>
      </c>
      <c r="B1075" s="25" t="s">
        <v>1665</v>
      </c>
      <c r="C1075" s="29" t="s">
        <v>664</v>
      </c>
      <c r="D1075" s="29" t="s">
        <v>666</v>
      </c>
      <c r="E1075" s="25" t="s">
        <v>3128</v>
      </c>
      <c r="F1075" s="26" t="s">
        <v>179</v>
      </c>
      <c r="G1075" s="27" t="s">
        <v>540</v>
      </c>
      <c r="H1075" s="27" t="s">
        <v>1031</v>
      </c>
      <c r="I1075" s="27"/>
      <c r="J1075" s="27" t="s">
        <v>566</v>
      </c>
      <c r="K1075" s="106" t="str">
        <f t="shared" si="50"/>
        <v>А</v>
      </c>
      <c r="L1075" s="106" t="str">
        <f t="shared" si="51"/>
        <v>Д</v>
      </c>
      <c r="M1075" s="107" t="str">
        <f t="shared" si="52"/>
        <v>Сравнительно-историческое, типологическое и сопоставительное языкознание</v>
      </c>
    </row>
    <row r="1076" spans="1:13" ht="30" hidden="1" customHeight="1" x14ac:dyDescent="0.25">
      <c r="A1076" s="41" t="s">
        <v>2634</v>
      </c>
      <c r="B1076" s="25" t="s">
        <v>1665</v>
      </c>
      <c r="C1076" s="29" t="s">
        <v>664</v>
      </c>
      <c r="D1076" s="29" t="s">
        <v>666</v>
      </c>
      <c r="E1076" s="25" t="s">
        <v>3128</v>
      </c>
      <c r="F1076" s="26" t="s">
        <v>179</v>
      </c>
      <c r="G1076" s="27" t="s">
        <v>540</v>
      </c>
      <c r="H1076" s="27" t="s">
        <v>394</v>
      </c>
      <c r="I1076" s="27"/>
      <c r="J1076" s="27" t="s">
        <v>566</v>
      </c>
      <c r="K1076" s="106" t="str">
        <f t="shared" si="50"/>
        <v>А</v>
      </c>
      <c r="L1076" s="106" t="str">
        <f t="shared" si="51"/>
        <v>Д</v>
      </c>
      <c r="M1076" s="107" t="str">
        <f t="shared" si="52"/>
        <v>Русская литература</v>
      </c>
    </row>
    <row r="1077" spans="1:13" ht="30" hidden="1" customHeight="1" x14ac:dyDescent="0.25">
      <c r="A1077" s="41" t="s">
        <v>2635</v>
      </c>
      <c r="B1077" s="25" t="s">
        <v>1665</v>
      </c>
      <c r="C1077" s="29" t="s">
        <v>664</v>
      </c>
      <c r="D1077" s="29" t="s">
        <v>666</v>
      </c>
      <c r="E1077" s="25" t="s">
        <v>3128</v>
      </c>
      <c r="F1077" s="26" t="s">
        <v>179</v>
      </c>
      <c r="G1077" s="27" t="s">
        <v>540</v>
      </c>
      <c r="H1077" s="27" t="s">
        <v>408</v>
      </c>
      <c r="I1077" s="27"/>
      <c r="J1077" s="27" t="s">
        <v>566</v>
      </c>
      <c r="K1077" s="106" t="str">
        <f t="shared" si="50"/>
        <v>А</v>
      </c>
      <c r="L1077" s="106" t="str">
        <f t="shared" si="51"/>
        <v>Д</v>
      </c>
      <c r="M1077" s="107" t="str">
        <f t="shared" si="52"/>
        <v>Литература народов стран зарубежья (Европы, Америки, Австралии, Азии, Африки, государств-участников СНГ)</v>
      </c>
    </row>
    <row r="1078" spans="1:13" ht="30" hidden="1" customHeight="1" x14ac:dyDescent="0.25">
      <c r="A1078" s="41" t="s">
        <v>2636</v>
      </c>
      <c r="B1078" s="25" t="s">
        <v>1665</v>
      </c>
      <c r="C1078" s="29" t="s">
        <v>664</v>
      </c>
      <c r="D1078" s="29" t="s">
        <v>666</v>
      </c>
      <c r="E1078" s="25" t="s">
        <v>3128</v>
      </c>
      <c r="F1078" s="26" t="s">
        <v>179</v>
      </c>
      <c r="G1078" s="27" t="s">
        <v>540</v>
      </c>
      <c r="H1078" s="27" t="s">
        <v>143</v>
      </c>
      <c r="I1078" s="27"/>
      <c r="J1078" s="27" t="s">
        <v>566</v>
      </c>
      <c r="K1078" s="106" t="str">
        <f t="shared" si="50"/>
        <v>А</v>
      </c>
      <c r="L1078" s="106" t="str">
        <f t="shared" si="51"/>
        <v>Д</v>
      </c>
      <c r="M1078" s="107" t="str">
        <f t="shared" si="52"/>
        <v>Русский язык</v>
      </c>
    </row>
    <row r="1079" spans="1:13" ht="30" hidden="1" customHeight="1" x14ac:dyDescent="0.25">
      <c r="A1079" s="41" t="s">
        <v>2637</v>
      </c>
      <c r="B1079" s="25" t="s">
        <v>1665</v>
      </c>
      <c r="C1079" s="29" t="s">
        <v>664</v>
      </c>
      <c r="D1079" s="29" t="s">
        <v>666</v>
      </c>
      <c r="E1079" s="25" t="s">
        <v>3128</v>
      </c>
      <c r="F1079" s="26" t="s">
        <v>179</v>
      </c>
      <c r="G1079" s="27" t="s">
        <v>540</v>
      </c>
      <c r="H1079" s="27" t="s">
        <v>396</v>
      </c>
      <c r="I1079" s="27"/>
      <c r="J1079" s="27" t="s">
        <v>566</v>
      </c>
      <c r="K1079" s="106" t="str">
        <f t="shared" si="50"/>
        <v>А</v>
      </c>
      <c r="L1079" s="106" t="str">
        <f t="shared" si="51"/>
        <v>Д</v>
      </c>
      <c r="M1079" s="107" t="str">
        <f t="shared" si="52"/>
        <v>Романские языки</v>
      </c>
    </row>
    <row r="1080" spans="1:13" ht="30" hidden="1" customHeight="1" x14ac:dyDescent="0.25">
      <c r="A1080" s="41" t="s">
        <v>2638</v>
      </c>
      <c r="B1080" s="25" t="s">
        <v>1665</v>
      </c>
      <c r="C1080" s="29" t="s">
        <v>664</v>
      </c>
      <c r="D1080" s="29" t="s">
        <v>666</v>
      </c>
      <c r="E1080" s="25" t="s">
        <v>3128</v>
      </c>
      <c r="F1080" s="26" t="s">
        <v>179</v>
      </c>
      <c r="G1080" s="27" t="s">
        <v>540</v>
      </c>
      <c r="H1080" s="27" t="s">
        <v>397</v>
      </c>
      <c r="I1080" s="27"/>
      <c r="J1080" s="27" t="s">
        <v>566</v>
      </c>
      <c r="K1080" s="106" t="str">
        <f t="shared" si="50"/>
        <v>А</v>
      </c>
      <c r="L1080" s="106" t="str">
        <f t="shared" si="51"/>
        <v>Д</v>
      </c>
      <c r="M1080" s="107" t="str">
        <f t="shared" si="52"/>
        <v>Теория языка</v>
      </c>
    </row>
    <row r="1081" spans="1:13" ht="30" hidden="1" customHeight="1" x14ac:dyDescent="0.25">
      <c r="A1081" s="41" t="s">
        <v>2639</v>
      </c>
      <c r="B1081" s="25" t="s">
        <v>1665</v>
      </c>
      <c r="C1081" s="29" t="s">
        <v>664</v>
      </c>
      <c r="D1081" s="29" t="s">
        <v>1730</v>
      </c>
      <c r="E1081" s="25" t="s">
        <v>3128</v>
      </c>
      <c r="F1081" s="26" t="s">
        <v>179</v>
      </c>
      <c r="G1081" s="27" t="s">
        <v>540</v>
      </c>
      <c r="H1081" s="27" t="s">
        <v>632</v>
      </c>
      <c r="I1081" s="27"/>
      <c r="J1081" s="27" t="s">
        <v>566</v>
      </c>
      <c r="K1081" s="106" t="str">
        <f t="shared" si="50"/>
        <v>А</v>
      </c>
      <c r="L1081" s="106" t="str">
        <f t="shared" si="51"/>
        <v>Д</v>
      </c>
      <c r="M1081" s="107" t="str">
        <f t="shared" si="52"/>
        <v>Сравнительно-историческое, сопоставительное и типологическое языкознание: Типология и языковая классификация (Английский язык)</v>
      </c>
    </row>
    <row r="1082" spans="1:13" ht="30" hidden="1" customHeight="1" x14ac:dyDescent="0.25">
      <c r="A1082" s="41" t="s">
        <v>2640</v>
      </c>
      <c r="B1082" s="25" t="s">
        <v>1665</v>
      </c>
      <c r="C1082" s="29" t="s">
        <v>664</v>
      </c>
      <c r="D1082" s="29" t="s">
        <v>1730</v>
      </c>
      <c r="E1082" s="25" t="s">
        <v>3128</v>
      </c>
      <c r="F1082" s="26" t="s">
        <v>179</v>
      </c>
      <c r="G1082" s="27" t="s">
        <v>540</v>
      </c>
      <c r="H1082" s="27" t="s">
        <v>633</v>
      </c>
      <c r="I1082" s="27"/>
      <c r="J1082" s="27" t="s">
        <v>566</v>
      </c>
      <c r="K1082" s="106" t="str">
        <f t="shared" si="50"/>
        <v>А</v>
      </c>
      <c r="L1082" s="106" t="str">
        <f t="shared" si="51"/>
        <v>Д</v>
      </c>
      <c r="M1082" s="107" t="str">
        <f t="shared" si="52"/>
        <v>Теория языка и дискурс-анализ (Английский язык)</v>
      </c>
    </row>
    <row r="1083" spans="1:13" ht="30" hidden="1" customHeight="1" x14ac:dyDescent="0.25">
      <c r="A1083" s="41" t="s">
        <v>2641</v>
      </c>
      <c r="B1083" s="25" t="s">
        <v>1665</v>
      </c>
      <c r="C1083" s="29" t="s">
        <v>664</v>
      </c>
      <c r="D1083" s="29" t="s">
        <v>1730</v>
      </c>
      <c r="E1083" s="25" t="s">
        <v>3128</v>
      </c>
      <c r="F1083" s="26" t="s">
        <v>179</v>
      </c>
      <c r="G1083" s="27" t="s">
        <v>540</v>
      </c>
      <c r="H1083" s="27" t="s">
        <v>631</v>
      </c>
      <c r="I1083" s="27"/>
      <c r="J1083" s="27" t="s">
        <v>566</v>
      </c>
      <c r="K1083" s="106" t="str">
        <f t="shared" si="50"/>
        <v>А</v>
      </c>
      <c r="L1083" s="106" t="str">
        <f t="shared" si="51"/>
        <v>Д</v>
      </c>
      <c r="M1083" s="107" t="str">
        <f t="shared" si="52"/>
        <v>Английская и русская литература в сопоставительном аспекте (Английский язык)</v>
      </c>
    </row>
    <row r="1084" spans="1:13" ht="30" hidden="1" customHeight="1" x14ac:dyDescent="0.25">
      <c r="A1084" s="41" t="s">
        <v>2648</v>
      </c>
      <c r="B1084" s="25" t="s">
        <v>1665</v>
      </c>
      <c r="C1084" s="29" t="s">
        <v>664</v>
      </c>
      <c r="D1084" s="29" t="s">
        <v>666</v>
      </c>
      <c r="E1084" s="25" t="s">
        <v>3128</v>
      </c>
      <c r="F1084" s="26" t="s">
        <v>179</v>
      </c>
      <c r="G1084" s="27" t="s">
        <v>540</v>
      </c>
      <c r="H1084" s="27" t="s">
        <v>2649</v>
      </c>
      <c r="I1084" s="27" t="s">
        <v>938</v>
      </c>
      <c r="J1084" s="27" t="s">
        <v>566</v>
      </c>
      <c r="K1084" s="106" t="str">
        <f t="shared" si="50"/>
        <v>А</v>
      </c>
      <c r="L1084" s="106" t="str">
        <f t="shared" si="51"/>
        <v>Д</v>
      </c>
      <c r="M1084" s="107" t="str">
        <f t="shared" si="52"/>
        <v>Русский язык: Россия — Европа. Языки и культуры (Вуз-партнёр - Университет Тулузы Жан Жорес)</v>
      </c>
    </row>
    <row r="1085" spans="1:13" ht="30" hidden="1" customHeight="1" x14ac:dyDescent="0.25">
      <c r="A1085" s="41" t="s">
        <v>1988</v>
      </c>
      <c r="B1085" s="25" t="s">
        <v>2264</v>
      </c>
      <c r="C1085" s="29" t="s">
        <v>664</v>
      </c>
      <c r="D1085" s="29" t="s">
        <v>666</v>
      </c>
      <c r="E1085" s="25" t="s">
        <v>3128</v>
      </c>
      <c r="F1085" s="26" t="s">
        <v>179</v>
      </c>
      <c r="G1085" s="27" t="s">
        <v>389</v>
      </c>
      <c r="H1085" s="27" t="s">
        <v>389</v>
      </c>
      <c r="I1085" s="27"/>
      <c r="J1085" s="27" t="s">
        <v>566</v>
      </c>
      <c r="K1085" s="106" t="str">
        <f t="shared" si="50"/>
        <v>А</v>
      </c>
      <c r="L1085" s="106" t="str">
        <f t="shared" si="51"/>
        <v>Д</v>
      </c>
      <c r="M1085" s="107" t="str">
        <f t="shared" si="52"/>
        <v>Общая психология, психология личности, история психологии</v>
      </c>
    </row>
    <row r="1086" spans="1:13" ht="30" hidden="1" customHeight="1" x14ac:dyDescent="0.25">
      <c r="A1086" s="41" t="s">
        <v>1989</v>
      </c>
      <c r="B1086" s="25" t="s">
        <v>2262</v>
      </c>
      <c r="C1086" s="29" t="s">
        <v>664</v>
      </c>
      <c r="D1086" s="29" t="s">
        <v>666</v>
      </c>
      <c r="E1086" s="25" t="s">
        <v>3128</v>
      </c>
      <c r="F1086" s="26" t="s">
        <v>179</v>
      </c>
      <c r="G1086" s="27" t="s">
        <v>393</v>
      </c>
      <c r="H1086" s="27" t="s">
        <v>393</v>
      </c>
      <c r="I1086" s="27"/>
      <c r="J1086" s="27" t="s">
        <v>566</v>
      </c>
      <c r="K1086" s="106" t="str">
        <f t="shared" si="50"/>
        <v>А</v>
      </c>
      <c r="L1086" s="106" t="str">
        <f t="shared" si="51"/>
        <v>Д</v>
      </c>
      <c r="M1086" s="107" t="str">
        <f t="shared" si="52"/>
        <v>Общая педагогика, история педагогики и образования</v>
      </c>
    </row>
    <row r="1087" spans="1:13" ht="30" hidden="1" customHeight="1" x14ac:dyDescent="0.25">
      <c r="A1087" s="41" t="s">
        <v>1990</v>
      </c>
      <c r="B1087" s="25" t="s">
        <v>2263</v>
      </c>
      <c r="C1087" s="29" t="s">
        <v>664</v>
      </c>
      <c r="D1087" s="29" t="s">
        <v>666</v>
      </c>
      <c r="E1087" s="25" t="s">
        <v>3128</v>
      </c>
      <c r="F1087" s="26" t="s">
        <v>179</v>
      </c>
      <c r="G1087" s="27" t="s">
        <v>1869</v>
      </c>
      <c r="H1087" s="27" t="s">
        <v>392</v>
      </c>
      <c r="I1087" s="27"/>
      <c r="J1087" s="27" t="s">
        <v>566</v>
      </c>
      <c r="K1087" s="106" t="str">
        <f t="shared" si="50"/>
        <v>А</v>
      </c>
      <c r="L1087" s="106" t="str">
        <f t="shared" si="51"/>
        <v>Д</v>
      </c>
      <c r="M1087" s="107" t="str">
        <f t="shared" si="52"/>
        <v>Теория и методика обучения и воспитания (русский язык как иностранный)</v>
      </c>
    </row>
    <row r="1088" spans="1:13" ht="30" hidden="1" customHeight="1" x14ac:dyDescent="0.25">
      <c r="A1088" s="41" t="s">
        <v>1991</v>
      </c>
      <c r="B1088" s="25" t="s">
        <v>2263</v>
      </c>
      <c r="C1088" s="29" t="s">
        <v>664</v>
      </c>
      <c r="D1088" s="29" t="s">
        <v>666</v>
      </c>
      <c r="E1088" s="25" t="s">
        <v>3128</v>
      </c>
      <c r="F1088" s="26" t="s">
        <v>179</v>
      </c>
      <c r="G1088" s="27" t="s">
        <v>1869</v>
      </c>
      <c r="H1088" s="27" t="s">
        <v>391</v>
      </c>
      <c r="I1088" s="27"/>
      <c r="J1088" s="27" t="s">
        <v>566</v>
      </c>
      <c r="K1088" s="106" t="str">
        <f t="shared" si="50"/>
        <v>А</v>
      </c>
      <c r="L1088" s="106" t="str">
        <f t="shared" si="51"/>
        <v>Д</v>
      </c>
      <c r="M1088" s="107" t="str">
        <f t="shared" si="52"/>
        <v>Теория и методика обучения и воспитания (иностранные языки)</v>
      </c>
    </row>
    <row r="1089" spans="1:13" ht="30" hidden="1" customHeight="1" x14ac:dyDescent="0.25">
      <c r="A1089" s="41" t="s">
        <v>1992</v>
      </c>
      <c r="B1089" s="25" t="s">
        <v>2616</v>
      </c>
      <c r="C1089" s="29" t="s">
        <v>664</v>
      </c>
      <c r="D1089" s="29" t="s">
        <v>666</v>
      </c>
      <c r="E1089" s="25" t="s">
        <v>3128</v>
      </c>
      <c r="F1089" s="26" t="s">
        <v>179</v>
      </c>
      <c r="G1089" s="27" t="s">
        <v>1993</v>
      </c>
      <c r="H1089" s="27" t="s">
        <v>1993</v>
      </c>
      <c r="I1089" s="27"/>
      <c r="J1089" s="27" t="s">
        <v>566</v>
      </c>
      <c r="K1089" s="106" t="str">
        <f t="shared" si="50"/>
        <v>А</v>
      </c>
      <c r="L1089" s="106" t="str">
        <f t="shared" si="51"/>
        <v>Д</v>
      </c>
      <c r="M1089" s="107" t="str">
        <f t="shared" si="52"/>
        <v>Русская литература и литературы народов Российской Федерации</v>
      </c>
    </row>
    <row r="1090" spans="1:13" ht="30" hidden="1" customHeight="1" x14ac:dyDescent="0.25">
      <c r="A1090" s="41" t="s">
        <v>1994</v>
      </c>
      <c r="B1090" s="25" t="s">
        <v>2616</v>
      </c>
      <c r="C1090" s="29" t="s">
        <v>664</v>
      </c>
      <c r="D1090" s="29" t="s">
        <v>666</v>
      </c>
      <c r="E1090" s="25" t="s">
        <v>3128</v>
      </c>
      <c r="F1090" s="26" t="s">
        <v>179</v>
      </c>
      <c r="G1090" s="27" t="s">
        <v>1993</v>
      </c>
      <c r="H1090" s="27" t="s">
        <v>394</v>
      </c>
      <c r="I1090" s="27" t="s">
        <v>912</v>
      </c>
      <c r="J1090" s="27" t="s">
        <v>566</v>
      </c>
      <c r="K1090" s="106" t="str">
        <f t="shared" si="50"/>
        <v>А</v>
      </c>
      <c r="L1090" s="106" t="str">
        <f t="shared" si="51"/>
        <v>Д</v>
      </c>
      <c r="M1090" s="107" t="str">
        <f t="shared" si="52"/>
        <v>Русская литература (Вуз-партнёр - Казахский национальный университет им. Аль-Фараби)</v>
      </c>
    </row>
    <row r="1091" spans="1:13" ht="30" hidden="1" customHeight="1" x14ac:dyDescent="0.25">
      <c r="A1091" s="41" t="s">
        <v>1995</v>
      </c>
      <c r="B1091" s="25" t="s">
        <v>2617</v>
      </c>
      <c r="C1091" s="29" t="s">
        <v>664</v>
      </c>
      <c r="D1091" s="29" t="s">
        <v>666</v>
      </c>
      <c r="E1091" s="25" t="s">
        <v>3128</v>
      </c>
      <c r="F1091" s="26" t="s">
        <v>179</v>
      </c>
      <c r="G1091" s="27" t="s">
        <v>1996</v>
      </c>
      <c r="H1091" s="27" t="s">
        <v>1997</v>
      </c>
      <c r="I1091" s="27"/>
      <c r="J1091" s="27" t="s">
        <v>566</v>
      </c>
      <c r="K1091" s="106" t="str">
        <f t="shared" si="50"/>
        <v>А</v>
      </c>
      <c r="L1091" s="106" t="str">
        <f t="shared" si="51"/>
        <v>Д</v>
      </c>
      <c r="M1091" s="107" t="str">
        <f t="shared" si="52"/>
        <v>Литература народов мира</v>
      </c>
    </row>
    <row r="1092" spans="1:13" ht="30" hidden="1" customHeight="1" x14ac:dyDescent="0.25">
      <c r="A1092" s="41" t="s">
        <v>1998</v>
      </c>
      <c r="B1092" s="25" t="s">
        <v>2617</v>
      </c>
      <c r="C1092" s="29" t="s">
        <v>664</v>
      </c>
      <c r="D1092" s="29" t="s">
        <v>1730</v>
      </c>
      <c r="E1092" s="25" t="s">
        <v>3128</v>
      </c>
      <c r="F1092" s="26" t="s">
        <v>179</v>
      </c>
      <c r="G1092" s="27" t="s">
        <v>1996</v>
      </c>
      <c r="H1092" s="27" t="s">
        <v>631</v>
      </c>
      <c r="I1092" s="27"/>
      <c r="J1092" s="27" t="s">
        <v>566</v>
      </c>
      <c r="K1092" s="106" t="str">
        <f t="shared" ref="K1092:K1155" si="53">LEFT(F1092, 1)</f>
        <v>А</v>
      </c>
      <c r="L1092" s="106" t="str">
        <f t="shared" ref="L1092:L1155" si="54">IF(C1092="очная","Д",IF(C1092="Очно-заочная","В",IF(C1092="Заочная","З","-")))</f>
        <v>Д</v>
      </c>
      <c r="M1092" s="107" t="str">
        <f t="shared" ref="M1092:M1155" si="55">CONCATENATE(H1092,IF(D1092="Русский","",CONCATENATE(" (",D1092," язык)")),IF(I1092&gt;0,CONCATENATE(" (Вуз-партнёр - ",I1092,")"),""))</f>
        <v>Английская и русская литература в сопоставительном аспекте (Английский язык)</v>
      </c>
    </row>
    <row r="1093" spans="1:13" ht="30" hidden="1" customHeight="1" x14ac:dyDescent="0.25">
      <c r="A1093" s="41" t="s">
        <v>1999</v>
      </c>
      <c r="B1093" s="25" t="s">
        <v>2296</v>
      </c>
      <c r="C1093" s="29" t="s">
        <v>664</v>
      </c>
      <c r="D1093" s="29" t="s">
        <v>666</v>
      </c>
      <c r="E1093" s="25" t="s">
        <v>3128</v>
      </c>
      <c r="F1093" s="26" t="s">
        <v>179</v>
      </c>
      <c r="G1093" s="27" t="s">
        <v>1885</v>
      </c>
      <c r="H1093" s="27" t="s">
        <v>143</v>
      </c>
      <c r="I1093" s="27"/>
      <c r="J1093" s="27" t="s">
        <v>566</v>
      </c>
      <c r="K1093" s="106" t="str">
        <f t="shared" si="53"/>
        <v>А</v>
      </c>
      <c r="L1093" s="106" t="str">
        <f t="shared" si="54"/>
        <v>Д</v>
      </c>
      <c r="M1093" s="107" t="str">
        <f t="shared" si="55"/>
        <v>Русский язык</v>
      </c>
    </row>
    <row r="1094" spans="1:13" ht="30" hidden="1" customHeight="1" x14ac:dyDescent="0.25">
      <c r="A1094" s="41" t="s">
        <v>2000</v>
      </c>
      <c r="B1094" s="25" t="s">
        <v>2260</v>
      </c>
      <c r="C1094" s="29" t="s">
        <v>664</v>
      </c>
      <c r="D1094" s="29" t="s">
        <v>666</v>
      </c>
      <c r="E1094" s="25" t="s">
        <v>3128</v>
      </c>
      <c r="F1094" s="26" t="s">
        <v>179</v>
      </c>
      <c r="G1094" s="27" t="s">
        <v>1859</v>
      </c>
      <c r="H1094" s="27" t="s">
        <v>2001</v>
      </c>
      <c r="I1094" s="27"/>
      <c r="J1094" s="27" t="s">
        <v>566</v>
      </c>
      <c r="K1094" s="106" t="str">
        <f t="shared" si="53"/>
        <v>А</v>
      </c>
      <c r="L1094" s="106" t="str">
        <f t="shared" si="54"/>
        <v>Д</v>
      </c>
      <c r="M1094" s="107" t="str">
        <f t="shared" si="55"/>
        <v>Языки народов зарубежных стран (романские языки)</v>
      </c>
    </row>
    <row r="1095" spans="1:13" ht="30" hidden="1" customHeight="1" x14ac:dyDescent="0.25">
      <c r="A1095" s="41" t="s">
        <v>2608</v>
      </c>
      <c r="B1095" s="25" t="s">
        <v>2261</v>
      </c>
      <c r="C1095" s="29" t="s">
        <v>664</v>
      </c>
      <c r="D1095" s="29" t="s">
        <v>1730</v>
      </c>
      <c r="E1095" s="25" t="s">
        <v>3128</v>
      </c>
      <c r="F1095" s="26" t="s">
        <v>179</v>
      </c>
      <c r="G1095" s="27" t="s">
        <v>1864</v>
      </c>
      <c r="H1095" s="27" t="s">
        <v>1864</v>
      </c>
      <c r="I1095" s="27"/>
      <c r="J1095" s="27" t="s">
        <v>566</v>
      </c>
      <c r="K1095" s="106" t="str">
        <f t="shared" si="53"/>
        <v>А</v>
      </c>
      <c r="L1095" s="106" t="str">
        <f t="shared" si="54"/>
        <v>Д</v>
      </c>
      <c r="M1095" s="107" t="str">
        <f t="shared" si="55"/>
        <v>Теоретическая, прикладная и сравнительно-сопоставительная лингвистика (Английский язык)</v>
      </c>
    </row>
    <row r="1096" spans="1:13" ht="30" hidden="1" customHeight="1" x14ac:dyDescent="0.25">
      <c r="A1096" s="41" t="s">
        <v>2002</v>
      </c>
      <c r="B1096" s="25" t="s">
        <v>2261</v>
      </c>
      <c r="C1096" s="29" t="s">
        <v>664</v>
      </c>
      <c r="D1096" s="29" t="s">
        <v>666</v>
      </c>
      <c r="E1096" s="25" t="s">
        <v>3128</v>
      </c>
      <c r="F1096" s="26" t="s">
        <v>179</v>
      </c>
      <c r="G1096" s="27" t="s">
        <v>1864</v>
      </c>
      <c r="H1096" s="27" t="s">
        <v>1864</v>
      </c>
      <c r="I1096" s="27"/>
      <c r="J1096" s="27" t="s">
        <v>566</v>
      </c>
      <c r="K1096" s="106" t="str">
        <f t="shared" si="53"/>
        <v>А</v>
      </c>
      <c r="L1096" s="106" t="str">
        <f t="shared" si="54"/>
        <v>Д</v>
      </c>
      <c r="M1096" s="107" t="str">
        <f t="shared" si="55"/>
        <v>Теоретическая, прикладная и сравнительно-сопоставительная лингвистика</v>
      </c>
    </row>
    <row r="1097" spans="1:13" ht="30" hidden="1" customHeight="1" x14ac:dyDescent="0.25">
      <c r="A1097" s="41" t="s">
        <v>2003</v>
      </c>
      <c r="B1097" s="25" t="s">
        <v>2618</v>
      </c>
      <c r="C1097" s="29" t="s">
        <v>664</v>
      </c>
      <c r="D1097" s="29" t="s">
        <v>666</v>
      </c>
      <c r="E1097" s="25" t="s">
        <v>3128</v>
      </c>
      <c r="F1097" s="26" t="s">
        <v>179</v>
      </c>
      <c r="G1097" s="27" t="s">
        <v>2004</v>
      </c>
      <c r="H1097" s="27" t="s">
        <v>2004</v>
      </c>
      <c r="I1097" s="27"/>
      <c r="J1097" s="27" t="s">
        <v>566</v>
      </c>
      <c r="K1097" s="106" t="str">
        <f t="shared" si="53"/>
        <v>А</v>
      </c>
      <c r="L1097" s="106" t="str">
        <f t="shared" si="54"/>
        <v>Д</v>
      </c>
      <c r="M1097" s="107" t="str">
        <f t="shared" si="55"/>
        <v>Медиакоммуникации и журналистика</v>
      </c>
    </row>
    <row r="1098" spans="1:13" ht="30" hidden="1" customHeight="1" x14ac:dyDescent="0.25">
      <c r="A1098" s="41" t="s">
        <v>2619</v>
      </c>
      <c r="B1098" s="25" t="s">
        <v>2618</v>
      </c>
      <c r="C1098" s="29" t="s">
        <v>664</v>
      </c>
      <c r="D1098" s="29" t="s">
        <v>1730</v>
      </c>
      <c r="E1098" s="25" t="s">
        <v>3128</v>
      </c>
      <c r="F1098" s="26" t="s">
        <v>179</v>
      </c>
      <c r="G1098" s="27" t="s">
        <v>2004</v>
      </c>
      <c r="H1098" s="27" t="s">
        <v>630</v>
      </c>
      <c r="I1098" s="27"/>
      <c r="J1098" s="27" t="s">
        <v>566</v>
      </c>
      <c r="K1098" s="106" t="str">
        <f t="shared" si="53"/>
        <v>А</v>
      </c>
      <c r="L1098" s="106" t="str">
        <f t="shared" si="54"/>
        <v>Д</v>
      </c>
      <c r="M1098" s="107" t="str">
        <f t="shared" si="55"/>
        <v>Международная журналистика (Английский язык)</v>
      </c>
    </row>
    <row r="1099" spans="1:13" ht="30" hidden="1" customHeight="1" x14ac:dyDescent="0.25">
      <c r="A1099" s="41" t="s">
        <v>2621</v>
      </c>
      <c r="B1099" s="25" t="s">
        <v>1663</v>
      </c>
      <c r="C1099" s="29" t="s">
        <v>665</v>
      </c>
      <c r="D1099" s="29" t="s">
        <v>666</v>
      </c>
      <c r="E1099" s="25" t="s">
        <v>1732</v>
      </c>
      <c r="F1099" s="26" t="s">
        <v>179</v>
      </c>
      <c r="G1099" s="27" t="s">
        <v>538</v>
      </c>
      <c r="H1099" s="27" t="s">
        <v>389</v>
      </c>
      <c r="I1099" s="27"/>
      <c r="J1099" s="27" t="s">
        <v>566</v>
      </c>
      <c r="K1099" s="106" t="str">
        <f t="shared" si="53"/>
        <v>А</v>
      </c>
      <c r="L1099" s="106" t="str">
        <f t="shared" si="54"/>
        <v>З</v>
      </c>
      <c r="M1099" s="107" t="str">
        <f t="shared" si="55"/>
        <v>Общая психология, психология личности, история психологии</v>
      </c>
    </row>
    <row r="1100" spans="1:13" ht="30" hidden="1" customHeight="1" x14ac:dyDescent="0.25">
      <c r="A1100" s="41" t="s">
        <v>2624</v>
      </c>
      <c r="B1100" s="25" t="s">
        <v>1728</v>
      </c>
      <c r="C1100" s="29" t="s">
        <v>665</v>
      </c>
      <c r="D1100" s="29" t="s">
        <v>666</v>
      </c>
      <c r="E1100" s="25" t="s">
        <v>1732</v>
      </c>
      <c r="F1100" s="26" t="s">
        <v>179</v>
      </c>
      <c r="G1100" s="27" t="s">
        <v>539</v>
      </c>
      <c r="H1100" s="27" t="s">
        <v>139</v>
      </c>
      <c r="I1100" s="27"/>
      <c r="J1100" s="27" t="s">
        <v>566</v>
      </c>
      <c r="K1100" s="106" t="str">
        <f t="shared" si="53"/>
        <v>А</v>
      </c>
      <c r="L1100" s="106" t="str">
        <f t="shared" si="54"/>
        <v>З</v>
      </c>
      <c r="M1100" s="107" t="str">
        <f t="shared" si="55"/>
        <v>Журналистика</v>
      </c>
    </row>
    <row r="1101" spans="1:13" ht="30" hidden="1" customHeight="1" x14ac:dyDescent="0.25">
      <c r="A1101" s="41" t="s">
        <v>2629</v>
      </c>
      <c r="B1101" s="25" t="s">
        <v>1664</v>
      </c>
      <c r="C1101" s="29" t="s">
        <v>665</v>
      </c>
      <c r="D1101" s="29" t="s">
        <v>666</v>
      </c>
      <c r="E1101" s="25" t="s">
        <v>1732</v>
      </c>
      <c r="F1101" s="26" t="s">
        <v>179</v>
      </c>
      <c r="G1101" s="27" t="s">
        <v>570</v>
      </c>
      <c r="H1101" s="27" t="s">
        <v>391</v>
      </c>
      <c r="I1101" s="27"/>
      <c r="J1101" s="27" t="s">
        <v>566</v>
      </c>
      <c r="K1101" s="106" t="str">
        <f t="shared" si="53"/>
        <v>А</v>
      </c>
      <c r="L1101" s="106" t="str">
        <f t="shared" si="54"/>
        <v>З</v>
      </c>
      <c r="M1101" s="107" t="str">
        <f t="shared" si="55"/>
        <v>Теория и методика обучения и воспитания (иностранные языки)</v>
      </c>
    </row>
    <row r="1102" spans="1:13" ht="30" hidden="1" customHeight="1" x14ac:dyDescent="0.25">
      <c r="A1102" s="41" t="s">
        <v>2630</v>
      </c>
      <c r="B1102" s="25" t="s">
        <v>1664</v>
      </c>
      <c r="C1102" s="29" t="s">
        <v>665</v>
      </c>
      <c r="D1102" s="29" t="s">
        <v>666</v>
      </c>
      <c r="E1102" s="25" t="s">
        <v>1732</v>
      </c>
      <c r="F1102" s="26" t="s">
        <v>179</v>
      </c>
      <c r="G1102" s="27" t="s">
        <v>570</v>
      </c>
      <c r="H1102" s="27" t="s">
        <v>392</v>
      </c>
      <c r="I1102" s="27"/>
      <c r="J1102" s="27" t="s">
        <v>566</v>
      </c>
      <c r="K1102" s="106" t="str">
        <f t="shared" si="53"/>
        <v>А</v>
      </c>
      <c r="L1102" s="106" t="str">
        <f t="shared" si="54"/>
        <v>З</v>
      </c>
      <c r="M1102" s="107" t="str">
        <f t="shared" si="55"/>
        <v>Теория и методика обучения и воспитания (русский язык как иностранный)</v>
      </c>
    </row>
    <row r="1103" spans="1:13" ht="30" hidden="1" customHeight="1" x14ac:dyDescent="0.25">
      <c r="A1103" s="41" t="s">
        <v>2631</v>
      </c>
      <c r="B1103" s="25" t="s">
        <v>1664</v>
      </c>
      <c r="C1103" s="29" t="s">
        <v>665</v>
      </c>
      <c r="D1103" s="29" t="s">
        <v>666</v>
      </c>
      <c r="E1103" s="25" t="s">
        <v>1732</v>
      </c>
      <c r="F1103" s="26" t="s">
        <v>179</v>
      </c>
      <c r="G1103" s="27" t="s">
        <v>570</v>
      </c>
      <c r="H1103" s="27" t="s">
        <v>393</v>
      </c>
      <c r="I1103" s="27"/>
      <c r="J1103" s="27" t="s">
        <v>566</v>
      </c>
      <c r="K1103" s="106" t="str">
        <f t="shared" si="53"/>
        <v>А</v>
      </c>
      <c r="L1103" s="106" t="str">
        <f t="shared" si="54"/>
        <v>З</v>
      </c>
      <c r="M1103" s="107" t="str">
        <f t="shared" si="55"/>
        <v>Общая педагогика, история педагогики и образования</v>
      </c>
    </row>
    <row r="1104" spans="1:13" ht="30" hidden="1" customHeight="1" x14ac:dyDescent="0.25">
      <c r="A1104" s="41" t="s">
        <v>2632</v>
      </c>
      <c r="B1104" s="25" t="s">
        <v>1664</v>
      </c>
      <c r="C1104" s="29" t="s">
        <v>665</v>
      </c>
      <c r="D1104" s="29" t="s">
        <v>666</v>
      </c>
      <c r="E1104" s="25" t="s">
        <v>1732</v>
      </c>
      <c r="F1104" s="26" t="s">
        <v>179</v>
      </c>
      <c r="G1104" s="27" t="s">
        <v>570</v>
      </c>
      <c r="H1104" s="27" t="s">
        <v>629</v>
      </c>
      <c r="I1104" s="27"/>
      <c r="J1104" s="27" t="s">
        <v>566</v>
      </c>
      <c r="K1104" s="106" t="str">
        <f t="shared" si="53"/>
        <v>А</v>
      </c>
      <c r="L1104" s="106" t="str">
        <f t="shared" si="54"/>
        <v>З</v>
      </c>
      <c r="M1104" s="107" t="str">
        <f t="shared" si="55"/>
        <v>Теория и методика обучения и воспитания (русский язык)</v>
      </c>
    </row>
    <row r="1105" spans="1:13" ht="30" hidden="1" customHeight="1" x14ac:dyDescent="0.25">
      <c r="A1105" s="41" t="s">
        <v>2607</v>
      </c>
      <c r="B1105" s="25" t="s">
        <v>1665</v>
      </c>
      <c r="C1105" s="29" t="s">
        <v>665</v>
      </c>
      <c r="D1105" s="29" t="s">
        <v>666</v>
      </c>
      <c r="E1105" s="25" t="s">
        <v>1732</v>
      </c>
      <c r="F1105" s="26" t="s">
        <v>179</v>
      </c>
      <c r="G1105" s="27" t="s">
        <v>540</v>
      </c>
      <c r="H1105" s="27" t="s">
        <v>395</v>
      </c>
      <c r="I1105" s="27"/>
      <c r="J1105" s="27" t="s">
        <v>566</v>
      </c>
      <c r="K1105" s="106" t="str">
        <f t="shared" si="53"/>
        <v>А</v>
      </c>
      <c r="L1105" s="106" t="str">
        <f t="shared" si="54"/>
        <v>З</v>
      </c>
      <c r="M1105" s="107" t="str">
        <f t="shared" si="55"/>
        <v>Германские языки</v>
      </c>
    </row>
    <row r="1106" spans="1:13" ht="30" hidden="1" customHeight="1" x14ac:dyDescent="0.25">
      <c r="A1106" s="41" t="s">
        <v>2642</v>
      </c>
      <c r="B1106" s="25" t="s">
        <v>1665</v>
      </c>
      <c r="C1106" s="29" t="s">
        <v>665</v>
      </c>
      <c r="D1106" s="29" t="s">
        <v>666</v>
      </c>
      <c r="E1106" s="25" t="s">
        <v>1732</v>
      </c>
      <c r="F1106" s="26" t="s">
        <v>179</v>
      </c>
      <c r="G1106" s="27" t="s">
        <v>540</v>
      </c>
      <c r="H1106" s="27" t="s">
        <v>1031</v>
      </c>
      <c r="I1106" s="27"/>
      <c r="J1106" s="27" t="s">
        <v>566</v>
      </c>
      <c r="K1106" s="106" t="str">
        <f t="shared" si="53"/>
        <v>А</v>
      </c>
      <c r="L1106" s="106" t="str">
        <f t="shared" si="54"/>
        <v>З</v>
      </c>
      <c r="M1106" s="107" t="str">
        <f t="shared" si="55"/>
        <v>Сравнительно-историческое, типологическое и сопоставительное языкознание</v>
      </c>
    </row>
    <row r="1107" spans="1:13" ht="30" hidden="1" customHeight="1" x14ac:dyDescent="0.25">
      <c r="A1107" s="41" t="s">
        <v>2643</v>
      </c>
      <c r="B1107" s="25" t="s">
        <v>1665</v>
      </c>
      <c r="C1107" s="29" t="s">
        <v>665</v>
      </c>
      <c r="D1107" s="29" t="s">
        <v>666</v>
      </c>
      <c r="E1107" s="25" t="s">
        <v>1732</v>
      </c>
      <c r="F1107" s="26" t="s">
        <v>179</v>
      </c>
      <c r="G1107" s="27" t="s">
        <v>540</v>
      </c>
      <c r="H1107" s="27" t="s">
        <v>394</v>
      </c>
      <c r="I1107" s="27"/>
      <c r="J1107" s="27" t="s">
        <v>566</v>
      </c>
      <c r="K1107" s="106" t="str">
        <f t="shared" si="53"/>
        <v>А</v>
      </c>
      <c r="L1107" s="106" t="str">
        <f t="shared" si="54"/>
        <v>З</v>
      </c>
      <c r="M1107" s="107" t="str">
        <f t="shared" si="55"/>
        <v>Русская литература</v>
      </c>
    </row>
    <row r="1108" spans="1:13" ht="30" hidden="1" customHeight="1" x14ac:dyDescent="0.25">
      <c r="A1108" s="41" t="s">
        <v>2644</v>
      </c>
      <c r="B1108" s="25" t="s">
        <v>1665</v>
      </c>
      <c r="C1108" s="29" t="s">
        <v>665</v>
      </c>
      <c r="D1108" s="29" t="s">
        <v>666</v>
      </c>
      <c r="E1108" s="25" t="s">
        <v>1732</v>
      </c>
      <c r="F1108" s="26" t="s">
        <v>179</v>
      </c>
      <c r="G1108" s="27" t="s">
        <v>540</v>
      </c>
      <c r="H1108" s="27" t="s">
        <v>408</v>
      </c>
      <c r="I1108" s="27"/>
      <c r="J1108" s="27" t="s">
        <v>566</v>
      </c>
      <c r="K1108" s="106" t="str">
        <f t="shared" si="53"/>
        <v>А</v>
      </c>
      <c r="L1108" s="106" t="str">
        <f t="shared" si="54"/>
        <v>З</v>
      </c>
      <c r="M1108" s="107" t="str">
        <f t="shared" si="55"/>
        <v>Литература народов стран зарубежья (Европы, Америки, Австралии, Азии, Африки, государств-участников СНГ)</v>
      </c>
    </row>
    <row r="1109" spans="1:13" ht="30" hidden="1" customHeight="1" x14ac:dyDescent="0.25">
      <c r="A1109" s="41" t="s">
        <v>2645</v>
      </c>
      <c r="B1109" s="25" t="s">
        <v>1665</v>
      </c>
      <c r="C1109" s="29" t="s">
        <v>665</v>
      </c>
      <c r="D1109" s="29" t="s">
        <v>666</v>
      </c>
      <c r="E1109" s="25" t="s">
        <v>1732</v>
      </c>
      <c r="F1109" s="26" t="s">
        <v>179</v>
      </c>
      <c r="G1109" s="27" t="s">
        <v>540</v>
      </c>
      <c r="H1109" s="27" t="s">
        <v>143</v>
      </c>
      <c r="I1109" s="27"/>
      <c r="J1109" s="27" t="s">
        <v>566</v>
      </c>
      <c r="K1109" s="106" t="str">
        <f t="shared" si="53"/>
        <v>А</v>
      </c>
      <c r="L1109" s="106" t="str">
        <f t="shared" si="54"/>
        <v>З</v>
      </c>
      <c r="M1109" s="107" t="str">
        <f t="shared" si="55"/>
        <v>Русский язык</v>
      </c>
    </row>
    <row r="1110" spans="1:13" ht="30" hidden="1" customHeight="1" x14ac:dyDescent="0.25">
      <c r="A1110" s="41" t="s">
        <v>2646</v>
      </c>
      <c r="B1110" s="25" t="s">
        <v>1665</v>
      </c>
      <c r="C1110" s="29" t="s">
        <v>665</v>
      </c>
      <c r="D1110" s="29" t="s">
        <v>666</v>
      </c>
      <c r="E1110" s="25" t="s">
        <v>1732</v>
      </c>
      <c r="F1110" s="26" t="s">
        <v>179</v>
      </c>
      <c r="G1110" s="27" t="s">
        <v>540</v>
      </c>
      <c r="H1110" s="27" t="s">
        <v>396</v>
      </c>
      <c r="I1110" s="27"/>
      <c r="J1110" s="27" t="s">
        <v>566</v>
      </c>
      <c r="K1110" s="106" t="str">
        <f t="shared" si="53"/>
        <v>А</v>
      </c>
      <c r="L1110" s="106" t="str">
        <f t="shared" si="54"/>
        <v>З</v>
      </c>
      <c r="M1110" s="107" t="str">
        <f t="shared" si="55"/>
        <v>Романские языки</v>
      </c>
    </row>
    <row r="1111" spans="1:13" ht="30" hidden="1" customHeight="1" x14ac:dyDescent="0.25">
      <c r="A1111" s="41" t="s">
        <v>2647</v>
      </c>
      <c r="B1111" s="25" t="s">
        <v>1665</v>
      </c>
      <c r="C1111" s="29" t="s">
        <v>665</v>
      </c>
      <c r="D1111" s="29" t="s">
        <v>666</v>
      </c>
      <c r="E1111" s="25" t="s">
        <v>1732</v>
      </c>
      <c r="F1111" s="26" t="s">
        <v>179</v>
      </c>
      <c r="G1111" s="27" t="s">
        <v>540</v>
      </c>
      <c r="H1111" s="27" t="s">
        <v>397</v>
      </c>
      <c r="I1111" s="27"/>
      <c r="J1111" s="27" t="s">
        <v>566</v>
      </c>
      <c r="K1111" s="106" t="str">
        <f t="shared" si="53"/>
        <v>А</v>
      </c>
      <c r="L1111" s="106" t="str">
        <f t="shared" si="54"/>
        <v>З</v>
      </c>
      <c r="M1111" s="107" t="str">
        <f t="shared" si="55"/>
        <v>Теория языка</v>
      </c>
    </row>
    <row r="1112" spans="1:13" ht="30" hidden="1" customHeight="1" x14ac:dyDescent="0.25">
      <c r="A1112" s="41" t="s">
        <v>1585</v>
      </c>
      <c r="B1112" s="25" t="s">
        <v>1586</v>
      </c>
      <c r="C1112" s="29" t="s">
        <v>663</v>
      </c>
      <c r="D1112" s="29" t="s">
        <v>666</v>
      </c>
      <c r="E1112" s="25" t="s">
        <v>3131</v>
      </c>
      <c r="F1112" s="26" t="s">
        <v>662</v>
      </c>
      <c r="G1112" s="27" t="s">
        <v>161</v>
      </c>
      <c r="H1112" s="27" t="s">
        <v>161</v>
      </c>
      <c r="I1112" s="27"/>
      <c r="J1112" s="27" t="s">
        <v>567</v>
      </c>
      <c r="K1112" s="106" t="str">
        <f t="shared" si="53"/>
        <v>С</v>
      </c>
      <c r="L1112" s="106" t="str">
        <f t="shared" si="54"/>
        <v>В</v>
      </c>
      <c r="M1112" s="107" t="str">
        <f t="shared" si="55"/>
        <v>Таможенное дело</v>
      </c>
    </row>
    <row r="1113" spans="1:13" ht="30" hidden="1" customHeight="1" x14ac:dyDescent="0.25">
      <c r="A1113" s="41" t="s">
        <v>1587</v>
      </c>
      <c r="B1113" s="25" t="s">
        <v>1586</v>
      </c>
      <c r="C1113" s="29" t="s">
        <v>663</v>
      </c>
      <c r="D1113" s="29" t="s">
        <v>666</v>
      </c>
      <c r="E1113" s="25" t="s">
        <v>3131</v>
      </c>
      <c r="F1113" s="26" t="s">
        <v>662</v>
      </c>
      <c r="G1113" s="27" t="s">
        <v>161</v>
      </c>
      <c r="H1113" s="27" t="s">
        <v>985</v>
      </c>
      <c r="I1113" s="27"/>
      <c r="J1113" s="27" t="s">
        <v>567</v>
      </c>
      <c r="K1113" s="106" t="str">
        <f t="shared" si="53"/>
        <v>С</v>
      </c>
      <c r="L1113" s="106" t="str">
        <f t="shared" si="54"/>
        <v>В</v>
      </c>
      <c r="M1113" s="107" t="str">
        <f t="shared" si="55"/>
        <v>Таможенное регулирование внешнеэкономической деятельности</v>
      </c>
    </row>
    <row r="1114" spans="1:13" ht="30" hidden="1" customHeight="1" x14ac:dyDescent="0.25">
      <c r="A1114" s="41" t="s">
        <v>1596</v>
      </c>
      <c r="B1114" s="25" t="s">
        <v>1586</v>
      </c>
      <c r="C1114" s="29" t="s">
        <v>665</v>
      </c>
      <c r="D1114" s="29" t="s">
        <v>666</v>
      </c>
      <c r="E1114" s="25" t="s">
        <v>3131</v>
      </c>
      <c r="F1114" s="26" t="s">
        <v>662</v>
      </c>
      <c r="G1114" s="27" t="s">
        <v>161</v>
      </c>
      <c r="H1114" s="27" t="s">
        <v>985</v>
      </c>
      <c r="I1114" s="27"/>
      <c r="J1114" s="27" t="s">
        <v>567</v>
      </c>
      <c r="K1114" s="106" t="str">
        <f t="shared" si="53"/>
        <v>С</v>
      </c>
      <c r="L1114" s="106" t="str">
        <f t="shared" si="54"/>
        <v>З</v>
      </c>
      <c r="M1114" s="107" t="str">
        <f t="shared" si="55"/>
        <v>Таможенное регулирование внешнеэкономической деятельности</v>
      </c>
    </row>
    <row r="1115" spans="1:13" ht="30" hidden="1" customHeight="1" x14ac:dyDescent="0.25">
      <c r="A1115" s="41" t="s">
        <v>1789</v>
      </c>
      <c r="B1115" s="25" t="s">
        <v>1782</v>
      </c>
      <c r="C1115" s="29" t="s">
        <v>664</v>
      </c>
      <c r="D1115" s="29" t="s">
        <v>666</v>
      </c>
      <c r="E1115" s="25" t="s">
        <v>1732</v>
      </c>
      <c r="F1115" s="26" t="s">
        <v>113</v>
      </c>
      <c r="G1115" s="27" t="s">
        <v>1792</v>
      </c>
      <c r="H1115" s="27" t="s">
        <v>1778</v>
      </c>
      <c r="I1115" s="27"/>
      <c r="J1115" s="27" t="s">
        <v>567</v>
      </c>
      <c r="K1115" s="106" t="str">
        <f t="shared" si="53"/>
        <v>Б</v>
      </c>
      <c r="L1115" s="106" t="str">
        <f t="shared" si="54"/>
        <v>Д</v>
      </c>
      <c r="M1115" s="107" t="str">
        <f t="shared" si="55"/>
        <v>Экономика и управление (УГСН)</v>
      </c>
    </row>
    <row r="1116" spans="1:13" ht="30" hidden="1" customHeight="1" x14ac:dyDescent="0.25">
      <c r="A1116" s="41" t="s">
        <v>1541</v>
      </c>
      <c r="B1116" s="25" t="s">
        <v>1291</v>
      </c>
      <c r="C1116" s="29" t="s">
        <v>664</v>
      </c>
      <c r="D1116" s="29" t="s">
        <v>666</v>
      </c>
      <c r="E1116" s="25" t="s">
        <v>1732</v>
      </c>
      <c r="F1116" s="26" t="s">
        <v>113</v>
      </c>
      <c r="G1116" s="27" t="s">
        <v>123</v>
      </c>
      <c r="H1116" s="27" t="s">
        <v>646</v>
      </c>
      <c r="I1116" s="27"/>
      <c r="J1116" s="27" t="s">
        <v>567</v>
      </c>
      <c r="K1116" s="106" t="str">
        <f t="shared" si="53"/>
        <v>Б</v>
      </c>
      <c r="L1116" s="106" t="str">
        <f t="shared" si="54"/>
        <v>Д</v>
      </c>
      <c r="M1116" s="107" t="str">
        <f t="shared" si="55"/>
        <v>Бухгалтерский учет и аудит</v>
      </c>
    </row>
    <row r="1117" spans="1:13" ht="30" hidden="1" customHeight="1" x14ac:dyDescent="0.25">
      <c r="A1117" s="41" t="s">
        <v>1542</v>
      </c>
      <c r="B1117" s="25" t="s">
        <v>1291</v>
      </c>
      <c r="C1117" s="29" t="s">
        <v>664</v>
      </c>
      <c r="D1117" s="29" t="s">
        <v>666</v>
      </c>
      <c r="E1117" s="25" t="s">
        <v>1732</v>
      </c>
      <c r="F1117" s="26" t="s">
        <v>113</v>
      </c>
      <c r="G1117" s="27" t="s">
        <v>123</v>
      </c>
      <c r="H1117" s="27" t="s">
        <v>419</v>
      </c>
      <c r="I1117" s="27"/>
      <c r="J1117" s="27" t="s">
        <v>567</v>
      </c>
      <c r="K1117" s="106" t="str">
        <f t="shared" si="53"/>
        <v>Б</v>
      </c>
      <c r="L1117" s="106" t="str">
        <f t="shared" si="54"/>
        <v>Д</v>
      </c>
      <c r="M1117" s="107" t="str">
        <f t="shared" si="55"/>
        <v>Страхование</v>
      </c>
    </row>
    <row r="1118" spans="1:13" ht="30" hidden="1" customHeight="1" x14ac:dyDescent="0.25">
      <c r="A1118" s="41" t="s">
        <v>1543</v>
      </c>
      <c r="B1118" s="25" t="s">
        <v>1291</v>
      </c>
      <c r="C1118" s="29" t="s">
        <v>664</v>
      </c>
      <c r="D1118" s="29" t="s">
        <v>666</v>
      </c>
      <c r="E1118" s="25" t="s">
        <v>1732</v>
      </c>
      <c r="F1118" s="26" t="s">
        <v>113</v>
      </c>
      <c r="G1118" s="27" t="s">
        <v>123</v>
      </c>
      <c r="H1118" s="27" t="s">
        <v>418</v>
      </c>
      <c r="I1118" s="27"/>
      <c r="J1118" s="27" t="s">
        <v>567</v>
      </c>
      <c r="K1118" s="106" t="str">
        <f t="shared" si="53"/>
        <v>Б</v>
      </c>
      <c r="L1118" s="106" t="str">
        <f t="shared" si="54"/>
        <v>Д</v>
      </c>
      <c r="M1118" s="107" t="str">
        <f t="shared" si="55"/>
        <v>Финансы и кредит</v>
      </c>
    </row>
    <row r="1119" spans="1:13" ht="30" hidden="1" customHeight="1" x14ac:dyDescent="0.25">
      <c r="A1119" s="41" t="s">
        <v>1544</v>
      </c>
      <c r="B1119" s="25" t="s">
        <v>1291</v>
      </c>
      <c r="C1119" s="29" t="s">
        <v>664</v>
      </c>
      <c r="D1119" s="29" t="s">
        <v>666</v>
      </c>
      <c r="E1119" s="25" t="s">
        <v>1732</v>
      </c>
      <c r="F1119" s="26" t="s">
        <v>113</v>
      </c>
      <c r="G1119" s="27" t="s">
        <v>123</v>
      </c>
      <c r="H1119" s="27" t="s">
        <v>647</v>
      </c>
      <c r="I1119" s="27"/>
      <c r="J1119" s="27" t="s">
        <v>567</v>
      </c>
      <c r="K1119" s="106" t="str">
        <f t="shared" si="53"/>
        <v>Б</v>
      </c>
      <c r="L1119" s="106" t="str">
        <f t="shared" si="54"/>
        <v>Д</v>
      </c>
      <c r="M1119" s="107" t="str">
        <f t="shared" si="55"/>
        <v>Экономика города</v>
      </c>
    </row>
    <row r="1120" spans="1:13" ht="30" hidden="1" customHeight="1" x14ac:dyDescent="0.25">
      <c r="A1120" s="41" t="s">
        <v>1545</v>
      </c>
      <c r="B1120" s="25" t="s">
        <v>1291</v>
      </c>
      <c r="C1120" s="29" t="s">
        <v>664</v>
      </c>
      <c r="D1120" s="29" t="s">
        <v>666</v>
      </c>
      <c r="E1120" s="25" t="s">
        <v>1732</v>
      </c>
      <c r="F1120" s="26" t="s">
        <v>113</v>
      </c>
      <c r="G1120" s="27" t="s">
        <v>123</v>
      </c>
      <c r="H1120" s="27" t="s">
        <v>648</v>
      </c>
      <c r="I1120" s="27"/>
      <c r="J1120" s="27" t="s">
        <v>567</v>
      </c>
      <c r="K1120" s="106" t="str">
        <f t="shared" si="53"/>
        <v>Б</v>
      </c>
      <c r="L1120" s="106" t="str">
        <f t="shared" si="54"/>
        <v>Д</v>
      </c>
      <c r="M1120" s="107" t="str">
        <f t="shared" si="55"/>
        <v>Проектный анализ и моделирование в экономике</v>
      </c>
    </row>
    <row r="1121" spans="1:13" ht="30" hidden="1" customHeight="1" x14ac:dyDescent="0.25">
      <c r="A1121" s="41" t="s">
        <v>1546</v>
      </c>
      <c r="B1121" s="25" t="s">
        <v>1291</v>
      </c>
      <c r="C1121" s="29" t="s">
        <v>664</v>
      </c>
      <c r="D1121" s="29" t="s">
        <v>666</v>
      </c>
      <c r="E1121" s="25" t="s">
        <v>1732</v>
      </c>
      <c r="F1121" s="26" t="s">
        <v>113</v>
      </c>
      <c r="G1121" s="27" t="s">
        <v>123</v>
      </c>
      <c r="H1121" s="27" t="s">
        <v>649</v>
      </c>
      <c r="I1121" s="27"/>
      <c r="J1121" s="27" t="s">
        <v>567</v>
      </c>
      <c r="K1121" s="106" t="str">
        <f t="shared" si="53"/>
        <v>Б</v>
      </c>
      <c r="L1121" s="106" t="str">
        <f t="shared" si="54"/>
        <v>Д</v>
      </c>
      <c r="M1121" s="107" t="str">
        <f t="shared" si="55"/>
        <v>Экономика предприятия и предпринимательство</v>
      </c>
    </row>
    <row r="1122" spans="1:13" ht="30" hidden="1" customHeight="1" x14ac:dyDescent="0.25">
      <c r="A1122" s="41" t="s">
        <v>1547</v>
      </c>
      <c r="B1122" s="25" t="s">
        <v>1291</v>
      </c>
      <c r="C1122" s="29" t="s">
        <v>664</v>
      </c>
      <c r="D1122" s="29" t="s">
        <v>666</v>
      </c>
      <c r="E1122" s="25" t="s">
        <v>1732</v>
      </c>
      <c r="F1122" s="26" t="s">
        <v>113</v>
      </c>
      <c r="G1122" s="27" t="s">
        <v>123</v>
      </c>
      <c r="H1122" s="27" t="s">
        <v>1014</v>
      </c>
      <c r="I1122" s="27"/>
      <c r="J1122" s="27" t="s">
        <v>567</v>
      </c>
      <c r="K1122" s="106" t="str">
        <f t="shared" si="53"/>
        <v>Б</v>
      </c>
      <c r="L1122" s="106" t="str">
        <f t="shared" si="54"/>
        <v>Д</v>
      </c>
      <c r="M1122" s="107" t="str">
        <f t="shared" si="55"/>
        <v>Международные экономические отношения и внешнеэкономическая деятельность</v>
      </c>
    </row>
    <row r="1123" spans="1:13" ht="30" hidden="1" customHeight="1" x14ac:dyDescent="0.25">
      <c r="A1123" s="41" t="s">
        <v>2707</v>
      </c>
      <c r="B1123" s="25" t="s">
        <v>1291</v>
      </c>
      <c r="C1123" s="29" t="s">
        <v>664</v>
      </c>
      <c r="D1123" s="29" t="s">
        <v>666</v>
      </c>
      <c r="E1123" s="25" t="s">
        <v>1732</v>
      </c>
      <c r="F1123" s="26" t="s">
        <v>113</v>
      </c>
      <c r="G1123" s="27" t="s">
        <v>123</v>
      </c>
      <c r="H1123" s="27" t="s">
        <v>418</v>
      </c>
      <c r="I1123" s="27" t="s">
        <v>943</v>
      </c>
      <c r="J1123" s="27" t="s">
        <v>567</v>
      </c>
      <c r="K1123" s="106" t="str">
        <f t="shared" si="53"/>
        <v>Б</v>
      </c>
      <c r="L1123" s="106" t="str">
        <f t="shared" si="54"/>
        <v>Д</v>
      </c>
      <c r="M1123" s="107" t="str">
        <f t="shared" si="55"/>
        <v>Финансы и кредит (Вуз-партнёр - Хэнаньский университет экономики и права)</v>
      </c>
    </row>
    <row r="1124" spans="1:13" ht="30" hidden="1" customHeight="1" x14ac:dyDescent="0.25">
      <c r="A1124" s="41" t="s">
        <v>3099</v>
      </c>
      <c r="B1124" s="25" t="s">
        <v>1291</v>
      </c>
      <c r="C1124" s="29" t="s">
        <v>664</v>
      </c>
      <c r="D1124" s="29" t="s">
        <v>1730</v>
      </c>
      <c r="E1124" s="25" t="s">
        <v>1732</v>
      </c>
      <c r="F1124" s="26" t="s">
        <v>113</v>
      </c>
      <c r="G1124" s="27" t="s">
        <v>123</v>
      </c>
      <c r="H1124" s="27" t="s">
        <v>3187</v>
      </c>
      <c r="I1124" s="27"/>
      <c r="J1124" s="27" t="s">
        <v>567</v>
      </c>
      <c r="K1124" s="106" t="str">
        <f t="shared" si="53"/>
        <v>Б</v>
      </c>
      <c r="L1124" s="106" t="str">
        <f t="shared" si="54"/>
        <v>Д</v>
      </c>
      <c r="M1124" s="107" t="str">
        <f t="shared" si="55"/>
        <v>Международные экономические отношения (Английский язык)</v>
      </c>
    </row>
    <row r="1125" spans="1:13" ht="30" hidden="1" customHeight="1" x14ac:dyDescent="0.25">
      <c r="A1125" s="41" t="s">
        <v>1540</v>
      </c>
      <c r="B1125" s="25" t="s">
        <v>1291</v>
      </c>
      <c r="C1125" s="29" t="s">
        <v>664</v>
      </c>
      <c r="D1125" s="29" t="s">
        <v>666</v>
      </c>
      <c r="E1125" s="25" t="s">
        <v>1732</v>
      </c>
      <c r="F1125" s="26" t="s">
        <v>113</v>
      </c>
      <c r="G1125" s="27" t="s">
        <v>123</v>
      </c>
      <c r="H1125" s="27" t="s">
        <v>2674</v>
      </c>
      <c r="I1125" s="27"/>
      <c r="J1125" s="27" t="s">
        <v>567</v>
      </c>
      <c r="K1125" s="106" t="str">
        <f t="shared" si="53"/>
        <v>Б</v>
      </c>
      <c r="L1125" s="106" t="str">
        <f t="shared" si="54"/>
        <v>Д</v>
      </c>
      <c r="M1125" s="107" t="str">
        <f t="shared" si="55"/>
        <v>Общий профиль</v>
      </c>
    </row>
    <row r="1126" spans="1:13" ht="30" hidden="1" customHeight="1" x14ac:dyDescent="0.25">
      <c r="A1126" s="41" t="s">
        <v>1548</v>
      </c>
      <c r="B1126" s="25" t="s">
        <v>1094</v>
      </c>
      <c r="C1126" s="29" t="s">
        <v>664</v>
      </c>
      <c r="D1126" s="29" t="s">
        <v>666</v>
      </c>
      <c r="E1126" s="25" t="s">
        <v>1732</v>
      </c>
      <c r="F1126" s="26" t="s">
        <v>113</v>
      </c>
      <c r="G1126" s="27" t="s">
        <v>300</v>
      </c>
      <c r="H1126" s="27" t="s">
        <v>415</v>
      </c>
      <c r="I1126" s="27"/>
      <c r="J1126" s="27" t="s">
        <v>567</v>
      </c>
      <c r="K1126" s="106" t="str">
        <f t="shared" si="53"/>
        <v>Б</v>
      </c>
      <c r="L1126" s="106" t="str">
        <f t="shared" si="54"/>
        <v>Д</v>
      </c>
      <c r="M1126" s="107" t="str">
        <f t="shared" si="55"/>
        <v>Маркетинг</v>
      </c>
    </row>
    <row r="1127" spans="1:13" ht="30" hidden="1" customHeight="1" x14ac:dyDescent="0.25">
      <c r="A1127" s="41" t="s">
        <v>1550</v>
      </c>
      <c r="B1127" s="25" t="s">
        <v>1094</v>
      </c>
      <c r="C1127" s="29" t="s">
        <v>664</v>
      </c>
      <c r="D1127" s="29" t="s">
        <v>666</v>
      </c>
      <c r="E1127" s="25" t="s">
        <v>1732</v>
      </c>
      <c r="F1127" s="26" t="s">
        <v>113</v>
      </c>
      <c r="G1127" s="27" t="s">
        <v>300</v>
      </c>
      <c r="H1127" s="27" t="s">
        <v>642</v>
      </c>
      <c r="I1127" s="27"/>
      <c r="J1127" s="27" t="s">
        <v>567</v>
      </c>
      <c r="K1127" s="106" t="str">
        <f t="shared" si="53"/>
        <v>Б</v>
      </c>
      <c r="L1127" s="106" t="str">
        <f t="shared" si="54"/>
        <v>Д</v>
      </c>
      <c r="M1127" s="107" t="str">
        <f t="shared" si="55"/>
        <v>Управление человеческими ресурсами</v>
      </c>
    </row>
    <row r="1128" spans="1:13" ht="30" hidden="1" customHeight="1" x14ac:dyDescent="0.25">
      <c r="A1128" s="41" t="s">
        <v>1551</v>
      </c>
      <c r="B1128" s="25" t="s">
        <v>1094</v>
      </c>
      <c r="C1128" s="29" t="s">
        <v>664</v>
      </c>
      <c r="D1128" s="29" t="s">
        <v>666</v>
      </c>
      <c r="E1128" s="25" t="s">
        <v>1732</v>
      </c>
      <c r="F1128" s="26" t="s">
        <v>113</v>
      </c>
      <c r="G1128" s="27" t="s">
        <v>300</v>
      </c>
      <c r="H1128" s="27" t="s">
        <v>1015</v>
      </c>
      <c r="I1128" s="27"/>
      <c r="J1128" s="27" t="s">
        <v>567</v>
      </c>
      <c r="K1128" s="106" t="str">
        <f t="shared" si="53"/>
        <v>Б</v>
      </c>
      <c r="L1128" s="106" t="str">
        <f t="shared" si="54"/>
        <v>Д</v>
      </c>
      <c r="M1128" s="107" t="str">
        <f t="shared" si="55"/>
        <v>Управление бизнесом</v>
      </c>
    </row>
    <row r="1129" spans="1:13" ht="30" hidden="1" customHeight="1" x14ac:dyDescent="0.25">
      <c r="A1129" s="41" t="s">
        <v>1549</v>
      </c>
      <c r="B1129" s="25" t="s">
        <v>1094</v>
      </c>
      <c r="C1129" s="29" t="s">
        <v>664</v>
      </c>
      <c r="D1129" s="29" t="s">
        <v>666</v>
      </c>
      <c r="E1129" s="25" t="s">
        <v>1732</v>
      </c>
      <c r="F1129" s="26" t="s">
        <v>113</v>
      </c>
      <c r="G1129" s="27" t="s">
        <v>300</v>
      </c>
      <c r="H1129" s="27" t="s">
        <v>2674</v>
      </c>
      <c r="I1129" s="27"/>
      <c r="J1129" s="27" t="s">
        <v>567</v>
      </c>
      <c r="K1129" s="106" t="str">
        <f t="shared" si="53"/>
        <v>Б</v>
      </c>
      <c r="L1129" s="106" t="str">
        <f t="shared" si="54"/>
        <v>Д</v>
      </c>
      <c r="M1129" s="107" t="str">
        <f t="shared" si="55"/>
        <v>Общий профиль</v>
      </c>
    </row>
    <row r="1130" spans="1:13" ht="30" hidden="1" customHeight="1" x14ac:dyDescent="0.25">
      <c r="A1130" s="41" t="s">
        <v>2706</v>
      </c>
      <c r="B1130" s="25" t="s">
        <v>1094</v>
      </c>
      <c r="C1130" s="29" t="s">
        <v>664</v>
      </c>
      <c r="D1130" s="29" t="s">
        <v>666</v>
      </c>
      <c r="E1130" s="25" t="s">
        <v>1732</v>
      </c>
      <c r="F1130" s="26" t="s">
        <v>113</v>
      </c>
      <c r="G1130" s="27" t="s">
        <v>300</v>
      </c>
      <c r="H1130" s="27" t="s">
        <v>642</v>
      </c>
      <c r="I1130" s="27" t="s">
        <v>943</v>
      </c>
      <c r="J1130" s="27" t="s">
        <v>567</v>
      </c>
      <c r="K1130" s="106" t="str">
        <f t="shared" si="53"/>
        <v>Б</v>
      </c>
      <c r="L1130" s="106" t="str">
        <f t="shared" si="54"/>
        <v>Д</v>
      </c>
      <c r="M1130" s="107" t="str">
        <f t="shared" si="55"/>
        <v>Управление человеческими ресурсами (Вуз-партнёр - Хэнаньский университет экономики и права)</v>
      </c>
    </row>
    <row r="1131" spans="1:13" ht="30" hidden="1" customHeight="1" x14ac:dyDescent="0.25">
      <c r="A1131" s="41" t="s">
        <v>1552</v>
      </c>
      <c r="B1131" s="25" t="s">
        <v>1268</v>
      </c>
      <c r="C1131" s="29" t="s">
        <v>664</v>
      </c>
      <c r="D1131" s="29" t="s">
        <v>666</v>
      </c>
      <c r="E1131" s="25" t="s">
        <v>1732</v>
      </c>
      <c r="F1131" s="26" t="s">
        <v>113</v>
      </c>
      <c r="G1131" s="27" t="s">
        <v>167</v>
      </c>
      <c r="H1131" s="27" t="s">
        <v>641</v>
      </c>
      <c r="I1131" s="27"/>
      <c r="J1131" s="27" t="s">
        <v>567</v>
      </c>
      <c r="K1131" s="106" t="str">
        <f t="shared" si="53"/>
        <v>Б</v>
      </c>
      <c r="L1131" s="106" t="str">
        <f t="shared" si="54"/>
        <v>Д</v>
      </c>
      <c r="M1131" s="107" t="str">
        <f t="shared" si="55"/>
        <v>Ибероамерика</v>
      </c>
    </row>
    <row r="1132" spans="1:13" ht="30" hidden="1" customHeight="1" x14ac:dyDescent="0.25">
      <c r="A1132" s="41" t="s">
        <v>3100</v>
      </c>
      <c r="B1132" s="25" t="s">
        <v>3119</v>
      </c>
      <c r="C1132" s="29" t="s">
        <v>664</v>
      </c>
      <c r="D1132" s="29" t="s">
        <v>666</v>
      </c>
      <c r="E1132" s="25" t="s">
        <v>1732</v>
      </c>
      <c r="F1132" s="26" t="s">
        <v>113</v>
      </c>
      <c r="G1132" s="27" t="s">
        <v>3184</v>
      </c>
      <c r="H1132" s="27" t="s">
        <v>3188</v>
      </c>
      <c r="I1132" s="27"/>
      <c r="J1132" s="27" t="s">
        <v>567</v>
      </c>
      <c r="K1132" s="106" t="str">
        <f t="shared" si="53"/>
        <v>Б</v>
      </c>
      <c r="L1132" s="106" t="str">
        <f t="shared" si="54"/>
        <v>Д</v>
      </c>
      <c r="M1132" s="107" t="str">
        <f t="shared" si="55"/>
        <v>Экономика и внешнеэкономические связи стран Востока</v>
      </c>
    </row>
    <row r="1133" spans="1:13" ht="30" hidden="1" customHeight="1" x14ac:dyDescent="0.25">
      <c r="A1133" s="41" t="s">
        <v>3101</v>
      </c>
      <c r="B1133" s="25" t="s">
        <v>1782</v>
      </c>
      <c r="C1133" s="29" t="s">
        <v>663</v>
      </c>
      <c r="D1133" s="29" t="s">
        <v>666</v>
      </c>
      <c r="E1133" s="25" t="s">
        <v>1732</v>
      </c>
      <c r="F1133" s="26" t="s">
        <v>113</v>
      </c>
      <c r="G1133" s="27" t="s">
        <v>1792</v>
      </c>
      <c r="H1133" s="27" t="s">
        <v>1778</v>
      </c>
      <c r="I1133" s="27"/>
      <c r="J1133" s="27" t="s">
        <v>567</v>
      </c>
      <c r="K1133" s="106" t="str">
        <f t="shared" si="53"/>
        <v>Б</v>
      </c>
      <c r="L1133" s="106" t="str">
        <f t="shared" si="54"/>
        <v>В</v>
      </c>
      <c r="M1133" s="107" t="str">
        <f t="shared" si="55"/>
        <v>Экономика и управление (УГСН)</v>
      </c>
    </row>
    <row r="1134" spans="1:13" ht="30" hidden="1" customHeight="1" x14ac:dyDescent="0.25">
      <c r="A1134" s="41" t="s">
        <v>1589</v>
      </c>
      <c r="B1134" s="25" t="s">
        <v>1291</v>
      </c>
      <c r="C1134" s="29" t="s">
        <v>663</v>
      </c>
      <c r="D1134" s="29" t="s">
        <v>666</v>
      </c>
      <c r="E1134" s="25" t="s">
        <v>3123</v>
      </c>
      <c r="F1134" s="26" t="s">
        <v>113</v>
      </c>
      <c r="G1134" s="27" t="s">
        <v>123</v>
      </c>
      <c r="H1134" s="27" t="s">
        <v>418</v>
      </c>
      <c r="I1134" s="27"/>
      <c r="J1134" s="27" t="s">
        <v>567</v>
      </c>
      <c r="K1134" s="106" t="str">
        <f t="shared" si="53"/>
        <v>Б</v>
      </c>
      <c r="L1134" s="106" t="str">
        <f t="shared" si="54"/>
        <v>В</v>
      </c>
      <c r="M1134" s="107" t="str">
        <f t="shared" si="55"/>
        <v>Финансы и кредит</v>
      </c>
    </row>
    <row r="1135" spans="1:13" ht="30" hidden="1" customHeight="1" x14ac:dyDescent="0.25">
      <c r="A1135" s="41" t="s">
        <v>3102</v>
      </c>
      <c r="B1135" s="25" t="s">
        <v>1291</v>
      </c>
      <c r="C1135" s="29" t="s">
        <v>663</v>
      </c>
      <c r="D1135" s="29" t="s">
        <v>666</v>
      </c>
      <c r="E1135" s="25" t="s">
        <v>3123</v>
      </c>
      <c r="F1135" s="26" t="s">
        <v>113</v>
      </c>
      <c r="G1135" s="27" t="s">
        <v>123</v>
      </c>
      <c r="H1135" s="27" t="s">
        <v>649</v>
      </c>
      <c r="I1135" s="27"/>
      <c r="J1135" s="27" t="s">
        <v>567</v>
      </c>
      <c r="K1135" s="106" t="str">
        <f t="shared" si="53"/>
        <v>Б</v>
      </c>
      <c r="L1135" s="106" t="str">
        <f t="shared" si="54"/>
        <v>В</v>
      </c>
      <c r="M1135" s="107" t="str">
        <f t="shared" si="55"/>
        <v>Экономика предприятия и предпринимательство</v>
      </c>
    </row>
    <row r="1136" spans="1:13" ht="30" hidden="1" customHeight="1" x14ac:dyDescent="0.25">
      <c r="A1136" s="41" t="s">
        <v>1588</v>
      </c>
      <c r="B1136" s="25" t="s">
        <v>1291</v>
      </c>
      <c r="C1136" s="29" t="s">
        <v>663</v>
      </c>
      <c r="D1136" s="29" t="s">
        <v>666</v>
      </c>
      <c r="E1136" s="25" t="s">
        <v>3123</v>
      </c>
      <c r="F1136" s="26" t="s">
        <v>113</v>
      </c>
      <c r="G1136" s="27" t="s">
        <v>123</v>
      </c>
      <c r="H1136" s="27" t="s">
        <v>2674</v>
      </c>
      <c r="I1136" s="27"/>
      <c r="J1136" s="27" t="s">
        <v>567</v>
      </c>
      <c r="K1136" s="106" t="str">
        <f t="shared" si="53"/>
        <v>Б</v>
      </c>
      <c r="L1136" s="106" t="str">
        <f t="shared" si="54"/>
        <v>В</v>
      </c>
      <c r="M1136" s="107" t="str">
        <f t="shared" si="55"/>
        <v>Общий профиль</v>
      </c>
    </row>
    <row r="1137" spans="1:13" ht="30" hidden="1" customHeight="1" x14ac:dyDescent="0.25">
      <c r="A1137" s="41" t="s">
        <v>1590</v>
      </c>
      <c r="B1137" s="25" t="s">
        <v>1094</v>
      </c>
      <c r="C1137" s="29" t="s">
        <v>663</v>
      </c>
      <c r="D1137" s="29" t="s">
        <v>666</v>
      </c>
      <c r="E1137" s="25" t="s">
        <v>3123</v>
      </c>
      <c r="F1137" s="26" t="s">
        <v>113</v>
      </c>
      <c r="G1137" s="27" t="s">
        <v>300</v>
      </c>
      <c r="H1137" s="27" t="s">
        <v>415</v>
      </c>
      <c r="I1137" s="27"/>
      <c r="J1137" s="27" t="s">
        <v>567</v>
      </c>
      <c r="K1137" s="106" t="str">
        <f t="shared" si="53"/>
        <v>Б</v>
      </c>
      <c r="L1137" s="106" t="str">
        <f t="shared" si="54"/>
        <v>В</v>
      </c>
      <c r="M1137" s="107" t="str">
        <f t="shared" si="55"/>
        <v>Маркетинг</v>
      </c>
    </row>
    <row r="1138" spans="1:13" ht="30" hidden="1" customHeight="1" x14ac:dyDescent="0.25">
      <c r="A1138" s="41" t="s">
        <v>1591</v>
      </c>
      <c r="B1138" s="25" t="s">
        <v>1094</v>
      </c>
      <c r="C1138" s="29" t="s">
        <v>663</v>
      </c>
      <c r="D1138" s="29" t="s">
        <v>666</v>
      </c>
      <c r="E1138" s="25" t="s">
        <v>3123</v>
      </c>
      <c r="F1138" s="26" t="s">
        <v>113</v>
      </c>
      <c r="G1138" s="27" t="s">
        <v>300</v>
      </c>
      <c r="H1138" s="27" t="s">
        <v>1015</v>
      </c>
      <c r="I1138" s="27"/>
      <c r="J1138" s="27" t="s">
        <v>567</v>
      </c>
      <c r="K1138" s="106" t="str">
        <f t="shared" si="53"/>
        <v>Б</v>
      </c>
      <c r="L1138" s="106" t="str">
        <f t="shared" si="54"/>
        <v>В</v>
      </c>
      <c r="M1138" s="107" t="str">
        <f t="shared" si="55"/>
        <v>Управление бизнесом</v>
      </c>
    </row>
    <row r="1139" spans="1:13" ht="30" hidden="1" customHeight="1" x14ac:dyDescent="0.25">
      <c r="A1139" s="41" t="s">
        <v>1592</v>
      </c>
      <c r="B1139" s="25" t="s">
        <v>1296</v>
      </c>
      <c r="C1139" s="29" t="s">
        <v>663</v>
      </c>
      <c r="D1139" s="29" t="s">
        <v>666</v>
      </c>
      <c r="E1139" s="25" t="s">
        <v>3123</v>
      </c>
      <c r="F1139" s="26" t="s">
        <v>113</v>
      </c>
      <c r="G1139" s="27" t="s">
        <v>145</v>
      </c>
      <c r="H1139" s="27" t="s">
        <v>601</v>
      </c>
      <c r="I1139" s="27"/>
      <c r="J1139" s="27" t="s">
        <v>567</v>
      </c>
      <c r="K1139" s="106" t="str">
        <f t="shared" si="53"/>
        <v>Б</v>
      </c>
      <c r="L1139" s="106" t="str">
        <f t="shared" si="54"/>
        <v>В</v>
      </c>
      <c r="M1139" s="107" t="str">
        <f t="shared" si="55"/>
        <v>Реклама</v>
      </c>
    </row>
    <row r="1140" spans="1:13" ht="30" hidden="1" customHeight="1" x14ac:dyDescent="0.25">
      <c r="A1140" s="41" t="s">
        <v>1598</v>
      </c>
      <c r="B1140" s="25" t="s">
        <v>1291</v>
      </c>
      <c r="C1140" s="29" t="s">
        <v>665</v>
      </c>
      <c r="D1140" s="29" t="s">
        <v>666</v>
      </c>
      <c r="E1140" s="25" t="s">
        <v>3123</v>
      </c>
      <c r="F1140" s="26" t="s">
        <v>113</v>
      </c>
      <c r="G1140" s="27" t="s">
        <v>123</v>
      </c>
      <c r="H1140" s="27" t="s">
        <v>418</v>
      </c>
      <c r="I1140" s="27"/>
      <c r="J1140" s="27" t="s">
        <v>567</v>
      </c>
      <c r="K1140" s="106" t="str">
        <f t="shared" si="53"/>
        <v>Б</v>
      </c>
      <c r="L1140" s="106" t="str">
        <f t="shared" si="54"/>
        <v>З</v>
      </c>
      <c r="M1140" s="107" t="str">
        <f t="shared" si="55"/>
        <v>Финансы и кредит</v>
      </c>
    </row>
    <row r="1141" spans="1:13" ht="30" hidden="1" customHeight="1" x14ac:dyDescent="0.25">
      <c r="A1141" s="41" t="s">
        <v>1597</v>
      </c>
      <c r="B1141" s="25" t="s">
        <v>1291</v>
      </c>
      <c r="C1141" s="29" t="s">
        <v>665</v>
      </c>
      <c r="D1141" s="29" t="s">
        <v>666</v>
      </c>
      <c r="E1141" s="25" t="s">
        <v>3123</v>
      </c>
      <c r="F1141" s="26" t="s">
        <v>113</v>
      </c>
      <c r="G1141" s="27" t="s">
        <v>123</v>
      </c>
      <c r="H1141" s="27" t="s">
        <v>2674</v>
      </c>
      <c r="I1141" s="27"/>
      <c r="J1141" s="27" t="s">
        <v>567</v>
      </c>
      <c r="K1141" s="106" t="str">
        <f t="shared" si="53"/>
        <v>Б</v>
      </c>
      <c r="L1141" s="106" t="str">
        <f t="shared" si="54"/>
        <v>З</v>
      </c>
      <c r="M1141" s="107" t="str">
        <f t="shared" si="55"/>
        <v>Общий профиль</v>
      </c>
    </row>
    <row r="1142" spans="1:13" ht="30" hidden="1" customHeight="1" x14ac:dyDescent="0.25">
      <c r="A1142" s="41" t="s">
        <v>1599</v>
      </c>
      <c r="B1142" s="25" t="s">
        <v>1094</v>
      </c>
      <c r="C1142" s="29" t="s">
        <v>665</v>
      </c>
      <c r="D1142" s="29" t="s">
        <v>666</v>
      </c>
      <c r="E1142" s="25" t="s">
        <v>3123</v>
      </c>
      <c r="F1142" s="26" t="s">
        <v>113</v>
      </c>
      <c r="G1142" s="27" t="s">
        <v>300</v>
      </c>
      <c r="H1142" s="27" t="s">
        <v>2674</v>
      </c>
      <c r="I1142" s="27"/>
      <c r="J1142" s="27" t="s">
        <v>567</v>
      </c>
      <c r="K1142" s="106" t="str">
        <f t="shared" si="53"/>
        <v>Б</v>
      </c>
      <c r="L1142" s="106" t="str">
        <f t="shared" si="54"/>
        <v>З</v>
      </c>
      <c r="M1142" s="107" t="str">
        <f t="shared" si="55"/>
        <v>Общий профиль</v>
      </c>
    </row>
    <row r="1143" spans="1:13" ht="30" hidden="1" customHeight="1" x14ac:dyDescent="0.25">
      <c r="A1143" s="41" t="s">
        <v>1600</v>
      </c>
      <c r="B1143" s="25" t="s">
        <v>1094</v>
      </c>
      <c r="C1143" s="29" t="s">
        <v>665</v>
      </c>
      <c r="D1143" s="29" t="s">
        <v>666</v>
      </c>
      <c r="E1143" s="25" t="s">
        <v>3123</v>
      </c>
      <c r="F1143" s="26" t="s">
        <v>113</v>
      </c>
      <c r="G1143" s="27" t="s">
        <v>300</v>
      </c>
      <c r="H1143" s="27" t="s">
        <v>415</v>
      </c>
      <c r="I1143" s="27"/>
      <c r="J1143" s="27" t="s">
        <v>567</v>
      </c>
      <c r="K1143" s="106" t="str">
        <f t="shared" si="53"/>
        <v>Б</v>
      </c>
      <c r="L1143" s="106" t="str">
        <f t="shared" si="54"/>
        <v>З</v>
      </c>
      <c r="M1143" s="107" t="str">
        <f t="shared" si="55"/>
        <v>Маркетинг</v>
      </c>
    </row>
    <row r="1144" spans="1:13" ht="30" hidden="1" customHeight="1" x14ac:dyDescent="0.25">
      <c r="A1144" s="41" t="s">
        <v>1601</v>
      </c>
      <c r="B1144" s="25" t="s">
        <v>1094</v>
      </c>
      <c r="C1144" s="29" t="s">
        <v>665</v>
      </c>
      <c r="D1144" s="29" t="s">
        <v>666</v>
      </c>
      <c r="E1144" s="25" t="s">
        <v>3123</v>
      </c>
      <c r="F1144" s="26" t="s">
        <v>113</v>
      </c>
      <c r="G1144" s="27" t="s">
        <v>300</v>
      </c>
      <c r="H1144" s="27" t="s">
        <v>1015</v>
      </c>
      <c r="I1144" s="27"/>
      <c r="J1144" s="27" t="s">
        <v>567</v>
      </c>
      <c r="K1144" s="106" t="str">
        <f t="shared" si="53"/>
        <v>Б</v>
      </c>
      <c r="L1144" s="106" t="str">
        <f t="shared" si="54"/>
        <v>З</v>
      </c>
      <c r="M1144" s="107" t="str">
        <f t="shared" si="55"/>
        <v>Управление бизнесом</v>
      </c>
    </row>
    <row r="1145" spans="1:13" ht="30" hidden="1" customHeight="1" x14ac:dyDescent="0.25">
      <c r="A1145" s="41" t="s">
        <v>1553</v>
      </c>
      <c r="B1145" s="25" t="s">
        <v>1068</v>
      </c>
      <c r="C1145" s="29" t="s">
        <v>664</v>
      </c>
      <c r="D1145" s="29" t="s">
        <v>666</v>
      </c>
      <c r="E1145" s="25" t="s">
        <v>3126</v>
      </c>
      <c r="F1145" s="26" t="s">
        <v>115</v>
      </c>
      <c r="G1145" s="27" t="s">
        <v>123</v>
      </c>
      <c r="H1145" s="27" t="s">
        <v>650</v>
      </c>
      <c r="I1145" s="27"/>
      <c r="J1145" s="27" t="s">
        <v>567</v>
      </c>
      <c r="K1145" s="106" t="str">
        <f t="shared" si="53"/>
        <v>М</v>
      </c>
      <c r="L1145" s="106" t="str">
        <f t="shared" si="54"/>
        <v>Д</v>
      </c>
      <c r="M1145" s="107" t="str">
        <f t="shared" si="55"/>
        <v>Финансовое управление в секторах экономики</v>
      </c>
    </row>
    <row r="1146" spans="1:13" ht="30" hidden="1" customHeight="1" x14ac:dyDescent="0.25">
      <c r="A1146" s="41" t="s">
        <v>1554</v>
      </c>
      <c r="B1146" s="25" t="s">
        <v>1068</v>
      </c>
      <c r="C1146" s="29" t="s">
        <v>664</v>
      </c>
      <c r="D1146" s="29" t="s">
        <v>666</v>
      </c>
      <c r="E1146" s="25" t="s">
        <v>3126</v>
      </c>
      <c r="F1146" s="26" t="s">
        <v>115</v>
      </c>
      <c r="G1146" s="27" t="s">
        <v>123</v>
      </c>
      <c r="H1146" s="27" t="s">
        <v>158</v>
      </c>
      <c r="I1146" s="27"/>
      <c r="J1146" s="27" t="s">
        <v>567</v>
      </c>
      <c r="K1146" s="106" t="str">
        <f t="shared" si="53"/>
        <v>М</v>
      </c>
      <c r="L1146" s="106" t="str">
        <f t="shared" si="54"/>
        <v>Д</v>
      </c>
      <c r="M1146" s="107" t="str">
        <f t="shared" si="55"/>
        <v>Международная торговля</v>
      </c>
    </row>
    <row r="1147" spans="1:13" ht="30" hidden="1" customHeight="1" x14ac:dyDescent="0.25">
      <c r="A1147" s="41" t="s">
        <v>1555</v>
      </c>
      <c r="B1147" s="25" t="s">
        <v>1068</v>
      </c>
      <c r="C1147" s="29" t="s">
        <v>664</v>
      </c>
      <c r="D1147" s="29" t="s">
        <v>1730</v>
      </c>
      <c r="E1147" s="25" t="s">
        <v>3126</v>
      </c>
      <c r="F1147" s="26" t="s">
        <v>115</v>
      </c>
      <c r="G1147" s="27" t="s">
        <v>123</v>
      </c>
      <c r="H1147" s="27" t="s">
        <v>158</v>
      </c>
      <c r="I1147" s="27"/>
      <c r="J1147" s="27" t="s">
        <v>567</v>
      </c>
      <c r="K1147" s="106" t="str">
        <f t="shared" si="53"/>
        <v>М</v>
      </c>
      <c r="L1147" s="106" t="str">
        <f t="shared" si="54"/>
        <v>Д</v>
      </c>
      <c r="M1147" s="107" t="str">
        <f t="shared" si="55"/>
        <v>Международная торговля (Английский язык)</v>
      </c>
    </row>
    <row r="1148" spans="1:13" ht="30" hidden="1" customHeight="1" x14ac:dyDescent="0.25">
      <c r="A1148" s="41" t="s">
        <v>1556</v>
      </c>
      <c r="B1148" s="25" t="s">
        <v>1068</v>
      </c>
      <c r="C1148" s="29" t="s">
        <v>664</v>
      </c>
      <c r="D1148" s="29" t="s">
        <v>666</v>
      </c>
      <c r="E1148" s="25" t="s">
        <v>3126</v>
      </c>
      <c r="F1148" s="26" t="s">
        <v>115</v>
      </c>
      <c r="G1148" s="27" t="s">
        <v>123</v>
      </c>
      <c r="H1148" s="27" t="s">
        <v>270</v>
      </c>
      <c r="I1148" s="27"/>
      <c r="J1148" s="27" t="s">
        <v>567</v>
      </c>
      <c r="K1148" s="106" t="str">
        <f t="shared" si="53"/>
        <v>М</v>
      </c>
      <c r="L1148" s="106" t="str">
        <f t="shared" si="54"/>
        <v>Д</v>
      </c>
      <c r="M1148" s="107" t="str">
        <f t="shared" si="55"/>
        <v>Экономика фирмы и отраслевых рынков</v>
      </c>
    </row>
    <row r="1149" spans="1:13" ht="30" hidden="1" customHeight="1" x14ac:dyDescent="0.25">
      <c r="A1149" s="41" t="s">
        <v>1557</v>
      </c>
      <c r="B1149" s="25" t="s">
        <v>1068</v>
      </c>
      <c r="C1149" s="29" t="s">
        <v>664</v>
      </c>
      <c r="D1149" s="29" t="s">
        <v>666</v>
      </c>
      <c r="E1149" s="25" t="s">
        <v>3126</v>
      </c>
      <c r="F1149" s="26" t="s">
        <v>115</v>
      </c>
      <c r="G1149" s="27" t="s">
        <v>123</v>
      </c>
      <c r="H1149" s="27" t="s">
        <v>651</v>
      </c>
      <c r="I1149" s="27"/>
      <c r="J1149" s="27" t="s">
        <v>567</v>
      </c>
      <c r="K1149" s="106" t="str">
        <f t="shared" si="53"/>
        <v>М</v>
      </c>
      <c r="L1149" s="106" t="str">
        <f t="shared" si="54"/>
        <v>Д</v>
      </c>
      <c r="M1149" s="107" t="str">
        <f t="shared" si="55"/>
        <v>Бухгалтерский учет, внутренний контроль и аудит</v>
      </c>
    </row>
    <row r="1150" spans="1:13" ht="30" hidden="1" customHeight="1" x14ac:dyDescent="0.25">
      <c r="A1150" s="41" t="s">
        <v>1558</v>
      </c>
      <c r="B1150" s="25" t="s">
        <v>1068</v>
      </c>
      <c r="C1150" s="29" t="s">
        <v>664</v>
      </c>
      <c r="D1150" s="29" t="s">
        <v>1730</v>
      </c>
      <c r="E1150" s="25" t="s">
        <v>3126</v>
      </c>
      <c r="F1150" s="26" t="s">
        <v>115</v>
      </c>
      <c r="G1150" s="27" t="s">
        <v>123</v>
      </c>
      <c r="H1150" s="27" t="s">
        <v>518</v>
      </c>
      <c r="I1150" s="27"/>
      <c r="J1150" s="27" t="s">
        <v>567</v>
      </c>
      <c r="K1150" s="106" t="str">
        <f t="shared" si="53"/>
        <v>М</v>
      </c>
      <c r="L1150" s="106" t="str">
        <f t="shared" si="54"/>
        <v>Д</v>
      </c>
      <c r="M1150" s="107" t="str">
        <f t="shared" si="55"/>
        <v>Международный бизнес (Английский язык)</v>
      </c>
    </row>
    <row r="1151" spans="1:13" ht="30" hidden="1" customHeight="1" x14ac:dyDescent="0.25">
      <c r="A1151" s="41" t="s">
        <v>1559</v>
      </c>
      <c r="B1151" s="25" t="s">
        <v>1068</v>
      </c>
      <c r="C1151" s="29" t="s">
        <v>664</v>
      </c>
      <c r="D1151" s="29" t="s">
        <v>667</v>
      </c>
      <c r="E1151" s="25" t="s">
        <v>3126</v>
      </c>
      <c r="F1151" s="26" t="s">
        <v>115</v>
      </c>
      <c r="G1151" s="27" t="s">
        <v>123</v>
      </c>
      <c r="H1151" s="27" t="s">
        <v>519</v>
      </c>
      <c r="I1151" s="27"/>
      <c r="J1151" s="27" t="s">
        <v>567</v>
      </c>
      <c r="K1151" s="106" t="str">
        <f t="shared" si="53"/>
        <v>М</v>
      </c>
      <c r="L1151" s="106" t="str">
        <f t="shared" si="54"/>
        <v>Д</v>
      </c>
      <c r="M1151" s="107" t="str">
        <f t="shared" si="55"/>
        <v>Современные исследования Латинской Америки (Испанский язык)</v>
      </c>
    </row>
    <row r="1152" spans="1:13" ht="30" hidden="1" customHeight="1" x14ac:dyDescent="0.25">
      <c r="A1152" s="41" t="s">
        <v>1560</v>
      </c>
      <c r="B1152" s="25" t="s">
        <v>1068</v>
      </c>
      <c r="C1152" s="29" t="s">
        <v>664</v>
      </c>
      <c r="D1152" s="29" t="s">
        <v>666</v>
      </c>
      <c r="E1152" s="25" t="s">
        <v>3126</v>
      </c>
      <c r="F1152" s="26" t="s">
        <v>115</v>
      </c>
      <c r="G1152" s="27" t="s">
        <v>123</v>
      </c>
      <c r="H1152" s="27" t="s">
        <v>158</v>
      </c>
      <c r="I1152" s="27" t="s">
        <v>922</v>
      </c>
      <c r="J1152" s="27" t="s">
        <v>567</v>
      </c>
      <c r="K1152" s="106" t="str">
        <f t="shared" si="53"/>
        <v>М</v>
      </c>
      <c r="L1152" s="106" t="str">
        <f t="shared" si="54"/>
        <v>Д</v>
      </c>
      <c r="M1152" s="107" t="str">
        <f t="shared" si="55"/>
        <v>Международная торговля (Вуз-партнёр - Национальный университет наук, технологий и менеджмента)</v>
      </c>
    </row>
    <row r="1153" spans="1:13" ht="30" hidden="1" customHeight="1" x14ac:dyDescent="0.25">
      <c r="A1153" s="41" t="s">
        <v>2677</v>
      </c>
      <c r="B1153" s="25" t="s">
        <v>1068</v>
      </c>
      <c r="C1153" s="29" t="s">
        <v>664</v>
      </c>
      <c r="D1153" s="29" t="s">
        <v>666</v>
      </c>
      <c r="E1153" s="25" t="s">
        <v>3126</v>
      </c>
      <c r="F1153" s="26" t="s">
        <v>115</v>
      </c>
      <c r="G1153" s="27" t="s">
        <v>123</v>
      </c>
      <c r="H1153" s="27" t="s">
        <v>158</v>
      </c>
      <c r="I1153" s="27" t="s">
        <v>2821</v>
      </c>
      <c r="J1153" s="27" t="s">
        <v>567</v>
      </c>
      <c r="K1153" s="106" t="str">
        <f t="shared" si="53"/>
        <v>М</v>
      </c>
      <c r="L1153" s="106" t="str">
        <f t="shared" si="54"/>
        <v>Д</v>
      </c>
      <c r="M1153" s="107" t="str">
        <f t="shared" si="55"/>
        <v>Международная торговля (Вуз-партнёр - Днепропетровский национальный университет им. О. Гончара)</v>
      </c>
    </row>
    <row r="1154" spans="1:13" ht="30" hidden="1" customHeight="1" x14ac:dyDescent="0.25">
      <c r="A1154" s="41" t="s">
        <v>1561</v>
      </c>
      <c r="B1154" s="25" t="s">
        <v>1068</v>
      </c>
      <c r="C1154" s="29" t="s">
        <v>664</v>
      </c>
      <c r="D1154" s="29" t="s">
        <v>666</v>
      </c>
      <c r="E1154" s="25" t="s">
        <v>3126</v>
      </c>
      <c r="F1154" s="26" t="s">
        <v>115</v>
      </c>
      <c r="G1154" s="27" t="s">
        <v>123</v>
      </c>
      <c r="H1154" s="27" t="s">
        <v>651</v>
      </c>
      <c r="I1154" s="27" t="s">
        <v>915</v>
      </c>
      <c r="J1154" s="27" t="s">
        <v>567</v>
      </c>
      <c r="K1154" s="106" t="str">
        <f t="shared" si="53"/>
        <v>М</v>
      </c>
      <c r="L1154" s="106" t="str">
        <f t="shared" si="54"/>
        <v>Д</v>
      </c>
      <c r="M1154" s="107" t="str">
        <f t="shared" si="55"/>
        <v>Бухгалтерский учет, внутренний контроль и аудит (Вуз-партнёр - Кыргызский национальный университет им. Ж. Баласагына)</v>
      </c>
    </row>
    <row r="1155" spans="1:13" ht="30" hidden="1" customHeight="1" x14ac:dyDescent="0.25">
      <c r="A1155" s="41" t="s">
        <v>2680</v>
      </c>
      <c r="B1155" s="25" t="s">
        <v>1068</v>
      </c>
      <c r="C1155" s="29" t="s">
        <v>664</v>
      </c>
      <c r="D1155" s="29" t="s">
        <v>666</v>
      </c>
      <c r="E1155" s="25" t="s">
        <v>3126</v>
      </c>
      <c r="F1155" s="26" t="s">
        <v>115</v>
      </c>
      <c r="G1155" s="27" t="s">
        <v>123</v>
      </c>
      <c r="H1155" s="27" t="s">
        <v>651</v>
      </c>
      <c r="I1155" s="27" t="s">
        <v>2815</v>
      </c>
      <c r="J1155" s="27" t="s">
        <v>567</v>
      </c>
      <c r="K1155" s="106" t="str">
        <f t="shared" si="53"/>
        <v>М</v>
      </c>
      <c r="L1155" s="106" t="str">
        <f t="shared" si="54"/>
        <v>Д</v>
      </c>
      <c r="M1155" s="107" t="str">
        <f t="shared" si="55"/>
        <v>Бухгалтерский учет, внутренний контроль и аудит (Вуз-партнёр - Таджикский национальный университет)</v>
      </c>
    </row>
    <row r="1156" spans="1:13" ht="30" hidden="1" customHeight="1" x14ac:dyDescent="0.25">
      <c r="A1156" s="41" t="s">
        <v>1563</v>
      </c>
      <c r="B1156" s="25" t="s">
        <v>1068</v>
      </c>
      <c r="C1156" s="29" t="s">
        <v>664</v>
      </c>
      <c r="D1156" s="29" t="s">
        <v>666</v>
      </c>
      <c r="E1156" s="25" t="s">
        <v>3126</v>
      </c>
      <c r="F1156" s="26" t="s">
        <v>115</v>
      </c>
      <c r="G1156" s="27" t="s">
        <v>123</v>
      </c>
      <c r="H1156" s="27" t="s">
        <v>1017</v>
      </c>
      <c r="I1156" s="27"/>
      <c r="J1156" s="27" t="s">
        <v>567</v>
      </c>
      <c r="K1156" s="106" t="str">
        <f t="shared" ref="K1156:K1219" si="56">LEFT(F1156, 1)</f>
        <v>М</v>
      </c>
      <c r="L1156" s="106" t="str">
        <f t="shared" ref="L1156:L1219" si="57">IF(C1156="очная","Д",IF(C1156="Очно-заочная","В",IF(C1156="Заочная","З","-")))</f>
        <v>Д</v>
      </c>
      <c r="M1156" s="107" t="str">
        <f t="shared" ref="M1156:M1219" si="58">CONCATENATE(H1156,IF(D1156="Русский","",CONCATENATE(" (",D1156," язык)")),IF(I1156&gt;0,CONCATENATE(" (Вуз-партнёр - ",I1156,")"),""))</f>
        <v>Международная логистика</v>
      </c>
    </row>
    <row r="1157" spans="1:13" ht="30" hidden="1" customHeight="1" x14ac:dyDescent="0.25">
      <c r="A1157" s="41" t="s">
        <v>1566</v>
      </c>
      <c r="B1157" s="25" t="s">
        <v>1068</v>
      </c>
      <c r="C1157" s="29" t="s">
        <v>664</v>
      </c>
      <c r="D1157" s="29" t="s">
        <v>666</v>
      </c>
      <c r="E1157" s="25" t="s">
        <v>3126</v>
      </c>
      <c r="F1157" s="26" t="s">
        <v>115</v>
      </c>
      <c r="G1157" s="27" t="s">
        <v>123</v>
      </c>
      <c r="H1157" s="27" t="s">
        <v>1567</v>
      </c>
      <c r="I1157" s="27"/>
      <c r="J1157" s="27" t="s">
        <v>567</v>
      </c>
      <c r="K1157" s="106" t="str">
        <f t="shared" si="56"/>
        <v>М</v>
      </c>
      <c r="L1157" s="106" t="str">
        <f t="shared" si="57"/>
        <v>Д</v>
      </c>
      <c r="M1157" s="107" t="str">
        <f t="shared" si="58"/>
        <v>Корпоративная экономика и управление бизнесом</v>
      </c>
    </row>
    <row r="1158" spans="1:13" ht="30" hidden="1" customHeight="1" x14ac:dyDescent="0.25">
      <c r="A1158" s="41" t="s">
        <v>1568</v>
      </c>
      <c r="B1158" s="25" t="s">
        <v>1068</v>
      </c>
      <c r="C1158" s="29" t="s">
        <v>664</v>
      </c>
      <c r="D1158" s="29" t="s">
        <v>666</v>
      </c>
      <c r="E1158" s="25" t="s">
        <v>3126</v>
      </c>
      <c r="F1158" s="26" t="s">
        <v>115</v>
      </c>
      <c r="G1158" s="27" t="s">
        <v>123</v>
      </c>
      <c r="H1158" s="27" t="s">
        <v>651</v>
      </c>
      <c r="I1158" s="27" t="s">
        <v>908</v>
      </c>
      <c r="J1158" s="27" t="s">
        <v>567</v>
      </c>
      <c r="K1158" s="106" t="str">
        <f t="shared" si="56"/>
        <v>М</v>
      </c>
      <c r="L1158" s="106" t="str">
        <f t="shared" si="57"/>
        <v>Д</v>
      </c>
      <c r="M1158" s="107" t="str">
        <f t="shared" si="58"/>
        <v>Бухгалтерский учет, внутренний контроль и аудит (Вуз-партнёр - Евразийский национальный университет имени Л. Н. Гумилёва)</v>
      </c>
    </row>
    <row r="1159" spans="1:13" ht="30" hidden="1" customHeight="1" x14ac:dyDescent="0.25">
      <c r="A1159" s="41" t="s">
        <v>1569</v>
      </c>
      <c r="B1159" s="25" t="s">
        <v>1068</v>
      </c>
      <c r="C1159" s="29" t="s">
        <v>664</v>
      </c>
      <c r="D1159" s="29" t="s">
        <v>666</v>
      </c>
      <c r="E1159" s="25" t="s">
        <v>3126</v>
      </c>
      <c r="F1159" s="26" t="s">
        <v>115</v>
      </c>
      <c r="G1159" s="27" t="s">
        <v>123</v>
      </c>
      <c r="H1159" s="27" t="s">
        <v>1017</v>
      </c>
      <c r="I1159" s="27" t="s">
        <v>912</v>
      </c>
      <c r="J1159" s="27" t="s">
        <v>567</v>
      </c>
      <c r="K1159" s="106" t="str">
        <f t="shared" si="56"/>
        <v>М</v>
      </c>
      <c r="L1159" s="106" t="str">
        <f t="shared" si="57"/>
        <v>Д</v>
      </c>
      <c r="M1159" s="107" t="str">
        <f t="shared" si="58"/>
        <v>Международная логистика (Вуз-партнёр - Казахский национальный университет им. Аль-Фараби)</v>
      </c>
    </row>
    <row r="1160" spans="1:13" ht="30" hidden="1" customHeight="1" x14ac:dyDescent="0.25">
      <c r="A1160" s="41" t="s">
        <v>1570</v>
      </c>
      <c r="B1160" s="25" t="s">
        <v>1068</v>
      </c>
      <c r="C1160" s="29" t="s">
        <v>664</v>
      </c>
      <c r="D1160" s="29" t="s">
        <v>666</v>
      </c>
      <c r="E1160" s="25" t="s">
        <v>3126</v>
      </c>
      <c r="F1160" s="26" t="s">
        <v>115</v>
      </c>
      <c r="G1160" s="27" t="s">
        <v>123</v>
      </c>
      <c r="H1160" s="27" t="s">
        <v>1017</v>
      </c>
      <c r="I1160" s="27" t="s">
        <v>908</v>
      </c>
      <c r="J1160" s="27" t="s">
        <v>567</v>
      </c>
      <c r="K1160" s="106" t="str">
        <f t="shared" si="56"/>
        <v>М</v>
      </c>
      <c r="L1160" s="106" t="str">
        <f t="shared" si="57"/>
        <v>Д</v>
      </c>
      <c r="M1160" s="107" t="str">
        <f t="shared" si="58"/>
        <v>Международная логистика (Вуз-партнёр - Евразийский национальный университет имени Л. Н. Гумилёва)</v>
      </c>
    </row>
    <row r="1161" spans="1:13" ht="30" hidden="1" customHeight="1" x14ac:dyDescent="0.25">
      <c r="A1161" s="41" t="s">
        <v>2687</v>
      </c>
      <c r="B1161" s="25" t="s">
        <v>1068</v>
      </c>
      <c r="C1161" s="29" t="s">
        <v>664</v>
      </c>
      <c r="D1161" s="29" t="s">
        <v>666</v>
      </c>
      <c r="E1161" s="25" t="s">
        <v>3126</v>
      </c>
      <c r="F1161" s="26" t="s">
        <v>115</v>
      </c>
      <c r="G1161" s="27" t="s">
        <v>123</v>
      </c>
      <c r="H1161" s="27" t="s">
        <v>158</v>
      </c>
      <c r="I1161" s="27" t="s">
        <v>2818</v>
      </c>
      <c r="J1161" s="27" t="s">
        <v>567</v>
      </c>
      <c r="K1161" s="106" t="str">
        <f t="shared" si="56"/>
        <v>М</v>
      </c>
      <c r="L1161" s="106" t="str">
        <f t="shared" si="57"/>
        <v>Д</v>
      </c>
      <c r="M1161" s="107" t="str">
        <f t="shared" si="58"/>
        <v>Международная торговля (Вуз-партнёр - Дипломатическая академия Министерства иностранных дел Кыргызской Республики им. К. Дикамбаева)</v>
      </c>
    </row>
    <row r="1162" spans="1:13" ht="30" hidden="1" customHeight="1" x14ac:dyDescent="0.25">
      <c r="A1162" s="41" t="s">
        <v>2690</v>
      </c>
      <c r="B1162" s="25" t="s">
        <v>1068</v>
      </c>
      <c r="C1162" s="29" t="s">
        <v>664</v>
      </c>
      <c r="D1162" s="29" t="s">
        <v>666</v>
      </c>
      <c r="E1162" s="25" t="s">
        <v>3126</v>
      </c>
      <c r="F1162" s="26" t="s">
        <v>115</v>
      </c>
      <c r="G1162" s="27" t="s">
        <v>123</v>
      </c>
      <c r="H1162" s="27" t="s">
        <v>651</v>
      </c>
      <c r="I1162" s="27" t="s">
        <v>924</v>
      </c>
      <c r="J1162" s="27" t="s">
        <v>567</v>
      </c>
      <c r="K1162" s="106" t="str">
        <f t="shared" si="56"/>
        <v>М</v>
      </c>
      <c r="L1162" s="106" t="str">
        <f t="shared" si="57"/>
        <v>Д</v>
      </c>
      <c r="M1162" s="107" t="str">
        <f t="shared" si="58"/>
        <v>Бухгалтерский учет, внутренний контроль и аудит (Вуз-партнёр - Российско-Таджикский (Славянский) университет)</v>
      </c>
    </row>
    <row r="1163" spans="1:13" ht="30" hidden="1" customHeight="1" x14ac:dyDescent="0.25">
      <c r="A1163" s="41" t="s">
        <v>2691</v>
      </c>
      <c r="B1163" s="25" t="s">
        <v>1068</v>
      </c>
      <c r="C1163" s="29" t="s">
        <v>664</v>
      </c>
      <c r="D1163" s="29" t="s">
        <v>666</v>
      </c>
      <c r="E1163" s="25" t="s">
        <v>3126</v>
      </c>
      <c r="F1163" s="26" t="s">
        <v>115</v>
      </c>
      <c r="G1163" s="27" t="s">
        <v>123</v>
      </c>
      <c r="H1163" s="27" t="s">
        <v>651</v>
      </c>
      <c r="I1163" s="27" t="s">
        <v>943</v>
      </c>
      <c r="J1163" s="27" t="s">
        <v>567</v>
      </c>
      <c r="K1163" s="106" t="str">
        <f t="shared" si="56"/>
        <v>М</v>
      </c>
      <c r="L1163" s="106" t="str">
        <f t="shared" si="57"/>
        <v>Д</v>
      </c>
      <c r="M1163" s="107" t="str">
        <f t="shared" si="58"/>
        <v>Бухгалтерский учет, внутренний контроль и аудит (Вуз-партнёр - Хэнаньский университет экономики и права)</v>
      </c>
    </row>
    <row r="1164" spans="1:13" ht="30" hidden="1" customHeight="1" x14ac:dyDescent="0.25">
      <c r="A1164" s="41" t="s">
        <v>2692</v>
      </c>
      <c r="B1164" s="25" t="s">
        <v>1068</v>
      </c>
      <c r="C1164" s="29" t="s">
        <v>664</v>
      </c>
      <c r="D1164" s="29" t="s">
        <v>666</v>
      </c>
      <c r="E1164" s="25" t="s">
        <v>3126</v>
      </c>
      <c r="F1164" s="26" t="s">
        <v>115</v>
      </c>
      <c r="G1164" s="27" t="s">
        <v>123</v>
      </c>
      <c r="H1164" s="27" t="s">
        <v>158</v>
      </c>
      <c r="I1164" s="27" t="s">
        <v>2820</v>
      </c>
      <c r="J1164" s="27" t="s">
        <v>567</v>
      </c>
      <c r="K1164" s="106" t="str">
        <f t="shared" si="56"/>
        <v>М</v>
      </c>
      <c r="L1164" s="106" t="str">
        <f t="shared" si="57"/>
        <v>Д</v>
      </c>
      <c r="M1164" s="107" t="str">
        <f t="shared" si="58"/>
        <v>Международная торговля (Вуз-партнёр - Донецкий национальный университет)</v>
      </c>
    </row>
    <row r="1165" spans="1:13" ht="30" hidden="1" customHeight="1" x14ac:dyDescent="0.25">
      <c r="A1165" s="41" t="s">
        <v>2693</v>
      </c>
      <c r="B1165" s="25" t="s">
        <v>1068</v>
      </c>
      <c r="C1165" s="29" t="s">
        <v>664</v>
      </c>
      <c r="D1165" s="29" t="s">
        <v>666</v>
      </c>
      <c r="E1165" s="25" t="s">
        <v>3126</v>
      </c>
      <c r="F1165" s="26" t="s">
        <v>115</v>
      </c>
      <c r="G1165" s="27" t="s">
        <v>123</v>
      </c>
      <c r="H1165" s="27" t="s">
        <v>158</v>
      </c>
      <c r="I1165" s="27" t="s">
        <v>907</v>
      </c>
      <c r="J1165" s="27" t="s">
        <v>567</v>
      </c>
      <c r="K1165" s="106" t="str">
        <f t="shared" si="56"/>
        <v>М</v>
      </c>
      <c r="L1165" s="106" t="str">
        <f t="shared" si="57"/>
        <v>Д</v>
      </c>
      <c r="M1165" s="107" t="str">
        <f t="shared" si="58"/>
        <v>Международная торговля (Вуз-партнёр - Евразийский национальный университет им. Л.Н. Гумилева)</v>
      </c>
    </row>
    <row r="1166" spans="1:13" ht="30" hidden="1" customHeight="1" x14ac:dyDescent="0.25">
      <c r="A1166" s="41" t="s">
        <v>2694</v>
      </c>
      <c r="B1166" s="25" t="s">
        <v>1068</v>
      </c>
      <c r="C1166" s="29" t="s">
        <v>664</v>
      </c>
      <c r="D1166" s="29" t="s">
        <v>666</v>
      </c>
      <c r="E1166" s="25" t="s">
        <v>3126</v>
      </c>
      <c r="F1166" s="26" t="s">
        <v>115</v>
      </c>
      <c r="G1166" s="27" t="s">
        <v>123</v>
      </c>
      <c r="H1166" s="27" t="s">
        <v>158</v>
      </c>
      <c r="I1166" s="27" t="s">
        <v>912</v>
      </c>
      <c r="J1166" s="27" t="s">
        <v>567</v>
      </c>
      <c r="K1166" s="106" t="str">
        <f t="shared" si="56"/>
        <v>М</v>
      </c>
      <c r="L1166" s="106" t="str">
        <f t="shared" si="57"/>
        <v>Д</v>
      </c>
      <c r="M1166" s="107" t="str">
        <f t="shared" si="58"/>
        <v>Международная торговля (Вуз-партнёр - Казахский национальный университет им. Аль-Фараби)</v>
      </c>
    </row>
    <row r="1167" spans="1:13" ht="30" hidden="1" customHeight="1" x14ac:dyDescent="0.25">
      <c r="A1167" s="41" t="s">
        <v>2695</v>
      </c>
      <c r="B1167" s="25" t="s">
        <v>1068</v>
      </c>
      <c r="C1167" s="29" t="s">
        <v>664</v>
      </c>
      <c r="D1167" s="29" t="s">
        <v>666</v>
      </c>
      <c r="E1167" s="25" t="s">
        <v>3126</v>
      </c>
      <c r="F1167" s="26" t="s">
        <v>115</v>
      </c>
      <c r="G1167" s="27" t="s">
        <v>123</v>
      </c>
      <c r="H1167" s="27" t="s">
        <v>158</v>
      </c>
      <c r="I1167" s="27" t="s">
        <v>2819</v>
      </c>
      <c r="J1167" s="27" t="s">
        <v>567</v>
      </c>
      <c r="K1167" s="106" t="str">
        <f t="shared" si="56"/>
        <v>М</v>
      </c>
      <c r="L1167" s="106" t="str">
        <f t="shared" si="57"/>
        <v>Д</v>
      </c>
      <c r="M1167" s="107" t="str">
        <f t="shared" si="58"/>
        <v>Международная торговля (Вуз-партнёр - Кыргызско-Российский (Славянский) Университет)</v>
      </c>
    </row>
    <row r="1168" spans="1:13" ht="30" hidden="1" customHeight="1" x14ac:dyDescent="0.25">
      <c r="A1168" s="41" t="s">
        <v>2696</v>
      </c>
      <c r="B1168" s="25" t="s">
        <v>1068</v>
      </c>
      <c r="C1168" s="29" t="s">
        <v>664</v>
      </c>
      <c r="D1168" s="29" t="s">
        <v>666</v>
      </c>
      <c r="E1168" s="25" t="s">
        <v>3126</v>
      </c>
      <c r="F1168" s="26" t="s">
        <v>115</v>
      </c>
      <c r="G1168" s="27" t="s">
        <v>123</v>
      </c>
      <c r="H1168" s="27" t="s">
        <v>158</v>
      </c>
      <c r="I1168" s="27" t="s">
        <v>924</v>
      </c>
      <c r="J1168" s="27" t="s">
        <v>567</v>
      </c>
      <c r="K1168" s="106" t="str">
        <f t="shared" si="56"/>
        <v>М</v>
      </c>
      <c r="L1168" s="106" t="str">
        <f t="shared" si="57"/>
        <v>Д</v>
      </c>
      <c r="M1168" s="107" t="str">
        <f t="shared" si="58"/>
        <v>Международная торговля (Вуз-партнёр - Российско-Таджикский (Славянский) университет)</v>
      </c>
    </row>
    <row r="1169" spans="1:13" ht="30" hidden="1" customHeight="1" x14ac:dyDescent="0.25">
      <c r="A1169" s="41" t="s">
        <v>1562</v>
      </c>
      <c r="B1169" s="25" t="s">
        <v>1068</v>
      </c>
      <c r="C1169" s="29" t="s">
        <v>664</v>
      </c>
      <c r="D1169" s="29" t="s">
        <v>666</v>
      </c>
      <c r="E1169" s="25" t="s">
        <v>3126</v>
      </c>
      <c r="F1169" s="26" t="s">
        <v>115</v>
      </c>
      <c r="G1169" s="27" t="s">
        <v>123</v>
      </c>
      <c r="H1169" s="27" t="s">
        <v>158</v>
      </c>
      <c r="I1169" s="27" t="s">
        <v>919</v>
      </c>
      <c r="J1169" s="27" t="s">
        <v>567</v>
      </c>
      <c r="K1169" s="106" t="str">
        <f t="shared" si="56"/>
        <v>М</v>
      </c>
      <c r="L1169" s="106" t="str">
        <f t="shared" si="57"/>
        <v>Д</v>
      </c>
      <c r="M1169" s="107" t="str">
        <f t="shared" si="58"/>
        <v>Международная торговля (Вуз-партнёр - Международный университет «SilkWay»)</v>
      </c>
    </row>
    <row r="1170" spans="1:13" ht="30" hidden="1" customHeight="1" x14ac:dyDescent="0.25">
      <c r="A1170" s="41" t="s">
        <v>2726</v>
      </c>
      <c r="B1170" s="25" t="s">
        <v>1068</v>
      </c>
      <c r="C1170" s="29" t="s">
        <v>664</v>
      </c>
      <c r="D1170" s="29" t="s">
        <v>666</v>
      </c>
      <c r="E1170" s="25" t="s">
        <v>3126</v>
      </c>
      <c r="F1170" s="26" t="s">
        <v>115</v>
      </c>
      <c r="G1170" s="27" t="s">
        <v>123</v>
      </c>
      <c r="H1170" s="27" t="s">
        <v>158</v>
      </c>
      <c r="I1170" s="27" t="s">
        <v>2825</v>
      </c>
      <c r="J1170" s="27" t="s">
        <v>567</v>
      </c>
      <c r="K1170" s="106" t="str">
        <f t="shared" si="56"/>
        <v>М</v>
      </c>
      <c r="L1170" s="106" t="str">
        <f t="shared" si="57"/>
        <v>Д</v>
      </c>
      <c r="M1170" s="107" t="str">
        <f t="shared" si="58"/>
        <v>Международная торговля (Вуз-партнёр - Армянский государственный экономический университет)</v>
      </c>
    </row>
    <row r="1171" spans="1:13" ht="30" hidden="1" customHeight="1" x14ac:dyDescent="0.25">
      <c r="A1171" s="41" t="s">
        <v>2727</v>
      </c>
      <c r="B1171" s="25" t="s">
        <v>1068</v>
      </c>
      <c r="C1171" s="29" t="s">
        <v>664</v>
      </c>
      <c r="D1171" s="29" t="s">
        <v>666</v>
      </c>
      <c r="E1171" s="25" t="s">
        <v>3126</v>
      </c>
      <c r="F1171" s="26" t="s">
        <v>115</v>
      </c>
      <c r="G1171" s="27" t="s">
        <v>123</v>
      </c>
      <c r="H1171" s="27" t="s">
        <v>158</v>
      </c>
      <c r="I1171" s="27" t="s">
        <v>2826</v>
      </c>
      <c r="J1171" s="27" t="s">
        <v>567</v>
      </c>
      <c r="K1171" s="106" t="str">
        <f t="shared" si="56"/>
        <v>М</v>
      </c>
      <c r="L1171" s="106" t="str">
        <f t="shared" si="57"/>
        <v>Д</v>
      </c>
      <c r="M1171" s="107" t="str">
        <f t="shared" si="58"/>
        <v>Международная торговля (Вуз-партнёр - Ошский государственный университет)</v>
      </c>
    </row>
    <row r="1172" spans="1:13" ht="30" hidden="1" customHeight="1" x14ac:dyDescent="0.25">
      <c r="A1172" s="41" t="s">
        <v>2732</v>
      </c>
      <c r="B1172" s="25" t="s">
        <v>1068</v>
      </c>
      <c r="C1172" s="29" t="s">
        <v>664</v>
      </c>
      <c r="D1172" s="29" t="s">
        <v>666</v>
      </c>
      <c r="E1172" s="25" t="s">
        <v>3126</v>
      </c>
      <c r="F1172" s="26" t="s">
        <v>115</v>
      </c>
      <c r="G1172" s="27" t="s">
        <v>123</v>
      </c>
      <c r="H1172" s="27" t="s">
        <v>2733</v>
      </c>
      <c r="I1172" s="27"/>
      <c r="J1172" s="27" t="s">
        <v>567</v>
      </c>
      <c r="K1172" s="108" t="s">
        <v>2828</v>
      </c>
      <c r="L1172" s="106" t="str">
        <f t="shared" si="57"/>
        <v>Д</v>
      </c>
      <c r="M1172" s="107" t="str">
        <f t="shared" si="58"/>
        <v>Управление на основе анализа данных и бизнес-аналитика</v>
      </c>
    </row>
    <row r="1173" spans="1:13" ht="30" hidden="1" customHeight="1" x14ac:dyDescent="0.25">
      <c r="A1173" s="41" t="s">
        <v>2955</v>
      </c>
      <c r="B1173" s="25" t="s">
        <v>1068</v>
      </c>
      <c r="C1173" s="29" t="s">
        <v>664</v>
      </c>
      <c r="D1173" s="29" t="s">
        <v>666</v>
      </c>
      <c r="E1173" s="25" t="s">
        <v>3126</v>
      </c>
      <c r="F1173" s="26" t="s">
        <v>115</v>
      </c>
      <c r="G1173" s="27" t="s">
        <v>123</v>
      </c>
      <c r="H1173" s="27" t="s">
        <v>158</v>
      </c>
      <c r="I1173" s="27" t="s">
        <v>2815</v>
      </c>
      <c r="J1173" s="27" t="s">
        <v>567</v>
      </c>
      <c r="K1173" s="106" t="str">
        <f t="shared" si="56"/>
        <v>М</v>
      </c>
      <c r="L1173" s="106" t="str">
        <f t="shared" si="57"/>
        <v>Д</v>
      </c>
      <c r="M1173" s="107" t="str">
        <f t="shared" si="58"/>
        <v>Международная торговля (Вуз-партнёр - Таджикский национальный университет)</v>
      </c>
    </row>
    <row r="1174" spans="1:13" ht="30" hidden="1" customHeight="1" x14ac:dyDescent="0.25">
      <c r="A1174" s="41" t="s">
        <v>2954</v>
      </c>
      <c r="B1174" s="25" t="s">
        <v>1068</v>
      </c>
      <c r="C1174" s="29" t="s">
        <v>664</v>
      </c>
      <c r="D1174" s="29" t="s">
        <v>666</v>
      </c>
      <c r="E1174" s="25" t="s">
        <v>3126</v>
      </c>
      <c r="F1174" s="26" t="s">
        <v>115</v>
      </c>
      <c r="G1174" s="27" t="s">
        <v>123</v>
      </c>
      <c r="H1174" s="27" t="s">
        <v>158</v>
      </c>
      <c r="I1174" s="27" t="s">
        <v>915</v>
      </c>
      <c r="J1174" s="27" t="s">
        <v>567</v>
      </c>
      <c r="K1174" s="106" t="str">
        <f t="shared" si="56"/>
        <v>М</v>
      </c>
      <c r="L1174" s="106" t="str">
        <f t="shared" si="57"/>
        <v>Д</v>
      </c>
      <c r="M1174" s="107" t="str">
        <f t="shared" si="58"/>
        <v>Международная торговля (Вуз-партнёр - Кыргызский национальный университет им. Ж. Баласагына)</v>
      </c>
    </row>
    <row r="1175" spans="1:13" ht="30" hidden="1" customHeight="1" x14ac:dyDescent="0.25">
      <c r="A1175" s="41" t="s">
        <v>1564</v>
      </c>
      <c r="B1175" s="25" t="s">
        <v>1068</v>
      </c>
      <c r="C1175" s="29" t="s">
        <v>664</v>
      </c>
      <c r="D1175" s="29" t="s">
        <v>666</v>
      </c>
      <c r="E1175" s="25" t="s">
        <v>3126</v>
      </c>
      <c r="F1175" s="26" t="s">
        <v>115</v>
      </c>
      <c r="G1175" s="27" t="s">
        <v>123</v>
      </c>
      <c r="H1175" s="27" t="s">
        <v>1565</v>
      </c>
      <c r="I1175" s="27"/>
      <c r="J1175" s="27" t="s">
        <v>567</v>
      </c>
      <c r="K1175" s="106" t="str">
        <f t="shared" si="56"/>
        <v>М</v>
      </c>
      <c r="L1175" s="106" t="str">
        <f t="shared" si="57"/>
        <v>Д</v>
      </c>
      <c r="M1175" s="107" t="str">
        <f t="shared" si="58"/>
        <v>Международный энергетический бизнес</v>
      </c>
    </row>
    <row r="1176" spans="1:13" ht="30" hidden="1" customHeight="1" x14ac:dyDescent="0.25">
      <c r="A1176" s="41" t="s">
        <v>1571</v>
      </c>
      <c r="B1176" s="25" t="s">
        <v>1104</v>
      </c>
      <c r="C1176" s="29" t="s">
        <v>664</v>
      </c>
      <c r="D1176" s="29" t="s">
        <v>666</v>
      </c>
      <c r="E1176" s="25" t="s">
        <v>3126</v>
      </c>
      <c r="F1176" s="26" t="s">
        <v>115</v>
      </c>
      <c r="G1176" s="27" t="s">
        <v>300</v>
      </c>
      <c r="H1176" s="27" t="s">
        <v>159</v>
      </c>
      <c r="I1176" s="27"/>
      <c r="J1176" s="27" t="s">
        <v>567</v>
      </c>
      <c r="K1176" s="106" t="str">
        <f t="shared" si="56"/>
        <v>М</v>
      </c>
      <c r="L1176" s="106" t="str">
        <f t="shared" si="57"/>
        <v>Д</v>
      </c>
      <c r="M1176" s="107" t="str">
        <f t="shared" si="58"/>
        <v>Международный менеджмент</v>
      </c>
    </row>
    <row r="1177" spans="1:13" ht="30" hidden="1" customHeight="1" x14ac:dyDescent="0.25">
      <c r="A1177" s="41" t="s">
        <v>1572</v>
      </c>
      <c r="B1177" s="25" t="s">
        <v>1104</v>
      </c>
      <c r="C1177" s="29" t="s">
        <v>664</v>
      </c>
      <c r="D1177" s="29" t="s">
        <v>666</v>
      </c>
      <c r="E1177" s="25" t="s">
        <v>3126</v>
      </c>
      <c r="F1177" s="26" t="s">
        <v>115</v>
      </c>
      <c r="G1177" s="27" t="s">
        <v>300</v>
      </c>
      <c r="H1177" s="27" t="s">
        <v>160</v>
      </c>
      <c r="I1177" s="27"/>
      <c r="J1177" s="27" t="s">
        <v>567</v>
      </c>
      <c r="K1177" s="106" t="str">
        <f t="shared" si="56"/>
        <v>М</v>
      </c>
      <c r="L1177" s="106" t="str">
        <f t="shared" si="57"/>
        <v>Д</v>
      </c>
      <c r="M1177" s="107" t="str">
        <f t="shared" si="58"/>
        <v>Международный маркетинг</v>
      </c>
    </row>
    <row r="1178" spans="1:13" ht="30" hidden="1" customHeight="1" x14ac:dyDescent="0.25">
      <c r="A1178" s="41" t="s">
        <v>1573</v>
      </c>
      <c r="B1178" s="25" t="s">
        <v>1104</v>
      </c>
      <c r="C1178" s="29" t="s">
        <v>664</v>
      </c>
      <c r="D1178" s="29" t="s">
        <v>1730</v>
      </c>
      <c r="E1178" s="25" t="s">
        <v>3126</v>
      </c>
      <c r="F1178" s="26" t="s">
        <v>115</v>
      </c>
      <c r="G1178" s="27" t="s">
        <v>300</v>
      </c>
      <c r="H1178" s="27" t="s">
        <v>160</v>
      </c>
      <c r="I1178" s="27"/>
      <c r="J1178" s="27" t="s">
        <v>567</v>
      </c>
      <c r="K1178" s="106" t="str">
        <f t="shared" si="56"/>
        <v>М</v>
      </c>
      <c r="L1178" s="106" t="str">
        <f t="shared" si="57"/>
        <v>Д</v>
      </c>
      <c r="M1178" s="107" t="str">
        <f t="shared" si="58"/>
        <v>Международный маркетинг (Английский язык)</v>
      </c>
    </row>
    <row r="1179" spans="1:13" ht="30" hidden="1" customHeight="1" x14ac:dyDescent="0.25">
      <c r="A1179" s="41" t="s">
        <v>1574</v>
      </c>
      <c r="B1179" s="25" t="s">
        <v>1104</v>
      </c>
      <c r="C1179" s="29" t="s">
        <v>664</v>
      </c>
      <c r="D1179" s="29" t="s">
        <v>666</v>
      </c>
      <c r="E1179" s="25" t="s">
        <v>3126</v>
      </c>
      <c r="F1179" s="26" t="s">
        <v>115</v>
      </c>
      <c r="G1179" s="27" t="s">
        <v>300</v>
      </c>
      <c r="H1179" s="27" t="s">
        <v>644</v>
      </c>
      <c r="I1179" s="27"/>
      <c r="J1179" s="27" t="s">
        <v>567</v>
      </c>
      <c r="K1179" s="106" t="str">
        <f t="shared" si="56"/>
        <v>М</v>
      </c>
      <c r="L1179" s="106" t="str">
        <f t="shared" si="57"/>
        <v>Д</v>
      </c>
      <c r="M1179" s="107" t="str">
        <f t="shared" si="58"/>
        <v>Управление международными проектами</v>
      </c>
    </row>
    <row r="1180" spans="1:13" ht="30" hidden="1" customHeight="1" x14ac:dyDescent="0.25">
      <c r="A1180" s="41" t="s">
        <v>2675</v>
      </c>
      <c r="B1180" s="25" t="s">
        <v>1104</v>
      </c>
      <c r="C1180" s="29" t="s">
        <v>664</v>
      </c>
      <c r="D1180" s="29" t="s">
        <v>666</v>
      </c>
      <c r="E1180" s="25" t="s">
        <v>3126</v>
      </c>
      <c r="F1180" s="26" t="s">
        <v>115</v>
      </c>
      <c r="G1180" s="27" t="s">
        <v>300</v>
      </c>
      <c r="H1180" s="27" t="s">
        <v>159</v>
      </c>
      <c r="I1180" s="27" t="s">
        <v>2821</v>
      </c>
      <c r="J1180" s="27" t="s">
        <v>567</v>
      </c>
      <c r="K1180" s="106" t="str">
        <f t="shared" si="56"/>
        <v>М</v>
      </c>
      <c r="L1180" s="106" t="str">
        <f t="shared" si="57"/>
        <v>Д</v>
      </c>
      <c r="M1180" s="107" t="str">
        <f t="shared" si="58"/>
        <v>Международный менеджмент (Вуз-партнёр - Днепропетровский национальный университет им. О. Гончара)</v>
      </c>
    </row>
    <row r="1181" spans="1:13" ht="30" hidden="1" customHeight="1" x14ac:dyDescent="0.25">
      <c r="A1181" s="41" t="s">
        <v>1575</v>
      </c>
      <c r="B1181" s="25" t="s">
        <v>1104</v>
      </c>
      <c r="C1181" s="29" t="s">
        <v>664</v>
      </c>
      <c r="D1181" s="29" t="s">
        <v>666</v>
      </c>
      <c r="E1181" s="25" t="s">
        <v>3126</v>
      </c>
      <c r="F1181" s="26" t="s">
        <v>115</v>
      </c>
      <c r="G1181" s="27" t="s">
        <v>300</v>
      </c>
      <c r="H1181" s="27" t="s">
        <v>644</v>
      </c>
      <c r="I1181" s="27" t="s">
        <v>922</v>
      </c>
      <c r="J1181" s="27" t="s">
        <v>567</v>
      </c>
      <c r="K1181" s="106" t="str">
        <f t="shared" si="56"/>
        <v>М</v>
      </c>
      <c r="L1181" s="106" t="str">
        <f t="shared" si="57"/>
        <v>Д</v>
      </c>
      <c r="M1181" s="107" t="str">
        <f t="shared" si="58"/>
        <v>Управление международными проектами (Вуз-партнёр - Национальный университет наук, технологий и менеджмента)</v>
      </c>
    </row>
    <row r="1182" spans="1:13" ht="30" hidden="1" customHeight="1" x14ac:dyDescent="0.25">
      <c r="A1182" s="41" t="s">
        <v>2676</v>
      </c>
      <c r="B1182" s="25" t="s">
        <v>1104</v>
      </c>
      <c r="C1182" s="29" t="s">
        <v>664</v>
      </c>
      <c r="D1182" s="29" t="s">
        <v>666</v>
      </c>
      <c r="E1182" s="25" t="s">
        <v>3126</v>
      </c>
      <c r="F1182" s="26" t="s">
        <v>115</v>
      </c>
      <c r="G1182" s="27" t="s">
        <v>300</v>
      </c>
      <c r="H1182" s="27" t="s">
        <v>644</v>
      </c>
      <c r="I1182" s="27" t="s">
        <v>946</v>
      </c>
      <c r="J1182" s="27" t="s">
        <v>567</v>
      </c>
      <c r="K1182" s="106" t="str">
        <f t="shared" si="56"/>
        <v>М</v>
      </c>
      <c r="L1182" s="106" t="str">
        <f t="shared" si="57"/>
        <v>Д</v>
      </c>
      <c r="M1182" s="107" t="str">
        <f t="shared" si="58"/>
        <v>Управление международными проектами (Вуз-партнёр - Южно-Казахстанский государственный университет им. М.Ауезова)</v>
      </c>
    </row>
    <row r="1183" spans="1:13" ht="30" hidden="1" customHeight="1" x14ac:dyDescent="0.25">
      <c r="A1183" s="41" t="s">
        <v>1576</v>
      </c>
      <c r="B1183" s="25" t="s">
        <v>1104</v>
      </c>
      <c r="C1183" s="29" t="s">
        <v>664</v>
      </c>
      <c r="D1183" s="29" t="s">
        <v>1730</v>
      </c>
      <c r="E1183" s="25" t="s">
        <v>3126</v>
      </c>
      <c r="F1183" s="26" t="s">
        <v>115</v>
      </c>
      <c r="G1183" s="27" t="s">
        <v>300</v>
      </c>
      <c r="H1183" s="27" t="s">
        <v>2678</v>
      </c>
      <c r="I1183" s="27" t="s">
        <v>941</v>
      </c>
      <c r="J1183" s="27" t="s">
        <v>567</v>
      </c>
      <c r="K1183" s="106" t="str">
        <f t="shared" si="56"/>
        <v>М</v>
      </c>
      <c r="L1183" s="106" t="str">
        <f t="shared" si="57"/>
        <v>Д</v>
      </c>
      <c r="M1183" s="107" t="str">
        <f t="shared" si="58"/>
        <v>Международный маркетинг и бизнес (Английский язык) (Вуз-партнёр - Федеральный университет Минас-Жерайс)</v>
      </c>
    </row>
    <row r="1184" spans="1:13" ht="30" hidden="1" customHeight="1" x14ac:dyDescent="0.25">
      <c r="A1184" s="41" t="s">
        <v>1577</v>
      </c>
      <c r="B1184" s="25" t="s">
        <v>1104</v>
      </c>
      <c r="C1184" s="29" t="s">
        <v>664</v>
      </c>
      <c r="D1184" s="29" t="s">
        <v>1730</v>
      </c>
      <c r="E1184" s="25" t="s">
        <v>3126</v>
      </c>
      <c r="F1184" s="26" t="s">
        <v>115</v>
      </c>
      <c r="G1184" s="27" t="s">
        <v>300</v>
      </c>
      <c r="H1184" s="27" t="s">
        <v>2679</v>
      </c>
      <c r="I1184" s="27" t="s">
        <v>942</v>
      </c>
      <c r="J1184" s="27" t="s">
        <v>567</v>
      </c>
      <c r="K1184" s="106" t="str">
        <f t="shared" si="56"/>
        <v>М</v>
      </c>
      <c r="L1184" s="106" t="str">
        <f t="shared" si="57"/>
        <v>Д</v>
      </c>
      <c r="M1184" s="107" t="str">
        <f t="shared" si="58"/>
        <v>Международный маркетинг - менеджмент (Английский язык) (Вуз-партнёр - Федеральный университет Флуминенсе)</v>
      </c>
    </row>
    <row r="1185" spans="1:13" ht="30" hidden="1" customHeight="1" x14ac:dyDescent="0.25">
      <c r="A1185" s="41" t="s">
        <v>1578</v>
      </c>
      <c r="B1185" s="25" t="s">
        <v>1104</v>
      </c>
      <c r="C1185" s="29" t="s">
        <v>664</v>
      </c>
      <c r="D1185" s="29" t="s">
        <v>666</v>
      </c>
      <c r="E1185" s="25" t="s">
        <v>3126</v>
      </c>
      <c r="F1185" s="26" t="s">
        <v>115</v>
      </c>
      <c r="G1185" s="27" t="s">
        <v>300</v>
      </c>
      <c r="H1185" s="27" t="s">
        <v>160</v>
      </c>
      <c r="I1185" s="27" t="s">
        <v>912</v>
      </c>
      <c r="J1185" s="27" t="s">
        <v>567</v>
      </c>
      <c r="K1185" s="106" t="str">
        <f t="shared" si="56"/>
        <v>М</v>
      </c>
      <c r="L1185" s="106" t="str">
        <f t="shared" si="57"/>
        <v>Д</v>
      </c>
      <c r="M1185" s="107" t="str">
        <f t="shared" si="58"/>
        <v>Международный маркетинг (Вуз-партнёр - Казахский национальный университет им. Аль-Фараби)</v>
      </c>
    </row>
    <row r="1186" spans="1:13" ht="30" hidden="1" customHeight="1" x14ac:dyDescent="0.25">
      <c r="A1186" s="41" t="s">
        <v>1579</v>
      </c>
      <c r="B1186" s="25" t="s">
        <v>1104</v>
      </c>
      <c r="C1186" s="29" t="s">
        <v>664</v>
      </c>
      <c r="D1186" s="29" t="s">
        <v>666</v>
      </c>
      <c r="E1186" s="25" t="s">
        <v>3126</v>
      </c>
      <c r="F1186" s="26" t="s">
        <v>115</v>
      </c>
      <c r="G1186" s="27" t="s">
        <v>300</v>
      </c>
      <c r="H1186" s="27" t="s">
        <v>160</v>
      </c>
      <c r="I1186" s="27" t="s">
        <v>915</v>
      </c>
      <c r="J1186" s="27" t="s">
        <v>567</v>
      </c>
      <c r="K1186" s="106" t="str">
        <f t="shared" si="56"/>
        <v>М</v>
      </c>
      <c r="L1186" s="106" t="str">
        <f t="shared" si="57"/>
        <v>Д</v>
      </c>
      <c r="M1186" s="107" t="str">
        <f t="shared" si="58"/>
        <v>Международный маркетинг (Вуз-партнёр - Кыргызский национальный университет им. Ж. Баласагына)</v>
      </c>
    </row>
    <row r="1187" spans="1:13" ht="30" hidden="1" customHeight="1" x14ac:dyDescent="0.25">
      <c r="A1187" s="41" t="s">
        <v>2683</v>
      </c>
      <c r="B1187" s="25" t="s">
        <v>1104</v>
      </c>
      <c r="C1187" s="29" t="s">
        <v>664</v>
      </c>
      <c r="D1187" s="29" t="s">
        <v>666</v>
      </c>
      <c r="E1187" s="25" t="s">
        <v>3126</v>
      </c>
      <c r="F1187" s="26" t="s">
        <v>115</v>
      </c>
      <c r="G1187" s="27" t="s">
        <v>300</v>
      </c>
      <c r="H1187" s="27" t="s">
        <v>644</v>
      </c>
      <c r="I1187" s="27" t="s">
        <v>2818</v>
      </c>
      <c r="J1187" s="27" t="s">
        <v>567</v>
      </c>
      <c r="K1187" s="106" t="str">
        <f t="shared" si="56"/>
        <v>М</v>
      </c>
      <c r="L1187" s="106" t="str">
        <f t="shared" si="57"/>
        <v>Д</v>
      </c>
      <c r="M1187" s="107" t="str">
        <f t="shared" si="58"/>
        <v>Управление международными проектами (Вуз-партнёр - Дипломатическая академия Министерства иностранных дел Кыргызской Республики им. К. Дикамбаева)</v>
      </c>
    </row>
    <row r="1188" spans="1:13" ht="30" hidden="1" customHeight="1" x14ac:dyDescent="0.25">
      <c r="A1188" s="41" t="s">
        <v>2684</v>
      </c>
      <c r="B1188" s="25" t="s">
        <v>1104</v>
      </c>
      <c r="C1188" s="29" t="s">
        <v>664</v>
      </c>
      <c r="D1188" s="29" t="s">
        <v>666</v>
      </c>
      <c r="E1188" s="25" t="s">
        <v>3126</v>
      </c>
      <c r="F1188" s="26" t="s">
        <v>115</v>
      </c>
      <c r="G1188" s="27" t="s">
        <v>300</v>
      </c>
      <c r="H1188" s="27" t="s">
        <v>644</v>
      </c>
      <c r="I1188" s="27" t="s">
        <v>925</v>
      </c>
      <c r="J1188" s="27" t="s">
        <v>567</v>
      </c>
      <c r="K1188" s="106" t="str">
        <f t="shared" si="56"/>
        <v>М</v>
      </c>
      <c r="L1188" s="106" t="str">
        <f t="shared" si="57"/>
        <v>Д</v>
      </c>
      <c r="M1188" s="107" t="str">
        <f t="shared" si="58"/>
        <v>Управление международными проектами (Вуз-партнёр - Славянский университет)</v>
      </c>
    </row>
    <row r="1189" spans="1:13" ht="30" hidden="1" customHeight="1" x14ac:dyDescent="0.25">
      <c r="A1189" s="41" t="s">
        <v>2685</v>
      </c>
      <c r="B1189" s="25" t="s">
        <v>1104</v>
      </c>
      <c r="C1189" s="29" t="s">
        <v>664</v>
      </c>
      <c r="D1189" s="29" t="s">
        <v>666</v>
      </c>
      <c r="E1189" s="25" t="s">
        <v>3126</v>
      </c>
      <c r="F1189" s="26" t="s">
        <v>115</v>
      </c>
      <c r="G1189" s="27" t="s">
        <v>300</v>
      </c>
      <c r="H1189" s="27" t="s">
        <v>644</v>
      </c>
      <c r="I1189" s="27" t="s">
        <v>924</v>
      </c>
      <c r="J1189" s="27" t="s">
        <v>567</v>
      </c>
      <c r="K1189" s="106" t="str">
        <f t="shared" si="56"/>
        <v>М</v>
      </c>
      <c r="L1189" s="106" t="str">
        <f t="shared" si="57"/>
        <v>Д</v>
      </c>
      <c r="M1189" s="107" t="str">
        <f t="shared" si="58"/>
        <v>Управление международными проектами (Вуз-партнёр - Российско-Таджикский (Славянский) университет)</v>
      </c>
    </row>
    <row r="1190" spans="1:13" ht="30" hidden="1" customHeight="1" x14ac:dyDescent="0.25">
      <c r="A1190" s="41" t="s">
        <v>2686</v>
      </c>
      <c r="B1190" s="25" t="s">
        <v>1104</v>
      </c>
      <c r="C1190" s="29" t="s">
        <v>664</v>
      </c>
      <c r="D1190" s="29" t="s">
        <v>666</v>
      </c>
      <c r="E1190" s="25" t="s">
        <v>3126</v>
      </c>
      <c r="F1190" s="26" t="s">
        <v>115</v>
      </c>
      <c r="G1190" s="27" t="s">
        <v>300</v>
      </c>
      <c r="H1190" s="27" t="s">
        <v>644</v>
      </c>
      <c r="I1190" s="27" t="s">
        <v>912</v>
      </c>
      <c r="J1190" s="27" t="s">
        <v>567</v>
      </c>
      <c r="K1190" s="106" t="str">
        <f t="shared" si="56"/>
        <v>М</v>
      </c>
      <c r="L1190" s="106" t="str">
        <f t="shared" si="57"/>
        <v>Д</v>
      </c>
      <c r="M1190" s="107" t="str">
        <f t="shared" si="58"/>
        <v>Управление международными проектами (Вуз-партнёр - Казахский национальный университет им. Аль-Фараби)</v>
      </c>
    </row>
    <row r="1191" spans="1:13" ht="30" hidden="1" customHeight="1" x14ac:dyDescent="0.25">
      <c r="A1191" s="41" t="s">
        <v>2688</v>
      </c>
      <c r="B1191" s="25" t="s">
        <v>1104</v>
      </c>
      <c r="C1191" s="29" t="s">
        <v>664</v>
      </c>
      <c r="D1191" s="29" t="s">
        <v>666</v>
      </c>
      <c r="E1191" s="25" t="s">
        <v>3126</v>
      </c>
      <c r="F1191" s="26" t="s">
        <v>115</v>
      </c>
      <c r="G1191" s="27" t="s">
        <v>300</v>
      </c>
      <c r="H1191" s="27" t="s">
        <v>159</v>
      </c>
      <c r="I1191" s="27" t="s">
        <v>946</v>
      </c>
      <c r="J1191" s="27" t="s">
        <v>567</v>
      </c>
      <c r="K1191" s="106" t="str">
        <f t="shared" si="56"/>
        <v>М</v>
      </c>
      <c r="L1191" s="106" t="str">
        <f t="shared" si="57"/>
        <v>Д</v>
      </c>
      <c r="M1191" s="107" t="str">
        <f t="shared" si="58"/>
        <v>Международный менеджмент (Вуз-партнёр - Южно-Казахстанский государственный университет им. М.Ауезова)</v>
      </c>
    </row>
    <row r="1192" spans="1:13" ht="30" hidden="1" customHeight="1" x14ac:dyDescent="0.25">
      <c r="A1192" s="41" t="s">
        <v>2689</v>
      </c>
      <c r="B1192" s="25" t="s">
        <v>1104</v>
      </c>
      <c r="C1192" s="29" t="s">
        <v>664</v>
      </c>
      <c r="D1192" s="29" t="s">
        <v>666</v>
      </c>
      <c r="E1192" s="25" t="s">
        <v>3126</v>
      </c>
      <c r="F1192" s="26" t="s">
        <v>115</v>
      </c>
      <c r="G1192" s="27" t="s">
        <v>300</v>
      </c>
      <c r="H1192" s="27" t="s">
        <v>159</v>
      </c>
      <c r="I1192" s="27" t="s">
        <v>2818</v>
      </c>
      <c r="J1192" s="27" t="s">
        <v>567</v>
      </c>
      <c r="K1192" s="106" t="str">
        <f t="shared" si="56"/>
        <v>М</v>
      </c>
      <c r="L1192" s="106" t="str">
        <f t="shared" si="57"/>
        <v>Д</v>
      </c>
      <c r="M1192" s="107" t="str">
        <f t="shared" si="58"/>
        <v>Международный менеджмент (Вуз-партнёр - Дипломатическая академия Министерства иностранных дел Кыргызской Республики им. К. Дикамбаева)</v>
      </c>
    </row>
    <row r="1193" spans="1:13" ht="30" hidden="1" customHeight="1" x14ac:dyDescent="0.25">
      <c r="A1193" s="41" t="s">
        <v>2697</v>
      </c>
      <c r="B1193" s="25" t="s">
        <v>1104</v>
      </c>
      <c r="C1193" s="29" t="s">
        <v>664</v>
      </c>
      <c r="D1193" s="29" t="s">
        <v>666</v>
      </c>
      <c r="E1193" s="25" t="s">
        <v>3126</v>
      </c>
      <c r="F1193" s="26" t="s">
        <v>115</v>
      </c>
      <c r="G1193" s="27" t="s">
        <v>300</v>
      </c>
      <c r="H1193" s="27" t="s">
        <v>160</v>
      </c>
      <c r="I1193" s="27" t="s">
        <v>943</v>
      </c>
      <c r="J1193" s="27" t="s">
        <v>567</v>
      </c>
      <c r="K1193" s="106" t="str">
        <f t="shared" si="56"/>
        <v>М</v>
      </c>
      <c r="L1193" s="106" t="str">
        <f t="shared" si="57"/>
        <v>Д</v>
      </c>
      <c r="M1193" s="107" t="str">
        <f t="shared" si="58"/>
        <v>Международный маркетинг (Вуз-партнёр - Хэнаньский университет экономики и права)</v>
      </c>
    </row>
    <row r="1194" spans="1:13" ht="30" hidden="1" customHeight="1" x14ac:dyDescent="0.25">
      <c r="A1194" s="41" t="s">
        <v>2698</v>
      </c>
      <c r="B1194" s="25" t="s">
        <v>1104</v>
      </c>
      <c r="C1194" s="29" t="s">
        <v>664</v>
      </c>
      <c r="D1194" s="29" t="s">
        <v>666</v>
      </c>
      <c r="E1194" s="25" t="s">
        <v>3126</v>
      </c>
      <c r="F1194" s="26" t="s">
        <v>115</v>
      </c>
      <c r="G1194" s="27" t="s">
        <v>300</v>
      </c>
      <c r="H1194" s="27" t="s">
        <v>159</v>
      </c>
      <c r="I1194" s="27" t="s">
        <v>2820</v>
      </c>
      <c r="J1194" s="27" t="s">
        <v>567</v>
      </c>
      <c r="K1194" s="106" t="str">
        <f t="shared" si="56"/>
        <v>М</v>
      </c>
      <c r="L1194" s="106" t="str">
        <f t="shared" si="57"/>
        <v>Д</v>
      </c>
      <c r="M1194" s="107" t="str">
        <f t="shared" si="58"/>
        <v>Международный менеджмент (Вуз-партнёр - Донецкий национальный университет)</v>
      </c>
    </row>
    <row r="1195" spans="1:13" ht="30" hidden="1" customHeight="1" x14ac:dyDescent="0.25">
      <c r="A1195" s="41" t="s">
        <v>2699</v>
      </c>
      <c r="B1195" s="25" t="s">
        <v>1104</v>
      </c>
      <c r="C1195" s="29" t="s">
        <v>664</v>
      </c>
      <c r="D1195" s="29" t="s">
        <v>666</v>
      </c>
      <c r="E1195" s="25" t="s">
        <v>3126</v>
      </c>
      <c r="F1195" s="26" t="s">
        <v>115</v>
      </c>
      <c r="G1195" s="27" t="s">
        <v>300</v>
      </c>
      <c r="H1195" s="27" t="s">
        <v>159</v>
      </c>
      <c r="I1195" s="27" t="s">
        <v>907</v>
      </c>
      <c r="J1195" s="27" t="s">
        <v>567</v>
      </c>
      <c r="K1195" s="106" t="str">
        <f t="shared" si="56"/>
        <v>М</v>
      </c>
      <c r="L1195" s="106" t="str">
        <f t="shared" si="57"/>
        <v>Д</v>
      </c>
      <c r="M1195" s="107" t="str">
        <f t="shared" si="58"/>
        <v>Международный менеджмент (Вуз-партнёр - Евразийский национальный университет им. Л.Н. Гумилева)</v>
      </c>
    </row>
    <row r="1196" spans="1:13" ht="30" hidden="1" customHeight="1" x14ac:dyDescent="0.25">
      <c r="A1196" s="41" t="s">
        <v>2700</v>
      </c>
      <c r="B1196" s="25" t="s">
        <v>1104</v>
      </c>
      <c r="C1196" s="29" t="s">
        <v>664</v>
      </c>
      <c r="D1196" s="29" t="s">
        <v>666</v>
      </c>
      <c r="E1196" s="25" t="s">
        <v>3126</v>
      </c>
      <c r="F1196" s="26" t="s">
        <v>115</v>
      </c>
      <c r="G1196" s="27" t="s">
        <v>300</v>
      </c>
      <c r="H1196" s="27" t="s">
        <v>159</v>
      </c>
      <c r="I1196" s="27" t="s">
        <v>912</v>
      </c>
      <c r="J1196" s="27" t="s">
        <v>567</v>
      </c>
      <c r="K1196" s="106" t="str">
        <f t="shared" si="56"/>
        <v>М</v>
      </c>
      <c r="L1196" s="106" t="str">
        <f t="shared" si="57"/>
        <v>Д</v>
      </c>
      <c r="M1196" s="107" t="str">
        <f t="shared" si="58"/>
        <v>Международный менеджмент (Вуз-партнёр - Казахский национальный университет им. Аль-Фараби)</v>
      </c>
    </row>
    <row r="1197" spans="1:13" ht="30" hidden="1" customHeight="1" x14ac:dyDescent="0.25">
      <c r="A1197" s="41" t="s">
        <v>2701</v>
      </c>
      <c r="B1197" s="25" t="s">
        <v>1104</v>
      </c>
      <c r="C1197" s="29" t="s">
        <v>664</v>
      </c>
      <c r="D1197" s="29" t="s">
        <v>666</v>
      </c>
      <c r="E1197" s="25" t="s">
        <v>3126</v>
      </c>
      <c r="F1197" s="26" t="s">
        <v>115</v>
      </c>
      <c r="G1197" s="27" t="s">
        <v>300</v>
      </c>
      <c r="H1197" s="27" t="s">
        <v>159</v>
      </c>
      <c r="I1197" s="27" t="s">
        <v>915</v>
      </c>
      <c r="J1197" s="27" t="s">
        <v>567</v>
      </c>
      <c r="K1197" s="106" t="str">
        <f t="shared" si="56"/>
        <v>М</v>
      </c>
      <c r="L1197" s="106" t="str">
        <f t="shared" si="57"/>
        <v>Д</v>
      </c>
      <c r="M1197" s="107" t="str">
        <f t="shared" si="58"/>
        <v>Международный менеджмент (Вуз-партнёр - Кыргызский национальный университет им. Ж. Баласагына)</v>
      </c>
    </row>
    <row r="1198" spans="1:13" ht="30" hidden="1" customHeight="1" x14ac:dyDescent="0.25">
      <c r="A1198" s="41" t="s">
        <v>2702</v>
      </c>
      <c r="B1198" s="25" t="s">
        <v>1104</v>
      </c>
      <c r="C1198" s="29" t="s">
        <v>664</v>
      </c>
      <c r="D1198" s="29" t="s">
        <v>666</v>
      </c>
      <c r="E1198" s="25" t="s">
        <v>3126</v>
      </c>
      <c r="F1198" s="26" t="s">
        <v>115</v>
      </c>
      <c r="G1198" s="27" t="s">
        <v>300</v>
      </c>
      <c r="H1198" s="27" t="s">
        <v>159</v>
      </c>
      <c r="I1198" s="27" t="s">
        <v>2819</v>
      </c>
      <c r="J1198" s="27" t="s">
        <v>567</v>
      </c>
      <c r="K1198" s="106" t="str">
        <f t="shared" si="56"/>
        <v>М</v>
      </c>
      <c r="L1198" s="106" t="str">
        <f t="shared" si="57"/>
        <v>Д</v>
      </c>
      <c r="M1198" s="107" t="str">
        <f t="shared" si="58"/>
        <v>Международный менеджмент (Вуз-партнёр - Кыргызско-Российский (Славянский) Университет)</v>
      </c>
    </row>
    <row r="1199" spans="1:13" ht="30" hidden="1" customHeight="1" x14ac:dyDescent="0.25">
      <c r="A1199" s="41" t="s">
        <v>2703</v>
      </c>
      <c r="B1199" s="25" t="s">
        <v>1104</v>
      </c>
      <c r="C1199" s="29" t="s">
        <v>664</v>
      </c>
      <c r="D1199" s="29" t="s">
        <v>666</v>
      </c>
      <c r="E1199" s="25" t="s">
        <v>3126</v>
      </c>
      <c r="F1199" s="26" t="s">
        <v>115</v>
      </c>
      <c r="G1199" s="27" t="s">
        <v>300</v>
      </c>
      <c r="H1199" s="27" t="s">
        <v>644</v>
      </c>
      <c r="I1199" s="27" t="s">
        <v>2821</v>
      </c>
      <c r="J1199" s="27" t="s">
        <v>567</v>
      </c>
      <c r="K1199" s="106" t="str">
        <f t="shared" si="56"/>
        <v>М</v>
      </c>
      <c r="L1199" s="106" t="str">
        <f t="shared" si="57"/>
        <v>Д</v>
      </c>
      <c r="M1199" s="107" t="str">
        <f t="shared" si="58"/>
        <v>Управление международными проектами (Вуз-партнёр - Днепропетровский национальный университет им. О. Гончара)</v>
      </c>
    </row>
    <row r="1200" spans="1:13" ht="30" hidden="1" customHeight="1" x14ac:dyDescent="0.25">
      <c r="A1200" s="41" t="s">
        <v>2704</v>
      </c>
      <c r="B1200" s="25" t="s">
        <v>1104</v>
      </c>
      <c r="C1200" s="29" t="s">
        <v>664</v>
      </c>
      <c r="D1200" s="29" t="s">
        <v>666</v>
      </c>
      <c r="E1200" s="25" t="s">
        <v>3126</v>
      </c>
      <c r="F1200" s="26" t="s">
        <v>115</v>
      </c>
      <c r="G1200" s="27" t="s">
        <v>300</v>
      </c>
      <c r="H1200" s="27" t="s">
        <v>644</v>
      </c>
      <c r="I1200" s="27" t="s">
        <v>2820</v>
      </c>
      <c r="J1200" s="27" t="s">
        <v>567</v>
      </c>
      <c r="K1200" s="106" t="str">
        <f t="shared" si="56"/>
        <v>М</v>
      </c>
      <c r="L1200" s="106" t="str">
        <f t="shared" si="57"/>
        <v>Д</v>
      </c>
      <c r="M1200" s="107" t="str">
        <f t="shared" si="58"/>
        <v>Управление международными проектами (Вуз-партнёр - Донецкий национальный университет)</v>
      </c>
    </row>
    <row r="1201" spans="1:13" ht="30" hidden="1" customHeight="1" x14ac:dyDescent="0.25">
      <c r="A1201" s="41" t="s">
        <v>2705</v>
      </c>
      <c r="B1201" s="25" t="s">
        <v>1104</v>
      </c>
      <c r="C1201" s="29" t="s">
        <v>664</v>
      </c>
      <c r="D1201" s="29" t="s">
        <v>666</v>
      </c>
      <c r="E1201" s="25" t="s">
        <v>3126</v>
      </c>
      <c r="F1201" s="26" t="s">
        <v>115</v>
      </c>
      <c r="G1201" s="27" t="s">
        <v>300</v>
      </c>
      <c r="H1201" s="27" t="s">
        <v>644</v>
      </c>
      <c r="I1201" s="27" t="s">
        <v>907</v>
      </c>
      <c r="J1201" s="27" t="s">
        <v>567</v>
      </c>
      <c r="K1201" s="106" t="str">
        <f t="shared" si="56"/>
        <v>М</v>
      </c>
      <c r="L1201" s="106" t="str">
        <f t="shared" si="57"/>
        <v>Д</v>
      </c>
      <c r="M1201" s="107" t="str">
        <f t="shared" si="58"/>
        <v>Управление международными проектами (Вуз-партнёр - Евразийский национальный университет им. Л.Н. Гумилева)</v>
      </c>
    </row>
    <row r="1202" spans="1:13" ht="30" hidden="1" customHeight="1" x14ac:dyDescent="0.25">
      <c r="A1202" s="41" t="s">
        <v>2734</v>
      </c>
      <c r="B1202" s="25" t="s">
        <v>1104</v>
      </c>
      <c r="C1202" s="29" t="s">
        <v>664</v>
      </c>
      <c r="D1202" s="29" t="s">
        <v>666</v>
      </c>
      <c r="E1202" s="25" t="s">
        <v>3126</v>
      </c>
      <c r="F1202" s="26" t="s">
        <v>115</v>
      </c>
      <c r="G1202" s="27" t="s">
        <v>300</v>
      </c>
      <c r="H1202" s="27" t="s">
        <v>2733</v>
      </c>
      <c r="I1202" s="27"/>
      <c r="J1202" s="27" t="s">
        <v>567</v>
      </c>
      <c r="K1202" s="108" t="s">
        <v>2828</v>
      </c>
      <c r="L1202" s="106" t="str">
        <f t="shared" si="57"/>
        <v>Д</v>
      </c>
      <c r="M1202" s="107" t="str">
        <f t="shared" si="58"/>
        <v>Управление на основе анализа данных и бизнес-аналитика</v>
      </c>
    </row>
    <row r="1203" spans="1:13" ht="30" hidden="1" customHeight="1" x14ac:dyDescent="0.25">
      <c r="A1203" s="41" t="s">
        <v>2956</v>
      </c>
      <c r="B1203" s="25" t="s">
        <v>1104</v>
      </c>
      <c r="C1203" s="29" t="s">
        <v>664</v>
      </c>
      <c r="D1203" s="29" t="s">
        <v>666</v>
      </c>
      <c r="E1203" s="25" t="s">
        <v>3126</v>
      </c>
      <c r="F1203" s="26" t="s">
        <v>115</v>
      </c>
      <c r="G1203" s="27" t="s">
        <v>300</v>
      </c>
      <c r="H1203" s="27" t="s">
        <v>644</v>
      </c>
      <c r="I1203" s="27" t="s">
        <v>915</v>
      </c>
      <c r="J1203" s="27" t="s">
        <v>567</v>
      </c>
      <c r="K1203" s="106" t="str">
        <f t="shared" si="56"/>
        <v>М</v>
      </c>
      <c r="L1203" s="106" t="str">
        <f t="shared" si="57"/>
        <v>Д</v>
      </c>
      <c r="M1203" s="107" t="str">
        <f t="shared" si="58"/>
        <v>Управление международными проектами (Вуз-партнёр - Кыргызский национальный университет им. Ж. Баласагына)</v>
      </c>
    </row>
    <row r="1204" spans="1:13" ht="30" hidden="1" customHeight="1" x14ac:dyDescent="0.25">
      <c r="A1204" s="41" t="s">
        <v>1580</v>
      </c>
      <c r="B1204" s="25" t="s">
        <v>1581</v>
      </c>
      <c r="C1204" s="29" t="s">
        <v>664</v>
      </c>
      <c r="D1204" s="29" t="s">
        <v>666</v>
      </c>
      <c r="E1204" s="25" t="s">
        <v>3126</v>
      </c>
      <c r="F1204" s="26" t="s">
        <v>115</v>
      </c>
      <c r="G1204" s="27" t="s">
        <v>416</v>
      </c>
      <c r="H1204" s="27" t="s">
        <v>237</v>
      </c>
      <c r="I1204" s="27"/>
      <c r="J1204" s="27" t="s">
        <v>567</v>
      </c>
      <c r="K1204" s="106" t="str">
        <f t="shared" si="56"/>
        <v>М</v>
      </c>
      <c r="L1204" s="106" t="str">
        <f t="shared" si="57"/>
        <v>Д</v>
      </c>
      <c r="M1204" s="107" t="str">
        <f t="shared" si="58"/>
        <v>Управление персоналом в кросс-культурной среде</v>
      </c>
    </row>
    <row r="1205" spans="1:13" ht="30" hidden="1" customHeight="1" x14ac:dyDescent="0.25">
      <c r="A1205" s="41" t="s">
        <v>1582</v>
      </c>
      <c r="B1205" s="25" t="s">
        <v>1381</v>
      </c>
      <c r="C1205" s="29" t="s">
        <v>664</v>
      </c>
      <c r="D1205" s="29" t="s">
        <v>666</v>
      </c>
      <c r="E1205" s="25" t="s">
        <v>3126</v>
      </c>
      <c r="F1205" s="26" t="s">
        <v>115</v>
      </c>
      <c r="G1205" s="27" t="s">
        <v>157</v>
      </c>
      <c r="H1205" s="27" t="s">
        <v>640</v>
      </c>
      <c r="I1205" s="27"/>
      <c r="J1205" s="27" t="s">
        <v>567</v>
      </c>
      <c r="K1205" s="106" t="str">
        <f t="shared" si="56"/>
        <v>М</v>
      </c>
      <c r="L1205" s="106" t="str">
        <f t="shared" si="57"/>
        <v>Д</v>
      </c>
      <c r="M1205" s="107" t="str">
        <f t="shared" si="58"/>
        <v>Цифровое государство</v>
      </c>
    </row>
    <row r="1206" spans="1:13" ht="30" hidden="1" customHeight="1" x14ac:dyDescent="0.25">
      <c r="A1206" s="41" t="s">
        <v>1583</v>
      </c>
      <c r="B1206" s="25" t="s">
        <v>1584</v>
      </c>
      <c r="C1206" s="29" t="s">
        <v>664</v>
      </c>
      <c r="D1206" s="29" t="s">
        <v>666</v>
      </c>
      <c r="E1206" s="25" t="s">
        <v>3126</v>
      </c>
      <c r="F1206" s="26" t="s">
        <v>115</v>
      </c>
      <c r="G1206" s="27" t="s">
        <v>418</v>
      </c>
      <c r="H1206" s="27" t="s">
        <v>238</v>
      </c>
      <c r="I1206" s="27"/>
      <c r="J1206" s="27" t="s">
        <v>567</v>
      </c>
      <c r="K1206" s="106" t="str">
        <f t="shared" si="56"/>
        <v>М</v>
      </c>
      <c r="L1206" s="106" t="str">
        <f t="shared" si="57"/>
        <v>Д</v>
      </c>
      <c r="M1206" s="107" t="str">
        <f t="shared" si="58"/>
        <v>Современные финансовые технологии в инвестировании и банковском бизнесе</v>
      </c>
    </row>
    <row r="1207" spans="1:13" ht="30" hidden="1" customHeight="1" x14ac:dyDescent="0.25">
      <c r="A1207" s="41" t="s">
        <v>1593</v>
      </c>
      <c r="B1207" s="25" t="s">
        <v>1068</v>
      </c>
      <c r="C1207" s="29" t="s">
        <v>663</v>
      </c>
      <c r="D1207" s="29" t="s">
        <v>666</v>
      </c>
      <c r="E1207" s="25" t="s">
        <v>3127</v>
      </c>
      <c r="F1207" s="26" t="s">
        <v>115</v>
      </c>
      <c r="G1207" s="27" t="s">
        <v>123</v>
      </c>
      <c r="H1207" s="27" t="s">
        <v>1019</v>
      </c>
      <c r="I1207" s="27"/>
      <c r="J1207" s="27" t="s">
        <v>567</v>
      </c>
      <c r="K1207" s="106" t="str">
        <f t="shared" si="56"/>
        <v>М</v>
      </c>
      <c r="L1207" s="106" t="str">
        <f t="shared" si="57"/>
        <v>В</v>
      </c>
      <c r="M1207" s="107" t="str">
        <f t="shared" si="58"/>
        <v>Smart-бизнес</v>
      </c>
    </row>
    <row r="1208" spans="1:13" customFormat="1" ht="30" hidden="1" customHeight="1" x14ac:dyDescent="0.25">
      <c r="A1208" s="41" t="s">
        <v>2731</v>
      </c>
      <c r="B1208" s="25" t="s">
        <v>1068</v>
      </c>
      <c r="C1208" s="29" t="s">
        <v>663</v>
      </c>
      <c r="D1208" s="29" t="s">
        <v>666</v>
      </c>
      <c r="E1208" s="25" t="s">
        <v>3127</v>
      </c>
      <c r="F1208" s="26" t="s">
        <v>115</v>
      </c>
      <c r="G1208" s="27" t="s">
        <v>123</v>
      </c>
      <c r="H1208" s="27" t="s">
        <v>1567</v>
      </c>
      <c r="I1208" s="27"/>
      <c r="J1208" s="27" t="s">
        <v>567</v>
      </c>
      <c r="K1208" s="106" t="str">
        <f t="shared" si="56"/>
        <v>М</v>
      </c>
      <c r="L1208" s="106" t="str">
        <f t="shared" si="57"/>
        <v>В</v>
      </c>
      <c r="M1208" s="107" t="str">
        <f t="shared" si="58"/>
        <v>Корпоративная экономика и управление бизнесом</v>
      </c>
    </row>
    <row r="1209" spans="1:13" ht="30" hidden="1" customHeight="1" x14ac:dyDescent="0.25">
      <c r="A1209" s="41" t="s">
        <v>1594</v>
      </c>
      <c r="B1209" s="25" t="s">
        <v>1104</v>
      </c>
      <c r="C1209" s="29" t="s">
        <v>663</v>
      </c>
      <c r="D1209" s="29" t="s">
        <v>666</v>
      </c>
      <c r="E1209" s="25" t="s">
        <v>3127</v>
      </c>
      <c r="F1209" s="26" t="s">
        <v>115</v>
      </c>
      <c r="G1209" s="27" t="s">
        <v>300</v>
      </c>
      <c r="H1209" s="27" t="s">
        <v>441</v>
      </c>
      <c r="I1209" s="27"/>
      <c r="J1209" s="27" t="s">
        <v>567</v>
      </c>
      <c r="K1209" s="106" t="str">
        <f t="shared" si="56"/>
        <v>М</v>
      </c>
      <c r="L1209" s="106" t="str">
        <f t="shared" si="57"/>
        <v>В</v>
      </c>
      <c r="M1209" s="107" t="str">
        <f t="shared" si="58"/>
        <v>Современный маркетинг и управление продажами</v>
      </c>
    </row>
    <row r="1210" spans="1:13" ht="30" hidden="1" customHeight="1" x14ac:dyDescent="0.25">
      <c r="A1210" s="41" t="s">
        <v>1595</v>
      </c>
      <c r="B1210" s="25" t="s">
        <v>1104</v>
      </c>
      <c r="C1210" s="29" t="s">
        <v>663</v>
      </c>
      <c r="D1210" s="29" t="s">
        <v>666</v>
      </c>
      <c r="E1210" s="25" t="s">
        <v>3127</v>
      </c>
      <c r="F1210" s="26" t="s">
        <v>115</v>
      </c>
      <c r="G1210" s="27" t="s">
        <v>300</v>
      </c>
      <c r="H1210" s="27" t="s">
        <v>417</v>
      </c>
      <c r="I1210" s="27"/>
      <c r="J1210" s="27" t="s">
        <v>567</v>
      </c>
      <c r="K1210" s="106" t="str">
        <f t="shared" si="56"/>
        <v>М</v>
      </c>
      <c r="L1210" s="106" t="str">
        <f t="shared" si="57"/>
        <v>В</v>
      </c>
      <c r="M1210" s="107" t="str">
        <f t="shared" si="58"/>
        <v>Финансовый менеджмент</v>
      </c>
    </row>
    <row r="1211" spans="1:13" ht="30" hidden="1" customHeight="1" x14ac:dyDescent="0.25">
      <c r="A1211" s="41" t="s">
        <v>2730</v>
      </c>
      <c r="B1211" s="25" t="s">
        <v>1584</v>
      </c>
      <c r="C1211" s="29" t="s">
        <v>663</v>
      </c>
      <c r="D1211" s="29" t="s">
        <v>666</v>
      </c>
      <c r="E1211" s="25" t="s">
        <v>3127</v>
      </c>
      <c r="F1211" s="26" t="s">
        <v>115</v>
      </c>
      <c r="G1211" s="27" t="s">
        <v>418</v>
      </c>
      <c r="H1211" s="27" t="s">
        <v>238</v>
      </c>
      <c r="I1211" s="27"/>
      <c r="J1211" s="27" t="s">
        <v>567</v>
      </c>
      <c r="K1211" s="106" t="str">
        <f t="shared" si="56"/>
        <v>М</v>
      </c>
      <c r="L1211" s="106" t="str">
        <f t="shared" si="57"/>
        <v>В</v>
      </c>
      <c r="M1211" s="107" t="str">
        <f t="shared" si="58"/>
        <v>Современные финансовые технологии в инвестировании и банковском бизнесе</v>
      </c>
    </row>
    <row r="1212" spans="1:13" ht="30" hidden="1" customHeight="1" x14ac:dyDescent="0.25">
      <c r="A1212" s="41" t="s">
        <v>1603</v>
      </c>
      <c r="B1212" s="25" t="s">
        <v>1068</v>
      </c>
      <c r="C1212" s="29" t="s">
        <v>665</v>
      </c>
      <c r="D1212" s="29" t="s">
        <v>666</v>
      </c>
      <c r="E1212" s="25" t="s">
        <v>3127</v>
      </c>
      <c r="F1212" s="26" t="s">
        <v>115</v>
      </c>
      <c r="G1212" s="27" t="s">
        <v>123</v>
      </c>
      <c r="H1212" s="27" t="s">
        <v>1567</v>
      </c>
      <c r="I1212" s="27"/>
      <c r="J1212" s="27" t="s">
        <v>567</v>
      </c>
      <c r="K1212" s="106" t="str">
        <f t="shared" si="56"/>
        <v>М</v>
      </c>
      <c r="L1212" s="106" t="str">
        <f t="shared" si="57"/>
        <v>З</v>
      </c>
      <c r="M1212" s="107" t="str">
        <f t="shared" si="58"/>
        <v>Корпоративная экономика и управление бизнесом</v>
      </c>
    </row>
    <row r="1213" spans="1:13" ht="30" hidden="1" customHeight="1" x14ac:dyDescent="0.25">
      <c r="A1213" s="41" t="s">
        <v>2728</v>
      </c>
      <c r="B1213" s="25" t="s">
        <v>1068</v>
      </c>
      <c r="C1213" s="29" t="s">
        <v>665</v>
      </c>
      <c r="D1213" s="29" t="s">
        <v>666</v>
      </c>
      <c r="E1213" s="25" t="s">
        <v>3126</v>
      </c>
      <c r="F1213" s="26" t="s">
        <v>115</v>
      </c>
      <c r="G1213" s="27" t="s">
        <v>123</v>
      </c>
      <c r="H1213" s="27" t="s">
        <v>2729</v>
      </c>
      <c r="I1213" s="27"/>
      <c r="J1213" s="27" t="s">
        <v>567</v>
      </c>
      <c r="K1213" s="106" t="str">
        <f t="shared" si="56"/>
        <v>М</v>
      </c>
      <c r="L1213" s="106" t="str">
        <f t="shared" si="57"/>
        <v>З</v>
      </c>
      <c r="M1213" s="107" t="str">
        <f t="shared" si="58"/>
        <v>Экономика образования</v>
      </c>
    </row>
    <row r="1214" spans="1:13" ht="30" hidden="1" customHeight="1" x14ac:dyDescent="0.25">
      <c r="A1214" s="41" t="s">
        <v>3103</v>
      </c>
      <c r="B1214" s="25" t="s">
        <v>1068</v>
      </c>
      <c r="C1214" s="29" t="s">
        <v>665</v>
      </c>
      <c r="D1214" s="29" t="s">
        <v>666</v>
      </c>
      <c r="E1214" s="25" t="s">
        <v>3127</v>
      </c>
      <c r="F1214" s="26" t="s">
        <v>115</v>
      </c>
      <c r="G1214" s="27" t="s">
        <v>123</v>
      </c>
      <c r="H1214" s="27" t="s">
        <v>1019</v>
      </c>
      <c r="I1214" s="27"/>
      <c r="J1214" s="27" t="s">
        <v>567</v>
      </c>
      <c r="K1214" s="106" t="str">
        <f t="shared" si="56"/>
        <v>М</v>
      </c>
      <c r="L1214" s="106" t="str">
        <f t="shared" si="57"/>
        <v>З</v>
      </c>
      <c r="M1214" s="107" t="str">
        <f t="shared" si="58"/>
        <v>Smart-бизнес</v>
      </c>
    </row>
    <row r="1215" spans="1:13" ht="30" hidden="1" customHeight="1" x14ac:dyDescent="0.25">
      <c r="A1215" s="41" t="s">
        <v>1602</v>
      </c>
      <c r="B1215" s="25" t="s">
        <v>1068</v>
      </c>
      <c r="C1215" s="29" t="s">
        <v>665</v>
      </c>
      <c r="D1215" s="29" t="s">
        <v>666</v>
      </c>
      <c r="E1215" s="25" t="s">
        <v>3127</v>
      </c>
      <c r="F1215" s="26" t="s">
        <v>115</v>
      </c>
      <c r="G1215" s="27" t="s">
        <v>123</v>
      </c>
      <c r="H1215" s="27" t="s">
        <v>1565</v>
      </c>
      <c r="I1215" s="27"/>
      <c r="J1215" s="27" t="s">
        <v>567</v>
      </c>
      <c r="K1215" s="106" t="str">
        <f t="shared" si="56"/>
        <v>М</v>
      </c>
      <c r="L1215" s="106" t="str">
        <f t="shared" si="57"/>
        <v>З</v>
      </c>
      <c r="M1215" s="107" t="str">
        <f t="shared" si="58"/>
        <v>Международный энергетический бизнес</v>
      </c>
    </row>
    <row r="1216" spans="1:13" ht="30" hidden="1" customHeight="1" x14ac:dyDescent="0.25">
      <c r="A1216" s="41" t="s">
        <v>2708</v>
      </c>
      <c r="B1216" s="25" t="s">
        <v>1104</v>
      </c>
      <c r="C1216" s="29" t="s">
        <v>665</v>
      </c>
      <c r="D1216" s="29" t="s">
        <v>666</v>
      </c>
      <c r="E1216" s="25" t="s">
        <v>3127</v>
      </c>
      <c r="F1216" s="26" t="s">
        <v>115</v>
      </c>
      <c r="G1216" s="27" t="s">
        <v>300</v>
      </c>
      <c r="H1216" s="27" t="s">
        <v>2709</v>
      </c>
      <c r="I1216" s="27" t="s">
        <v>2823</v>
      </c>
      <c r="J1216" s="27" t="s">
        <v>567</v>
      </c>
      <c r="K1216" s="106" t="str">
        <f t="shared" si="56"/>
        <v>М</v>
      </c>
      <c r="L1216" s="106" t="str">
        <f t="shared" si="57"/>
        <v>З</v>
      </c>
      <c r="M1216" s="107" t="str">
        <f t="shared" si="58"/>
        <v>Общий и стратегический менеджмент (Вуз-партнёр - Западно-Казахстанский государственный университет им. М. Утемисова)</v>
      </c>
    </row>
    <row r="1217" spans="1:13" ht="30" hidden="1" customHeight="1" x14ac:dyDescent="0.25">
      <c r="A1217" s="41" t="s">
        <v>2710</v>
      </c>
      <c r="B1217" s="25" t="s">
        <v>1104</v>
      </c>
      <c r="C1217" s="29" t="s">
        <v>665</v>
      </c>
      <c r="D1217" s="29" t="s">
        <v>666</v>
      </c>
      <c r="E1217" s="25" t="s">
        <v>3127</v>
      </c>
      <c r="F1217" s="26" t="s">
        <v>115</v>
      </c>
      <c r="G1217" s="27" t="s">
        <v>300</v>
      </c>
      <c r="H1217" s="27" t="s">
        <v>2709</v>
      </c>
      <c r="I1217" s="27" t="s">
        <v>2824</v>
      </c>
      <c r="J1217" s="27" t="s">
        <v>567</v>
      </c>
      <c r="K1217" s="106" t="str">
        <f t="shared" si="56"/>
        <v>М</v>
      </c>
      <c r="L1217" s="106" t="str">
        <f t="shared" si="57"/>
        <v>З</v>
      </c>
      <c r="M1217" s="107" t="str">
        <f t="shared" si="58"/>
        <v>Общий и стратегический менеджмент (Вуз-партнёр - Карагандинский экономический университет Казпотребсоюза)</v>
      </c>
    </row>
    <row r="1218" spans="1:13" ht="30" hidden="1" customHeight="1" x14ac:dyDescent="0.25">
      <c r="A1218" s="41" t="s">
        <v>2715</v>
      </c>
      <c r="B1218" s="25" t="s">
        <v>1654</v>
      </c>
      <c r="C1218" s="29" t="s">
        <v>664</v>
      </c>
      <c r="D1218" s="29" t="s">
        <v>1730</v>
      </c>
      <c r="E1218" s="25" t="s">
        <v>3128</v>
      </c>
      <c r="F1218" s="26" t="s">
        <v>179</v>
      </c>
      <c r="G1218" s="27" t="s">
        <v>123</v>
      </c>
      <c r="H1218" s="27" t="s">
        <v>298</v>
      </c>
      <c r="I1218" s="27"/>
      <c r="J1218" s="27" t="s">
        <v>567</v>
      </c>
      <c r="K1218" s="106" t="str">
        <f t="shared" si="56"/>
        <v>А</v>
      </c>
      <c r="L1218" s="106" t="str">
        <f t="shared" si="57"/>
        <v>Д</v>
      </c>
      <c r="M1218" s="107" t="str">
        <f t="shared" si="58"/>
        <v>Финансы, денежное обращение и кредит (Английский язык)</v>
      </c>
    </row>
    <row r="1219" spans="1:13" ht="30" hidden="1" customHeight="1" x14ac:dyDescent="0.25">
      <c r="A1219" s="41" t="s">
        <v>2716</v>
      </c>
      <c r="B1219" s="25" t="s">
        <v>1654</v>
      </c>
      <c r="C1219" s="29" t="s">
        <v>664</v>
      </c>
      <c r="D1219" s="29" t="s">
        <v>1730</v>
      </c>
      <c r="E1219" s="25" t="s">
        <v>3128</v>
      </c>
      <c r="F1219" s="26" t="s">
        <v>179</v>
      </c>
      <c r="G1219" s="27" t="s">
        <v>123</v>
      </c>
      <c r="H1219" s="27" t="s">
        <v>409</v>
      </c>
      <c r="I1219" s="27"/>
      <c r="J1219" s="27" t="s">
        <v>567</v>
      </c>
      <c r="K1219" s="106" t="str">
        <f t="shared" si="56"/>
        <v>А</v>
      </c>
      <c r="L1219" s="106" t="str">
        <f t="shared" si="57"/>
        <v>Д</v>
      </c>
      <c r="M1219" s="107" t="str">
        <f t="shared" si="58"/>
        <v>Экономика и управление народным хозяйством (по отраслям и сферам деятельности) (Английский язык)</v>
      </c>
    </row>
    <row r="1220" spans="1:13" ht="30" hidden="1" customHeight="1" x14ac:dyDescent="0.25">
      <c r="A1220" s="41" t="s">
        <v>2717</v>
      </c>
      <c r="B1220" s="25" t="s">
        <v>1654</v>
      </c>
      <c r="C1220" s="29" t="s">
        <v>664</v>
      </c>
      <c r="D1220" s="29" t="s">
        <v>1730</v>
      </c>
      <c r="E1220" s="25" t="s">
        <v>3128</v>
      </c>
      <c r="F1220" s="26" t="s">
        <v>179</v>
      </c>
      <c r="G1220" s="27" t="s">
        <v>123</v>
      </c>
      <c r="H1220" s="27" t="s">
        <v>181</v>
      </c>
      <c r="I1220" s="27"/>
      <c r="J1220" s="27" t="s">
        <v>567</v>
      </c>
      <c r="K1220" s="106" t="str">
        <f t="shared" ref="K1220:K1283" si="59">LEFT(F1220, 1)</f>
        <v>А</v>
      </c>
      <c r="L1220" s="106" t="str">
        <f t="shared" ref="L1220:L1283" si="60">IF(C1220="очная","Д",IF(C1220="Очно-заочная","В",IF(C1220="Заочная","З","-")))</f>
        <v>Д</v>
      </c>
      <c r="M1220" s="107" t="str">
        <f t="shared" ref="M1220:M1283" si="61">CONCATENATE(H1220,IF(D1220="Русский","",CONCATENATE(" (",D1220," язык)")),IF(I1220&gt;0,CONCATENATE(" (Вуз-партнёр - ",I1220,")"),""))</f>
        <v>Мировая экономика (Английский язык)</v>
      </c>
    </row>
    <row r="1221" spans="1:13" ht="30" hidden="1" customHeight="1" x14ac:dyDescent="0.25">
      <c r="A1221" s="41" t="s">
        <v>2718</v>
      </c>
      <c r="B1221" s="25" t="s">
        <v>1654</v>
      </c>
      <c r="C1221" s="29" t="s">
        <v>664</v>
      </c>
      <c r="D1221" s="29" t="s">
        <v>666</v>
      </c>
      <c r="E1221" s="25" t="s">
        <v>3128</v>
      </c>
      <c r="F1221" s="26" t="s">
        <v>179</v>
      </c>
      <c r="G1221" s="27" t="s">
        <v>123</v>
      </c>
      <c r="H1221" s="27" t="s">
        <v>181</v>
      </c>
      <c r="I1221" s="27"/>
      <c r="J1221" s="27" t="s">
        <v>567</v>
      </c>
      <c r="K1221" s="106" t="str">
        <f t="shared" si="59"/>
        <v>А</v>
      </c>
      <c r="L1221" s="106" t="str">
        <f t="shared" si="60"/>
        <v>Д</v>
      </c>
      <c r="M1221" s="107" t="str">
        <f t="shared" si="61"/>
        <v>Мировая экономика</v>
      </c>
    </row>
    <row r="1222" spans="1:13" ht="30" hidden="1" customHeight="1" x14ac:dyDescent="0.25">
      <c r="A1222" s="41" t="s">
        <v>2719</v>
      </c>
      <c r="B1222" s="25" t="s">
        <v>1654</v>
      </c>
      <c r="C1222" s="29" t="s">
        <v>664</v>
      </c>
      <c r="D1222" s="29" t="s">
        <v>666</v>
      </c>
      <c r="E1222" s="25" t="s">
        <v>3128</v>
      </c>
      <c r="F1222" s="26" t="s">
        <v>179</v>
      </c>
      <c r="G1222" s="27" t="s">
        <v>123</v>
      </c>
      <c r="H1222" s="27" t="s">
        <v>298</v>
      </c>
      <c r="I1222" s="27"/>
      <c r="J1222" s="27" t="s">
        <v>567</v>
      </c>
      <c r="K1222" s="106" t="str">
        <f t="shared" si="59"/>
        <v>А</v>
      </c>
      <c r="L1222" s="106" t="str">
        <f t="shared" si="60"/>
        <v>Д</v>
      </c>
      <c r="M1222" s="107" t="str">
        <f t="shared" si="61"/>
        <v>Финансы, денежное обращение и кредит</v>
      </c>
    </row>
    <row r="1223" spans="1:13" ht="30" hidden="1" customHeight="1" x14ac:dyDescent="0.25">
      <c r="A1223" s="41" t="s">
        <v>2720</v>
      </c>
      <c r="B1223" s="25" t="s">
        <v>1654</v>
      </c>
      <c r="C1223" s="29" t="s">
        <v>664</v>
      </c>
      <c r="D1223" s="29" t="s">
        <v>666</v>
      </c>
      <c r="E1223" s="25" t="s">
        <v>3128</v>
      </c>
      <c r="F1223" s="26" t="s">
        <v>179</v>
      </c>
      <c r="G1223" s="27" t="s">
        <v>123</v>
      </c>
      <c r="H1223" s="27" t="s">
        <v>409</v>
      </c>
      <c r="I1223" s="27"/>
      <c r="J1223" s="27" t="s">
        <v>567</v>
      </c>
      <c r="K1223" s="106" t="str">
        <f t="shared" si="59"/>
        <v>А</v>
      </c>
      <c r="L1223" s="106" t="str">
        <f t="shared" si="60"/>
        <v>Д</v>
      </c>
      <c r="M1223" s="107" t="str">
        <f t="shared" si="61"/>
        <v>Экономика и управление народным хозяйством (по отраслям и сферам деятельности)</v>
      </c>
    </row>
    <row r="1224" spans="1:13" ht="30" hidden="1" customHeight="1" x14ac:dyDescent="0.25">
      <c r="A1224" s="41" t="s">
        <v>2721</v>
      </c>
      <c r="B1224" s="25" t="s">
        <v>1654</v>
      </c>
      <c r="C1224" s="29" t="s">
        <v>664</v>
      </c>
      <c r="D1224" s="29" t="s">
        <v>666</v>
      </c>
      <c r="E1224" s="25" t="s">
        <v>3128</v>
      </c>
      <c r="F1224" s="26" t="s">
        <v>179</v>
      </c>
      <c r="G1224" s="27" t="s">
        <v>123</v>
      </c>
      <c r="H1224" s="27" t="s">
        <v>297</v>
      </c>
      <c r="I1224" s="27"/>
      <c r="J1224" s="27" t="s">
        <v>567</v>
      </c>
      <c r="K1224" s="106" t="str">
        <f t="shared" si="59"/>
        <v>А</v>
      </c>
      <c r="L1224" s="106" t="str">
        <f t="shared" si="60"/>
        <v>Д</v>
      </c>
      <c r="M1224" s="107" t="str">
        <f t="shared" si="61"/>
        <v>Экономическая теория</v>
      </c>
    </row>
    <row r="1225" spans="1:13" ht="30" hidden="1" customHeight="1" x14ac:dyDescent="0.25">
      <c r="A1225" s="41" t="s">
        <v>2005</v>
      </c>
      <c r="B1225" s="25" t="s">
        <v>2711</v>
      </c>
      <c r="C1225" s="29" t="s">
        <v>664</v>
      </c>
      <c r="D1225" s="29" t="s">
        <v>666</v>
      </c>
      <c r="E1225" s="25" t="s">
        <v>3128</v>
      </c>
      <c r="F1225" s="26" t="s">
        <v>179</v>
      </c>
      <c r="G1225" s="27" t="s">
        <v>297</v>
      </c>
      <c r="H1225" s="27" t="s">
        <v>297</v>
      </c>
      <c r="I1225" s="27"/>
      <c r="J1225" s="27" t="s">
        <v>567</v>
      </c>
      <c r="K1225" s="106" t="str">
        <f t="shared" si="59"/>
        <v>А</v>
      </c>
      <c r="L1225" s="106" t="str">
        <f t="shared" si="60"/>
        <v>Д</v>
      </c>
      <c r="M1225" s="107" t="str">
        <f t="shared" si="61"/>
        <v>Экономическая теория</v>
      </c>
    </row>
    <row r="1226" spans="1:13" ht="30" hidden="1" customHeight="1" x14ac:dyDescent="0.25">
      <c r="A1226" s="41" t="s">
        <v>2006</v>
      </c>
      <c r="B1226" s="25" t="s">
        <v>2109</v>
      </c>
      <c r="C1226" s="29" t="s">
        <v>664</v>
      </c>
      <c r="D1226" s="29" t="s">
        <v>666</v>
      </c>
      <c r="E1226" s="25" t="s">
        <v>3128</v>
      </c>
      <c r="F1226" s="26" t="s">
        <v>179</v>
      </c>
      <c r="G1226" s="27" t="s">
        <v>1814</v>
      </c>
      <c r="H1226" s="27" t="s">
        <v>1814</v>
      </c>
      <c r="I1226" s="27"/>
      <c r="J1226" s="27" t="s">
        <v>567</v>
      </c>
      <c r="K1226" s="106" t="str">
        <f t="shared" si="59"/>
        <v>А</v>
      </c>
      <c r="L1226" s="106" t="str">
        <f t="shared" si="60"/>
        <v>Д</v>
      </c>
      <c r="M1226" s="107" t="str">
        <f t="shared" si="61"/>
        <v>Региональная и отраслевая экономика</v>
      </c>
    </row>
    <row r="1227" spans="1:13" ht="30" hidden="1" customHeight="1" x14ac:dyDescent="0.25">
      <c r="A1227" s="41" t="s">
        <v>2007</v>
      </c>
      <c r="B1227" s="25" t="s">
        <v>2109</v>
      </c>
      <c r="C1227" s="29" t="s">
        <v>664</v>
      </c>
      <c r="D1227" s="29" t="s">
        <v>1730</v>
      </c>
      <c r="E1227" s="25" t="s">
        <v>3128</v>
      </c>
      <c r="F1227" s="26" t="s">
        <v>179</v>
      </c>
      <c r="G1227" s="27" t="s">
        <v>1814</v>
      </c>
      <c r="H1227" s="27" t="s">
        <v>1814</v>
      </c>
      <c r="I1227" s="27"/>
      <c r="J1227" s="27" t="s">
        <v>567</v>
      </c>
      <c r="K1227" s="106" t="str">
        <f t="shared" si="59"/>
        <v>А</v>
      </c>
      <c r="L1227" s="106" t="str">
        <f t="shared" si="60"/>
        <v>Д</v>
      </c>
      <c r="M1227" s="107" t="str">
        <f t="shared" si="61"/>
        <v>Региональная и отраслевая экономика (Английский язык)</v>
      </c>
    </row>
    <row r="1228" spans="1:13" ht="30" hidden="1" customHeight="1" x14ac:dyDescent="0.25">
      <c r="A1228" s="41" t="s">
        <v>2008</v>
      </c>
      <c r="B1228" s="25" t="s">
        <v>2712</v>
      </c>
      <c r="C1228" s="29" t="s">
        <v>664</v>
      </c>
      <c r="D1228" s="29" t="s">
        <v>666</v>
      </c>
      <c r="E1228" s="25" t="s">
        <v>3128</v>
      </c>
      <c r="F1228" s="26" t="s">
        <v>179</v>
      </c>
      <c r="G1228" s="27" t="s">
        <v>2009</v>
      </c>
      <c r="H1228" s="27" t="s">
        <v>298</v>
      </c>
      <c r="I1228" s="27"/>
      <c r="J1228" s="27" t="s">
        <v>567</v>
      </c>
      <c r="K1228" s="106" t="str">
        <f t="shared" si="59"/>
        <v>А</v>
      </c>
      <c r="L1228" s="106" t="str">
        <f t="shared" si="60"/>
        <v>Д</v>
      </c>
      <c r="M1228" s="107" t="str">
        <f t="shared" si="61"/>
        <v>Финансы, денежное обращение и кредит</v>
      </c>
    </row>
    <row r="1229" spans="1:13" ht="30" hidden="1" customHeight="1" x14ac:dyDescent="0.25">
      <c r="A1229" s="41" t="s">
        <v>2010</v>
      </c>
      <c r="B1229" s="25" t="s">
        <v>2712</v>
      </c>
      <c r="C1229" s="29" t="s">
        <v>664</v>
      </c>
      <c r="D1229" s="29" t="s">
        <v>1730</v>
      </c>
      <c r="E1229" s="25" t="s">
        <v>3128</v>
      </c>
      <c r="F1229" s="26" t="s">
        <v>179</v>
      </c>
      <c r="G1229" s="27" t="s">
        <v>2009</v>
      </c>
      <c r="H1229" s="27" t="s">
        <v>298</v>
      </c>
      <c r="I1229" s="27"/>
      <c r="J1229" s="27" t="s">
        <v>567</v>
      </c>
      <c r="K1229" s="106" t="str">
        <f t="shared" si="59"/>
        <v>А</v>
      </c>
      <c r="L1229" s="106" t="str">
        <f t="shared" si="60"/>
        <v>Д</v>
      </c>
      <c r="M1229" s="107" t="str">
        <f t="shared" si="61"/>
        <v>Финансы, денежное обращение и кредит (Английский язык)</v>
      </c>
    </row>
    <row r="1230" spans="1:13" ht="30" hidden="1" customHeight="1" x14ac:dyDescent="0.25">
      <c r="A1230" s="41" t="s">
        <v>2011</v>
      </c>
      <c r="B1230" s="25" t="s">
        <v>2713</v>
      </c>
      <c r="C1230" s="29" t="s">
        <v>664</v>
      </c>
      <c r="D1230" s="29" t="s">
        <v>666</v>
      </c>
      <c r="E1230" s="25" t="s">
        <v>3128</v>
      </c>
      <c r="F1230" s="26" t="s">
        <v>179</v>
      </c>
      <c r="G1230" s="27" t="s">
        <v>181</v>
      </c>
      <c r="H1230" s="27" t="s">
        <v>181</v>
      </c>
      <c r="I1230" s="27"/>
      <c r="J1230" s="27" t="s">
        <v>567</v>
      </c>
      <c r="K1230" s="106" t="str">
        <f t="shared" si="59"/>
        <v>А</v>
      </c>
      <c r="L1230" s="106" t="str">
        <f t="shared" si="60"/>
        <v>Д</v>
      </c>
      <c r="M1230" s="107" t="str">
        <f t="shared" si="61"/>
        <v>Мировая экономика</v>
      </c>
    </row>
    <row r="1231" spans="1:13" ht="30" hidden="1" customHeight="1" x14ac:dyDescent="0.25">
      <c r="A1231" s="41" t="s">
        <v>2012</v>
      </c>
      <c r="B1231" s="25" t="s">
        <v>2713</v>
      </c>
      <c r="C1231" s="29" t="s">
        <v>664</v>
      </c>
      <c r="D1231" s="29" t="s">
        <v>1730</v>
      </c>
      <c r="E1231" s="25" t="s">
        <v>3128</v>
      </c>
      <c r="F1231" s="26" t="s">
        <v>179</v>
      </c>
      <c r="G1231" s="27" t="s">
        <v>181</v>
      </c>
      <c r="H1231" s="27" t="s">
        <v>181</v>
      </c>
      <c r="I1231" s="27"/>
      <c r="J1231" s="27" t="s">
        <v>567</v>
      </c>
      <c r="K1231" s="106" t="str">
        <f t="shared" si="59"/>
        <v>А</v>
      </c>
      <c r="L1231" s="106" t="str">
        <f t="shared" si="60"/>
        <v>Д</v>
      </c>
      <c r="M1231" s="107" t="str">
        <f t="shared" si="61"/>
        <v>Мировая экономика (Английский язык)</v>
      </c>
    </row>
    <row r="1232" spans="1:13" ht="30" hidden="1" customHeight="1" x14ac:dyDescent="0.25">
      <c r="A1232" s="41" t="s">
        <v>2013</v>
      </c>
      <c r="B1232" s="25" t="s">
        <v>2108</v>
      </c>
      <c r="C1232" s="29" t="s">
        <v>664</v>
      </c>
      <c r="D1232" s="29" t="s">
        <v>666</v>
      </c>
      <c r="E1232" s="25" t="s">
        <v>3128</v>
      </c>
      <c r="F1232" s="26" t="s">
        <v>179</v>
      </c>
      <c r="G1232" s="27" t="s">
        <v>300</v>
      </c>
      <c r="H1232" s="27" t="s">
        <v>300</v>
      </c>
      <c r="I1232" s="27"/>
      <c r="J1232" s="27" t="s">
        <v>567</v>
      </c>
      <c r="K1232" s="106" t="str">
        <f t="shared" si="59"/>
        <v>А</v>
      </c>
      <c r="L1232" s="106" t="str">
        <f t="shared" si="60"/>
        <v>Д</v>
      </c>
      <c r="M1232" s="107" t="str">
        <f t="shared" si="61"/>
        <v>Менеджмент</v>
      </c>
    </row>
    <row r="1233" spans="1:13" ht="30" hidden="1" customHeight="1" x14ac:dyDescent="0.25">
      <c r="A1233" s="41" t="s">
        <v>2681</v>
      </c>
      <c r="B1233" s="25" t="s">
        <v>1654</v>
      </c>
      <c r="C1233" s="29" t="s">
        <v>665</v>
      </c>
      <c r="D1233" s="29" t="s">
        <v>666</v>
      </c>
      <c r="E1233" s="25" t="s">
        <v>1732</v>
      </c>
      <c r="F1233" s="26" t="s">
        <v>179</v>
      </c>
      <c r="G1233" s="27" t="s">
        <v>123</v>
      </c>
      <c r="H1233" s="27" t="s">
        <v>300</v>
      </c>
      <c r="I1233" s="27"/>
      <c r="J1233" s="27" t="s">
        <v>567</v>
      </c>
      <c r="K1233" s="106" t="str">
        <f t="shared" si="59"/>
        <v>А</v>
      </c>
      <c r="L1233" s="106" t="str">
        <f t="shared" si="60"/>
        <v>З</v>
      </c>
      <c r="M1233" s="107" t="str">
        <f t="shared" si="61"/>
        <v>Менеджмент</v>
      </c>
    </row>
    <row r="1234" spans="1:13" ht="30" hidden="1" customHeight="1" x14ac:dyDescent="0.25">
      <c r="A1234" s="41" t="s">
        <v>2682</v>
      </c>
      <c r="B1234" s="25" t="s">
        <v>1654</v>
      </c>
      <c r="C1234" s="29" t="s">
        <v>665</v>
      </c>
      <c r="D1234" s="29" t="s">
        <v>666</v>
      </c>
      <c r="E1234" s="25" t="s">
        <v>1732</v>
      </c>
      <c r="F1234" s="26" t="s">
        <v>179</v>
      </c>
      <c r="G1234" s="27" t="s">
        <v>123</v>
      </c>
      <c r="H1234" s="27" t="s">
        <v>301</v>
      </c>
      <c r="I1234" s="27"/>
      <c r="J1234" s="27" t="s">
        <v>567</v>
      </c>
      <c r="K1234" s="106" t="str">
        <f t="shared" si="59"/>
        <v>А</v>
      </c>
      <c r="L1234" s="106" t="str">
        <f t="shared" si="60"/>
        <v>З</v>
      </c>
      <c r="M1234" s="107" t="str">
        <f t="shared" si="61"/>
        <v>Управление инновациями</v>
      </c>
    </row>
    <row r="1235" spans="1:13" ht="30" hidden="1" customHeight="1" x14ac:dyDescent="0.25">
      <c r="A1235" s="41" t="s">
        <v>2714</v>
      </c>
      <c r="B1235" s="25" t="s">
        <v>1654</v>
      </c>
      <c r="C1235" s="29" t="s">
        <v>665</v>
      </c>
      <c r="D1235" s="29" t="s">
        <v>666</v>
      </c>
      <c r="E1235" s="25" t="s">
        <v>1732</v>
      </c>
      <c r="F1235" s="26" t="s">
        <v>179</v>
      </c>
      <c r="G1235" s="27" t="s">
        <v>123</v>
      </c>
      <c r="H1235" s="27" t="s">
        <v>299</v>
      </c>
      <c r="I1235" s="27"/>
      <c r="J1235" s="27" t="s">
        <v>567</v>
      </c>
      <c r="K1235" s="106" t="str">
        <f t="shared" si="59"/>
        <v>А</v>
      </c>
      <c r="L1235" s="106" t="str">
        <f t="shared" si="60"/>
        <v>З</v>
      </c>
      <c r="M1235" s="107" t="str">
        <f t="shared" si="61"/>
        <v>Бухгалтерский учет, статистика</v>
      </c>
    </row>
    <row r="1236" spans="1:13" ht="30" hidden="1" customHeight="1" x14ac:dyDescent="0.25">
      <c r="A1236" s="41" t="s">
        <v>2722</v>
      </c>
      <c r="B1236" s="25" t="s">
        <v>1654</v>
      </c>
      <c r="C1236" s="29" t="s">
        <v>665</v>
      </c>
      <c r="D1236" s="29" t="s">
        <v>666</v>
      </c>
      <c r="E1236" s="25" t="s">
        <v>1732</v>
      </c>
      <c r="F1236" s="26" t="s">
        <v>179</v>
      </c>
      <c r="G1236" s="27" t="s">
        <v>123</v>
      </c>
      <c r="H1236" s="27" t="s">
        <v>181</v>
      </c>
      <c r="I1236" s="27"/>
      <c r="J1236" s="27" t="s">
        <v>567</v>
      </c>
      <c r="K1236" s="106" t="str">
        <f t="shared" si="59"/>
        <v>А</v>
      </c>
      <c r="L1236" s="106" t="str">
        <f t="shared" si="60"/>
        <v>З</v>
      </c>
      <c r="M1236" s="107" t="str">
        <f t="shared" si="61"/>
        <v>Мировая экономика</v>
      </c>
    </row>
    <row r="1237" spans="1:13" ht="30" hidden="1" customHeight="1" x14ac:dyDescent="0.25">
      <c r="A1237" s="41" t="s">
        <v>2723</v>
      </c>
      <c r="B1237" s="25" t="s">
        <v>1654</v>
      </c>
      <c r="C1237" s="29" t="s">
        <v>665</v>
      </c>
      <c r="D1237" s="29" t="s">
        <v>666</v>
      </c>
      <c r="E1237" s="25" t="s">
        <v>1732</v>
      </c>
      <c r="F1237" s="26" t="s">
        <v>179</v>
      </c>
      <c r="G1237" s="27" t="s">
        <v>123</v>
      </c>
      <c r="H1237" s="27" t="s">
        <v>298</v>
      </c>
      <c r="I1237" s="27"/>
      <c r="J1237" s="27" t="s">
        <v>567</v>
      </c>
      <c r="K1237" s="106" t="str">
        <f t="shared" si="59"/>
        <v>А</v>
      </c>
      <c r="L1237" s="106" t="str">
        <f t="shared" si="60"/>
        <v>З</v>
      </c>
      <c r="M1237" s="107" t="str">
        <f t="shared" si="61"/>
        <v>Финансы, денежное обращение и кредит</v>
      </c>
    </row>
    <row r="1238" spans="1:13" ht="30" hidden="1" customHeight="1" x14ac:dyDescent="0.25">
      <c r="A1238" s="41" t="s">
        <v>2724</v>
      </c>
      <c r="B1238" s="25" t="s">
        <v>1654</v>
      </c>
      <c r="C1238" s="29" t="s">
        <v>665</v>
      </c>
      <c r="D1238" s="29" t="s">
        <v>666</v>
      </c>
      <c r="E1238" s="25" t="s">
        <v>1732</v>
      </c>
      <c r="F1238" s="26" t="s">
        <v>179</v>
      </c>
      <c r="G1238" s="27" t="s">
        <v>123</v>
      </c>
      <c r="H1238" s="27" t="s">
        <v>409</v>
      </c>
      <c r="I1238" s="27"/>
      <c r="J1238" s="27" t="s">
        <v>567</v>
      </c>
      <c r="K1238" s="106" t="str">
        <f t="shared" si="59"/>
        <v>А</v>
      </c>
      <c r="L1238" s="106" t="str">
        <f t="shared" si="60"/>
        <v>З</v>
      </c>
      <c r="M1238" s="107" t="str">
        <f t="shared" si="61"/>
        <v>Экономика и управление народным хозяйством (по отраслям и сферам деятельности)</v>
      </c>
    </row>
    <row r="1239" spans="1:13" ht="30" hidden="1" customHeight="1" x14ac:dyDescent="0.25">
      <c r="A1239" s="41" t="s">
        <v>2725</v>
      </c>
      <c r="B1239" s="25" t="s">
        <v>1654</v>
      </c>
      <c r="C1239" s="29" t="s">
        <v>665</v>
      </c>
      <c r="D1239" s="29" t="s">
        <v>666</v>
      </c>
      <c r="E1239" s="25" t="s">
        <v>1732</v>
      </c>
      <c r="F1239" s="26" t="s">
        <v>179</v>
      </c>
      <c r="G1239" s="27" t="s">
        <v>123</v>
      </c>
      <c r="H1239" s="27" t="s">
        <v>297</v>
      </c>
      <c r="I1239" s="27"/>
      <c r="J1239" s="27" t="s">
        <v>567</v>
      </c>
      <c r="K1239" s="106" t="str">
        <f t="shared" si="59"/>
        <v>А</v>
      </c>
      <c r="L1239" s="106" t="str">
        <f t="shared" si="60"/>
        <v>З</v>
      </c>
      <c r="M1239" s="107" t="str">
        <f t="shared" si="61"/>
        <v>Экономическая теория</v>
      </c>
    </row>
    <row r="1240" spans="1:13" ht="30" hidden="1" customHeight="1" x14ac:dyDescent="0.25">
      <c r="A1240" s="41" t="s">
        <v>1604</v>
      </c>
      <c r="B1240" s="25" t="s">
        <v>1586</v>
      </c>
      <c r="C1240" s="29" t="s">
        <v>664</v>
      </c>
      <c r="D1240" s="29" t="s">
        <v>666</v>
      </c>
      <c r="E1240" s="25" t="s">
        <v>3123</v>
      </c>
      <c r="F1240" s="26" t="s">
        <v>662</v>
      </c>
      <c r="G1240" s="27" t="s">
        <v>161</v>
      </c>
      <c r="H1240" s="27" t="s">
        <v>985</v>
      </c>
      <c r="I1240" s="27"/>
      <c r="J1240" s="27" t="s">
        <v>568</v>
      </c>
      <c r="K1240" s="106" t="str">
        <f t="shared" si="59"/>
        <v>С</v>
      </c>
      <c r="L1240" s="106" t="str">
        <f t="shared" si="60"/>
        <v>Д</v>
      </c>
      <c r="M1240" s="107" t="str">
        <f t="shared" si="61"/>
        <v>Таможенное регулирование внешнеэкономической деятельности</v>
      </c>
    </row>
    <row r="1241" spans="1:13" ht="30" hidden="1" customHeight="1" x14ac:dyDescent="0.25">
      <c r="A1241" s="41" t="s">
        <v>2787</v>
      </c>
      <c r="B1241" s="25" t="s">
        <v>1586</v>
      </c>
      <c r="C1241" s="29" t="s">
        <v>664</v>
      </c>
      <c r="D1241" s="29" t="s">
        <v>666</v>
      </c>
      <c r="E1241" s="25" t="s">
        <v>3123</v>
      </c>
      <c r="F1241" s="26" t="s">
        <v>662</v>
      </c>
      <c r="G1241" s="27" t="s">
        <v>161</v>
      </c>
      <c r="H1241" s="27" t="s">
        <v>986</v>
      </c>
      <c r="I1241" s="27"/>
      <c r="J1241" s="27" t="s">
        <v>568</v>
      </c>
      <c r="K1241" s="106" t="str">
        <f t="shared" si="59"/>
        <v>С</v>
      </c>
      <c r="L1241" s="106" t="str">
        <f t="shared" si="60"/>
        <v>Д</v>
      </c>
      <c r="M1241" s="107" t="str">
        <f t="shared" si="61"/>
        <v>Таможенные платежи</v>
      </c>
    </row>
    <row r="1242" spans="1:13" ht="30" hidden="1" customHeight="1" x14ac:dyDescent="0.25">
      <c r="A1242" s="41" t="s">
        <v>2785</v>
      </c>
      <c r="B1242" s="25" t="s">
        <v>1586</v>
      </c>
      <c r="C1242" s="29" t="s">
        <v>663</v>
      </c>
      <c r="D1242" s="29" t="s">
        <v>666</v>
      </c>
      <c r="E1242" s="25" t="s">
        <v>3131</v>
      </c>
      <c r="F1242" s="26" t="s">
        <v>662</v>
      </c>
      <c r="G1242" s="27" t="s">
        <v>161</v>
      </c>
      <c r="H1242" s="27" t="s">
        <v>985</v>
      </c>
      <c r="I1242" s="27"/>
      <c r="J1242" s="27" t="s">
        <v>568</v>
      </c>
      <c r="K1242" s="106" t="str">
        <f t="shared" si="59"/>
        <v>С</v>
      </c>
      <c r="L1242" s="106" t="str">
        <f t="shared" si="60"/>
        <v>В</v>
      </c>
      <c r="M1242" s="107" t="str">
        <f t="shared" si="61"/>
        <v>Таможенное регулирование внешнеэкономической деятельности</v>
      </c>
    </row>
    <row r="1243" spans="1:13" ht="30" hidden="1" customHeight="1" x14ac:dyDescent="0.25">
      <c r="A1243" s="41" t="s">
        <v>2788</v>
      </c>
      <c r="B1243" s="25" t="s">
        <v>1586</v>
      </c>
      <c r="C1243" s="29" t="s">
        <v>663</v>
      </c>
      <c r="D1243" s="29" t="s">
        <v>666</v>
      </c>
      <c r="E1243" s="25" t="s">
        <v>3131</v>
      </c>
      <c r="F1243" s="26" t="s">
        <v>662</v>
      </c>
      <c r="G1243" s="27" t="s">
        <v>161</v>
      </c>
      <c r="H1243" s="27" t="s">
        <v>986</v>
      </c>
      <c r="I1243" s="27"/>
      <c r="J1243" s="27" t="s">
        <v>568</v>
      </c>
      <c r="K1243" s="106" t="str">
        <f t="shared" si="59"/>
        <v>С</v>
      </c>
      <c r="L1243" s="106" t="str">
        <f t="shared" si="60"/>
        <v>В</v>
      </c>
      <c r="M1243" s="107" t="str">
        <f t="shared" si="61"/>
        <v>Таможенные платежи</v>
      </c>
    </row>
    <row r="1244" spans="1:13" ht="30" hidden="1" customHeight="1" x14ac:dyDescent="0.25">
      <c r="A1244" s="41" t="s">
        <v>2784</v>
      </c>
      <c r="B1244" s="25" t="s">
        <v>1586</v>
      </c>
      <c r="C1244" s="29" t="s">
        <v>665</v>
      </c>
      <c r="D1244" s="29" t="s">
        <v>666</v>
      </c>
      <c r="E1244" s="25" t="s">
        <v>3131</v>
      </c>
      <c r="F1244" s="26" t="s">
        <v>662</v>
      </c>
      <c r="G1244" s="27" t="s">
        <v>161</v>
      </c>
      <c r="H1244" s="27" t="s">
        <v>985</v>
      </c>
      <c r="I1244" s="27"/>
      <c r="J1244" s="27" t="s">
        <v>568</v>
      </c>
      <c r="K1244" s="106" t="str">
        <f t="shared" si="59"/>
        <v>С</v>
      </c>
      <c r="L1244" s="106" t="str">
        <f t="shared" si="60"/>
        <v>З</v>
      </c>
      <c r="M1244" s="107" t="str">
        <f t="shared" si="61"/>
        <v>Таможенное регулирование внешнеэкономической деятельности</v>
      </c>
    </row>
    <row r="1245" spans="1:13" ht="30" hidden="1" customHeight="1" x14ac:dyDescent="0.25">
      <c r="A1245" s="41" t="s">
        <v>2786</v>
      </c>
      <c r="B1245" s="25" t="s">
        <v>1586</v>
      </c>
      <c r="C1245" s="29" t="s">
        <v>665</v>
      </c>
      <c r="D1245" s="29" t="s">
        <v>666</v>
      </c>
      <c r="E1245" s="25" t="s">
        <v>3131</v>
      </c>
      <c r="F1245" s="26" t="s">
        <v>662</v>
      </c>
      <c r="G1245" s="27" t="s">
        <v>161</v>
      </c>
      <c r="H1245" s="27" t="s">
        <v>986</v>
      </c>
      <c r="I1245" s="27"/>
      <c r="J1245" s="27" t="s">
        <v>568</v>
      </c>
      <c r="K1245" s="106" t="str">
        <f t="shared" si="59"/>
        <v>С</v>
      </c>
      <c r="L1245" s="106" t="str">
        <f t="shared" si="60"/>
        <v>З</v>
      </c>
      <c r="M1245" s="107" t="str">
        <f t="shared" si="61"/>
        <v>Таможенные платежи</v>
      </c>
    </row>
    <row r="1246" spans="1:13" ht="30" hidden="1" customHeight="1" x14ac:dyDescent="0.25">
      <c r="A1246" s="41" t="s">
        <v>1605</v>
      </c>
      <c r="B1246" s="25" t="s">
        <v>1606</v>
      </c>
      <c r="C1246" s="29" t="s">
        <v>664</v>
      </c>
      <c r="D1246" s="29" t="s">
        <v>666</v>
      </c>
      <c r="E1246" s="25" t="s">
        <v>1732</v>
      </c>
      <c r="F1246" s="26" t="s">
        <v>113</v>
      </c>
      <c r="G1246" s="27" t="s">
        <v>271</v>
      </c>
      <c r="H1246" s="27" t="s">
        <v>271</v>
      </c>
      <c r="I1246" s="27"/>
      <c r="J1246" s="27" t="s">
        <v>568</v>
      </c>
      <c r="K1246" s="106" t="str">
        <f t="shared" si="59"/>
        <v>Б</v>
      </c>
      <c r="L1246" s="106" t="str">
        <f t="shared" si="60"/>
        <v>Д</v>
      </c>
      <c r="M1246" s="107" t="str">
        <f t="shared" si="61"/>
        <v>Юриспруденция</v>
      </c>
    </row>
    <row r="1247" spans="1:13" ht="30" hidden="1" customHeight="1" x14ac:dyDescent="0.25">
      <c r="A1247" s="41" t="s">
        <v>1607</v>
      </c>
      <c r="B1247" s="25" t="s">
        <v>1606</v>
      </c>
      <c r="C1247" s="29" t="s">
        <v>664</v>
      </c>
      <c r="D1247" s="29" t="s">
        <v>666</v>
      </c>
      <c r="E1247" s="25" t="s">
        <v>1732</v>
      </c>
      <c r="F1247" s="26" t="s">
        <v>113</v>
      </c>
      <c r="G1247" s="27" t="s">
        <v>271</v>
      </c>
      <c r="H1247" s="27" t="s">
        <v>162</v>
      </c>
      <c r="I1247" s="27"/>
      <c r="J1247" s="27" t="s">
        <v>568</v>
      </c>
      <c r="K1247" s="106" t="str">
        <f t="shared" si="59"/>
        <v>Б</v>
      </c>
      <c r="L1247" s="106" t="str">
        <f t="shared" si="60"/>
        <v>Д</v>
      </c>
      <c r="M1247" s="107" t="str">
        <f t="shared" si="61"/>
        <v>Международное право</v>
      </c>
    </row>
    <row r="1248" spans="1:13" ht="30" hidden="1" customHeight="1" x14ac:dyDescent="0.25">
      <c r="A1248" s="41" t="s">
        <v>1608</v>
      </c>
      <c r="B1248" s="25" t="s">
        <v>1606</v>
      </c>
      <c r="C1248" s="29" t="s">
        <v>664</v>
      </c>
      <c r="D1248" s="29" t="s">
        <v>1730</v>
      </c>
      <c r="E1248" s="25" t="s">
        <v>1732</v>
      </c>
      <c r="F1248" s="26" t="s">
        <v>113</v>
      </c>
      <c r="G1248" s="27" t="s">
        <v>271</v>
      </c>
      <c r="H1248" s="27" t="s">
        <v>2736</v>
      </c>
      <c r="I1248" s="27"/>
      <c r="J1248" s="27" t="s">
        <v>568</v>
      </c>
      <c r="K1248" s="106" t="str">
        <f t="shared" si="59"/>
        <v>Б</v>
      </c>
      <c r="L1248" s="106" t="str">
        <f t="shared" si="60"/>
        <v>Д</v>
      </c>
      <c r="M1248" s="107" t="str">
        <f t="shared" si="61"/>
        <v>Бакалавр права (Английский язык)</v>
      </c>
    </row>
    <row r="1249" spans="1:13" ht="30" hidden="1" customHeight="1" x14ac:dyDescent="0.25">
      <c r="A1249" s="41" t="s">
        <v>2941</v>
      </c>
      <c r="B1249" s="25" t="s">
        <v>1606</v>
      </c>
      <c r="C1249" s="29" t="s">
        <v>664</v>
      </c>
      <c r="D1249" s="29" t="s">
        <v>666</v>
      </c>
      <c r="E1249" s="25" t="s">
        <v>1732</v>
      </c>
      <c r="F1249" s="26" t="s">
        <v>113</v>
      </c>
      <c r="G1249" s="27" t="s">
        <v>271</v>
      </c>
      <c r="H1249" s="27" t="s">
        <v>2940</v>
      </c>
      <c r="I1249" s="27"/>
      <c r="J1249" s="27" t="s">
        <v>568</v>
      </c>
      <c r="K1249" s="106" t="str">
        <f t="shared" si="59"/>
        <v>Б</v>
      </c>
      <c r="L1249" s="106" t="str">
        <f t="shared" si="60"/>
        <v>Д</v>
      </c>
      <c r="M1249" s="107" t="str">
        <f t="shared" si="61"/>
        <v>Бакалавр права и политики</v>
      </c>
    </row>
    <row r="1250" spans="1:13" ht="30" hidden="1" customHeight="1" x14ac:dyDescent="0.25">
      <c r="A1250" s="41" t="s">
        <v>2939</v>
      </c>
      <c r="B1250" s="25" t="s">
        <v>1404</v>
      </c>
      <c r="C1250" s="29" t="s">
        <v>664</v>
      </c>
      <c r="D1250" s="29" t="s">
        <v>666</v>
      </c>
      <c r="E1250" s="25" t="s">
        <v>1732</v>
      </c>
      <c r="F1250" s="26" t="s">
        <v>113</v>
      </c>
      <c r="G1250" s="27" t="s">
        <v>152</v>
      </c>
      <c r="H1250" s="27" t="s">
        <v>2940</v>
      </c>
      <c r="I1250" s="27"/>
      <c r="J1250" s="27" t="s">
        <v>568</v>
      </c>
      <c r="K1250" s="106" t="str">
        <f t="shared" si="59"/>
        <v>Б</v>
      </c>
      <c r="L1250" s="106" t="str">
        <f t="shared" si="60"/>
        <v>Д</v>
      </c>
      <c r="M1250" s="107" t="str">
        <f t="shared" si="61"/>
        <v>Бакалавр права и политики</v>
      </c>
    </row>
    <row r="1251" spans="1:13" ht="30" hidden="1" customHeight="1" x14ac:dyDescent="0.25">
      <c r="A1251" s="41" t="s">
        <v>1642</v>
      </c>
      <c r="B1251" s="25" t="s">
        <v>1606</v>
      </c>
      <c r="C1251" s="29" t="s">
        <v>663</v>
      </c>
      <c r="D1251" s="29" t="s">
        <v>666</v>
      </c>
      <c r="E1251" s="25" t="s">
        <v>3125</v>
      </c>
      <c r="F1251" s="26" t="s">
        <v>113</v>
      </c>
      <c r="G1251" s="27" t="s">
        <v>271</v>
      </c>
      <c r="H1251" s="27" t="s">
        <v>271</v>
      </c>
      <c r="I1251" s="27"/>
      <c r="J1251" s="27" t="s">
        <v>568</v>
      </c>
      <c r="K1251" s="106" t="str">
        <f t="shared" si="59"/>
        <v>Б</v>
      </c>
      <c r="L1251" s="106" t="str">
        <f t="shared" si="60"/>
        <v>В</v>
      </c>
      <c r="M1251" s="107" t="str">
        <f t="shared" si="61"/>
        <v>Юриспруденция</v>
      </c>
    </row>
    <row r="1252" spans="1:13" ht="30" hidden="1" customHeight="1" x14ac:dyDescent="0.25">
      <c r="A1252" s="41" t="s">
        <v>1643</v>
      </c>
      <c r="B1252" s="25" t="s">
        <v>1606</v>
      </c>
      <c r="C1252" s="29" t="s">
        <v>663</v>
      </c>
      <c r="D1252" s="29" t="s">
        <v>666</v>
      </c>
      <c r="E1252" s="25" t="s">
        <v>3125</v>
      </c>
      <c r="F1252" s="26" t="s">
        <v>113</v>
      </c>
      <c r="G1252" s="27" t="s">
        <v>271</v>
      </c>
      <c r="H1252" s="27" t="s">
        <v>442</v>
      </c>
      <c r="I1252" s="27"/>
      <c r="J1252" s="27" t="s">
        <v>568</v>
      </c>
      <c r="K1252" s="106" t="str">
        <f t="shared" si="59"/>
        <v>Б</v>
      </c>
      <c r="L1252" s="106" t="str">
        <f t="shared" si="60"/>
        <v>В</v>
      </c>
      <c r="M1252" s="107" t="str">
        <f t="shared" si="61"/>
        <v>Международное право (с элементами электронного обучения)</v>
      </c>
    </row>
    <row r="1253" spans="1:13" ht="30" hidden="1" customHeight="1" x14ac:dyDescent="0.25">
      <c r="A1253" s="41" t="s">
        <v>2737</v>
      </c>
      <c r="B1253" s="25" t="s">
        <v>1606</v>
      </c>
      <c r="C1253" s="29" t="s">
        <v>665</v>
      </c>
      <c r="D1253" s="29" t="s">
        <v>666</v>
      </c>
      <c r="E1253" s="25" t="s">
        <v>1732</v>
      </c>
      <c r="F1253" s="26" t="s">
        <v>113</v>
      </c>
      <c r="G1253" s="27" t="s">
        <v>271</v>
      </c>
      <c r="H1253" s="27" t="s">
        <v>271</v>
      </c>
      <c r="I1253" s="27" t="s">
        <v>926</v>
      </c>
      <c r="J1253" s="27" t="s">
        <v>568</v>
      </c>
      <c r="K1253" s="106" t="str">
        <f t="shared" si="59"/>
        <v>Б</v>
      </c>
      <c r="L1253" s="106" t="str">
        <f t="shared" si="60"/>
        <v>З</v>
      </c>
      <c r="M1253" s="107" t="str">
        <f t="shared" si="61"/>
        <v>Юриспруденция (Вуз-партнёр - СУ СНГ)</v>
      </c>
    </row>
    <row r="1254" spans="1:13" ht="30" hidden="1" customHeight="1" x14ac:dyDescent="0.25">
      <c r="A1254" s="41" t="s">
        <v>1609</v>
      </c>
      <c r="B1254" s="25" t="s">
        <v>1610</v>
      </c>
      <c r="C1254" s="29" t="s">
        <v>664</v>
      </c>
      <c r="D1254" s="29" t="s">
        <v>666</v>
      </c>
      <c r="E1254" s="25" t="s">
        <v>3126</v>
      </c>
      <c r="F1254" s="26" t="s">
        <v>115</v>
      </c>
      <c r="G1254" s="27" t="s">
        <v>271</v>
      </c>
      <c r="H1254" s="27" t="s">
        <v>162</v>
      </c>
      <c r="I1254" s="27"/>
      <c r="J1254" s="27" t="s">
        <v>568</v>
      </c>
      <c r="K1254" s="106" t="str">
        <f t="shared" si="59"/>
        <v>М</v>
      </c>
      <c r="L1254" s="106" t="str">
        <f t="shared" si="60"/>
        <v>Д</v>
      </c>
      <c r="M1254" s="107" t="str">
        <f t="shared" si="61"/>
        <v>Международное право</v>
      </c>
    </row>
    <row r="1255" spans="1:13" ht="30" hidden="1" customHeight="1" x14ac:dyDescent="0.25">
      <c r="A1255" s="41" t="s">
        <v>1611</v>
      </c>
      <c r="B1255" s="25" t="s">
        <v>1610</v>
      </c>
      <c r="C1255" s="29" t="s">
        <v>664</v>
      </c>
      <c r="D1255" s="29" t="s">
        <v>666</v>
      </c>
      <c r="E1255" s="25" t="s">
        <v>3126</v>
      </c>
      <c r="F1255" s="26" t="s">
        <v>115</v>
      </c>
      <c r="G1255" s="27" t="s">
        <v>271</v>
      </c>
      <c r="H1255" s="27" t="s">
        <v>272</v>
      </c>
      <c r="I1255" s="27"/>
      <c r="J1255" s="27" t="s">
        <v>568</v>
      </c>
      <c r="K1255" s="106" t="str">
        <f t="shared" si="59"/>
        <v>М</v>
      </c>
      <c r="L1255" s="106" t="str">
        <f t="shared" si="60"/>
        <v>Д</v>
      </c>
      <c r="M1255" s="107" t="str">
        <f t="shared" si="61"/>
        <v>Международная защита прав человека</v>
      </c>
    </row>
    <row r="1256" spans="1:13" ht="30" hidden="1" customHeight="1" x14ac:dyDescent="0.25">
      <c r="A1256" s="41" t="s">
        <v>1612</v>
      </c>
      <c r="B1256" s="25" t="s">
        <v>1610</v>
      </c>
      <c r="C1256" s="29" t="s">
        <v>664</v>
      </c>
      <c r="D1256" s="29" t="s">
        <v>1730</v>
      </c>
      <c r="E1256" s="25" t="s">
        <v>3126</v>
      </c>
      <c r="F1256" s="26" t="s">
        <v>115</v>
      </c>
      <c r="G1256" s="27" t="s">
        <v>271</v>
      </c>
      <c r="H1256" s="27" t="s">
        <v>272</v>
      </c>
      <c r="I1256" s="27"/>
      <c r="J1256" s="27" t="s">
        <v>568</v>
      </c>
      <c r="K1256" s="106" t="str">
        <f t="shared" si="59"/>
        <v>М</v>
      </c>
      <c r="L1256" s="106" t="str">
        <f t="shared" si="60"/>
        <v>Д</v>
      </c>
      <c r="M1256" s="107" t="str">
        <f t="shared" si="61"/>
        <v>Международная защита прав человека (Английский язык)</v>
      </c>
    </row>
    <row r="1257" spans="1:13" ht="30" hidden="1" customHeight="1" x14ac:dyDescent="0.25">
      <c r="A1257" s="41" t="s">
        <v>1613</v>
      </c>
      <c r="B1257" s="25" t="s">
        <v>1610</v>
      </c>
      <c r="C1257" s="29" t="s">
        <v>664</v>
      </c>
      <c r="D1257" s="29" t="s">
        <v>666</v>
      </c>
      <c r="E1257" s="25" t="s">
        <v>3126</v>
      </c>
      <c r="F1257" s="26" t="s">
        <v>115</v>
      </c>
      <c r="G1257" s="27" t="s">
        <v>271</v>
      </c>
      <c r="H1257" s="27" t="s">
        <v>273</v>
      </c>
      <c r="I1257" s="27"/>
      <c r="J1257" s="27" t="s">
        <v>568</v>
      </c>
      <c r="K1257" s="106" t="str">
        <f t="shared" si="59"/>
        <v>М</v>
      </c>
      <c r="L1257" s="106" t="str">
        <f t="shared" si="60"/>
        <v>Д</v>
      </c>
      <c r="M1257" s="107" t="str">
        <f t="shared" si="61"/>
        <v>Гражданское право, семейное право, предпринимательское право, международное частное право</v>
      </c>
    </row>
    <row r="1258" spans="1:13" ht="30" hidden="1" customHeight="1" x14ac:dyDescent="0.25">
      <c r="A1258" s="41" t="s">
        <v>1614</v>
      </c>
      <c r="B1258" s="25" t="s">
        <v>1610</v>
      </c>
      <c r="C1258" s="29" t="s">
        <v>664</v>
      </c>
      <c r="D1258" s="29" t="s">
        <v>666</v>
      </c>
      <c r="E1258" s="25" t="s">
        <v>3126</v>
      </c>
      <c r="F1258" s="26" t="s">
        <v>115</v>
      </c>
      <c r="G1258" s="27" t="s">
        <v>271</v>
      </c>
      <c r="H1258" s="27" t="s">
        <v>274</v>
      </c>
      <c r="I1258" s="27"/>
      <c r="J1258" s="27" t="s">
        <v>568</v>
      </c>
      <c r="K1258" s="106" t="str">
        <f t="shared" si="59"/>
        <v>М</v>
      </c>
      <c r="L1258" s="106" t="str">
        <f t="shared" si="60"/>
        <v>Д</v>
      </c>
      <c r="M1258" s="107" t="str">
        <f t="shared" si="61"/>
        <v>Гражданский процесс, арбитражный процесс</v>
      </c>
    </row>
    <row r="1259" spans="1:13" ht="30" hidden="1" customHeight="1" x14ac:dyDescent="0.25">
      <c r="A1259" s="41" t="s">
        <v>1615</v>
      </c>
      <c r="B1259" s="25" t="s">
        <v>1610</v>
      </c>
      <c r="C1259" s="29" t="s">
        <v>664</v>
      </c>
      <c r="D1259" s="29" t="s">
        <v>1730</v>
      </c>
      <c r="E1259" s="25" t="s">
        <v>3126</v>
      </c>
      <c r="F1259" s="26" t="s">
        <v>115</v>
      </c>
      <c r="G1259" s="27" t="s">
        <v>271</v>
      </c>
      <c r="H1259" s="27" t="s">
        <v>657</v>
      </c>
      <c r="I1259" s="27"/>
      <c r="J1259" s="27" t="s">
        <v>568</v>
      </c>
      <c r="K1259" s="106" t="str">
        <f t="shared" si="59"/>
        <v>М</v>
      </c>
      <c r="L1259" s="106" t="str">
        <f t="shared" si="60"/>
        <v>Д</v>
      </c>
      <c r="M1259" s="107" t="str">
        <f t="shared" si="61"/>
        <v>Международное частное право (Английский язык)</v>
      </c>
    </row>
    <row r="1260" spans="1:13" ht="30" hidden="1" customHeight="1" x14ac:dyDescent="0.25">
      <c r="A1260" s="41" t="s">
        <v>1616</v>
      </c>
      <c r="B1260" s="25" t="s">
        <v>1610</v>
      </c>
      <c r="C1260" s="29" t="s">
        <v>664</v>
      </c>
      <c r="D1260" s="29" t="s">
        <v>666</v>
      </c>
      <c r="E1260" s="25" t="s">
        <v>3126</v>
      </c>
      <c r="F1260" s="26" t="s">
        <v>115</v>
      </c>
      <c r="G1260" s="27" t="s">
        <v>271</v>
      </c>
      <c r="H1260" s="27" t="s">
        <v>521</v>
      </c>
      <c r="I1260" s="27"/>
      <c r="J1260" s="27" t="s">
        <v>568</v>
      </c>
      <c r="K1260" s="106" t="str">
        <f t="shared" si="59"/>
        <v>М</v>
      </c>
      <c r="L1260" s="106" t="str">
        <f t="shared" si="60"/>
        <v>Д</v>
      </c>
      <c r="M1260" s="107" t="str">
        <f t="shared" si="61"/>
        <v>Административное право, административный процесс</v>
      </c>
    </row>
    <row r="1261" spans="1:13" ht="30" hidden="1" customHeight="1" x14ac:dyDescent="0.25">
      <c r="A1261" s="41" t="s">
        <v>1617</v>
      </c>
      <c r="B1261" s="25" t="s">
        <v>1610</v>
      </c>
      <c r="C1261" s="29" t="s">
        <v>664</v>
      </c>
      <c r="D1261" s="29" t="s">
        <v>666</v>
      </c>
      <c r="E1261" s="25" t="s">
        <v>3126</v>
      </c>
      <c r="F1261" s="26" t="s">
        <v>115</v>
      </c>
      <c r="G1261" s="27" t="s">
        <v>271</v>
      </c>
      <c r="H1261" s="27" t="s">
        <v>275</v>
      </c>
      <c r="I1261" s="27"/>
      <c r="J1261" s="27" t="s">
        <v>568</v>
      </c>
      <c r="K1261" s="106" t="str">
        <f t="shared" si="59"/>
        <v>М</v>
      </c>
      <c r="L1261" s="106" t="str">
        <f t="shared" si="60"/>
        <v>Д</v>
      </c>
      <c r="M1261" s="107" t="str">
        <f t="shared" si="61"/>
        <v>Уголовное право, уголовный процесс и криминалистика</v>
      </c>
    </row>
    <row r="1262" spans="1:13" ht="30" hidden="1" customHeight="1" x14ac:dyDescent="0.25">
      <c r="A1262" s="41" t="s">
        <v>1618</v>
      </c>
      <c r="B1262" s="25" t="s">
        <v>1610</v>
      </c>
      <c r="C1262" s="29" t="s">
        <v>664</v>
      </c>
      <c r="D1262" s="29" t="s">
        <v>666</v>
      </c>
      <c r="E1262" s="25" t="s">
        <v>3126</v>
      </c>
      <c r="F1262" s="26" t="s">
        <v>115</v>
      </c>
      <c r="G1262" s="27" t="s">
        <v>271</v>
      </c>
      <c r="H1262" s="27" t="s">
        <v>163</v>
      </c>
      <c r="I1262" s="27"/>
      <c r="J1262" s="27" t="s">
        <v>568</v>
      </c>
      <c r="K1262" s="106" t="str">
        <f t="shared" si="59"/>
        <v>М</v>
      </c>
      <c r="L1262" s="106" t="str">
        <f t="shared" si="60"/>
        <v>Д</v>
      </c>
      <c r="M1262" s="107" t="str">
        <f t="shared" si="61"/>
        <v>Корпоративный юрист</v>
      </c>
    </row>
    <row r="1263" spans="1:13" ht="30" hidden="1" customHeight="1" x14ac:dyDescent="0.25">
      <c r="A1263" s="41" t="s">
        <v>1619</v>
      </c>
      <c r="B1263" s="25" t="s">
        <v>1610</v>
      </c>
      <c r="C1263" s="29" t="s">
        <v>664</v>
      </c>
      <c r="D1263" s="29" t="s">
        <v>666</v>
      </c>
      <c r="E1263" s="25" t="s">
        <v>3126</v>
      </c>
      <c r="F1263" s="26" t="s">
        <v>115</v>
      </c>
      <c r="G1263" s="27" t="s">
        <v>271</v>
      </c>
      <c r="H1263" s="27" t="s">
        <v>276</v>
      </c>
      <c r="I1263" s="27"/>
      <c r="J1263" s="27" t="s">
        <v>568</v>
      </c>
      <c r="K1263" s="106" t="str">
        <f t="shared" si="59"/>
        <v>М</v>
      </c>
      <c r="L1263" s="106" t="str">
        <f t="shared" si="60"/>
        <v>Д</v>
      </c>
      <c r="M1263" s="107" t="str">
        <f t="shared" si="61"/>
        <v>Теория и история права и государства, сравнительно-правовые исследования</v>
      </c>
    </row>
    <row r="1264" spans="1:13" ht="30" hidden="1" customHeight="1" x14ac:dyDescent="0.25">
      <c r="A1264" s="41" t="s">
        <v>1620</v>
      </c>
      <c r="B1264" s="25" t="s">
        <v>1610</v>
      </c>
      <c r="C1264" s="29" t="s">
        <v>664</v>
      </c>
      <c r="D1264" s="29" t="s">
        <v>666</v>
      </c>
      <c r="E1264" s="25" t="s">
        <v>3126</v>
      </c>
      <c r="F1264" s="26" t="s">
        <v>115</v>
      </c>
      <c r="G1264" s="27" t="s">
        <v>271</v>
      </c>
      <c r="H1264" s="27" t="s">
        <v>522</v>
      </c>
      <c r="I1264" s="27"/>
      <c r="J1264" s="27" t="s">
        <v>568</v>
      </c>
      <c r="K1264" s="106" t="str">
        <f t="shared" si="59"/>
        <v>М</v>
      </c>
      <c r="L1264" s="106" t="str">
        <f t="shared" si="60"/>
        <v>Д</v>
      </c>
      <c r="M1264" s="107" t="str">
        <f t="shared" si="61"/>
        <v>Юрист в сфере финансовой деятельности</v>
      </c>
    </row>
    <row r="1265" spans="1:13" ht="30" hidden="1" customHeight="1" x14ac:dyDescent="0.25">
      <c r="A1265" s="41" t="s">
        <v>1621</v>
      </c>
      <c r="B1265" s="25" t="s">
        <v>1610</v>
      </c>
      <c r="C1265" s="29" t="s">
        <v>664</v>
      </c>
      <c r="D1265" s="29" t="s">
        <v>666</v>
      </c>
      <c r="E1265" s="25" t="s">
        <v>3126</v>
      </c>
      <c r="F1265" s="26" t="s">
        <v>115</v>
      </c>
      <c r="G1265" s="27" t="s">
        <v>271</v>
      </c>
      <c r="H1265" s="27" t="s">
        <v>277</v>
      </c>
      <c r="I1265" s="27"/>
      <c r="J1265" s="27" t="s">
        <v>568</v>
      </c>
      <c r="K1265" s="106" t="str">
        <f t="shared" si="59"/>
        <v>М</v>
      </c>
      <c r="L1265" s="106" t="str">
        <f t="shared" si="60"/>
        <v>Д</v>
      </c>
      <c r="M1265" s="107" t="str">
        <f t="shared" si="61"/>
        <v>Судебная власть, прокурорский надзор, организация правоохранительной деятельности, адвокатура, нотариат</v>
      </c>
    </row>
    <row r="1266" spans="1:13" ht="30" hidden="1" customHeight="1" x14ac:dyDescent="0.25">
      <c r="A1266" s="41" t="s">
        <v>1622</v>
      </c>
      <c r="B1266" s="25" t="s">
        <v>1610</v>
      </c>
      <c r="C1266" s="29" t="s">
        <v>664</v>
      </c>
      <c r="D1266" s="29" t="s">
        <v>666</v>
      </c>
      <c r="E1266" s="25" t="s">
        <v>3126</v>
      </c>
      <c r="F1266" s="26" t="s">
        <v>115</v>
      </c>
      <c r="G1266" s="27" t="s">
        <v>271</v>
      </c>
      <c r="H1266" s="27" t="s">
        <v>278</v>
      </c>
      <c r="I1266" s="27"/>
      <c r="J1266" s="27" t="s">
        <v>568</v>
      </c>
      <c r="K1266" s="106" t="str">
        <f t="shared" si="59"/>
        <v>М</v>
      </c>
      <c r="L1266" s="106" t="str">
        <f t="shared" si="60"/>
        <v>Д</v>
      </c>
      <c r="M1266" s="107" t="str">
        <f t="shared" si="61"/>
        <v>Судебно-экспертная деятельность в правоприменении</v>
      </c>
    </row>
    <row r="1267" spans="1:13" ht="30" hidden="1" customHeight="1" x14ac:dyDescent="0.25">
      <c r="A1267" s="41" t="s">
        <v>1623</v>
      </c>
      <c r="B1267" s="25" t="s">
        <v>1610</v>
      </c>
      <c r="C1267" s="29" t="s">
        <v>664</v>
      </c>
      <c r="D1267" s="29" t="s">
        <v>666</v>
      </c>
      <c r="E1267" s="25" t="s">
        <v>3126</v>
      </c>
      <c r="F1267" s="26" t="s">
        <v>115</v>
      </c>
      <c r="G1267" s="27" t="s">
        <v>271</v>
      </c>
      <c r="H1267" s="27" t="s">
        <v>164</v>
      </c>
      <c r="I1267" s="27"/>
      <c r="J1267" s="27" t="s">
        <v>568</v>
      </c>
      <c r="K1267" s="106" t="str">
        <f t="shared" si="59"/>
        <v>М</v>
      </c>
      <c r="L1267" s="106" t="str">
        <f t="shared" si="60"/>
        <v>Д</v>
      </c>
      <c r="M1267" s="107" t="str">
        <f t="shared" si="61"/>
        <v>Конституционное право и конституционное судопроизводство</v>
      </c>
    </row>
    <row r="1268" spans="1:13" ht="30" hidden="1" customHeight="1" x14ac:dyDescent="0.25">
      <c r="A1268" s="41" t="s">
        <v>1625</v>
      </c>
      <c r="B1268" s="25" t="s">
        <v>1610</v>
      </c>
      <c r="C1268" s="29" t="s">
        <v>664</v>
      </c>
      <c r="D1268" s="29" t="s">
        <v>666</v>
      </c>
      <c r="E1268" s="25" t="s">
        <v>3126</v>
      </c>
      <c r="F1268" s="26" t="s">
        <v>115</v>
      </c>
      <c r="G1268" s="27" t="s">
        <v>271</v>
      </c>
      <c r="H1268" s="27" t="s">
        <v>520</v>
      </c>
      <c r="I1268" s="27"/>
      <c r="J1268" s="27" t="s">
        <v>568</v>
      </c>
      <c r="K1268" s="106" t="str">
        <f t="shared" si="59"/>
        <v>М</v>
      </c>
      <c r="L1268" s="106" t="str">
        <f t="shared" si="60"/>
        <v>Д</v>
      </c>
      <c r="M1268" s="107" t="str">
        <f t="shared" si="61"/>
        <v>Правовое регулирование природоресурсных, земельно-имущественных отношений и градостроительной деятельности</v>
      </c>
    </row>
    <row r="1269" spans="1:13" ht="30" hidden="1" customHeight="1" x14ac:dyDescent="0.25">
      <c r="A1269" s="41" t="s">
        <v>1626</v>
      </c>
      <c r="B1269" s="25" t="s">
        <v>1610</v>
      </c>
      <c r="C1269" s="29" t="s">
        <v>664</v>
      </c>
      <c r="D1269" s="29" t="s">
        <v>666</v>
      </c>
      <c r="E1269" s="25" t="s">
        <v>3126</v>
      </c>
      <c r="F1269" s="26" t="s">
        <v>115</v>
      </c>
      <c r="G1269" s="27" t="s">
        <v>271</v>
      </c>
      <c r="H1269" s="27" t="s">
        <v>658</v>
      </c>
      <c r="I1269" s="27"/>
      <c r="J1269" s="27" t="s">
        <v>568</v>
      </c>
      <c r="K1269" s="106" t="str">
        <f t="shared" si="59"/>
        <v>М</v>
      </c>
      <c r="L1269" s="106" t="str">
        <f t="shared" si="60"/>
        <v>Д</v>
      </c>
      <c r="M1269" s="107" t="str">
        <f t="shared" si="61"/>
        <v>Правовое регулирование финансового мониторинга и Compliance System</v>
      </c>
    </row>
    <row r="1270" spans="1:13" ht="30" hidden="1" customHeight="1" x14ac:dyDescent="0.25">
      <c r="A1270" s="41" t="s">
        <v>1628</v>
      </c>
      <c r="B1270" s="25" t="s">
        <v>1610</v>
      </c>
      <c r="C1270" s="29" t="s">
        <v>664</v>
      </c>
      <c r="D1270" s="29" t="s">
        <v>666</v>
      </c>
      <c r="E1270" s="25" t="s">
        <v>3126</v>
      </c>
      <c r="F1270" s="26" t="s">
        <v>115</v>
      </c>
      <c r="G1270" s="27" t="s">
        <v>271</v>
      </c>
      <c r="H1270" s="27" t="s">
        <v>162</v>
      </c>
      <c r="I1270" s="27" t="s">
        <v>946</v>
      </c>
      <c r="J1270" s="27" t="s">
        <v>568</v>
      </c>
      <c r="K1270" s="106" t="str">
        <f t="shared" si="59"/>
        <v>М</v>
      </c>
      <c r="L1270" s="106" t="str">
        <f t="shared" si="60"/>
        <v>Д</v>
      </c>
      <c r="M1270" s="107" t="str">
        <f t="shared" si="61"/>
        <v>Международное право (Вуз-партнёр - Южно-Казахстанский государственный университет им. М.Ауезова)</v>
      </c>
    </row>
    <row r="1271" spans="1:13" ht="30" hidden="1" customHeight="1" x14ac:dyDescent="0.25">
      <c r="A1271" s="41" t="s">
        <v>1630</v>
      </c>
      <c r="B1271" s="25" t="s">
        <v>1610</v>
      </c>
      <c r="C1271" s="29" t="s">
        <v>664</v>
      </c>
      <c r="D1271" s="29" t="s">
        <v>666</v>
      </c>
      <c r="E1271" s="25" t="s">
        <v>3126</v>
      </c>
      <c r="F1271" s="26" t="s">
        <v>115</v>
      </c>
      <c r="G1271" s="27" t="s">
        <v>271</v>
      </c>
      <c r="H1271" s="27" t="s">
        <v>275</v>
      </c>
      <c r="I1271" s="27" t="s">
        <v>908</v>
      </c>
      <c r="J1271" s="27" t="s">
        <v>568</v>
      </c>
      <c r="K1271" s="106" t="str">
        <f t="shared" si="59"/>
        <v>М</v>
      </c>
      <c r="L1271" s="106" t="str">
        <f t="shared" si="60"/>
        <v>Д</v>
      </c>
      <c r="M1271" s="107" t="str">
        <f t="shared" si="61"/>
        <v>Уголовное право, уголовный процесс и криминалистика (Вуз-партнёр - Евразийский национальный университет имени Л. Н. Гумилёва)</v>
      </c>
    </row>
    <row r="1272" spans="1:13" ht="30" hidden="1" customHeight="1" x14ac:dyDescent="0.25">
      <c r="A1272" s="41" t="s">
        <v>1631</v>
      </c>
      <c r="B1272" s="25" t="s">
        <v>1610</v>
      </c>
      <c r="C1272" s="29" t="s">
        <v>664</v>
      </c>
      <c r="D1272" s="29" t="s">
        <v>666</v>
      </c>
      <c r="E1272" s="25" t="s">
        <v>3126</v>
      </c>
      <c r="F1272" s="26" t="s">
        <v>115</v>
      </c>
      <c r="G1272" s="27" t="s">
        <v>271</v>
      </c>
      <c r="H1272" s="27" t="s">
        <v>276</v>
      </c>
      <c r="I1272" s="27" t="s">
        <v>908</v>
      </c>
      <c r="J1272" s="27" t="s">
        <v>568</v>
      </c>
      <c r="K1272" s="106" t="str">
        <f t="shared" si="59"/>
        <v>М</v>
      </c>
      <c r="L1272" s="106" t="str">
        <f t="shared" si="60"/>
        <v>Д</v>
      </c>
      <c r="M1272" s="107" t="str">
        <f t="shared" si="61"/>
        <v>Теория и история права и государства, сравнительно-правовые исследования (Вуз-партнёр - Евразийский национальный университет имени Л. Н. Гумилёва)</v>
      </c>
    </row>
    <row r="1273" spans="1:13" ht="30" hidden="1" customHeight="1" x14ac:dyDescent="0.25">
      <c r="A1273" s="41" t="s">
        <v>1632</v>
      </c>
      <c r="B1273" s="25" t="s">
        <v>1610</v>
      </c>
      <c r="C1273" s="29" t="s">
        <v>664</v>
      </c>
      <c r="D1273" s="29" t="s">
        <v>666</v>
      </c>
      <c r="E1273" s="25" t="s">
        <v>3126</v>
      </c>
      <c r="F1273" s="26" t="s">
        <v>115</v>
      </c>
      <c r="G1273" s="27" t="s">
        <v>271</v>
      </c>
      <c r="H1273" s="27" t="s">
        <v>660</v>
      </c>
      <c r="I1273" s="27"/>
      <c r="J1273" s="27" t="s">
        <v>568</v>
      </c>
      <c r="K1273" s="106" t="str">
        <f t="shared" si="59"/>
        <v>М</v>
      </c>
      <c r="L1273" s="106" t="str">
        <f t="shared" si="60"/>
        <v>Д</v>
      </c>
      <c r="M1273" s="107" t="str">
        <f t="shared" si="61"/>
        <v>Правовое сопровождение бизнеса (бизнес-юрист)</v>
      </c>
    </row>
    <row r="1274" spans="1:13" ht="30" hidden="1" customHeight="1" x14ac:dyDescent="0.25">
      <c r="A1274" s="41" t="s">
        <v>1633</v>
      </c>
      <c r="B1274" s="25" t="s">
        <v>1610</v>
      </c>
      <c r="C1274" s="29" t="s">
        <v>664</v>
      </c>
      <c r="D1274" s="29" t="s">
        <v>666</v>
      </c>
      <c r="E1274" s="25" t="s">
        <v>3126</v>
      </c>
      <c r="F1274" s="26" t="s">
        <v>115</v>
      </c>
      <c r="G1274" s="27" t="s">
        <v>271</v>
      </c>
      <c r="H1274" s="27" t="s">
        <v>661</v>
      </c>
      <c r="I1274" s="27"/>
      <c r="J1274" s="27" t="s">
        <v>568</v>
      </c>
      <c r="K1274" s="106" t="str">
        <f t="shared" si="59"/>
        <v>М</v>
      </c>
      <c r="L1274" s="106" t="str">
        <f t="shared" si="60"/>
        <v>Д</v>
      </c>
      <c r="M1274" s="107" t="str">
        <f t="shared" si="61"/>
        <v>Медицинское право</v>
      </c>
    </row>
    <row r="1275" spans="1:13" ht="30" hidden="1" customHeight="1" x14ac:dyDescent="0.25">
      <c r="A1275" s="41" t="s">
        <v>1634</v>
      </c>
      <c r="B1275" s="25" t="s">
        <v>1610</v>
      </c>
      <c r="C1275" s="29" t="s">
        <v>664</v>
      </c>
      <c r="D1275" s="29" t="s">
        <v>1730</v>
      </c>
      <c r="E1275" s="25" t="s">
        <v>3126</v>
      </c>
      <c r="F1275" s="26" t="s">
        <v>115</v>
      </c>
      <c r="G1275" s="27" t="s">
        <v>271</v>
      </c>
      <c r="H1275" s="27" t="s">
        <v>272</v>
      </c>
      <c r="I1275" s="27" t="s">
        <v>933</v>
      </c>
      <c r="J1275" s="27" t="s">
        <v>568</v>
      </c>
      <c r="K1275" s="106" t="str">
        <f t="shared" si="59"/>
        <v>М</v>
      </c>
      <c r="L1275" s="106" t="str">
        <f t="shared" si="60"/>
        <v>Д</v>
      </c>
      <c r="M1275" s="107" t="str">
        <f t="shared" si="61"/>
        <v>Международная защита прав человека (Английский язык) (Вуз-партнёр - Университет Гренобль-Альпы)</v>
      </c>
    </row>
    <row r="1276" spans="1:13" ht="30" hidden="1" customHeight="1" x14ac:dyDescent="0.25">
      <c r="A1276" s="41" t="s">
        <v>1635</v>
      </c>
      <c r="B1276" s="25" t="s">
        <v>1610</v>
      </c>
      <c r="C1276" s="29" t="s">
        <v>664</v>
      </c>
      <c r="D1276" s="29" t="s">
        <v>666</v>
      </c>
      <c r="E1276" s="25" t="s">
        <v>3126</v>
      </c>
      <c r="F1276" s="26" t="s">
        <v>115</v>
      </c>
      <c r="G1276" s="27" t="s">
        <v>271</v>
      </c>
      <c r="H1276" s="27" t="s">
        <v>1022</v>
      </c>
      <c r="I1276" s="27"/>
      <c r="J1276" s="27" t="s">
        <v>568</v>
      </c>
      <c r="K1276" s="106" t="str">
        <f t="shared" si="59"/>
        <v>М</v>
      </c>
      <c r="L1276" s="106" t="str">
        <f t="shared" si="60"/>
        <v>Д</v>
      </c>
      <c r="M1276" s="107" t="str">
        <f t="shared" si="61"/>
        <v>Исламское право</v>
      </c>
    </row>
    <row r="1277" spans="1:13" ht="30" hidden="1" customHeight="1" x14ac:dyDescent="0.25">
      <c r="A1277" s="41" t="s">
        <v>1636</v>
      </c>
      <c r="B1277" s="25" t="s">
        <v>1610</v>
      </c>
      <c r="C1277" s="29" t="s">
        <v>664</v>
      </c>
      <c r="D1277" s="29" t="s">
        <v>666</v>
      </c>
      <c r="E1277" s="25" t="s">
        <v>3126</v>
      </c>
      <c r="F1277" s="26" t="s">
        <v>115</v>
      </c>
      <c r="G1277" s="27" t="s">
        <v>271</v>
      </c>
      <c r="H1277" s="27" t="s">
        <v>1023</v>
      </c>
      <c r="I1277" s="27"/>
      <c r="J1277" s="27" t="s">
        <v>568</v>
      </c>
      <c r="K1277" s="106" t="str">
        <f t="shared" si="59"/>
        <v>М</v>
      </c>
      <c r="L1277" s="106" t="str">
        <f t="shared" si="60"/>
        <v>Д</v>
      </c>
      <c r="M1277" s="107" t="str">
        <f t="shared" si="61"/>
        <v>Право в публичной политике</v>
      </c>
    </row>
    <row r="1278" spans="1:13" ht="30" hidden="1" customHeight="1" x14ac:dyDescent="0.25">
      <c r="A1278" s="41" t="s">
        <v>1637</v>
      </c>
      <c r="B1278" s="25" t="s">
        <v>1610</v>
      </c>
      <c r="C1278" s="29" t="s">
        <v>664</v>
      </c>
      <c r="D1278" s="29" t="s">
        <v>1731</v>
      </c>
      <c r="E1278" s="25" t="s">
        <v>3126</v>
      </c>
      <c r="F1278" s="26" t="s">
        <v>115</v>
      </c>
      <c r="G1278" s="27" t="s">
        <v>271</v>
      </c>
      <c r="H1278" s="27" t="s">
        <v>272</v>
      </c>
      <c r="I1278" s="27" t="s">
        <v>933</v>
      </c>
      <c r="J1278" s="27" t="s">
        <v>568</v>
      </c>
      <c r="K1278" s="106" t="str">
        <f t="shared" si="59"/>
        <v>М</v>
      </c>
      <c r="L1278" s="106" t="str">
        <f t="shared" si="60"/>
        <v>Д</v>
      </c>
      <c r="M1278" s="107" t="str">
        <f t="shared" si="61"/>
        <v>Международная защита прав человека (Французский язык) (Вуз-партнёр - Университет Гренобль-Альпы)</v>
      </c>
    </row>
    <row r="1279" spans="1:13" ht="30" hidden="1" customHeight="1" x14ac:dyDescent="0.25">
      <c r="A1279" s="41" t="s">
        <v>1638</v>
      </c>
      <c r="B1279" s="25" t="s">
        <v>1610</v>
      </c>
      <c r="C1279" s="29" t="s">
        <v>664</v>
      </c>
      <c r="D1279" s="29" t="s">
        <v>666</v>
      </c>
      <c r="E1279" s="25" t="s">
        <v>3126</v>
      </c>
      <c r="F1279" s="26" t="s">
        <v>115</v>
      </c>
      <c r="G1279" s="27" t="s">
        <v>271</v>
      </c>
      <c r="H1279" s="27" t="s">
        <v>1024</v>
      </c>
      <c r="I1279" s="27"/>
      <c r="J1279" s="27" t="s">
        <v>568</v>
      </c>
      <c r="K1279" s="106" t="str">
        <f t="shared" si="59"/>
        <v>М</v>
      </c>
      <c r="L1279" s="106" t="str">
        <f t="shared" si="60"/>
        <v>Д</v>
      </c>
      <c r="M1279" s="107" t="str">
        <f t="shared" si="61"/>
        <v>Финансовое право и корпоративное налогообложение</v>
      </c>
    </row>
    <row r="1280" spans="1:13" ht="30" hidden="1" customHeight="1" x14ac:dyDescent="0.25">
      <c r="A1280" s="41" t="s">
        <v>1639</v>
      </c>
      <c r="B1280" s="25" t="s">
        <v>1610</v>
      </c>
      <c r="C1280" s="29" t="s">
        <v>664</v>
      </c>
      <c r="D1280" s="29" t="s">
        <v>666</v>
      </c>
      <c r="E1280" s="25" t="s">
        <v>3126</v>
      </c>
      <c r="F1280" s="26" t="s">
        <v>115</v>
      </c>
      <c r="G1280" s="27" t="s">
        <v>271</v>
      </c>
      <c r="H1280" s="27" t="s">
        <v>2735</v>
      </c>
      <c r="I1280" s="27" t="s">
        <v>2817</v>
      </c>
      <c r="J1280" s="27" t="s">
        <v>568</v>
      </c>
      <c r="K1280" s="106" t="str">
        <f t="shared" si="59"/>
        <v>М</v>
      </c>
      <c r="L1280" s="106" t="str">
        <f t="shared" si="60"/>
        <v>Д</v>
      </c>
      <c r="M1280" s="107" t="str">
        <f t="shared" si="61"/>
        <v>Гражданское право, семейное право, международное частное право (Вуз-партнёр - Белорусский государственный университет)</v>
      </c>
    </row>
    <row r="1281" spans="1:13" ht="30" hidden="1" customHeight="1" x14ac:dyDescent="0.25">
      <c r="A1281" s="41" t="s">
        <v>2740</v>
      </c>
      <c r="B1281" s="25" t="s">
        <v>1610</v>
      </c>
      <c r="C1281" s="29" t="s">
        <v>664</v>
      </c>
      <c r="D1281" s="29" t="s">
        <v>666</v>
      </c>
      <c r="E1281" s="25" t="s">
        <v>3126</v>
      </c>
      <c r="F1281" s="26" t="s">
        <v>115</v>
      </c>
      <c r="G1281" s="27" t="s">
        <v>271</v>
      </c>
      <c r="H1281" s="27" t="s">
        <v>162</v>
      </c>
      <c r="I1281" s="27" t="s">
        <v>2821</v>
      </c>
      <c r="J1281" s="27" t="s">
        <v>568</v>
      </c>
      <c r="K1281" s="106" t="str">
        <f t="shared" si="59"/>
        <v>М</v>
      </c>
      <c r="L1281" s="106" t="str">
        <f t="shared" si="60"/>
        <v>Д</v>
      </c>
      <c r="M1281" s="107" t="str">
        <f t="shared" si="61"/>
        <v>Международное право (Вуз-партнёр - Днепропетровский национальный университет им. О. Гончара)</v>
      </c>
    </row>
    <row r="1282" spans="1:13" ht="30" hidden="1" customHeight="1" x14ac:dyDescent="0.25">
      <c r="A1282" s="41" t="s">
        <v>2741</v>
      </c>
      <c r="B1282" s="25" t="s">
        <v>1610</v>
      </c>
      <c r="C1282" s="29" t="s">
        <v>664</v>
      </c>
      <c r="D1282" s="29" t="s">
        <v>666</v>
      </c>
      <c r="E1282" s="25" t="s">
        <v>3126</v>
      </c>
      <c r="F1282" s="26" t="s">
        <v>115</v>
      </c>
      <c r="G1282" s="27" t="s">
        <v>271</v>
      </c>
      <c r="H1282" s="27" t="s">
        <v>162</v>
      </c>
      <c r="I1282" s="27" t="s">
        <v>2820</v>
      </c>
      <c r="J1282" s="27" t="s">
        <v>568</v>
      </c>
      <c r="K1282" s="106" t="str">
        <f t="shared" si="59"/>
        <v>М</v>
      </c>
      <c r="L1282" s="106" t="str">
        <f t="shared" si="60"/>
        <v>Д</v>
      </c>
      <c r="M1282" s="107" t="str">
        <f t="shared" si="61"/>
        <v>Международное право (Вуз-партнёр - Донецкий национальный университет)</v>
      </c>
    </row>
    <row r="1283" spans="1:13" ht="30" hidden="1" customHeight="1" x14ac:dyDescent="0.25">
      <c r="A1283" s="41" t="s">
        <v>2742</v>
      </c>
      <c r="B1283" s="25" t="s">
        <v>1610</v>
      </c>
      <c r="C1283" s="29" t="s">
        <v>664</v>
      </c>
      <c r="D1283" s="29" t="s">
        <v>666</v>
      </c>
      <c r="E1283" s="25" t="s">
        <v>3126</v>
      </c>
      <c r="F1283" s="26" t="s">
        <v>115</v>
      </c>
      <c r="G1283" s="27" t="s">
        <v>271</v>
      </c>
      <c r="H1283" s="27" t="s">
        <v>162</v>
      </c>
      <c r="I1283" s="27" t="s">
        <v>912</v>
      </c>
      <c r="J1283" s="27" t="s">
        <v>568</v>
      </c>
      <c r="K1283" s="106" t="str">
        <f t="shared" si="59"/>
        <v>М</v>
      </c>
      <c r="L1283" s="106" t="str">
        <f t="shared" si="60"/>
        <v>Д</v>
      </c>
      <c r="M1283" s="107" t="str">
        <f t="shared" si="61"/>
        <v>Международное право (Вуз-партнёр - Казахский национальный университет им. Аль-Фараби)</v>
      </c>
    </row>
    <row r="1284" spans="1:13" ht="30" hidden="1" customHeight="1" x14ac:dyDescent="0.25">
      <c r="A1284" s="41" t="s">
        <v>2743</v>
      </c>
      <c r="B1284" s="25" t="s">
        <v>1610</v>
      </c>
      <c r="C1284" s="29" t="s">
        <v>664</v>
      </c>
      <c r="D1284" s="29" t="s">
        <v>666</v>
      </c>
      <c r="E1284" s="25" t="s">
        <v>3126</v>
      </c>
      <c r="F1284" s="26" t="s">
        <v>115</v>
      </c>
      <c r="G1284" s="27" t="s">
        <v>271</v>
      </c>
      <c r="H1284" s="27" t="s">
        <v>162</v>
      </c>
      <c r="I1284" s="27" t="s">
        <v>915</v>
      </c>
      <c r="J1284" s="27" t="s">
        <v>568</v>
      </c>
      <c r="K1284" s="106" t="str">
        <f t="shared" ref="K1284:K1344" si="62">LEFT(F1284, 1)</f>
        <v>М</v>
      </c>
      <c r="L1284" s="106" t="str">
        <f t="shared" ref="L1284:L1344" si="63">IF(C1284="очная","Д",IF(C1284="Очно-заочная","В",IF(C1284="Заочная","З","-")))</f>
        <v>Д</v>
      </c>
      <c r="M1284" s="107" t="str">
        <f t="shared" ref="M1284:M1344" si="64">CONCATENATE(H1284,IF(D1284="Русский","",CONCATENATE(" (",D1284," язык)")),IF(I1284&gt;0,CONCATENATE(" (Вуз-партнёр - ",I1284,")"),""))</f>
        <v>Международное право (Вуз-партнёр - Кыргызский национальный университет им. Ж. Баласагына)</v>
      </c>
    </row>
    <row r="1285" spans="1:13" ht="30" hidden="1" customHeight="1" x14ac:dyDescent="0.25">
      <c r="A1285" s="41" t="s">
        <v>2958</v>
      </c>
      <c r="B1285" s="25" t="s">
        <v>1610</v>
      </c>
      <c r="C1285" s="29" t="s">
        <v>664</v>
      </c>
      <c r="D1285" s="29" t="s">
        <v>666</v>
      </c>
      <c r="E1285" s="25" t="s">
        <v>3126</v>
      </c>
      <c r="F1285" s="26" t="s">
        <v>115</v>
      </c>
      <c r="G1285" s="27" t="s">
        <v>271</v>
      </c>
      <c r="H1285" s="27" t="s">
        <v>162</v>
      </c>
      <c r="I1285" s="27" t="s">
        <v>2819</v>
      </c>
      <c r="J1285" s="27" t="s">
        <v>568</v>
      </c>
      <c r="K1285" s="106" t="str">
        <f t="shared" si="62"/>
        <v>М</v>
      </c>
      <c r="L1285" s="106" t="str">
        <f t="shared" si="63"/>
        <v>Д</v>
      </c>
      <c r="M1285" s="107" t="str">
        <f t="shared" si="64"/>
        <v>Международное право (Вуз-партнёр - Кыргызско-Российский (Славянский) Университет)</v>
      </c>
    </row>
    <row r="1286" spans="1:13" ht="30" hidden="1" customHeight="1" x14ac:dyDescent="0.25">
      <c r="A1286" s="41" t="s">
        <v>2744</v>
      </c>
      <c r="B1286" s="25" t="s">
        <v>1610</v>
      </c>
      <c r="C1286" s="29" t="s">
        <v>664</v>
      </c>
      <c r="D1286" s="29" t="s">
        <v>666</v>
      </c>
      <c r="E1286" s="25" t="s">
        <v>3126</v>
      </c>
      <c r="F1286" s="26" t="s">
        <v>115</v>
      </c>
      <c r="G1286" s="27" t="s">
        <v>271</v>
      </c>
      <c r="H1286" s="27" t="s">
        <v>162</v>
      </c>
      <c r="I1286" s="27" t="s">
        <v>924</v>
      </c>
      <c r="J1286" s="27" t="s">
        <v>568</v>
      </c>
      <c r="K1286" s="106" t="str">
        <f t="shared" si="62"/>
        <v>М</v>
      </c>
      <c r="L1286" s="106" t="str">
        <f t="shared" si="63"/>
        <v>Д</v>
      </c>
      <c r="M1286" s="107" t="str">
        <f t="shared" si="64"/>
        <v>Международное право (Вуз-партнёр - Российско-Таджикский (Славянский) университет)</v>
      </c>
    </row>
    <row r="1287" spans="1:13" ht="30" hidden="1" customHeight="1" x14ac:dyDescent="0.25">
      <c r="A1287" s="41" t="s">
        <v>2789</v>
      </c>
      <c r="B1287" s="25" t="s">
        <v>1610</v>
      </c>
      <c r="C1287" s="29" t="s">
        <v>664</v>
      </c>
      <c r="D1287" s="29" t="s">
        <v>666</v>
      </c>
      <c r="E1287" s="25" t="s">
        <v>3126</v>
      </c>
      <c r="F1287" s="26" t="s">
        <v>115</v>
      </c>
      <c r="G1287" s="27" t="s">
        <v>271</v>
      </c>
      <c r="H1287" s="27" t="s">
        <v>2790</v>
      </c>
      <c r="I1287" s="27"/>
      <c r="J1287" s="27" t="s">
        <v>568</v>
      </c>
      <c r="K1287" s="106" t="str">
        <f t="shared" si="62"/>
        <v>М</v>
      </c>
      <c r="L1287" s="106" t="str">
        <f t="shared" si="63"/>
        <v>Д</v>
      </c>
      <c r="M1287" s="107" t="str">
        <f t="shared" si="64"/>
        <v>Конституционно-правовые основы деятельности судебной власти, прокурорского надзора и правоохранительных органов, адвокатуры и нотариата</v>
      </c>
    </row>
    <row r="1288" spans="1:13" ht="30" hidden="1" customHeight="1" x14ac:dyDescent="0.25">
      <c r="A1288" s="41" t="s">
        <v>2791</v>
      </c>
      <c r="B1288" s="25" t="s">
        <v>1610</v>
      </c>
      <c r="C1288" s="29" t="s">
        <v>664</v>
      </c>
      <c r="D1288" s="29" t="s">
        <v>666</v>
      </c>
      <c r="E1288" s="25" t="s">
        <v>3126</v>
      </c>
      <c r="F1288" s="26" t="s">
        <v>115</v>
      </c>
      <c r="G1288" s="27" t="s">
        <v>271</v>
      </c>
      <c r="H1288" s="27" t="s">
        <v>2792</v>
      </c>
      <c r="I1288" s="27"/>
      <c r="J1288" s="27" t="s">
        <v>568</v>
      </c>
      <c r="K1288" s="106" t="str">
        <f t="shared" si="62"/>
        <v>М</v>
      </c>
      <c r="L1288" s="106" t="str">
        <f t="shared" si="63"/>
        <v>Д</v>
      </c>
      <c r="M1288" s="107" t="str">
        <f t="shared" si="64"/>
        <v>Международно-правовое сотрудничество государств СНГ</v>
      </c>
    </row>
    <row r="1289" spans="1:13" ht="30" hidden="1" customHeight="1" x14ac:dyDescent="0.25">
      <c r="A1289" s="41" t="s">
        <v>1627</v>
      </c>
      <c r="B1289" s="25" t="s">
        <v>1610</v>
      </c>
      <c r="C1289" s="29" t="s">
        <v>664</v>
      </c>
      <c r="D1289" s="29" t="s">
        <v>666</v>
      </c>
      <c r="E1289" s="25" t="s">
        <v>3126</v>
      </c>
      <c r="F1289" s="26" t="s">
        <v>115</v>
      </c>
      <c r="G1289" s="27" t="s">
        <v>271</v>
      </c>
      <c r="H1289" s="27" t="s">
        <v>659</v>
      </c>
      <c r="I1289" s="27"/>
      <c r="J1289" s="27" t="s">
        <v>568</v>
      </c>
      <c r="K1289" s="106" t="str">
        <f t="shared" si="62"/>
        <v>М</v>
      </c>
      <c r="L1289" s="106" t="str">
        <f t="shared" si="63"/>
        <v>Д</v>
      </c>
      <c r="M1289" s="107" t="str">
        <f t="shared" si="64"/>
        <v>Конкурентное право</v>
      </c>
    </row>
    <row r="1290" spans="1:13" ht="30" hidden="1" customHeight="1" x14ac:dyDescent="0.25">
      <c r="A1290" s="41" t="s">
        <v>1629</v>
      </c>
      <c r="B1290" s="25" t="s">
        <v>1610</v>
      </c>
      <c r="C1290" s="29" t="s">
        <v>664</v>
      </c>
      <c r="D1290" s="29" t="s">
        <v>666</v>
      </c>
      <c r="E1290" s="25" t="s">
        <v>3126</v>
      </c>
      <c r="F1290" s="26" t="s">
        <v>115</v>
      </c>
      <c r="G1290" s="27" t="s">
        <v>271</v>
      </c>
      <c r="H1290" s="27" t="s">
        <v>2795</v>
      </c>
      <c r="I1290" s="27" t="s">
        <v>920</v>
      </c>
      <c r="J1290" s="27" t="s">
        <v>568</v>
      </c>
      <c r="K1290" s="106" t="str">
        <f t="shared" si="62"/>
        <v>М</v>
      </c>
      <c r="L1290" s="106" t="str">
        <f t="shared" si="63"/>
        <v>Д</v>
      </c>
      <c r="M1290" s="107" t="str">
        <f t="shared" si="64"/>
        <v>Правовое регулирование технологии Blockchain (Вуз-партнёр - Московский государственный юридический университет имени О.Е. Кутафина)</v>
      </c>
    </row>
    <row r="1291" spans="1:13" ht="30" hidden="1" customHeight="1" x14ac:dyDescent="0.25">
      <c r="A1291" s="41" t="s">
        <v>2799</v>
      </c>
      <c r="B1291" s="25" t="s">
        <v>1610</v>
      </c>
      <c r="C1291" s="29" t="s">
        <v>664</v>
      </c>
      <c r="D1291" s="29" t="s">
        <v>666</v>
      </c>
      <c r="E1291" s="25" t="s">
        <v>3126</v>
      </c>
      <c r="F1291" s="26" t="s">
        <v>115</v>
      </c>
      <c r="G1291" s="27" t="s">
        <v>271</v>
      </c>
      <c r="H1291" s="27" t="s">
        <v>2800</v>
      </c>
      <c r="I1291" s="27"/>
      <c r="J1291" s="27" t="s">
        <v>568</v>
      </c>
      <c r="K1291" s="106" t="str">
        <f t="shared" si="62"/>
        <v>М</v>
      </c>
      <c r="L1291" s="106" t="str">
        <f t="shared" si="63"/>
        <v>Д</v>
      </c>
      <c r="M1291" s="107" t="str">
        <f t="shared" si="64"/>
        <v>Юрист в органах муниципальной власти</v>
      </c>
    </row>
    <row r="1292" spans="1:13" ht="30" hidden="1" customHeight="1" x14ac:dyDescent="0.25">
      <c r="A1292" s="41" t="s">
        <v>2957</v>
      </c>
      <c r="B1292" s="25" t="s">
        <v>1610</v>
      </c>
      <c r="C1292" s="29" t="s">
        <v>664</v>
      </c>
      <c r="D1292" s="29" t="s">
        <v>666</v>
      </c>
      <c r="E1292" s="25" t="s">
        <v>3126</v>
      </c>
      <c r="F1292" s="26" t="s">
        <v>115</v>
      </c>
      <c r="G1292" s="27" t="s">
        <v>271</v>
      </c>
      <c r="H1292" s="27" t="s">
        <v>162</v>
      </c>
      <c r="I1292" s="27" t="s">
        <v>907</v>
      </c>
      <c r="J1292" s="27" t="s">
        <v>568</v>
      </c>
      <c r="K1292" s="106" t="str">
        <f t="shared" si="62"/>
        <v>М</v>
      </c>
      <c r="L1292" s="106" t="str">
        <f t="shared" si="63"/>
        <v>Д</v>
      </c>
      <c r="M1292" s="107" t="str">
        <f t="shared" si="64"/>
        <v>Международное право (Вуз-партнёр - Евразийский национальный университет им. Л.Н. Гумилева)</v>
      </c>
    </row>
    <row r="1293" spans="1:13" ht="30" hidden="1" customHeight="1" x14ac:dyDescent="0.25">
      <c r="A1293" s="41" t="s">
        <v>1624</v>
      </c>
      <c r="B1293" s="25" t="s">
        <v>1610</v>
      </c>
      <c r="C1293" s="29" t="s">
        <v>664</v>
      </c>
      <c r="D1293" s="29" t="s">
        <v>666</v>
      </c>
      <c r="E1293" s="25" t="s">
        <v>3126</v>
      </c>
      <c r="F1293" s="26" t="s">
        <v>115</v>
      </c>
      <c r="G1293" s="27" t="s">
        <v>271</v>
      </c>
      <c r="H1293" s="27" t="s">
        <v>279</v>
      </c>
      <c r="I1293" s="27"/>
      <c r="J1293" s="27" t="s">
        <v>568</v>
      </c>
      <c r="K1293" s="106" t="str">
        <f t="shared" si="62"/>
        <v>М</v>
      </c>
      <c r="L1293" s="106" t="str">
        <f t="shared" si="63"/>
        <v>Д</v>
      </c>
      <c r="M1293" s="107" t="str">
        <f t="shared" si="64"/>
        <v>Правовое обеспечение деятельности органов местного самоуправления</v>
      </c>
    </row>
    <row r="1294" spans="1:13" ht="30" hidden="1" customHeight="1" x14ac:dyDescent="0.25">
      <c r="A1294" s="41" t="s">
        <v>2783</v>
      </c>
      <c r="B1294" s="25" t="s">
        <v>1426</v>
      </c>
      <c r="C1294" s="29" t="s">
        <v>664</v>
      </c>
      <c r="D1294" s="29" t="s">
        <v>666</v>
      </c>
      <c r="E1294" s="25" t="s">
        <v>3126</v>
      </c>
      <c r="F1294" s="26" t="s">
        <v>115</v>
      </c>
      <c r="G1294" s="27" t="s">
        <v>152</v>
      </c>
      <c r="H1294" s="27" t="s">
        <v>1023</v>
      </c>
      <c r="I1294" s="27"/>
      <c r="J1294" s="27" t="s">
        <v>568</v>
      </c>
      <c r="K1294" s="106" t="str">
        <f t="shared" si="62"/>
        <v>М</v>
      </c>
      <c r="L1294" s="106" t="str">
        <f t="shared" si="63"/>
        <v>Д</v>
      </c>
      <c r="M1294" s="107" t="str">
        <f t="shared" si="64"/>
        <v>Право в публичной политике</v>
      </c>
    </row>
    <row r="1295" spans="1:13" ht="30" hidden="1" customHeight="1" x14ac:dyDescent="0.25">
      <c r="A1295" s="41" t="s">
        <v>1640</v>
      </c>
      <c r="B1295" s="25" t="s">
        <v>1281</v>
      </c>
      <c r="C1295" s="29" t="s">
        <v>664</v>
      </c>
      <c r="D1295" s="29" t="s">
        <v>1730</v>
      </c>
      <c r="E1295" s="25" t="s">
        <v>3126</v>
      </c>
      <c r="F1295" s="26" t="s">
        <v>115</v>
      </c>
      <c r="G1295" s="27" t="s">
        <v>142</v>
      </c>
      <c r="H1295" s="27" t="s">
        <v>654</v>
      </c>
      <c r="I1295" s="27"/>
      <c r="J1295" s="27" t="s">
        <v>568</v>
      </c>
      <c r="K1295" s="106" t="str">
        <f t="shared" si="62"/>
        <v>М</v>
      </c>
      <c r="L1295" s="106" t="str">
        <f t="shared" si="63"/>
        <v>Д</v>
      </c>
      <c r="M1295" s="107" t="str">
        <f t="shared" si="64"/>
        <v>Юридический перевод (Английский язык)</v>
      </c>
    </row>
    <row r="1296" spans="1:13" ht="30" hidden="1" customHeight="1" x14ac:dyDescent="0.25">
      <c r="A1296" s="41" t="s">
        <v>1641</v>
      </c>
      <c r="B1296" s="25" t="s">
        <v>1281</v>
      </c>
      <c r="C1296" s="29" t="s">
        <v>664</v>
      </c>
      <c r="D1296" s="29" t="s">
        <v>1730</v>
      </c>
      <c r="E1296" s="25" t="s">
        <v>3126</v>
      </c>
      <c r="F1296" s="26" t="s">
        <v>115</v>
      </c>
      <c r="G1296" s="27" t="s">
        <v>142</v>
      </c>
      <c r="H1296" s="27" t="s">
        <v>655</v>
      </c>
      <c r="I1296" s="27"/>
      <c r="J1296" s="27" t="s">
        <v>568</v>
      </c>
      <c r="K1296" s="106" t="str">
        <f t="shared" si="62"/>
        <v>М</v>
      </c>
      <c r="L1296" s="106" t="str">
        <f t="shared" si="63"/>
        <v>Д</v>
      </c>
      <c r="M1296" s="107" t="str">
        <f t="shared" si="64"/>
        <v>Переводчик в системе государственных служб и учреждений (Английский язык)</v>
      </c>
    </row>
    <row r="1297" spans="1:13" ht="30" hidden="1" customHeight="1" x14ac:dyDescent="0.25">
      <c r="A1297" s="41" t="s">
        <v>1644</v>
      </c>
      <c r="B1297" s="25" t="s">
        <v>1610</v>
      </c>
      <c r="C1297" s="29" t="s">
        <v>663</v>
      </c>
      <c r="D1297" s="29" t="s">
        <v>666</v>
      </c>
      <c r="E1297" s="25" t="s">
        <v>3127</v>
      </c>
      <c r="F1297" s="26" t="s">
        <v>115</v>
      </c>
      <c r="G1297" s="27" t="s">
        <v>271</v>
      </c>
      <c r="H1297" s="27" t="s">
        <v>273</v>
      </c>
      <c r="I1297" s="27"/>
      <c r="J1297" s="27" t="s">
        <v>568</v>
      </c>
      <c r="K1297" s="106" t="str">
        <f t="shared" si="62"/>
        <v>М</v>
      </c>
      <c r="L1297" s="106" t="str">
        <f t="shared" si="63"/>
        <v>В</v>
      </c>
      <c r="M1297" s="107" t="str">
        <f t="shared" si="64"/>
        <v>Гражданское право, семейное право, предпринимательское право, международное частное право</v>
      </c>
    </row>
    <row r="1298" spans="1:13" ht="30" hidden="1" customHeight="1" x14ac:dyDescent="0.25">
      <c r="A1298" s="41" t="s">
        <v>1645</v>
      </c>
      <c r="B1298" s="25" t="s">
        <v>1610</v>
      </c>
      <c r="C1298" s="29" t="s">
        <v>665</v>
      </c>
      <c r="D1298" s="29" t="s">
        <v>666</v>
      </c>
      <c r="E1298" s="25" t="s">
        <v>3132</v>
      </c>
      <c r="F1298" s="26" t="s">
        <v>115</v>
      </c>
      <c r="G1298" s="27" t="s">
        <v>271</v>
      </c>
      <c r="H1298" s="27" t="s">
        <v>162</v>
      </c>
      <c r="I1298" s="27"/>
      <c r="J1298" s="27" t="s">
        <v>568</v>
      </c>
      <c r="K1298" s="106" t="str">
        <f t="shared" si="62"/>
        <v>М</v>
      </c>
      <c r="L1298" s="106" t="str">
        <f t="shared" si="63"/>
        <v>З</v>
      </c>
      <c r="M1298" s="107" t="str">
        <f t="shared" si="64"/>
        <v>Международное право</v>
      </c>
    </row>
    <row r="1299" spans="1:13" ht="30" hidden="1" customHeight="1" x14ac:dyDescent="0.25">
      <c r="A1299" s="41" t="s">
        <v>1646</v>
      </c>
      <c r="B1299" s="25" t="s">
        <v>1610</v>
      </c>
      <c r="C1299" s="29" t="s">
        <v>665</v>
      </c>
      <c r="D1299" s="29" t="s">
        <v>666</v>
      </c>
      <c r="E1299" s="25" t="s">
        <v>3132</v>
      </c>
      <c r="F1299" s="26" t="s">
        <v>115</v>
      </c>
      <c r="G1299" s="27" t="s">
        <v>271</v>
      </c>
      <c r="H1299" s="27" t="s">
        <v>275</v>
      </c>
      <c r="I1299" s="27"/>
      <c r="J1299" s="27" t="s">
        <v>568</v>
      </c>
      <c r="K1299" s="106" t="str">
        <f t="shared" si="62"/>
        <v>М</v>
      </c>
      <c r="L1299" s="106" t="str">
        <f t="shared" si="63"/>
        <v>З</v>
      </c>
      <c r="M1299" s="107" t="str">
        <f t="shared" si="64"/>
        <v>Уголовное право, уголовный процесс и криминалистика</v>
      </c>
    </row>
    <row r="1300" spans="1:13" ht="30" hidden="1" customHeight="1" x14ac:dyDescent="0.25">
      <c r="A1300" s="41" t="s">
        <v>1647</v>
      </c>
      <c r="B1300" s="25" t="s">
        <v>1610</v>
      </c>
      <c r="C1300" s="29" t="s">
        <v>665</v>
      </c>
      <c r="D1300" s="29" t="s">
        <v>666</v>
      </c>
      <c r="E1300" s="25" t="s">
        <v>3132</v>
      </c>
      <c r="F1300" s="26" t="s">
        <v>115</v>
      </c>
      <c r="G1300" s="27" t="s">
        <v>271</v>
      </c>
      <c r="H1300" s="27" t="s">
        <v>521</v>
      </c>
      <c r="I1300" s="27"/>
      <c r="J1300" s="27" t="s">
        <v>568</v>
      </c>
      <c r="K1300" s="106" t="str">
        <f t="shared" si="62"/>
        <v>М</v>
      </c>
      <c r="L1300" s="106" t="str">
        <f t="shared" si="63"/>
        <v>З</v>
      </c>
      <c r="M1300" s="107" t="str">
        <f t="shared" si="64"/>
        <v>Административное право, административный процесс</v>
      </c>
    </row>
    <row r="1301" spans="1:13" ht="30" hidden="1" customHeight="1" x14ac:dyDescent="0.25">
      <c r="A1301" s="41" t="s">
        <v>1648</v>
      </c>
      <c r="B1301" s="25" t="s">
        <v>1610</v>
      </c>
      <c r="C1301" s="29" t="s">
        <v>665</v>
      </c>
      <c r="D1301" s="29" t="s">
        <v>666</v>
      </c>
      <c r="E1301" s="25" t="s">
        <v>3132</v>
      </c>
      <c r="F1301" s="26" t="s">
        <v>115</v>
      </c>
      <c r="G1301" s="27" t="s">
        <v>271</v>
      </c>
      <c r="H1301" s="27" t="s">
        <v>661</v>
      </c>
      <c r="I1301" s="27"/>
      <c r="J1301" s="27" t="s">
        <v>568</v>
      </c>
      <c r="K1301" s="106" t="str">
        <f t="shared" si="62"/>
        <v>М</v>
      </c>
      <c r="L1301" s="106" t="str">
        <f t="shared" si="63"/>
        <v>З</v>
      </c>
      <c r="M1301" s="107" t="str">
        <f t="shared" si="64"/>
        <v>Медицинское право</v>
      </c>
    </row>
    <row r="1302" spans="1:13" ht="30" hidden="1" customHeight="1" x14ac:dyDescent="0.25">
      <c r="A1302" s="41" t="s">
        <v>2738</v>
      </c>
      <c r="B1302" s="25" t="s">
        <v>1610</v>
      </c>
      <c r="C1302" s="29" t="s">
        <v>665</v>
      </c>
      <c r="D1302" s="29" t="s">
        <v>666</v>
      </c>
      <c r="E1302" s="25" t="s">
        <v>3127</v>
      </c>
      <c r="F1302" s="26" t="s">
        <v>115</v>
      </c>
      <c r="G1302" s="27" t="s">
        <v>271</v>
      </c>
      <c r="H1302" s="27" t="s">
        <v>2739</v>
      </c>
      <c r="I1302" s="27" t="s">
        <v>2827</v>
      </c>
      <c r="J1302" s="27" t="s">
        <v>568</v>
      </c>
      <c r="K1302" s="106" t="str">
        <f t="shared" si="62"/>
        <v>М</v>
      </c>
      <c r="L1302" s="106" t="str">
        <f t="shared" si="63"/>
        <v>З</v>
      </c>
      <c r="M1302" s="107" t="str">
        <f t="shared" si="64"/>
        <v>Публичное экономическое право (Вуз-партнёр - Европейский университет Молдовы)</v>
      </c>
    </row>
    <row r="1303" spans="1:13" ht="30" hidden="1" customHeight="1" x14ac:dyDescent="0.25">
      <c r="A1303" s="41" t="s">
        <v>2793</v>
      </c>
      <c r="B1303" s="25" t="s">
        <v>1610</v>
      </c>
      <c r="C1303" s="29" t="s">
        <v>665</v>
      </c>
      <c r="D1303" s="29" t="s">
        <v>666</v>
      </c>
      <c r="E1303" s="25" t="s">
        <v>3126</v>
      </c>
      <c r="F1303" s="26" t="s">
        <v>115</v>
      </c>
      <c r="G1303" s="27" t="s">
        <v>271</v>
      </c>
      <c r="H1303" s="27" t="s">
        <v>2794</v>
      </c>
      <c r="I1303" s="27"/>
      <c r="J1303" s="27" t="s">
        <v>568</v>
      </c>
      <c r="K1303" s="106" t="str">
        <f t="shared" si="62"/>
        <v>М</v>
      </c>
      <c r="L1303" s="106" t="str">
        <f t="shared" si="63"/>
        <v>З</v>
      </c>
      <c r="M1303" s="107" t="str">
        <f t="shared" si="64"/>
        <v>Образовательное право: сравнительное правоведение</v>
      </c>
    </row>
    <row r="1304" spans="1:13" ht="30" hidden="1" customHeight="1" x14ac:dyDescent="0.25">
      <c r="A1304" s="41" t="s">
        <v>2753</v>
      </c>
      <c r="B1304" s="25" t="s">
        <v>1729</v>
      </c>
      <c r="C1304" s="29" t="s">
        <v>664</v>
      </c>
      <c r="D1304" s="29" t="s">
        <v>666</v>
      </c>
      <c r="E1304" s="25" t="s">
        <v>3128</v>
      </c>
      <c r="F1304" s="26" t="s">
        <v>179</v>
      </c>
      <c r="G1304" s="27" t="s">
        <v>271</v>
      </c>
      <c r="H1304" s="27" t="s">
        <v>294</v>
      </c>
      <c r="I1304" s="27"/>
      <c r="J1304" s="27" t="s">
        <v>568</v>
      </c>
      <c r="K1304" s="106" t="str">
        <f t="shared" si="62"/>
        <v>А</v>
      </c>
      <c r="L1304" s="106" t="str">
        <f t="shared" si="63"/>
        <v>Д</v>
      </c>
      <c r="M1304" s="107" t="str">
        <f t="shared" si="64"/>
        <v>Административное право; административный процесс</v>
      </c>
    </row>
    <row r="1305" spans="1:13" ht="30" hidden="1" customHeight="1" x14ac:dyDescent="0.25">
      <c r="A1305" s="41" t="s">
        <v>2754</v>
      </c>
      <c r="B1305" s="25" t="s">
        <v>1729</v>
      </c>
      <c r="C1305" s="29" t="s">
        <v>664</v>
      </c>
      <c r="D1305" s="29" t="s">
        <v>666</v>
      </c>
      <c r="E1305" s="25" t="s">
        <v>3128</v>
      </c>
      <c r="F1305" s="26" t="s">
        <v>179</v>
      </c>
      <c r="G1305" s="27" t="s">
        <v>271</v>
      </c>
      <c r="H1305" s="27" t="s">
        <v>293</v>
      </c>
      <c r="I1305" s="27"/>
      <c r="J1305" s="27" t="s">
        <v>568</v>
      </c>
      <c r="K1305" s="106" t="str">
        <f t="shared" si="62"/>
        <v>А</v>
      </c>
      <c r="L1305" s="106" t="str">
        <f t="shared" si="63"/>
        <v>Д</v>
      </c>
      <c r="M1305" s="107" t="str">
        <f t="shared" si="64"/>
        <v>Гражданский процесс; арбитражный процесс</v>
      </c>
    </row>
    <row r="1306" spans="1:13" ht="30" hidden="1" customHeight="1" x14ac:dyDescent="0.25">
      <c r="A1306" s="41" t="s">
        <v>2755</v>
      </c>
      <c r="B1306" s="25" t="s">
        <v>1729</v>
      </c>
      <c r="C1306" s="29" t="s">
        <v>664</v>
      </c>
      <c r="D1306" s="29" t="s">
        <v>666</v>
      </c>
      <c r="E1306" s="25" t="s">
        <v>3128</v>
      </c>
      <c r="F1306" s="26" t="s">
        <v>179</v>
      </c>
      <c r="G1306" s="27" t="s">
        <v>271</v>
      </c>
      <c r="H1306" s="27" t="s">
        <v>292</v>
      </c>
      <c r="I1306" s="27"/>
      <c r="J1306" s="27" t="s">
        <v>568</v>
      </c>
      <c r="K1306" s="106" t="str">
        <f t="shared" si="62"/>
        <v>А</v>
      </c>
      <c r="L1306" s="106" t="str">
        <f t="shared" si="63"/>
        <v>Д</v>
      </c>
      <c r="M1306" s="107" t="str">
        <f t="shared" si="64"/>
        <v>Гражданское право; предпринимательское право; семейное право; международное частное право</v>
      </c>
    </row>
    <row r="1307" spans="1:13" ht="30" hidden="1" customHeight="1" x14ac:dyDescent="0.25">
      <c r="A1307" s="41" t="s">
        <v>2756</v>
      </c>
      <c r="B1307" s="25" t="s">
        <v>1729</v>
      </c>
      <c r="C1307" s="29" t="s">
        <v>664</v>
      </c>
      <c r="D1307" s="29" t="s">
        <v>666</v>
      </c>
      <c r="E1307" s="25" t="s">
        <v>3128</v>
      </c>
      <c r="F1307" s="26" t="s">
        <v>179</v>
      </c>
      <c r="G1307" s="27" t="s">
        <v>271</v>
      </c>
      <c r="H1307" s="27" t="s">
        <v>296</v>
      </c>
      <c r="I1307" s="27"/>
      <c r="J1307" s="27" t="s">
        <v>568</v>
      </c>
      <c r="K1307" s="106" t="str">
        <f t="shared" si="62"/>
        <v>А</v>
      </c>
      <c r="L1307" s="106" t="str">
        <f t="shared" si="63"/>
        <v>Д</v>
      </c>
      <c r="M1307" s="107" t="str">
        <f t="shared" si="64"/>
        <v>Информационное право</v>
      </c>
    </row>
    <row r="1308" spans="1:13" ht="30" hidden="1" customHeight="1" x14ac:dyDescent="0.25">
      <c r="A1308" s="41" t="s">
        <v>2757</v>
      </c>
      <c r="B1308" s="25" t="s">
        <v>1729</v>
      </c>
      <c r="C1308" s="29" t="s">
        <v>664</v>
      </c>
      <c r="D1308" s="29" t="s">
        <v>666</v>
      </c>
      <c r="E1308" s="25" t="s">
        <v>3128</v>
      </c>
      <c r="F1308" s="26" t="s">
        <v>179</v>
      </c>
      <c r="G1308" s="27" t="s">
        <v>271</v>
      </c>
      <c r="H1308" s="27" t="s">
        <v>291</v>
      </c>
      <c r="I1308" s="27"/>
      <c r="J1308" s="27" t="s">
        <v>568</v>
      </c>
      <c r="K1308" s="106" t="str">
        <f t="shared" si="62"/>
        <v>А</v>
      </c>
      <c r="L1308" s="106" t="str">
        <f t="shared" si="63"/>
        <v>Д</v>
      </c>
      <c r="M1308" s="107" t="str">
        <f t="shared" si="64"/>
        <v>Конституционное право; конституционный судебный процесс</v>
      </c>
    </row>
    <row r="1309" spans="1:13" ht="30" hidden="1" customHeight="1" x14ac:dyDescent="0.25">
      <c r="A1309" s="41" t="s">
        <v>2758</v>
      </c>
      <c r="B1309" s="25" t="s">
        <v>1729</v>
      </c>
      <c r="C1309" s="29" t="s">
        <v>664</v>
      </c>
      <c r="D1309" s="29" t="s">
        <v>666</v>
      </c>
      <c r="E1309" s="25" t="s">
        <v>3128</v>
      </c>
      <c r="F1309" s="26" t="s">
        <v>179</v>
      </c>
      <c r="G1309" s="27" t="s">
        <v>271</v>
      </c>
      <c r="H1309" s="27" t="s">
        <v>290</v>
      </c>
      <c r="I1309" s="27"/>
      <c r="J1309" s="27" t="s">
        <v>568</v>
      </c>
      <c r="K1309" s="106" t="str">
        <f t="shared" si="62"/>
        <v>А</v>
      </c>
      <c r="L1309" s="106" t="str">
        <f t="shared" si="63"/>
        <v>Д</v>
      </c>
      <c r="M1309" s="107" t="str">
        <f t="shared" si="64"/>
        <v>Криминалистика; судебно-экспертная деятельность; оперативно-розыскная деятельность</v>
      </c>
    </row>
    <row r="1310" spans="1:13" ht="30" hidden="1" customHeight="1" x14ac:dyDescent="0.25">
      <c r="A1310" s="41" t="s">
        <v>2759</v>
      </c>
      <c r="B1310" s="25" t="s">
        <v>1729</v>
      </c>
      <c r="C1310" s="29" t="s">
        <v>664</v>
      </c>
      <c r="D1310" s="29" t="s">
        <v>666</v>
      </c>
      <c r="E1310" s="25" t="s">
        <v>3128</v>
      </c>
      <c r="F1310" s="26" t="s">
        <v>179</v>
      </c>
      <c r="G1310" s="27" t="s">
        <v>271</v>
      </c>
      <c r="H1310" s="27" t="s">
        <v>410</v>
      </c>
      <c r="I1310" s="27"/>
      <c r="J1310" s="27" t="s">
        <v>568</v>
      </c>
      <c r="K1310" s="106" t="str">
        <f t="shared" si="62"/>
        <v>А</v>
      </c>
      <c r="L1310" s="106" t="str">
        <f t="shared" si="63"/>
        <v>Д</v>
      </c>
      <c r="M1310" s="107" t="str">
        <f t="shared" si="64"/>
        <v>Международное право; Европейское право</v>
      </c>
    </row>
    <row r="1311" spans="1:13" ht="30" hidden="1" customHeight="1" x14ac:dyDescent="0.25">
      <c r="A1311" s="41" t="s">
        <v>2760</v>
      </c>
      <c r="B1311" s="25" t="s">
        <v>1729</v>
      </c>
      <c r="C1311" s="29" t="s">
        <v>664</v>
      </c>
      <c r="D1311" s="29" t="s">
        <v>666</v>
      </c>
      <c r="E1311" s="25" t="s">
        <v>3128</v>
      </c>
      <c r="F1311" s="26" t="s">
        <v>179</v>
      </c>
      <c r="G1311" s="27" t="s">
        <v>271</v>
      </c>
      <c r="H1311" s="27" t="s">
        <v>289</v>
      </c>
      <c r="I1311" s="27"/>
      <c r="J1311" s="27" t="s">
        <v>568</v>
      </c>
      <c r="K1311" s="106" t="str">
        <f t="shared" si="62"/>
        <v>А</v>
      </c>
      <c r="L1311" s="106" t="str">
        <f t="shared" si="63"/>
        <v>Д</v>
      </c>
      <c r="M1311" s="107" t="str">
        <f t="shared" si="64"/>
        <v>Муниципальное право</v>
      </c>
    </row>
    <row r="1312" spans="1:13" ht="30" hidden="1" customHeight="1" x14ac:dyDescent="0.25">
      <c r="A1312" s="41" t="s">
        <v>2761</v>
      </c>
      <c r="B1312" s="25" t="s">
        <v>1729</v>
      </c>
      <c r="C1312" s="29" t="s">
        <v>664</v>
      </c>
      <c r="D1312" s="29" t="s">
        <v>666</v>
      </c>
      <c r="E1312" s="25" t="s">
        <v>3128</v>
      </c>
      <c r="F1312" s="26" t="s">
        <v>179</v>
      </c>
      <c r="G1312" s="27" t="s">
        <v>271</v>
      </c>
      <c r="H1312" s="27" t="s">
        <v>288</v>
      </c>
      <c r="I1312" s="27"/>
      <c r="J1312" s="27" t="s">
        <v>568</v>
      </c>
      <c r="K1312" s="106" t="str">
        <f t="shared" si="62"/>
        <v>А</v>
      </c>
      <c r="L1312" s="106" t="str">
        <f t="shared" si="63"/>
        <v>Д</v>
      </c>
      <c r="M1312" s="107" t="str">
        <f t="shared" si="64"/>
        <v>Судебная деятельность, прокурорская деятельность, правозащитная и правоохранительная деятельность</v>
      </c>
    </row>
    <row r="1313" spans="1:13" ht="30" hidden="1" customHeight="1" x14ac:dyDescent="0.25">
      <c r="A1313" s="41" t="s">
        <v>2762</v>
      </c>
      <c r="B1313" s="25" t="s">
        <v>1729</v>
      </c>
      <c r="C1313" s="29" t="s">
        <v>664</v>
      </c>
      <c r="D1313" s="29" t="s">
        <v>666</v>
      </c>
      <c r="E1313" s="25" t="s">
        <v>3128</v>
      </c>
      <c r="F1313" s="26" t="s">
        <v>179</v>
      </c>
      <c r="G1313" s="27" t="s">
        <v>271</v>
      </c>
      <c r="H1313" s="27" t="s">
        <v>287</v>
      </c>
      <c r="I1313" s="27"/>
      <c r="J1313" s="27" t="s">
        <v>568</v>
      </c>
      <c r="K1313" s="106" t="str">
        <f t="shared" si="62"/>
        <v>А</v>
      </c>
      <c r="L1313" s="106" t="str">
        <f t="shared" si="63"/>
        <v>Д</v>
      </c>
      <c r="M1313" s="107" t="str">
        <f t="shared" si="64"/>
        <v>Теория и история права и государства; история учений о праве и государстве</v>
      </c>
    </row>
    <row r="1314" spans="1:13" ht="30" hidden="1" customHeight="1" x14ac:dyDescent="0.25">
      <c r="A1314" s="41" t="s">
        <v>2763</v>
      </c>
      <c r="B1314" s="25" t="s">
        <v>1729</v>
      </c>
      <c r="C1314" s="29" t="s">
        <v>664</v>
      </c>
      <c r="D1314" s="29" t="s">
        <v>666</v>
      </c>
      <c r="E1314" s="25" t="s">
        <v>3128</v>
      </c>
      <c r="F1314" s="26" t="s">
        <v>179</v>
      </c>
      <c r="G1314" s="27" t="s">
        <v>271</v>
      </c>
      <c r="H1314" s="27" t="s">
        <v>286</v>
      </c>
      <c r="I1314" s="27"/>
      <c r="J1314" s="27" t="s">
        <v>568</v>
      </c>
      <c r="K1314" s="106" t="str">
        <f t="shared" si="62"/>
        <v>А</v>
      </c>
      <c r="L1314" s="106" t="str">
        <f t="shared" si="63"/>
        <v>Д</v>
      </c>
      <c r="M1314" s="107" t="str">
        <f t="shared" si="64"/>
        <v>Трудовое право; право социального обеспечения</v>
      </c>
    </row>
    <row r="1315" spans="1:13" ht="30" hidden="1" customHeight="1" x14ac:dyDescent="0.25">
      <c r="A1315" s="41" t="s">
        <v>2764</v>
      </c>
      <c r="B1315" s="25" t="s">
        <v>1729</v>
      </c>
      <c r="C1315" s="29" t="s">
        <v>664</v>
      </c>
      <c r="D1315" s="29" t="s">
        <v>666</v>
      </c>
      <c r="E1315" s="25" t="s">
        <v>3128</v>
      </c>
      <c r="F1315" s="26" t="s">
        <v>179</v>
      </c>
      <c r="G1315" s="27" t="s">
        <v>271</v>
      </c>
      <c r="H1315" s="27" t="s">
        <v>285</v>
      </c>
      <c r="I1315" s="27"/>
      <c r="J1315" s="27" t="s">
        <v>568</v>
      </c>
      <c r="K1315" s="106" t="str">
        <f t="shared" si="62"/>
        <v>А</v>
      </c>
      <c r="L1315" s="106" t="str">
        <f t="shared" si="63"/>
        <v>Д</v>
      </c>
      <c r="M1315" s="107" t="str">
        <f t="shared" si="64"/>
        <v>Уголовное право и криминология; уголовно-исполнительное право</v>
      </c>
    </row>
    <row r="1316" spans="1:13" ht="30" hidden="1" customHeight="1" x14ac:dyDescent="0.25">
      <c r="A1316" s="41" t="s">
        <v>2765</v>
      </c>
      <c r="B1316" s="25" t="s">
        <v>1729</v>
      </c>
      <c r="C1316" s="29" t="s">
        <v>664</v>
      </c>
      <c r="D1316" s="29" t="s">
        <v>666</v>
      </c>
      <c r="E1316" s="25" t="s">
        <v>3128</v>
      </c>
      <c r="F1316" s="26" t="s">
        <v>179</v>
      </c>
      <c r="G1316" s="27" t="s">
        <v>271</v>
      </c>
      <c r="H1316" s="27" t="s">
        <v>295</v>
      </c>
      <c r="I1316" s="27"/>
      <c r="J1316" s="27" t="s">
        <v>568</v>
      </c>
      <c r="K1316" s="106" t="str">
        <f t="shared" si="62"/>
        <v>А</v>
      </c>
      <c r="L1316" s="106" t="str">
        <f t="shared" si="63"/>
        <v>Д</v>
      </c>
      <c r="M1316" s="107" t="str">
        <f t="shared" si="64"/>
        <v>Уголовный процесс</v>
      </c>
    </row>
    <row r="1317" spans="1:13" ht="30" hidden="1" customHeight="1" x14ac:dyDescent="0.25">
      <c r="A1317" s="41" t="s">
        <v>2766</v>
      </c>
      <c r="B1317" s="25" t="s">
        <v>1729</v>
      </c>
      <c r="C1317" s="29" t="s">
        <v>664</v>
      </c>
      <c r="D1317" s="29" t="s">
        <v>666</v>
      </c>
      <c r="E1317" s="25" t="s">
        <v>3128</v>
      </c>
      <c r="F1317" s="26" t="s">
        <v>179</v>
      </c>
      <c r="G1317" s="27" t="s">
        <v>271</v>
      </c>
      <c r="H1317" s="27" t="s">
        <v>284</v>
      </c>
      <c r="I1317" s="27"/>
      <c r="J1317" s="27" t="s">
        <v>568</v>
      </c>
      <c r="K1317" s="106" t="str">
        <f t="shared" si="62"/>
        <v>А</v>
      </c>
      <c r="L1317" s="106" t="str">
        <f t="shared" si="63"/>
        <v>Д</v>
      </c>
      <c r="M1317" s="107" t="str">
        <f t="shared" si="64"/>
        <v>Финансовое право, налоговое право, бюджетное право</v>
      </c>
    </row>
    <row r="1318" spans="1:13" ht="30" hidden="1" customHeight="1" x14ac:dyDescent="0.25">
      <c r="A1318" s="41" t="s">
        <v>2767</v>
      </c>
      <c r="B1318" s="25" t="s">
        <v>1729</v>
      </c>
      <c r="C1318" s="29" t="s">
        <v>664</v>
      </c>
      <c r="D1318" s="29" t="s">
        <v>1730</v>
      </c>
      <c r="E1318" s="25" t="s">
        <v>3128</v>
      </c>
      <c r="F1318" s="26" t="s">
        <v>179</v>
      </c>
      <c r="G1318" s="27" t="s">
        <v>271</v>
      </c>
      <c r="H1318" s="27" t="s">
        <v>656</v>
      </c>
      <c r="I1318" s="27"/>
      <c r="J1318" s="27" t="s">
        <v>568</v>
      </c>
      <c r="K1318" s="106" t="str">
        <f t="shared" si="62"/>
        <v>А</v>
      </c>
      <c r="L1318" s="106" t="str">
        <f t="shared" si="63"/>
        <v>Д</v>
      </c>
      <c r="M1318" s="107" t="str">
        <f t="shared" si="64"/>
        <v>Юридические науки: Современное международное право (Английский язык)</v>
      </c>
    </row>
    <row r="1319" spans="1:13" ht="30" hidden="1" customHeight="1" x14ac:dyDescent="0.25">
      <c r="A1319" s="41" t="s">
        <v>2782</v>
      </c>
      <c r="B1319" s="25" t="s">
        <v>1664</v>
      </c>
      <c r="C1319" s="29" t="s">
        <v>664</v>
      </c>
      <c r="D1319" s="29" t="s">
        <v>1730</v>
      </c>
      <c r="E1319" s="25" t="s">
        <v>3128</v>
      </c>
      <c r="F1319" s="26" t="s">
        <v>179</v>
      </c>
      <c r="G1319" s="27" t="s">
        <v>570</v>
      </c>
      <c r="H1319" s="27" t="s">
        <v>1028</v>
      </c>
      <c r="I1319" s="27"/>
      <c r="J1319" s="27" t="s">
        <v>568</v>
      </c>
      <c r="K1319" s="106" t="str">
        <f t="shared" si="62"/>
        <v>А</v>
      </c>
      <c r="L1319" s="106" t="str">
        <f t="shared" si="63"/>
        <v>Д</v>
      </c>
      <c r="M1319" s="107" t="str">
        <f t="shared" si="64"/>
        <v>Обучение профессионально-ориентированному иностранному языку и переводу в условиях цифровизации (Английский язык)</v>
      </c>
    </row>
    <row r="1320" spans="1:13" ht="30" hidden="1" customHeight="1" x14ac:dyDescent="0.25">
      <c r="A1320" s="41" t="s">
        <v>2014</v>
      </c>
      <c r="B1320" s="25" t="s">
        <v>2745</v>
      </c>
      <c r="C1320" s="29" t="s">
        <v>664</v>
      </c>
      <c r="D1320" s="29" t="s">
        <v>666</v>
      </c>
      <c r="E1320" s="25" t="s">
        <v>3128</v>
      </c>
      <c r="F1320" s="26" t="s">
        <v>179</v>
      </c>
      <c r="G1320" s="27" t="s">
        <v>2015</v>
      </c>
      <c r="H1320" s="27" t="s">
        <v>2015</v>
      </c>
      <c r="I1320" s="27"/>
      <c r="J1320" s="27" t="s">
        <v>568</v>
      </c>
      <c r="K1320" s="106" t="str">
        <f t="shared" si="62"/>
        <v>А</v>
      </c>
      <c r="L1320" s="106" t="str">
        <f t="shared" si="63"/>
        <v>Д</v>
      </c>
      <c r="M1320" s="107" t="str">
        <f t="shared" si="64"/>
        <v>Теоретико-исторические правовые науки</v>
      </c>
    </row>
    <row r="1321" spans="1:13" ht="30" hidden="1" customHeight="1" x14ac:dyDescent="0.25">
      <c r="A1321" s="41" t="s">
        <v>2016</v>
      </c>
      <c r="B1321" s="25" t="s">
        <v>2745</v>
      </c>
      <c r="C1321" s="29" t="s">
        <v>664</v>
      </c>
      <c r="D1321" s="29" t="s">
        <v>1730</v>
      </c>
      <c r="E1321" s="25" t="s">
        <v>3128</v>
      </c>
      <c r="F1321" s="26" t="s">
        <v>179</v>
      </c>
      <c r="G1321" s="27" t="s">
        <v>2015</v>
      </c>
      <c r="H1321" s="27" t="s">
        <v>2015</v>
      </c>
      <c r="I1321" s="27"/>
      <c r="J1321" s="27" t="s">
        <v>568</v>
      </c>
      <c r="K1321" s="106" t="str">
        <f t="shared" si="62"/>
        <v>А</v>
      </c>
      <c r="L1321" s="106" t="str">
        <f t="shared" si="63"/>
        <v>Д</v>
      </c>
      <c r="M1321" s="107" t="str">
        <f t="shared" si="64"/>
        <v>Теоретико-исторические правовые науки (Английский язык)</v>
      </c>
    </row>
    <row r="1322" spans="1:13" ht="30" hidden="1" customHeight="1" x14ac:dyDescent="0.25">
      <c r="A1322" s="41" t="s">
        <v>2017</v>
      </c>
      <c r="B1322" s="25" t="s">
        <v>2746</v>
      </c>
      <c r="C1322" s="29" t="s">
        <v>664</v>
      </c>
      <c r="D1322" s="29" t="s">
        <v>666</v>
      </c>
      <c r="E1322" s="25" t="s">
        <v>3128</v>
      </c>
      <c r="F1322" s="26" t="s">
        <v>179</v>
      </c>
      <c r="G1322" s="27" t="s">
        <v>2018</v>
      </c>
      <c r="H1322" s="27" t="s">
        <v>2018</v>
      </c>
      <c r="I1322" s="27"/>
      <c r="J1322" s="27" t="s">
        <v>568</v>
      </c>
      <c r="K1322" s="106" t="str">
        <f t="shared" si="62"/>
        <v>А</v>
      </c>
      <c r="L1322" s="106" t="str">
        <f t="shared" si="63"/>
        <v>Д</v>
      </c>
      <c r="M1322" s="107" t="str">
        <f t="shared" si="64"/>
        <v>Публично-правовые (государственно-правовые) науки</v>
      </c>
    </row>
    <row r="1323" spans="1:13" ht="30" hidden="1" customHeight="1" x14ac:dyDescent="0.25">
      <c r="A1323" s="41" t="s">
        <v>2019</v>
      </c>
      <c r="B1323" s="25" t="s">
        <v>2747</v>
      </c>
      <c r="C1323" s="29" t="s">
        <v>664</v>
      </c>
      <c r="D1323" s="29" t="s">
        <v>666</v>
      </c>
      <c r="E1323" s="25" t="s">
        <v>3128</v>
      </c>
      <c r="F1323" s="26" t="s">
        <v>179</v>
      </c>
      <c r="G1323" s="27" t="s">
        <v>2020</v>
      </c>
      <c r="H1323" s="27" t="s">
        <v>2020</v>
      </c>
      <c r="I1323" s="27"/>
      <c r="J1323" s="27" t="s">
        <v>568</v>
      </c>
      <c r="K1323" s="106" t="str">
        <f t="shared" si="62"/>
        <v>А</v>
      </c>
      <c r="L1323" s="106" t="str">
        <f t="shared" si="63"/>
        <v>Д</v>
      </c>
      <c r="M1323" s="107" t="str">
        <f t="shared" si="64"/>
        <v>Частно-правовые (цивилистические) науки</v>
      </c>
    </row>
    <row r="1324" spans="1:13" ht="30" hidden="1" customHeight="1" x14ac:dyDescent="0.25">
      <c r="A1324" s="41" t="s">
        <v>2021</v>
      </c>
      <c r="B1324" s="25" t="s">
        <v>2748</v>
      </c>
      <c r="C1324" s="29" t="s">
        <v>664</v>
      </c>
      <c r="D1324" s="29" t="s">
        <v>666</v>
      </c>
      <c r="E1324" s="25" t="s">
        <v>3128</v>
      </c>
      <c r="F1324" s="26" t="s">
        <v>179</v>
      </c>
      <c r="G1324" s="27" t="s">
        <v>2022</v>
      </c>
      <c r="H1324" s="27" t="s">
        <v>2022</v>
      </c>
      <c r="I1324" s="27"/>
      <c r="J1324" s="27" t="s">
        <v>568</v>
      </c>
      <c r="K1324" s="106" t="str">
        <f t="shared" si="62"/>
        <v>А</v>
      </c>
      <c r="L1324" s="106" t="str">
        <f t="shared" si="63"/>
        <v>Д</v>
      </c>
      <c r="M1324" s="107" t="str">
        <f t="shared" si="64"/>
        <v>Уголовно-правовые науки</v>
      </c>
    </row>
    <row r="1325" spans="1:13" ht="30" hidden="1" customHeight="1" x14ac:dyDescent="0.25">
      <c r="A1325" s="41" t="s">
        <v>2023</v>
      </c>
      <c r="B1325" s="25" t="s">
        <v>2749</v>
      </c>
      <c r="C1325" s="29" t="s">
        <v>664</v>
      </c>
      <c r="D1325" s="29" t="s">
        <v>666</v>
      </c>
      <c r="E1325" s="25" t="s">
        <v>3128</v>
      </c>
      <c r="F1325" s="26" t="s">
        <v>179</v>
      </c>
      <c r="G1325" s="27" t="s">
        <v>2024</v>
      </c>
      <c r="H1325" s="27" t="s">
        <v>2024</v>
      </c>
      <c r="I1325" s="27"/>
      <c r="J1325" s="27" t="s">
        <v>568</v>
      </c>
      <c r="K1325" s="106" t="str">
        <f t="shared" si="62"/>
        <v>А</v>
      </c>
      <c r="L1325" s="106" t="str">
        <f t="shared" si="63"/>
        <v>Д</v>
      </c>
      <c r="M1325" s="107" t="str">
        <f t="shared" si="64"/>
        <v>Международно-правовые науки</v>
      </c>
    </row>
    <row r="1326" spans="1:13" ht="30" hidden="1" customHeight="1" x14ac:dyDescent="0.25">
      <c r="A1326" s="41" t="s">
        <v>2750</v>
      </c>
      <c r="B1326" s="25" t="s">
        <v>2749</v>
      </c>
      <c r="C1326" s="29" t="s">
        <v>664</v>
      </c>
      <c r="D1326" s="29" t="s">
        <v>1730</v>
      </c>
      <c r="E1326" s="25" t="s">
        <v>3128</v>
      </c>
      <c r="F1326" s="26" t="s">
        <v>179</v>
      </c>
      <c r="G1326" s="27" t="s">
        <v>2024</v>
      </c>
      <c r="H1326" s="27" t="s">
        <v>2751</v>
      </c>
      <c r="I1326" s="27"/>
      <c r="J1326" s="27" t="s">
        <v>568</v>
      </c>
      <c r="K1326" s="106" t="str">
        <f t="shared" si="62"/>
        <v>А</v>
      </c>
      <c r="L1326" s="106" t="str">
        <f t="shared" si="63"/>
        <v>Д</v>
      </c>
      <c r="M1326" s="107" t="str">
        <f t="shared" si="64"/>
        <v>Юридические науки: современное международное право (Английский язык)</v>
      </c>
    </row>
    <row r="1327" spans="1:13" ht="30" hidden="1" customHeight="1" x14ac:dyDescent="0.25">
      <c r="A1327" s="41" t="s">
        <v>2797</v>
      </c>
      <c r="B1327" s="25" t="s">
        <v>2548</v>
      </c>
      <c r="C1327" s="29" t="s">
        <v>664</v>
      </c>
      <c r="D1327" s="29" t="s">
        <v>666</v>
      </c>
      <c r="E1327" s="25" t="s">
        <v>3128</v>
      </c>
      <c r="F1327" s="26" t="s">
        <v>179</v>
      </c>
      <c r="G1327" s="27" t="s">
        <v>1962</v>
      </c>
      <c r="H1327" s="27" t="s">
        <v>1962</v>
      </c>
      <c r="I1327" s="27"/>
      <c r="J1327" s="27" t="s">
        <v>568</v>
      </c>
      <c r="K1327" s="106" t="str">
        <f t="shared" si="62"/>
        <v>А</v>
      </c>
      <c r="L1327" s="106" t="str">
        <f t="shared" si="63"/>
        <v>Д</v>
      </c>
      <c r="M1327" s="107" t="str">
        <f t="shared" si="64"/>
        <v>Политические институты, процессы, технологии</v>
      </c>
    </row>
    <row r="1328" spans="1:13" ht="30" hidden="1" customHeight="1" x14ac:dyDescent="0.25">
      <c r="A1328" s="41" t="s">
        <v>2798</v>
      </c>
      <c r="B1328" s="25" t="s">
        <v>2548</v>
      </c>
      <c r="C1328" s="29" t="s">
        <v>664</v>
      </c>
      <c r="D1328" s="29" t="s">
        <v>1730</v>
      </c>
      <c r="E1328" s="25" t="s">
        <v>3128</v>
      </c>
      <c r="F1328" s="26" t="s">
        <v>179</v>
      </c>
      <c r="G1328" s="27" t="s">
        <v>1962</v>
      </c>
      <c r="H1328" s="27" t="s">
        <v>1962</v>
      </c>
      <c r="I1328" s="27"/>
      <c r="J1328" s="27" t="s">
        <v>568</v>
      </c>
      <c r="K1328" s="106" t="str">
        <f t="shared" si="62"/>
        <v>А</v>
      </c>
      <c r="L1328" s="106" t="str">
        <f t="shared" si="63"/>
        <v>Д</v>
      </c>
      <c r="M1328" s="107" t="str">
        <f t="shared" si="64"/>
        <v>Политические институты, процессы, технологии (Английский язык)</v>
      </c>
    </row>
    <row r="1329" spans="1:13" ht="30" hidden="1" customHeight="1" x14ac:dyDescent="0.25">
      <c r="A1329" s="41" t="s">
        <v>2796</v>
      </c>
      <c r="B1329" s="25" t="s">
        <v>2549</v>
      </c>
      <c r="C1329" s="29" t="s">
        <v>664</v>
      </c>
      <c r="D1329" s="29" t="s">
        <v>666</v>
      </c>
      <c r="E1329" s="25" t="s">
        <v>3128</v>
      </c>
      <c r="F1329" s="26" t="s">
        <v>179</v>
      </c>
      <c r="G1329" s="27" t="s">
        <v>2550</v>
      </c>
      <c r="H1329" s="27" t="s">
        <v>155</v>
      </c>
      <c r="I1329" s="27"/>
      <c r="J1329" s="27" t="s">
        <v>568</v>
      </c>
      <c r="K1329" s="106" t="str">
        <f t="shared" si="62"/>
        <v>А</v>
      </c>
      <c r="L1329" s="106" t="str">
        <f t="shared" si="63"/>
        <v>Д</v>
      </c>
      <c r="M1329" s="107" t="str">
        <f t="shared" si="64"/>
        <v>Международные отношения</v>
      </c>
    </row>
    <row r="1330" spans="1:13" ht="30" hidden="1" customHeight="1" x14ac:dyDescent="0.25">
      <c r="A1330" s="41" t="s">
        <v>2752</v>
      </c>
      <c r="B1330" s="25" t="s">
        <v>2263</v>
      </c>
      <c r="C1330" s="29" t="s">
        <v>664</v>
      </c>
      <c r="D1330" s="29" t="s">
        <v>1730</v>
      </c>
      <c r="E1330" s="25" t="s">
        <v>3128</v>
      </c>
      <c r="F1330" s="26" t="s">
        <v>179</v>
      </c>
      <c r="G1330" s="27" t="s">
        <v>1869</v>
      </c>
      <c r="H1330" s="27" t="s">
        <v>1028</v>
      </c>
      <c r="I1330" s="27"/>
      <c r="J1330" s="27" t="s">
        <v>568</v>
      </c>
      <c r="K1330" s="106" t="str">
        <f t="shared" si="62"/>
        <v>А</v>
      </c>
      <c r="L1330" s="106" t="str">
        <f t="shared" si="63"/>
        <v>Д</v>
      </c>
      <c r="M1330" s="107" t="str">
        <f t="shared" si="64"/>
        <v>Обучение профессионально-ориентированному иностранному языку и переводу в условиях цифровизации (Английский язык)</v>
      </c>
    </row>
    <row r="1331" spans="1:13" ht="30" hidden="1" customHeight="1" x14ac:dyDescent="0.25">
      <c r="A1331" s="41" t="s">
        <v>2768</v>
      </c>
      <c r="B1331" s="25" t="s">
        <v>1729</v>
      </c>
      <c r="C1331" s="29" t="s">
        <v>665</v>
      </c>
      <c r="D1331" s="29" t="s">
        <v>666</v>
      </c>
      <c r="E1331" s="25" t="s">
        <v>1732</v>
      </c>
      <c r="F1331" s="26" t="s">
        <v>179</v>
      </c>
      <c r="G1331" s="27" t="s">
        <v>271</v>
      </c>
      <c r="H1331" s="27" t="s">
        <v>294</v>
      </c>
      <c r="I1331" s="27"/>
      <c r="J1331" s="27" t="s">
        <v>568</v>
      </c>
      <c r="K1331" s="106" t="str">
        <f t="shared" si="62"/>
        <v>А</v>
      </c>
      <c r="L1331" s="106" t="str">
        <f t="shared" si="63"/>
        <v>З</v>
      </c>
      <c r="M1331" s="107" t="str">
        <f t="shared" si="64"/>
        <v>Административное право; административный процесс</v>
      </c>
    </row>
    <row r="1332" spans="1:13" ht="30" hidden="1" customHeight="1" x14ac:dyDescent="0.25">
      <c r="A1332" s="41" t="s">
        <v>2769</v>
      </c>
      <c r="B1332" s="25" t="s">
        <v>1729</v>
      </c>
      <c r="C1332" s="29" t="s">
        <v>665</v>
      </c>
      <c r="D1332" s="29" t="s">
        <v>666</v>
      </c>
      <c r="E1332" s="25" t="s">
        <v>1732</v>
      </c>
      <c r="F1332" s="26" t="s">
        <v>179</v>
      </c>
      <c r="G1332" s="27" t="s">
        <v>271</v>
      </c>
      <c r="H1332" s="27" t="s">
        <v>293</v>
      </c>
      <c r="I1332" s="27"/>
      <c r="J1332" s="27" t="s">
        <v>568</v>
      </c>
      <c r="K1332" s="106" t="str">
        <f t="shared" si="62"/>
        <v>А</v>
      </c>
      <c r="L1332" s="106" t="str">
        <f t="shared" si="63"/>
        <v>З</v>
      </c>
      <c r="M1332" s="107" t="str">
        <f t="shared" si="64"/>
        <v>Гражданский процесс; арбитражный процесс</v>
      </c>
    </row>
    <row r="1333" spans="1:13" ht="30" hidden="1" customHeight="1" x14ac:dyDescent="0.25">
      <c r="A1333" s="41" t="s">
        <v>2770</v>
      </c>
      <c r="B1333" s="25" t="s">
        <v>1729</v>
      </c>
      <c r="C1333" s="29" t="s">
        <v>665</v>
      </c>
      <c r="D1333" s="29" t="s">
        <v>666</v>
      </c>
      <c r="E1333" s="25" t="s">
        <v>1732</v>
      </c>
      <c r="F1333" s="26" t="s">
        <v>179</v>
      </c>
      <c r="G1333" s="27" t="s">
        <v>271</v>
      </c>
      <c r="H1333" s="27" t="s">
        <v>292</v>
      </c>
      <c r="I1333" s="27"/>
      <c r="J1333" s="27" t="s">
        <v>568</v>
      </c>
      <c r="K1333" s="106" t="str">
        <f t="shared" si="62"/>
        <v>А</v>
      </c>
      <c r="L1333" s="106" t="str">
        <f t="shared" si="63"/>
        <v>З</v>
      </c>
      <c r="M1333" s="107" t="str">
        <f t="shared" si="64"/>
        <v>Гражданское право; предпринимательское право; семейное право; международное частное право</v>
      </c>
    </row>
    <row r="1334" spans="1:13" ht="30" hidden="1" customHeight="1" x14ac:dyDescent="0.25">
      <c r="A1334" s="41" t="s">
        <v>2771</v>
      </c>
      <c r="B1334" s="25" t="s">
        <v>1729</v>
      </c>
      <c r="C1334" s="29" t="s">
        <v>665</v>
      </c>
      <c r="D1334" s="29" t="s">
        <v>666</v>
      </c>
      <c r="E1334" s="25" t="s">
        <v>1732</v>
      </c>
      <c r="F1334" s="26" t="s">
        <v>179</v>
      </c>
      <c r="G1334" s="27" t="s">
        <v>271</v>
      </c>
      <c r="H1334" s="27" t="s">
        <v>296</v>
      </c>
      <c r="I1334" s="27"/>
      <c r="J1334" s="27" t="s">
        <v>568</v>
      </c>
      <c r="K1334" s="106" t="str">
        <f t="shared" si="62"/>
        <v>А</v>
      </c>
      <c r="L1334" s="106" t="str">
        <f t="shared" si="63"/>
        <v>З</v>
      </c>
      <c r="M1334" s="107" t="str">
        <f t="shared" si="64"/>
        <v>Информационное право</v>
      </c>
    </row>
    <row r="1335" spans="1:13" ht="30" hidden="1" customHeight="1" x14ac:dyDescent="0.25">
      <c r="A1335" s="41" t="s">
        <v>2772</v>
      </c>
      <c r="B1335" s="25" t="s">
        <v>1729</v>
      </c>
      <c r="C1335" s="29" t="s">
        <v>665</v>
      </c>
      <c r="D1335" s="29" t="s">
        <v>666</v>
      </c>
      <c r="E1335" s="25" t="s">
        <v>1732</v>
      </c>
      <c r="F1335" s="26" t="s">
        <v>179</v>
      </c>
      <c r="G1335" s="27" t="s">
        <v>271</v>
      </c>
      <c r="H1335" s="27" t="s">
        <v>291</v>
      </c>
      <c r="I1335" s="27"/>
      <c r="J1335" s="27" t="s">
        <v>568</v>
      </c>
      <c r="K1335" s="106" t="str">
        <f t="shared" si="62"/>
        <v>А</v>
      </c>
      <c r="L1335" s="106" t="str">
        <f t="shared" si="63"/>
        <v>З</v>
      </c>
      <c r="M1335" s="107" t="str">
        <f t="shared" si="64"/>
        <v>Конституционное право; конституционный судебный процесс</v>
      </c>
    </row>
    <row r="1336" spans="1:13" ht="30" hidden="1" customHeight="1" x14ac:dyDescent="0.25">
      <c r="A1336" s="41" t="s">
        <v>2773</v>
      </c>
      <c r="B1336" s="25" t="s">
        <v>1729</v>
      </c>
      <c r="C1336" s="29" t="s">
        <v>665</v>
      </c>
      <c r="D1336" s="29" t="s">
        <v>666</v>
      </c>
      <c r="E1336" s="25" t="s">
        <v>1732</v>
      </c>
      <c r="F1336" s="26" t="s">
        <v>179</v>
      </c>
      <c r="G1336" s="27" t="s">
        <v>271</v>
      </c>
      <c r="H1336" s="27" t="s">
        <v>290</v>
      </c>
      <c r="I1336" s="27"/>
      <c r="J1336" s="27" t="s">
        <v>568</v>
      </c>
      <c r="K1336" s="106" t="str">
        <f t="shared" si="62"/>
        <v>А</v>
      </c>
      <c r="L1336" s="106" t="str">
        <f t="shared" si="63"/>
        <v>З</v>
      </c>
      <c r="M1336" s="107" t="str">
        <f t="shared" si="64"/>
        <v>Криминалистика; судебно-экспертная деятельность; оперативно-розыскная деятельность</v>
      </c>
    </row>
    <row r="1337" spans="1:13" ht="30" hidden="1" customHeight="1" x14ac:dyDescent="0.25">
      <c r="A1337" s="41" t="s">
        <v>2774</v>
      </c>
      <c r="B1337" s="25" t="s">
        <v>1729</v>
      </c>
      <c r="C1337" s="29" t="s">
        <v>665</v>
      </c>
      <c r="D1337" s="29" t="s">
        <v>666</v>
      </c>
      <c r="E1337" s="25" t="s">
        <v>1732</v>
      </c>
      <c r="F1337" s="26" t="s">
        <v>179</v>
      </c>
      <c r="G1337" s="27" t="s">
        <v>271</v>
      </c>
      <c r="H1337" s="27" t="s">
        <v>410</v>
      </c>
      <c r="I1337" s="27"/>
      <c r="J1337" s="27" t="s">
        <v>568</v>
      </c>
      <c r="K1337" s="106" t="str">
        <f t="shared" si="62"/>
        <v>А</v>
      </c>
      <c r="L1337" s="106" t="str">
        <f t="shared" si="63"/>
        <v>З</v>
      </c>
      <c r="M1337" s="107" t="str">
        <f t="shared" si="64"/>
        <v>Международное право; Европейское право</v>
      </c>
    </row>
    <row r="1338" spans="1:13" ht="30" hidden="1" customHeight="1" x14ac:dyDescent="0.25">
      <c r="A1338" s="41" t="s">
        <v>2775</v>
      </c>
      <c r="B1338" s="25" t="s">
        <v>1729</v>
      </c>
      <c r="C1338" s="29" t="s">
        <v>665</v>
      </c>
      <c r="D1338" s="29" t="s">
        <v>666</v>
      </c>
      <c r="E1338" s="25" t="s">
        <v>1732</v>
      </c>
      <c r="F1338" s="26" t="s">
        <v>179</v>
      </c>
      <c r="G1338" s="27" t="s">
        <v>271</v>
      </c>
      <c r="H1338" s="27" t="s">
        <v>289</v>
      </c>
      <c r="I1338" s="27"/>
      <c r="J1338" s="27" t="s">
        <v>568</v>
      </c>
      <c r="K1338" s="106" t="str">
        <f t="shared" si="62"/>
        <v>А</v>
      </c>
      <c r="L1338" s="106" t="str">
        <f t="shared" si="63"/>
        <v>З</v>
      </c>
      <c r="M1338" s="107" t="str">
        <f t="shared" si="64"/>
        <v>Муниципальное право</v>
      </c>
    </row>
    <row r="1339" spans="1:13" ht="30" hidden="1" customHeight="1" x14ac:dyDescent="0.25">
      <c r="A1339" s="41" t="s">
        <v>2776</v>
      </c>
      <c r="B1339" s="25" t="s">
        <v>1729</v>
      </c>
      <c r="C1339" s="29" t="s">
        <v>665</v>
      </c>
      <c r="D1339" s="29" t="s">
        <v>666</v>
      </c>
      <c r="E1339" s="25" t="s">
        <v>1732</v>
      </c>
      <c r="F1339" s="26" t="s">
        <v>179</v>
      </c>
      <c r="G1339" s="27" t="s">
        <v>271</v>
      </c>
      <c r="H1339" s="27" t="s">
        <v>288</v>
      </c>
      <c r="I1339" s="27"/>
      <c r="J1339" s="27" t="s">
        <v>568</v>
      </c>
      <c r="K1339" s="106" t="str">
        <f t="shared" si="62"/>
        <v>А</v>
      </c>
      <c r="L1339" s="106" t="str">
        <f t="shared" si="63"/>
        <v>З</v>
      </c>
      <c r="M1339" s="107" t="str">
        <f t="shared" si="64"/>
        <v>Судебная деятельность, прокурорская деятельность, правозащитная и правоохранительная деятельность</v>
      </c>
    </row>
    <row r="1340" spans="1:13" ht="30" hidden="1" customHeight="1" x14ac:dyDescent="0.25">
      <c r="A1340" s="41" t="s">
        <v>2777</v>
      </c>
      <c r="B1340" s="25" t="s">
        <v>1729</v>
      </c>
      <c r="C1340" s="29" t="s">
        <v>665</v>
      </c>
      <c r="D1340" s="29" t="s">
        <v>666</v>
      </c>
      <c r="E1340" s="25" t="s">
        <v>1732</v>
      </c>
      <c r="F1340" s="26" t="s">
        <v>179</v>
      </c>
      <c r="G1340" s="27" t="s">
        <v>271</v>
      </c>
      <c r="H1340" s="27" t="s">
        <v>287</v>
      </c>
      <c r="I1340" s="27"/>
      <c r="J1340" s="27" t="s">
        <v>568</v>
      </c>
      <c r="K1340" s="106" t="str">
        <f t="shared" si="62"/>
        <v>А</v>
      </c>
      <c r="L1340" s="106" t="str">
        <f t="shared" si="63"/>
        <v>З</v>
      </c>
      <c r="M1340" s="107" t="str">
        <f t="shared" si="64"/>
        <v>Теория и история права и государства; история учений о праве и государстве</v>
      </c>
    </row>
    <row r="1341" spans="1:13" ht="30" hidden="1" customHeight="1" x14ac:dyDescent="0.25">
      <c r="A1341" s="41" t="s">
        <v>2778</v>
      </c>
      <c r="B1341" s="25" t="s">
        <v>1729</v>
      </c>
      <c r="C1341" s="29" t="s">
        <v>665</v>
      </c>
      <c r="D1341" s="29" t="s">
        <v>666</v>
      </c>
      <c r="E1341" s="25" t="s">
        <v>1732</v>
      </c>
      <c r="F1341" s="26" t="s">
        <v>179</v>
      </c>
      <c r="G1341" s="27" t="s">
        <v>271</v>
      </c>
      <c r="H1341" s="27" t="s">
        <v>286</v>
      </c>
      <c r="I1341" s="27"/>
      <c r="J1341" s="27" t="s">
        <v>568</v>
      </c>
      <c r="K1341" s="106" t="str">
        <f t="shared" si="62"/>
        <v>А</v>
      </c>
      <c r="L1341" s="106" t="str">
        <f t="shared" si="63"/>
        <v>З</v>
      </c>
      <c r="M1341" s="107" t="str">
        <f t="shared" si="64"/>
        <v>Трудовое право; право социального обеспечения</v>
      </c>
    </row>
    <row r="1342" spans="1:13" ht="30" hidden="1" customHeight="1" x14ac:dyDescent="0.25">
      <c r="A1342" s="41" t="s">
        <v>2779</v>
      </c>
      <c r="B1342" s="25" t="s">
        <v>1729</v>
      </c>
      <c r="C1342" s="29" t="s">
        <v>665</v>
      </c>
      <c r="D1342" s="29" t="s">
        <v>666</v>
      </c>
      <c r="E1342" s="25" t="s">
        <v>1732</v>
      </c>
      <c r="F1342" s="26" t="s">
        <v>179</v>
      </c>
      <c r="G1342" s="27" t="s">
        <v>271</v>
      </c>
      <c r="H1342" s="27" t="s">
        <v>285</v>
      </c>
      <c r="I1342" s="27"/>
      <c r="J1342" s="27" t="s">
        <v>568</v>
      </c>
      <c r="K1342" s="106" t="str">
        <f t="shared" si="62"/>
        <v>А</v>
      </c>
      <c r="L1342" s="106" t="str">
        <f t="shared" si="63"/>
        <v>З</v>
      </c>
      <c r="M1342" s="107" t="str">
        <f t="shared" si="64"/>
        <v>Уголовное право и криминология; уголовно-исполнительное право</v>
      </c>
    </row>
    <row r="1343" spans="1:13" ht="30" hidden="1" customHeight="1" x14ac:dyDescent="0.25">
      <c r="A1343" s="41" t="s">
        <v>2780</v>
      </c>
      <c r="B1343" s="25" t="s">
        <v>1729</v>
      </c>
      <c r="C1343" s="29" t="s">
        <v>665</v>
      </c>
      <c r="D1343" s="29" t="s">
        <v>666</v>
      </c>
      <c r="E1343" s="25" t="s">
        <v>1732</v>
      </c>
      <c r="F1343" s="26" t="s">
        <v>179</v>
      </c>
      <c r="G1343" s="27" t="s">
        <v>271</v>
      </c>
      <c r="H1343" s="27" t="s">
        <v>295</v>
      </c>
      <c r="I1343" s="27"/>
      <c r="J1343" s="27" t="s">
        <v>568</v>
      </c>
      <c r="K1343" s="106" t="str">
        <f t="shared" si="62"/>
        <v>А</v>
      </c>
      <c r="L1343" s="106" t="str">
        <f t="shared" si="63"/>
        <v>З</v>
      </c>
      <c r="M1343" s="107" t="str">
        <f t="shared" si="64"/>
        <v>Уголовный процесс</v>
      </c>
    </row>
    <row r="1344" spans="1:13" ht="30" hidden="1" customHeight="1" x14ac:dyDescent="0.25">
      <c r="A1344" s="41" t="s">
        <v>2781</v>
      </c>
      <c r="B1344" s="25" t="s">
        <v>1729</v>
      </c>
      <c r="C1344" s="29" t="s">
        <v>665</v>
      </c>
      <c r="D1344" s="29" t="s">
        <v>666</v>
      </c>
      <c r="E1344" s="25" t="s">
        <v>1732</v>
      </c>
      <c r="F1344" s="26" t="s">
        <v>179</v>
      </c>
      <c r="G1344" s="27" t="s">
        <v>271</v>
      </c>
      <c r="H1344" s="27" t="s">
        <v>284</v>
      </c>
      <c r="I1344" s="27"/>
      <c r="J1344" s="27" t="s">
        <v>568</v>
      </c>
      <c r="K1344" s="106" t="str">
        <f t="shared" si="62"/>
        <v>А</v>
      </c>
      <c r="L1344" s="106" t="str">
        <f t="shared" si="63"/>
        <v>З</v>
      </c>
      <c r="M1344" s="107" t="str">
        <f t="shared" si="64"/>
        <v>Финансовое право, налоговое право, бюджетное право</v>
      </c>
    </row>
  </sheetData>
  <sheetProtection algorithmName="SHA-512" hashValue="LHeGILPhZa8sELdZ9Lw0n95I0RGpZP/Ojje5wiKijSuql7quMU2fMKmR6vJlR+dcYcwEmVUXStyn4DVJRhDcJw==" saltValue="MkS20AozxtIDBwfVgS5Epg==" spinCount="100000" sheet="1" formatColumns="0" formatRows="0" autoFilter="0"/>
  <autoFilter ref="A2:M1344" xr:uid="{D2EE4D2F-9742-4CB2-A679-C3C7B5C7BF6B}">
    <filterColumn colId="9">
      <filters>
        <filter val="Факультет физико-математических и естественных наук"/>
      </filters>
    </filterColumn>
  </autoFilter>
  <pageMargins left="0.11811023622047245" right="0" top="0.74803149606299213" bottom="0.7480314960629921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FFC000"/>
  </sheetPr>
  <dimension ref="A1:B284"/>
  <sheetViews>
    <sheetView zoomScaleNormal="100" workbookViewId="0">
      <pane ySplit="1" topLeftCell="A242" activePane="bottomLeft" state="frozen"/>
      <selection pane="bottomLeft" activeCell="A255" sqref="A255:B261"/>
    </sheetView>
  </sheetViews>
  <sheetFormatPr defaultColWidth="9.109375" defaultRowHeight="14.4" x14ac:dyDescent="0.3"/>
  <cols>
    <col min="1" max="1" width="63" style="104" customWidth="1"/>
    <col min="2" max="2" width="104.6640625" style="104" customWidth="1"/>
    <col min="3" max="16384" width="9.109375" style="32"/>
  </cols>
  <sheetData>
    <row r="1" spans="1:2" ht="15" customHeight="1" x14ac:dyDescent="0.3">
      <c r="A1" s="103" t="s">
        <v>2830</v>
      </c>
      <c r="B1" s="103" t="s">
        <v>2829</v>
      </c>
    </row>
    <row r="2" spans="1:2" ht="15" customHeight="1" x14ac:dyDescent="0.3">
      <c r="A2" s="33" t="s">
        <v>1037</v>
      </c>
      <c r="B2" s="33" t="s">
        <v>866</v>
      </c>
    </row>
    <row r="3" spans="1:2" ht="15" customHeight="1" x14ac:dyDescent="0.3">
      <c r="A3" s="33" t="s">
        <v>1037</v>
      </c>
      <c r="B3" s="33" t="s">
        <v>865</v>
      </c>
    </row>
    <row r="4" spans="1:2" ht="15" customHeight="1" x14ac:dyDescent="0.3">
      <c r="A4" s="33" t="s">
        <v>1037</v>
      </c>
      <c r="B4" s="33" t="s">
        <v>897</v>
      </c>
    </row>
    <row r="5" spans="1:2" ht="15" customHeight="1" x14ac:dyDescent="0.3">
      <c r="A5" s="33" t="s">
        <v>1037</v>
      </c>
      <c r="B5" s="33" t="s">
        <v>867</v>
      </c>
    </row>
    <row r="6" spans="1:2" ht="15" customHeight="1" x14ac:dyDescent="0.3">
      <c r="A6" s="33" t="s">
        <v>1037</v>
      </c>
      <c r="B6" s="33" t="s">
        <v>884</v>
      </c>
    </row>
    <row r="7" spans="1:2" ht="15" customHeight="1" x14ac:dyDescent="0.3">
      <c r="A7" s="33" t="s">
        <v>1037</v>
      </c>
      <c r="B7" s="33" t="s">
        <v>868</v>
      </c>
    </row>
    <row r="8" spans="1:2" ht="15" customHeight="1" x14ac:dyDescent="0.3">
      <c r="A8" s="33" t="s">
        <v>1037</v>
      </c>
      <c r="B8" s="33" t="s">
        <v>2831</v>
      </c>
    </row>
    <row r="9" spans="1:2" ht="15" customHeight="1" x14ac:dyDescent="0.3">
      <c r="A9" s="33" t="s">
        <v>2832</v>
      </c>
      <c r="B9" s="33" t="s">
        <v>702</v>
      </c>
    </row>
    <row r="10" spans="1:2" ht="15" customHeight="1" x14ac:dyDescent="0.3">
      <c r="A10" s="33" t="s">
        <v>2832</v>
      </c>
      <c r="B10" s="33" t="s">
        <v>705</v>
      </c>
    </row>
    <row r="11" spans="1:2" ht="15" customHeight="1" x14ac:dyDescent="0.3">
      <c r="A11" s="33" t="s">
        <v>2832</v>
      </c>
      <c r="B11" s="33" t="s">
        <v>726</v>
      </c>
    </row>
    <row r="12" spans="1:2" ht="15" customHeight="1" x14ac:dyDescent="0.3">
      <c r="A12" s="33" t="s">
        <v>2832</v>
      </c>
      <c r="B12" s="33" t="s">
        <v>736</v>
      </c>
    </row>
    <row r="13" spans="1:2" ht="15" customHeight="1" x14ac:dyDescent="0.3">
      <c r="A13" s="33" t="s">
        <v>2832</v>
      </c>
      <c r="B13" s="33" t="s">
        <v>752</v>
      </c>
    </row>
    <row r="14" spans="1:2" ht="15" customHeight="1" x14ac:dyDescent="0.3">
      <c r="A14" s="33" t="s">
        <v>2832</v>
      </c>
      <c r="B14" s="33" t="s">
        <v>780</v>
      </c>
    </row>
    <row r="15" spans="1:2" ht="15" customHeight="1" x14ac:dyDescent="0.3">
      <c r="A15" s="33" t="s">
        <v>2832</v>
      </c>
      <c r="B15" s="33" t="s">
        <v>811</v>
      </c>
    </row>
    <row r="16" spans="1:2" ht="15" customHeight="1" x14ac:dyDescent="0.3">
      <c r="A16" s="33" t="s">
        <v>2832</v>
      </c>
      <c r="B16" s="33" t="s">
        <v>836</v>
      </c>
    </row>
    <row r="17" spans="1:2" ht="15" customHeight="1" x14ac:dyDescent="0.3">
      <c r="A17" s="33" t="s">
        <v>1092</v>
      </c>
      <c r="B17" s="33" t="s">
        <v>2833</v>
      </c>
    </row>
    <row r="18" spans="1:2" ht="15" customHeight="1" x14ac:dyDescent="0.3">
      <c r="A18" s="33" t="s">
        <v>1092</v>
      </c>
      <c r="B18" s="33" t="s">
        <v>892</v>
      </c>
    </row>
    <row r="19" spans="1:2" ht="15" customHeight="1" x14ac:dyDescent="0.3">
      <c r="A19" s="33" t="s">
        <v>1092</v>
      </c>
      <c r="B19" s="33" t="s">
        <v>890</v>
      </c>
    </row>
    <row r="20" spans="1:2" ht="15" customHeight="1" x14ac:dyDescent="0.3">
      <c r="A20" s="33" t="s">
        <v>1092</v>
      </c>
      <c r="B20" s="33" t="s">
        <v>787</v>
      </c>
    </row>
    <row r="21" spans="1:2" ht="15" customHeight="1" x14ac:dyDescent="0.3">
      <c r="A21" s="33" t="s">
        <v>1092</v>
      </c>
      <c r="B21" s="33" t="s">
        <v>903</v>
      </c>
    </row>
    <row r="22" spans="1:2" ht="15" customHeight="1" x14ac:dyDescent="0.3">
      <c r="A22" s="33" t="s">
        <v>989</v>
      </c>
      <c r="B22" s="33" t="s">
        <v>2834</v>
      </c>
    </row>
    <row r="23" spans="1:2" ht="15" customHeight="1" x14ac:dyDescent="0.3">
      <c r="A23" s="33" t="s">
        <v>989</v>
      </c>
      <c r="B23" s="33" t="s">
        <v>2835</v>
      </c>
    </row>
    <row r="24" spans="1:2" ht="15" customHeight="1" x14ac:dyDescent="0.3">
      <c r="A24" s="33" t="s">
        <v>989</v>
      </c>
      <c r="B24" s="33" t="s">
        <v>1128</v>
      </c>
    </row>
    <row r="25" spans="1:2" ht="15" customHeight="1" x14ac:dyDescent="0.3">
      <c r="A25" s="33" t="s">
        <v>989</v>
      </c>
      <c r="B25" s="33" t="s">
        <v>1204</v>
      </c>
    </row>
    <row r="26" spans="1:2" ht="15" customHeight="1" x14ac:dyDescent="0.3">
      <c r="A26" s="33" t="s">
        <v>989</v>
      </c>
      <c r="B26" s="33" t="s">
        <v>894</v>
      </c>
    </row>
    <row r="27" spans="1:2" ht="15" customHeight="1" x14ac:dyDescent="0.3">
      <c r="A27" s="33" t="s">
        <v>989</v>
      </c>
      <c r="B27" s="33" t="s">
        <v>887</v>
      </c>
    </row>
    <row r="28" spans="1:2" ht="15" customHeight="1" x14ac:dyDescent="0.3">
      <c r="A28" s="33" t="s">
        <v>989</v>
      </c>
      <c r="B28" s="33" t="s">
        <v>877</v>
      </c>
    </row>
    <row r="29" spans="1:2" ht="15" customHeight="1" x14ac:dyDescent="0.3">
      <c r="A29" s="33" t="s">
        <v>989</v>
      </c>
      <c r="B29" s="33" t="s">
        <v>881</v>
      </c>
    </row>
    <row r="30" spans="1:2" ht="15" customHeight="1" x14ac:dyDescent="0.3">
      <c r="A30" s="33" t="s">
        <v>989</v>
      </c>
      <c r="B30" s="33" t="s">
        <v>880</v>
      </c>
    </row>
    <row r="31" spans="1:2" ht="15" customHeight="1" x14ac:dyDescent="0.3">
      <c r="A31" s="33" t="s">
        <v>989</v>
      </c>
      <c r="B31" s="33" t="s">
        <v>879</v>
      </c>
    </row>
    <row r="32" spans="1:2" ht="15" customHeight="1" x14ac:dyDescent="0.3">
      <c r="A32" s="33" t="s">
        <v>989</v>
      </c>
      <c r="B32" s="33" t="s">
        <v>2836</v>
      </c>
    </row>
    <row r="33" spans="1:2" ht="15" customHeight="1" x14ac:dyDescent="0.3">
      <c r="A33" s="33" t="s">
        <v>989</v>
      </c>
      <c r="B33" s="33" t="s">
        <v>878</v>
      </c>
    </row>
    <row r="34" spans="1:2" ht="15" customHeight="1" x14ac:dyDescent="0.3">
      <c r="A34" s="33" t="s">
        <v>989</v>
      </c>
      <c r="B34" s="33" t="s">
        <v>888</v>
      </c>
    </row>
    <row r="35" spans="1:2" ht="15" customHeight="1" x14ac:dyDescent="0.3">
      <c r="A35" s="33" t="s">
        <v>989</v>
      </c>
      <c r="B35" s="33" t="s">
        <v>2837</v>
      </c>
    </row>
    <row r="36" spans="1:2" ht="15" customHeight="1" x14ac:dyDescent="0.3">
      <c r="A36" s="33" t="s">
        <v>989</v>
      </c>
      <c r="B36" s="33" t="s">
        <v>698</v>
      </c>
    </row>
    <row r="37" spans="1:2" ht="15" customHeight="1" x14ac:dyDescent="0.3">
      <c r="A37" s="33" t="s">
        <v>989</v>
      </c>
      <c r="B37" s="33" t="s">
        <v>706</v>
      </c>
    </row>
    <row r="38" spans="1:2" ht="15" customHeight="1" x14ac:dyDescent="0.3">
      <c r="A38" s="33" t="s">
        <v>989</v>
      </c>
      <c r="B38" s="33" t="s">
        <v>708</v>
      </c>
    </row>
    <row r="39" spans="1:2" ht="15" customHeight="1" x14ac:dyDescent="0.3">
      <c r="A39" s="33" t="s">
        <v>989</v>
      </c>
      <c r="B39" s="33" t="s">
        <v>717</v>
      </c>
    </row>
    <row r="40" spans="1:2" ht="15" customHeight="1" x14ac:dyDescent="0.3">
      <c r="A40" s="33" t="s">
        <v>989</v>
      </c>
      <c r="B40" s="33" t="s">
        <v>2831</v>
      </c>
    </row>
    <row r="41" spans="1:2" ht="15" customHeight="1" x14ac:dyDescent="0.3">
      <c r="A41" s="33" t="s">
        <v>989</v>
      </c>
      <c r="B41" s="33" t="s">
        <v>724</v>
      </c>
    </row>
    <row r="42" spans="1:2" ht="15" customHeight="1" x14ac:dyDescent="0.3">
      <c r="A42" s="33" t="s">
        <v>989</v>
      </c>
      <c r="B42" s="33" t="s">
        <v>750</v>
      </c>
    </row>
    <row r="43" spans="1:2" ht="15" customHeight="1" x14ac:dyDescent="0.3">
      <c r="A43" s="33" t="s">
        <v>989</v>
      </c>
      <c r="B43" s="33" t="s">
        <v>754</v>
      </c>
    </row>
    <row r="44" spans="1:2" ht="15" customHeight="1" x14ac:dyDescent="0.3">
      <c r="A44" s="33" t="s">
        <v>989</v>
      </c>
      <c r="B44" s="33" t="s">
        <v>757</v>
      </c>
    </row>
    <row r="45" spans="1:2" ht="15" customHeight="1" x14ac:dyDescent="0.3">
      <c r="A45" s="33" t="s">
        <v>989</v>
      </c>
      <c r="B45" s="33" t="s">
        <v>788</v>
      </c>
    </row>
    <row r="46" spans="1:2" ht="15" customHeight="1" x14ac:dyDescent="0.3">
      <c r="A46" s="33" t="s">
        <v>989</v>
      </c>
      <c r="B46" s="33" t="s">
        <v>792</v>
      </c>
    </row>
    <row r="47" spans="1:2" ht="15" customHeight="1" x14ac:dyDescent="0.3">
      <c r="A47" s="33" t="s">
        <v>989</v>
      </c>
      <c r="B47" s="33" t="s">
        <v>815</v>
      </c>
    </row>
    <row r="48" spans="1:2" ht="15" customHeight="1" x14ac:dyDescent="0.3">
      <c r="A48" s="33" t="s">
        <v>989</v>
      </c>
      <c r="B48" s="33" t="s">
        <v>825</v>
      </c>
    </row>
    <row r="49" spans="1:2" ht="15" customHeight="1" x14ac:dyDescent="0.3">
      <c r="A49" s="33" t="s">
        <v>989</v>
      </c>
      <c r="B49" s="33" t="s">
        <v>829</v>
      </c>
    </row>
    <row r="50" spans="1:2" ht="15" customHeight="1" x14ac:dyDescent="0.3">
      <c r="A50" s="33" t="s">
        <v>989</v>
      </c>
      <c r="B50" s="33" t="s">
        <v>858</v>
      </c>
    </row>
    <row r="51" spans="1:2" ht="15" customHeight="1" x14ac:dyDescent="0.3">
      <c r="A51" s="33" t="s">
        <v>1004</v>
      </c>
      <c r="B51" s="33" t="s">
        <v>1004</v>
      </c>
    </row>
    <row r="52" spans="1:2" ht="15" customHeight="1" x14ac:dyDescent="0.3">
      <c r="A52" s="33" t="s">
        <v>2241</v>
      </c>
      <c r="B52" s="33" t="s">
        <v>2838</v>
      </c>
    </row>
    <row r="53" spans="1:2" ht="15" customHeight="1" x14ac:dyDescent="0.3">
      <c r="A53" s="33" t="s">
        <v>2241</v>
      </c>
      <c r="B53" s="33" t="s">
        <v>819</v>
      </c>
    </row>
    <row r="54" spans="1:2" ht="15" customHeight="1" x14ac:dyDescent="0.3">
      <c r="A54" s="33" t="s">
        <v>558</v>
      </c>
      <c r="B54" s="33" t="s">
        <v>558</v>
      </c>
    </row>
    <row r="55" spans="1:2" ht="15" customHeight="1" x14ac:dyDescent="0.3">
      <c r="A55" s="33" t="s">
        <v>559</v>
      </c>
      <c r="B55" s="33" t="s">
        <v>559</v>
      </c>
    </row>
    <row r="56" spans="1:2" ht="15" customHeight="1" x14ac:dyDescent="0.3">
      <c r="A56" s="33" t="s">
        <v>559</v>
      </c>
      <c r="B56" s="33" t="s">
        <v>806</v>
      </c>
    </row>
    <row r="57" spans="1:2" ht="15" customHeight="1" x14ac:dyDescent="0.3">
      <c r="A57" s="33" t="s">
        <v>559</v>
      </c>
      <c r="B57" s="33" t="s">
        <v>824</v>
      </c>
    </row>
    <row r="58" spans="1:2" ht="15" customHeight="1" x14ac:dyDescent="0.3">
      <c r="A58" s="33" t="s">
        <v>2839</v>
      </c>
      <c r="B58" s="33" t="s">
        <v>742</v>
      </c>
    </row>
    <row r="59" spans="1:2" ht="15" customHeight="1" x14ac:dyDescent="0.3">
      <c r="A59" s="33" t="s">
        <v>2839</v>
      </c>
      <c r="B59" s="33" t="s">
        <v>751</v>
      </c>
    </row>
    <row r="60" spans="1:2" ht="15" customHeight="1" x14ac:dyDescent="0.3">
      <c r="A60" s="33" t="s">
        <v>2839</v>
      </c>
      <c r="B60" s="33" t="s">
        <v>769</v>
      </c>
    </row>
    <row r="61" spans="1:2" ht="15" customHeight="1" x14ac:dyDescent="0.3">
      <c r="A61" s="33" t="s">
        <v>2839</v>
      </c>
      <c r="B61" s="33" t="s">
        <v>814</v>
      </c>
    </row>
    <row r="62" spans="1:2" ht="15" customHeight="1" x14ac:dyDescent="0.3">
      <c r="A62" s="33" t="s">
        <v>2839</v>
      </c>
      <c r="B62" s="33" t="s">
        <v>889</v>
      </c>
    </row>
    <row r="63" spans="1:2" ht="15" customHeight="1" x14ac:dyDescent="0.3">
      <c r="A63" s="33" t="s">
        <v>2839</v>
      </c>
      <c r="B63" s="33" t="s">
        <v>838</v>
      </c>
    </row>
    <row r="64" spans="1:2" ht="15" customHeight="1" x14ac:dyDescent="0.3">
      <c r="A64" s="33" t="s">
        <v>2839</v>
      </c>
      <c r="B64" s="33" t="s">
        <v>2840</v>
      </c>
    </row>
    <row r="65" spans="1:2" ht="15" customHeight="1" x14ac:dyDescent="0.3">
      <c r="A65" s="33" t="s">
        <v>2839</v>
      </c>
      <c r="B65" s="33" t="s">
        <v>855</v>
      </c>
    </row>
    <row r="66" spans="1:2" ht="15" customHeight="1" x14ac:dyDescent="0.3">
      <c r="A66" s="33" t="s">
        <v>560</v>
      </c>
      <c r="B66" s="33" t="s">
        <v>560</v>
      </c>
    </row>
    <row r="67" spans="1:2" ht="15" customHeight="1" x14ac:dyDescent="0.3">
      <c r="A67" s="33" t="s">
        <v>560</v>
      </c>
      <c r="B67" s="33" t="s">
        <v>799</v>
      </c>
    </row>
    <row r="68" spans="1:2" ht="15" customHeight="1" x14ac:dyDescent="0.3">
      <c r="A68" s="33" t="s">
        <v>2841</v>
      </c>
      <c r="B68" s="33" t="s">
        <v>784</v>
      </c>
    </row>
    <row r="69" spans="1:2" ht="15" customHeight="1" x14ac:dyDescent="0.3">
      <c r="A69" s="33" t="s">
        <v>2841</v>
      </c>
      <c r="B69" s="33" t="s">
        <v>809</v>
      </c>
    </row>
    <row r="70" spans="1:2" ht="15" customHeight="1" x14ac:dyDescent="0.3">
      <c r="A70" s="33" t="s">
        <v>1309</v>
      </c>
      <c r="B70" s="33" t="s">
        <v>2842</v>
      </c>
    </row>
    <row r="71" spans="1:2" ht="15" customHeight="1" x14ac:dyDescent="0.3">
      <c r="A71" s="33" t="s">
        <v>1309</v>
      </c>
      <c r="B71" s="33" t="s">
        <v>1309</v>
      </c>
    </row>
    <row r="72" spans="1:2" ht="15" customHeight="1" x14ac:dyDescent="0.3">
      <c r="A72" s="33" t="s">
        <v>1309</v>
      </c>
      <c r="B72" s="33" t="s">
        <v>720</v>
      </c>
    </row>
    <row r="73" spans="1:2" ht="15" customHeight="1" x14ac:dyDescent="0.3">
      <c r="A73" s="33" t="s">
        <v>1309</v>
      </c>
      <c r="B73" s="33" t="s">
        <v>740</v>
      </c>
    </row>
    <row r="74" spans="1:2" ht="15" customHeight="1" x14ac:dyDescent="0.3">
      <c r="A74" s="33" t="s">
        <v>1309</v>
      </c>
      <c r="B74" s="33" t="s">
        <v>2843</v>
      </c>
    </row>
    <row r="75" spans="1:2" ht="15" customHeight="1" x14ac:dyDescent="0.3">
      <c r="A75" s="33" t="s">
        <v>1309</v>
      </c>
      <c r="B75" s="33" t="s">
        <v>2844</v>
      </c>
    </row>
    <row r="76" spans="1:2" ht="15" customHeight="1" x14ac:dyDescent="0.3">
      <c r="A76" s="33" t="s">
        <v>1309</v>
      </c>
      <c r="B76" s="33" t="s">
        <v>789</v>
      </c>
    </row>
    <row r="77" spans="1:2" ht="15" customHeight="1" x14ac:dyDescent="0.3">
      <c r="A77" s="33" t="s">
        <v>1309</v>
      </c>
      <c r="B77" s="33" t="s">
        <v>2845</v>
      </c>
    </row>
    <row r="78" spans="1:2" ht="15" customHeight="1" x14ac:dyDescent="0.3">
      <c r="A78" s="33" t="s">
        <v>1309</v>
      </c>
      <c r="B78" s="33" t="s">
        <v>2846</v>
      </c>
    </row>
    <row r="79" spans="1:2" ht="15" customHeight="1" x14ac:dyDescent="0.3">
      <c r="A79" s="33" t="s">
        <v>1309</v>
      </c>
      <c r="B79" s="33" t="s">
        <v>2847</v>
      </c>
    </row>
    <row r="80" spans="1:2" ht="15" customHeight="1" x14ac:dyDescent="0.3">
      <c r="A80" s="33" t="s">
        <v>1309</v>
      </c>
      <c r="B80" s="33" t="s">
        <v>2848</v>
      </c>
    </row>
    <row r="81" spans="1:2" ht="15" customHeight="1" x14ac:dyDescent="0.3">
      <c r="A81" s="33" t="s">
        <v>1309</v>
      </c>
      <c r="B81" s="33" t="s">
        <v>2849</v>
      </c>
    </row>
    <row r="82" spans="1:2" ht="15" customHeight="1" x14ac:dyDescent="0.3">
      <c r="A82" s="33" t="s">
        <v>1309</v>
      </c>
      <c r="B82" s="33" t="s">
        <v>2850</v>
      </c>
    </row>
    <row r="83" spans="1:2" ht="15" customHeight="1" x14ac:dyDescent="0.3">
      <c r="A83" s="33" t="s">
        <v>1309</v>
      </c>
      <c r="B83" s="33" t="s">
        <v>800</v>
      </c>
    </row>
    <row r="84" spans="1:2" ht="15" customHeight="1" x14ac:dyDescent="0.3">
      <c r="A84" s="33" t="s">
        <v>1309</v>
      </c>
      <c r="B84" s="33" t="s">
        <v>849</v>
      </c>
    </row>
    <row r="85" spans="1:2" ht="15" customHeight="1" x14ac:dyDescent="0.3">
      <c r="A85" s="33" t="s">
        <v>1319</v>
      </c>
      <c r="B85" s="33" t="s">
        <v>898</v>
      </c>
    </row>
    <row r="86" spans="1:2" ht="15" customHeight="1" x14ac:dyDescent="0.3">
      <c r="A86" s="33" t="s">
        <v>1319</v>
      </c>
      <c r="B86" s="33" t="s">
        <v>2851</v>
      </c>
    </row>
    <row r="87" spans="1:2" ht="15" customHeight="1" x14ac:dyDescent="0.3">
      <c r="A87" s="33" t="s">
        <v>1319</v>
      </c>
      <c r="B87" s="33" t="s">
        <v>2852</v>
      </c>
    </row>
    <row r="88" spans="1:2" ht="15" customHeight="1" x14ac:dyDescent="0.3">
      <c r="A88" s="33" t="s">
        <v>1319</v>
      </c>
      <c r="B88" s="33" t="s">
        <v>2853</v>
      </c>
    </row>
    <row r="89" spans="1:2" ht="15" customHeight="1" x14ac:dyDescent="0.3">
      <c r="A89" s="33" t="s">
        <v>1319</v>
      </c>
      <c r="B89" s="33" t="s">
        <v>707</v>
      </c>
    </row>
    <row r="90" spans="1:2" ht="15" customHeight="1" x14ac:dyDescent="0.3">
      <c r="A90" s="33" t="s">
        <v>1319</v>
      </c>
      <c r="B90" s="33" t="s">
        <v>2831</v>
      </c>
    </row>
    <row r="91" spans="1:2" ht="15" customHeight="1" x14ac:dyDescent="0.3">
      <c r="A91" s="33" t="s">
        <v>1319</v>
      </c>
      <c r="B91" s="33" t="s">
        <v>786</v>
      </c>
    </row>
    <row r="92" spans="1:2" ht="15" customHeight="1" x14ac:dyDescent="0.3">
      <c r="A92" s="33" t="s">
        <v>1319</v>
      </c>
      <c r="B92" s="33" t="s">
        <v>804</v>
      </c>
    </row>
    <row r="93" spans="1:2" ht="15" customHeight="1" x14ac:dyDescent="0.3">
      <c r="A93" s="33" t="s">
        <v>1319</v>
      </c>
      <c r="B93" s="33" t="s">
        <v>817</v>
      </c>
    </row>
    <row r="94" spans="1:2" ht="15" customHeight="1" x14ac:dyDescent="0.3">
      <c r="A94" s="33" t="s">
        <v>1319</v>
      </c>
      <c r="B94" s="33" t="s">
        <v>852</v>
      </c>
    </row>
    <row r="95" spans="1:2" ht="15" customHeight="1" x14ac:dyDescent="0.3">
      <c r="A95" s="33" t="s">
        <v>1319</v>
      </c>
      <c r="B95" s="33" t="s">
        <v>853</v>
      </c>
    </row>
    <row r="96" spans="1:2" ht="15" customHeight="1" x14ac:dyDescent="0.3">
      <c r="A96" s="33" t="s">
        <v>1319</v>
      </c>
      <c r="B96" s="33" t="s">
        <v>854</v>
      </c>
    </row>
    <row r="97" spans="1:2" ht="15" customHeight="1" x14ac:dyDescent="0.3">
      <c r="A97" s="33" t="s">
        <v>561</v>
      </c>
      <c r="B97" s="33" t="s">
        <v>2854</v>
      </c>
    </row>
    <row r="98" spans="1:2" ht="15" customHeight="1" x14ac:dyDescent="0.3">
      <c r="A98" s="33" t="s">
        <v>561</v>
      </c>
      <c r="B98" s="33" t="s">
        <v>896</v>
      </c>
    </row>
    <row r="99" spans="1:2" ht="15" customHeight="1" x14ac:dyDescent="0.3">
      <c r="A99" s="33" t="s">
        <v>561</v>
      </c>
      <c r="B99" s="33" t="s">
        <v>693</v>
      </c>
    </row>
    <row r="100" spans="1:2" ht="15" customHeight="1" x14ac:dyDescent="0.3">
      <c r="A100" s="33" t="s">
        <v>561</v>
      </c>
      <c r="B100" s="33" t="s">
        <v>696</v>
      </c>
    </row>
    <row r="101" spans="1:2" ht="15" customHeight="1" x14ac:dyDescent="0.3">
      <c r="A101" s="33" t="s">
        <v>561</v>
      </c>
      <c r="B101" s="33" t="s">
        <v>697</v>
      </c>
    </row>
    <row r="102" spans="1:2" ht="15" customHeight="1" x14ac:dyDescent="0.3">
      <c r="A102" s="33" t="s">
        <v>561</v>
      </c>
      <c r="B102" s="33" t="s">
        <v>886</v>
      </c>
    </row>
    <row r="103" spans="1:2" ht="15" customHeight="1" x14ac:dyDescent="0.3">
      <c r="A103" s="33" t="s">
        <v>561</v>
      </c>
      <c r="B103" s="33" t="s">
        <v>700</v>
      </c>
    </row>
    <row r="104" spans="1:2" ht="15" customHeight="1" x14ac:dyDescent="0.3">
      <c r="A104" s="33" t="s">
        <v>561</v>
      </c>
      <c r="B104" s="33" t="s">
        <v>2855</v>
      </c>
    </row>
    <row r="105" spans="1:2" ht="15" customHeight="1" x14ac:dyDescent="0.3">
      <c r="A105" s="33" t="s">
        <v>561</v>
      </c>
      <c r="B105" s="33" t="s">
        <v>2856</v>
      </c>
    </row>
    <row r="106" spans="1:2" ht="15" customHeight="1" x14ac:dyDescent="0.3">
      <c r="A106" s="33" t="s">
        <v>561</v>
      </c>
      <c r="B106" s="33" t="s">
        <v>709</v>
      </c>
    </row>
    <row r="107" spans="1:2" ht="15" customHeight="1" x14ac:dyDescent="0.3">
      <c r="A107" s="33" t="s">
        <v>561</v>
      </c>
      <c r="B107" s="33" t="s">
        <v>710</v>
      </c>
    </row>
    <row r="108" spans="1:2" ht="15" customHeight="1" x14ac:dyDescent="0.3">
      <c r="A108" s="33" t="s">
        <v>561</v>
      </c>
      <c r="B108" s="33" t="s">
        <v>2857</v>
      </c>
    </row>
    <row r="109" spans="1:2" ht="15" customHeight="1" x14ac:dyDescent="0.3">
      <c r="A109" s="33" t="s">
        <v>561</v>
      </c>
      <c r="B109" s="33" t="s">
        <v>712</v>
      </c>
    </row>
    <row r="110" spans="1:2" ht="15" customHeight="1" x14ac:dyDescent="0.3">
      <c r="A110" s="33" t="s">
        <v>561</v>
      </c>
      <c r="B110" s="33" t="s">
        <v>2858</v>
      </c>
    </row>
    <row r="111" spans="1:2" ht="15" customHeight="1" x14ac:dyDescent="0.3">
      <c r="A111" s="33" t="s">
        <v>561</v>
      </c>
      <c r="B111" s="33" t="s">
        <v>870</v>
      </c>
    </row>
    <row r="112" spans="1:2" ht="15" customHeight="1" x14ac:dyDescent="0.3">
      <c r="A112" s="33" t="s">
        <v>561</v>
      </c>
      <c r="B112" s="33" t="s">
        <v>2859</v>
      </c>
    </row>
    <row r="113" spans="1:2" ht="15" customHeight="1" x14ac:dyDescent="0.3">
      <c r="A113" s="33" t="s">
        <v>561</v>
      </c>
      <c r="B113" s="33" t="s">
        <v>695</v>
      </c>
    </row>
    <row r="114" spans="1:2" ht="15" customHeight="1" x14ac:dyDescent="0.3">
      <c r="A114" s="33" t="s">
        <v>561</v>
      </c>
      <c r="B114" s="33" t="s">
        <v>2831</v>
      </c>
    </row>
    <row r="115" spans="1:2" ht="15" customHeight="1" x14ac:dyDescent="0.3">
      <c r="A115" s="33" t="s">
        <v>561</v>
      </c>
      <c r="B115" s="33" t="s">
        <v>718</v>
      </c>
    </row>
    <row r="116" spans="1:2" ht="15" customHeight="1" x14ac:dyDescent="0.3">
      <c r="A116" s="33" t="s">
        <v>561</v>
      </c>
      <c r="B116" s="33" t="s">
        <v>2860</v>
      </c>
    </row>
    <row r="117" spans="1:2" ht="15" customHeight="1" x14ac:dyDescent="0.3">
      <c r="A117" s="33" t="s">
        <v>561</v>
      </c>
      <c r="B117" s="33" t="s">
        <v>732</v>
      </c>
    </row>
    <row r="118" spans="1:2" ht="15" customHeight="1" x14ac:dyDescent="0.3">
      <c r="A118" s="33" t="s">
        <v>561</v>
      </c>
      <c r="B118" s="33" t="s">
        <v>743</v>
      </c>
    </row>
    <row r="119" spans="1:2" ht="15" customHeight="1" x14ac:dyDescent="0.3">
      <c r="A119" s="33" t="s">
        <v>561</v>
      </c>
      <c r="B119" s="33" t="s">
        <v>871</v>
      </c>
    </row>
    <row r="120" spans="1:2" ht="15" customHeight="1" x14ac:dyDescent="0.3">
      <c r="A120" s="33" t="s">
        <v>561</v>
      </c>
      <c r="B120" s="33" t="s">
        <v>745</v>
      </c>
    </row>
    <row r="121" spans="1:2" ht="15" customHeight="1" x14ac:dyDescent="0.3">
      <c r="A121" s="33" t="s">
        <v>561</v>
      </c>
      <c r="B121" s="33" t="s">
        <v>2861</v>
      </c>
    </row>
    <row r="122" spans="1:2" ht="15" customHeight="1" x14ac:dyDescent="0.3">
      <c r="A122" s="33" t="s">
        <v>561</v>
      </c>
      <c r="B122" s="33" t="s">
        <v>2862</v>
      </c>
    </row>
    <row r="123" spans="1:2" ht="15" customHeight="1" x14ac:dyDescent="0.3">
      <c r="A123" s="33" t="s">
        <v>561</v>
      </c>
      <c r="B123" s="33" t="s">
        <v>758</v>
      </c>
    </row>
    <row r="124" spans="1:2" ht="15" customHeight="1" x14ac:dyDescent="0.3">
      <c r="A124" s="33" t="s">
        <v>561</v>
      </c>
      <c r="B124" s="33" t="s">
        <v>760</v>
      </c>
    </row>
    <row r="125" spans="1:2" ht="15" customHeight="1" x14ac:dyDescent="0.3">
      <c r="A125" s="33" t="s">
        <v>561</v>
      </c>
      <c r="B125" s="33" t="s">
        <v>761</v>
      </c>
    </row>
    <row r="126" spans="1:2" ht="15" customHeight="1" x14ac:dyDescent="0.3">
      <c r="A126" s="33" t="s">
        <v>561</v>
      </c>
      <c r="B126" s="33" t="s">
        <v>762</v>
      </c>
    </row>
    <row r="127" spans="1:2" ht="15" customHeight="1" x14ac:dyDescent="0.3">
      <c r="A127" s="33" t="s">
        <v>561</v>
      </c>
      <c r="B127" s="33" t="s">
        <v>2863</v>
      </c>
    </row>
    <row r="128" spans="1:2" ht="15" customHeight="1" x14ac:dyDescent="0.3">
      <c r="A128" s="33" t="s">
        <v>561</v>
      </c>
      <c r="B128" s="33" t="s">
        <v>763</v>
      </c>
    </row>
    <row r="129" spans="1:2" ht="15" customHeight="1" x14ac:dyDescent="0.3">
      <c r="A129" s="33" t="s">
        <v>561</v>
      </c>
      <c r="B129" s="33" t="s">
        <v>765</v>
      </c>
    </row>
    <row r="130" spans="1:2" ht="15" customHeight="1" x14ac:dyDescent="0.3">
      <c r="A130" s="33" t="s">
        <v>561</v>
      </c>
      <c r="B130" s="33" t="s">
        <v>2864</v>
      </c>
    </row>
    <row r="131" spans="1:2" ht="15" customHeight="1" x14ac:dyDescent="0.3">
      <c r="A131" s="33" t="s">
        <v>561</v>
      </c>
      <c r="B131" s="33" t="s">
        <v>2865</v>
      </c>
    </row>
    <row r="132" spans="1:2" ht="15" customHeight="1" x14ac:dyDescent="0.3">
      <c r="A132" s="33" t="s">
        <v>561</v>
      </c>
      <c r="B132" s="33" t="s">
        <v>771</v>
      </c>
    </row>
    <row r="133" spans="1:2" ht="15" customHeight="1" x14ac:dyDescent="0.3">
      <c r="A133" s="33" t="s">
        <v>561</v>
      </c>
      <c r="B133" s="33" t="s">
        <v>773</v>
      </c>
    </row>
    <row r="134" spans="1:2" ht="15" customHeight="1" x14ac:dyDescent="0.3">
      <c r="A134" s="33" t="s">
        <v>561</v>
      </c>
      <c r="B134" s="33" t="s">
        <v>776</v>
      </c>
    </row>
    <row r="135" spans="1:2" ht="15" customHeight="1" x14ac:dyDescent="0.3">
      <c r="A135" s="33" t="s">
        <v>561</v>
      </c>
      <c r="B135" s="33" t="s">
        <v>777</v>
      </c>
    </row>
    <row r="136" spans="1:2" ht="15" customHeight="1" x14ac:dyDescent="0.3">
      <c r="A136" s="33" t="s">
        <v>561</v>
      </c>
      <c r="B136" s="33" t="s">
        <v>790</v>
      </c>
    </row>
    <row r="137" spans="1:2" ht="15" customHeight="1" x14ac:dyDescent="0.3">
      <c r="A137" s="33" t="s">
        <v>561</v>
      </c>
      <c r="B137" s="33" t="s">
        <v>793</v>
      </c>
    </row>
    <row r="138" spans="1:2" ht="15" customHeight="1" x14ac:dyDescent="0.3">
      <c r="A138" s="33" t="s">
        <v>561</v>
      </c>
      <c r="B138" s="33" t="s">
        <v>812</v>
      </c>
    </row>
    <row r="139" spans="1:2" ht="15" customHeight="1" x14ac:dyDescent="0.3">
      <c r="A139" s="33" t="s">
        <v>561</v>
      </c>
      <c r="B139" s="33" t="s">
        <v>816</v>
      </c>
    </row>
    <row r="140" spans="1:2" ht="15" customHeight="1" x14ac:dyDescent="0.3">
      <c r="A140" s="33" t="s">
        <v>561</v>
      </c>
      <c r="B140" s="33" t="s">
        <v>826</v>
      </c>
    </row>
    <row r="141" spans="1:2" ht="15" customHeight="1" x14ac:dyDescent="0.3">
      <c r="A141" s="33" t="s">
        <v>561</v>
      </c>
      <c r="B141" s="33" t="s">
        <v>831</v>
      </c>
    </row>
    <row r="142" spans="1:2" ht="15" customHeight="1" x14ac:dyDescent="0.3">
      <c r="A142" s="33" t="s">
        <v>561</v>
      </c>
      <c r="B142" s="33" t="s">
        <v>837</v>
      </c>
    </row>
    <row r="143" spans="1:2" ht="15" customHeight="1" x14ac:dyDescent="0.3">
      <c r="A143" s="33" t="s">
        <v>561</v>
      </c>
      <c r="B143" s="33" t="s">
        <v>835</v>
      </c>
    </row>
    <row r="144" spans="1:2" ht="15" customHeight="1" x14ac:dyDescent="0.3">
      <c r="A144" s="33" t="s">
        <v>561</v>
      </c>
      <c r="B144" s="33" t="s">
        <v>839</v>
      </c>
    </row>
    <row r="145" spans="1:2" ht="15" customHeight="1" x14ac:dyDescent="0.3">
      <c r="A145" s="33" t="s">
        <v>561</v>
      </c>
      <c r="B145" s="33" t="s">
        <v>841</v>
      </c>
    </row>
    <row r="146" spans="1:2" ht="15" customHeight="1" x14ac:dyDescent="0.3">
      <c r="A146" s="33" t="s">
        <v>561</v>
      </c>
      <c r="B146" s="33" t="s">
        <v>842</v>
      </c>
    </row>
    <row r="147" spans="1:2" ht="15" customHeight="1" x14ac:dyDescent="0.3">
      <c r="A147" s="33" t="s">
        <v>561</v>
      </c>
      <c r="B147" s="33" t="s">
        <v>843</v>
      </c>
    </row>
    <row r="148" spans="1:2" ht="15" customHeight="1" x14ac:dyDescent="0.3">
      <c r="A148" s="33" t="s">
        <v>561</v>
      </c>
      <c r="B148" s="33" t="s">
        <v>851</v>
      </c>
    </row>
    <row r="149" spans="1:2" ht="15" customHeight="1" x14ac:dyDescent="0.3">
      <c r="A149" s="33" t="s">
        <v>561</v>
      </c>
      <c r="B149" s="33" t="s">
        <v>863</v>
      </c>
    </row>
    <row r="150" spans="1:2" ht="15" customHeight="1" x14ac:dyDescent="0.3">
      <c r="A150" s="33" t="s">
        <v>561</v>
      </c>
      <c r="B150" s="33" t="s">
        <v>864</v>
      </c>
    </row>
    <row r="151" spans="1:2" ht="15" customHeight="1" x14ac:dyDescent="0.3">
      <c r="A151" s="33" t="s">
        <v>562</v>
      </c>
      <c r="B151" s="33" t="s">
        <v>562</v>
      </c>
    </row>
    <row r="152" spans="1:2" ht="15" customHeight="1" x14ac:dyDescent="0.3">
      <c r="A152" s="33" t="s">
        <v>1955</v>
      </c>
      <c r="B152" s="33" t="s">
        <v>2866</v>
      </c>
    </row>
    <row r="153" spans="1:2" ht="15" customHeight="1" x14ac:dyDescent="0.3">
      <c r="A153" s="33" t="s">
        <v>2868</v>
      </c>
      <c r="B153" s="33" t="s">
        <v>2867</v>
      </c>
    </row>
    <row r="154" spans="1:2" ht="15" customHeight="1" x14ac:dyDescent="0.3">
      <c r="A154" s="33" t="s">
        <v>983</v>
      </c>
      <c r="B154" s="33" t="s">
        <v>875</v>
      </c>
    </row>
    <row r="155" spans="1:2" ht="15" customHeight="1" x14ac:dyDescent="0.3">
      <c r="A155" s="33" t="s">
        <v>983</v>
      </c>
      <c r="B155" s="33" t="s">
        <v>844</v>
      </c>
    </row>
    <row r="156" spans="1:2" ht="15" customHeight="1" x14ac:dyDescent="0.3">
      <c r="A156" s="33" t="s">
        <v>563</v>
      </c>
      <c r="B156" s="33" t="s">
        <v>874</v>
      </c>
    </row>
    <row r="157" spans="1:2" ht="15" customHeight="1" x14ac:dyDescent="0.3">
      <c r="A157" s="33" t="s">
        <v>563</v>
      </c>
      <c r="B157" s="33" t="s">
        <v>876</v>
      </c>
    </row>
    <row r="158" spans="1:2" ht="15" customHeight="1" x14ac:dyDescent="0.3">
      <c r="A158" s="33" t="s">
        <v>564</v>
      </c>
      <c r="B158" s="33" t="s">
        <v>900</v>
      </c>
    </row>
    <row r="159" spans="1:2" ht="15" customHeight="1" x14ac:dyDescent="0.3">
      <c r="A159" s="33" t="s">
        <v>564</v>
      </c>
      <c r="B159" s="33" t="s">
        <v>699</v>
      </c>
    </row>
    <row r="160" spans="1:2" ht="15" customHeight="1" x14ac:dyDescent="0.3">
      <c r="A160" s="33" t="s">
        <v>564</v>
      </c>
      <c r="B160" s="33" t="s">
        <v>704</v>
      </c>
    </row>
    <row r="161" spans="1:2" ht="15" customHeight="1" x14ac:dyDescent="0.3">
      <c r="A161" s="33" t="s">
        <v>564</v>
      </c>
      <c r="B161" s="33" t="s">
        <v>713</v>
      </c>
    </row>
    <row r="162" spans="1:2" ht="15" customHeight="1" x14ac:dyDescent="0.3">
      <c r="A162" s="33" t="s">
        <v>564</v>
      </c>
      <c r="B162" s="33" t="s">
        <v>2831</v>
      </c>
    </row>
    <row r="163" spans="1:2" ht="15" customHeight="1" x14ac:dyDescent="0.3">
      <c r="A163" s="33" t="s">
        <v>564</v>
      </c>
      <c r="B163" s="33" t="s">
        <v>721</v>
      </c>
    </row>
    <row r="164" spans="1:2" ht="15" customHeight="1" x14ac:dyDescent="0.3">
      <c r="A164" s="33" t="s">
        <v>564</v>
      </c>
      <c r="B164" s="33" t="s">
        <v>722</v>
      </c>
    </row>
    <row r="165" spans="1:2" ht="15" customHeight="1" x14ac:dyDescent="0.3">
      <c r="A165" s="33" t="s">
        <v>564</v>
      </c>
      <c r="B165" s="33" t="s">
        <v>767</v>
      </c>
    </row>
    <row r="166" spans="1:2" ht="15" customHeight="1" x14ac:dyDescent="0.3">
      <c r="A166" s="33" t="s">
        <v>564</v>
      </c>
      <c r="B166" s="33" t="s">
        <v>779</v>
      </c>
    </row>
    <row r="167" spans="1:2" ht="15" customHeight="1" x14ac:dyDescent="0.3">
      <c r="A167" s="33" t="s">
        <v>564</v>
      </c>
      <c r="B167" s="33" t="s">
        <v>807</v>
      </c>
    </row>
    <row r="168" spans="1:2" ht="15" customHeight="1" x14ac:dyDescent="0.3">
      <c r="A168" s="33" t="s">
        <v>564</v>
      </c>
      <c r="B168" s="33" t="s">
        <v>808</v>
      </c>
    </row>
    <row r="169" spans="1:2" ht="15" customHeight="1" x14ac:dyDescent="0.3">
      <c r="A169" s="33" t="s">
        <v>564</v>
      </c>
      <c r="B169" s="33" t="s">
        <v>810</v>
      </c>
    </row>
    <row r="170" spans="1:2" ht="15" customHeight="1" x14ac:dyDescent="0.3">
      <c r="A170" s="33" t="s">
        <v>564</v>
      </c>
      <c r="B170" s="33" t="s">
        <v>822</v>
      </c>
    </row>
    <row r="171" spans="1:2" ht="15" customHeight="1" x14ac:dyDescent="0.3">
      <c r="A171" s="33" t="s">
        <v>564</v>
      </c>
      <c r="B171" s="33" t="s">
        <v>823</v>
      </c>
    </row>
    <row r="172" spans="1:2" ht="15" customHeight="1" x14ac:dyDescent="0.3">
      <c r="A172" s="33" t="s">
        <v>564</v>
      </c>
      <c r="B172" s="33" t="s">
        <v>861</v>
      </c>
    </row>
    <row r="173" spans="1:2" ht="15" customHeight="1" x14ac:dyDescent="0.3">
      <c r="A173" s="33" t="s">
        <v>2567</v>
      </c>
      <c r="B173" s="33" t="s">
        <v>694</v>
      </c>
    </row>
    <row r="174" spans="1:2" ht="15" customHeight="1" x14ac:dyDescent="0.3">
      <c r="A174" s="33" t="s">
        <v>2567</v>
      </c>
      <c r="B174" s="33" t="s">
        <v>697</v>
      </c>
    </row>
    <row r="175" spans="1:2" ht="15" customHeight="1" x14ac:dyDescent="0.3">
      <c r="A175" s="33" t="s">
        <v>2567</v>
      </c>
      <c r="B175" s="33" t="s">
        <v>701</v>
      </c>
    </row>
    <row r="176" spans="1:2" ht="15" customHeight="1" x14ac:dyDescent="0.3">
      <c r="A176" s="33" t="s">
        <v>2567</v>
      </c>
      <c r="B176" s="33" t="s">
        <v>2869</v>
      </c>
    </row>
    <row r="177" spans="1:2" ht="15" customHeight="1" x14ac:dyDescent="0.3">
      <c r="A177" s="33" t="s">
        <v>2567</v>
      </c>
      <c r="B177" s="33" t="s">
        <v>2870</v>
      </c>
    </row>
    <row r="178" spans="1:2" ht="15" customHeight="1" x14ac:dyDescent="0.3">
      <c r="A178" s="33" t="s">
        <v>2567</v>
      </c>
      <c r="B178" s="33" t="s">
        <v>2871</v>
      </c>
    </row>
    <row r="179" spans="1:2" ht="15" customHeight="1" x14ac:dyDescent="0.3">
      <c r="A179" s="33" t="s">
        <v>2567</v>
      </c>
      <c r="B179" s="33" t="s">
        <v>711</v>
      </c>
    </row>
    <row r="180" spans="1:2" ht="15" customHeight="1" x14ac:dyDescent="0.3">
      <c r="A180" s="33" t="s">
        <v>2567</v>
      </c>
      <c r="B180" s="33" t="s">
        <v>891</v>
      </c>
    </row>
    <row r="181" spans="1:2" ht="15" customHeight="1" x14ac:dyDescent="0.3">
      <c r="A181" s="33" t="s">
        <v>2567</v>
      </c>
      <c r="B181" s="33" t="s">
        <v>2872</v>
      </c>
    </row>
    <row r="182" spans="1:2" ht="15" customHeight="1" x14ac:dyDescent="0.3">
      <c r="A182" s="33" t="s">
        <v>2567</v>
      </c>
      <c r="B182" s="33" t="s">
        <v>715</v>
      </c>
    </row>
    <row r="183" spans="1:2" ht="15" customHeight="1" x14ac:dyDescent="0.3">
      <c r="A183" s="33" t="s">
        <v>2567</v>
      </c>
      <c r="B183" s="33" t="s">
        <v>723</v>
      </c>
    </row>
    <row r="184" spans="1:2" ht="15" customHeight="1" x14ac:dyDescent="0.3">
      <c r="A184" s="33" t="s">
        <v>2567</v>
      </c>
      <c r="B184" s="33" t="s">
        <v>725</v>
      </c>
    </row>
    <row r="185" spans="1:2" ht="15" customHeight="1" x14ac:dyDescent="0.3">
      <c r="A185" s="33" t="s">
        <v>2567</v>
      </c>
      <c r="B185" s="33" t="s">
        <v>727</v>
      </c>
    </row>
    <row r="186" spans="1:2" ht="15" customHeight="1" x14ac:dyDescent="0.3">
      <c r="A186" s="33" t="s">
        <v>2567</v>
      </c>
      <c r="B186" s="33" t="s">
        <v>728</v>
      </c>
    </row>
    <row r="187" spans="1:2" ht="15" customHeight="1" x14ac:dyDescent="0.3">
      <c r="A187" s="33" t="s">
        <v>2567</v>
      </c>
      <c r="B187" s="33" t="s">
        <v>729</v>
      </c>
    </row>
    <row r="188" spans="1:2" ht="15" customHeight="1" x14ac:dyDescent="0.3">
      <c r="A188" s="33" t="s">
        <v>2567</v>
      </c>
      <c r="B188" s="33" t="s">
        <v>730</v>
      </c>
    </row>
    <row r="189" spans="1:2" ht="15" customHeight="1" x14ac:dyDescent="0.3">
      <c r="A189" s="33" t="s">
        <v>2567</v>
      </c>
      <c r="B189" s="33" t="s">
        <v>731</v>
      </c>
    </row>
    <row r="190" spans="1:2" ht="15" customHeight="1" x14ac:dyDescent="0.3">
      <c r="A190" s="33" t="s">
        <v>2567</v>
      </c>
      <c r="B190" s="33" t="s">
        <v>2873</v>
      </c>
    </row>
    <row r="191" spans="1:2" ht="15" customHeight="1" x14ac:dyDescent="0.3">
      <c r="A191" s="33" t="s">
        <v>2567</v>
      </c>
      <c r="B191" s="33" t="s">
        <v>2874</v>
      </c>
    </row>
    <row r="192" spans="1:2" ht="15" customHeight="1" x14ac:dyDescent="0.3">
      <c r="A192" s="33" t="s">
        <v>2567</v>
      </c>
      <c r="B192" s="33" t="s">
        <v>744</v>
      </c>
    </row>
    <row r="193" spans="1:2" ht="15" customHeight="1" x14ac:dyDescent="0.3">
      <c r="A193" s="33" t="s">
        <v>2567</v>
      </c>
      <c r="B193" s="33" t="s">
        <v>749</v>
      </c>
    </row>
    <row r="194" spans="1:2" ht="15" customHeight="1" x14ac:dyDescent="0.3">
      <c r="A194" s="33" t="s">
        <v>2567</v>
      </c>
      <c r="B194" s="33" t="s">
        <v>766</v>
      </c>
    </row>
    <row r="195" spans="1:2" ht="15" customHeight="1" x14ac:dyDescent="0.3">
      <c r="A195" s="33" t="s">
        <v>2567</v>
      </c>
      <c r="B195" s="33" t="s">
        <v>768</v>
      </c>
    </row>
    <row r="196" spans="1:2" ht="15" customHeight="1" x14ac:dyDescent="0.3">
      <c r="A196" s="33" t="s">
        <v>2567</v>
      </c>
      <c r="B196" s="33" t="s">
        <v>772</v>
      </c>
    </row>
    <row r="197" spans="1:2" ht="15" customHeight="1" x14ac:dyDescent="0.3">
      <c r="A197" s="33" t="s">
        <v>2567</v>
      </c>
      <c r="B197" s="33" t="s">
        <v>2875</v>
      </c>
    </row>
    <row r="198" spans="1:2" ht="15" customHeight="1" x14ac:dyDescent="0.3">
      <c r="A198" s="33" t="s">
        <v>2567</v>
      </c>
      <c r="B198" s="33" t="s">
        <v>774</v>
      </c>
    </row>
    <row r="199" spans="1:2" ht="15" customHeight="1" x14ac:dyDescent="0.3">
      <c r="A199" s="33" t="s">
        <v>2567</v>
      </c>
      <c r="B199" s="33" t="s">
        <v>775</v>
      </c>
    </row>
    <row r="200" spans="1:2" ht="15" customHeight="1" x14ac:dyDescent="0.3">
      <c r="A200" s="33" t="s">
        <v>2567</v>
      </c>
      <c r="B200" s="33" t="s">
        <v>778</v>
      </c>
    </row>
    <row r="201" spans="1:2" ht="15" customHeight="1" x14ac:dyDescent="0.3">
      <c r="A201" s="33" t="s">
        <v>2567</v>
      </c>
      <c r="B201" s="33" t="s">
        <v>781</v>
      </c>
    </row>
    <row r="202" spans="1:2" ht="15" customHeight="1" x14ac:dyDescent="0.3">
      <c r="A202" s="33" t="s">
        <v>2567</v>
      </c>
      <c r="B202" s="33" t="s">
        <v>791</v>
      </c>
    </row>
    <row r="203" spans="1:2" ht="15" customHeight="1" x14ac:dyDescent="0.3">
      <c r="A203" s="33" t="s">
        <v>2567</v>
      </c>
      <c r="B203" s="33" t="s">
        <v>2876</v>
      </c>
    </row>
    <row r="204" spans="1:2" ht="15" customHeight="1" x14ac:dyDescent="0.3">
      <c r="A204" s="33" t="s">
        <v>2567</v>
      </c>
      <c r="B204" s="33" t="s">
        <v>794</v>
      </c>
    </row>
    <row r="205" spans="1:2" ht="15" customHeight="1" x14ac:dyDescent="0.3">
      <c r="A205" s="33" t="s">
        <v>2567</v>
      </c>
      <c r="B205" s="33" t="s">
        <v>796</v>
      </c>
    </row>
    <row r="206" spans="1:2" ht="15" customHeight="1" x14ac:dyDescent="0.3">
      <c r="A206" s="33" t="s">
        <v>2567</v>
      </c>
      <c r="B206" s="33" t="s">
        <v>797</v>
      </c>
    </row>
    <row r="207" spans="1:2" ht="15" customHeight="1" x14ac:dyDescent="0.3">
      <c r="A207" s="33" t="s">
        <v>2567</v>
      </c>
      <c r="B207" s="33" t="s">
        <v>803</v>
      </c>
    </row>
    <row r="208" spans="1:2" ht="15" customHeight="1" x14ac:dyDescent="0.3">
      <c r="A208" s="33" t="s">
        <v>2567</v>
      </c>
      <c r="B208" s="33" t="s">
        <v>2877</v>
      </c>
    </row>
    <row r="209" spans="1:2" ht="15" customHeight="1" x14ac:dyDescent="0.3">
      <c r="A209" s="33" t="s">
        <v>2567</v>
      </c>
      <c r="B209" s="33" t="s">
        <v>813</v>
      </c>
    </row>
    <row r="210" spans="1:2" ht="15" customHeight="1" x14ac:dyDescent="0.3">
      <c r="A210" s="33" t="s">
        <v>2567</v>
      </c>
      <c r="B210" s="33" t="s">
        <v>827</v>
      </c>
    </row>
    <row r="211" spans="1:2" ht="15" customHeight="1" x14ac:dyDescent="0.3">
      <c r="A211" s="33" t="s">
        <v>2567</v>
      </c>
      <c r="B211" s="33" t="s">
        <v>828</v>
      </c>
    </row>
    <row r="212" spans="1:2" ht="15" customHeight="1" x14ac:dyDescent="0.3">
      <c r="A212" s="33" t="s">
        <v>2567</v>
      </c>
      <c r="B212" s="33" t="s">
        <v>830</v>
      </c>
    </row>
    <row r="213" spans="1:2" ht="15" customHeight="1" x14ac:dyDescent="0.3">
      <c r="A213" s="33" t="s">
        <v>2567</v>
      </c>
      <c r="B213" s="33" t="s">
        <v>832</v>
      </c>
    </row>
    <row r="214" spans="1:2" ht="15" customHeight="1" x14ac:dyDescent="0.3">
      <c r="A214" s="33" t="s">
        <v>2567</v>
      </c>
      <c r="B214" s="33" t="s">
        <v>834</v>
      </c>
    </row>
    <row r="215" spans="1:2" ht="15" customHeight="1" x14ac:dyDescent="0.3">
      <c r="A215" s="33" t="s">
        <v>2567</v>
      </c>
      <c r="B215" s="33" t="s">
        <v>840</v>
      </c>
    </row>
    <row r="216" spans="1:2" ht="15" customHeight="1" x14ac:dyDescent="0.3">
      <c r="A216" s="33" t="s">
        <v>2567</v>
      </c>
      <c r="B216" s="33" t="s">
        <v>845</v>
      </c>
    </row>
    <row r="217" spans="1:2" ht="15" customHeight="1" x14ac:dyDescent="0.3">
      <c r="A217" s="33" t="s">
        <v>2567</v>
      </c>
      <c r="B217" s="33" t="s">
        <v>2878</v>
      </c>
    </row>
    <row r="218" spans="1:2" ht="15" customHeight="1" x14ac:dyDescent="0.3">
      <c r="A218" s="33" t="s">
        <v>2567</v>
      </c>
      <c r="B218" s="33" t="s">
        <v>2879</v>
      </c>
    </row>
    <row r="219" spans="1:2" ht="15" customHeight="1" x14ac:dyDescent="0.3">
      <c r="A219" s="33" t="s">
        <v>2567</v>
      </c>
      <c r="B219" s="33" t="s">
        <v>848</v>
      </c>
    </row>
    <row r="220" spans="1:2" ht="15" customHeight="1" x14ac:dyDescent="0.3">
      <c r="A220" s="33" t="s">
        <v>2567</v>
      </c>
      <c r="B220" s="33" t="s">
        <v>850</v>
      </c>
    </row>
    <row r="221" spans="1:2" ht="15" customHeight="1" x14ac:dyDescent="0.3">
      <c r="A221" s="33" t="s">
        <v>2567</v>
      </c>
      <c r="B221" s="33" t="s">
        <v>2880</v>
      </c>
    </row>
    <row r="222" spans="1:2" ht="15" customHeight="1" x14ac:dyDescent="0.3">
      <c r="A222" s="33" t="s">
        <v>2567</v>
      </c>
      <c r="B222" s="33" t="s">
        <v>859</v>
      </c>
    </row>
    <row r="223" spans="1:2" ht="15" customHeight="1" x14ac:dyDescent="0.3">
      <c r="A223" s="33" t="s">
        <v>2567</v>
      </c>
      <c r="B223" s="33" t="s">
        <v>2881</v>
      </c>
    </row>
    <row r="224" spans="1:2" ht="15" customHeight="1" x14ac:dyDescent="0.3">
      <c r="A224" s="33" t="s">
        <v>2567</v>
      </c>
      <c r="B224" s="33" t="s">
        <v>860</v>
      </c>
    </row>
    <row r="225" spans="1:2" ht="15" customHeight="1" x14ac:dyDescent="0.3">
      <c r="A225" s="33" t="s">
        <v>565</v>
      </c>
      <c r="B225" s="33" t="s">
        <v>895</v>
      </c>
    </row>
    <row r="226" spans="1:2" ht="15" customHeight="1" x14ac:dyDescent="0.3">
      <c r="A226" s="33" t="s">
        <v>565</v>
      </c>
      <c r="B226" s="33" t="s">
        <v>2831</v>
      </c>
    </row>
    <row r="227" spans="1:2" ht="15" customHeight="1" x14ac:dyDescent="0.3">
      <c r="A227" s="33" t="s">
        <v>565</v>
      </c>
      <c r="B227" s="33" t="s">
        <v>719</v>
      </c>
    </row>
    <row r="228" spans="1:2" ht="15" customHeight="1" x14ac:dyDescent="0.3">
      <c r="A228" s="33" t="s">
        <v>565</v>
      </c>
      <c r="B228" s="33" t="s">
        <v>741</v>
      </c>
    </row>
    <row r="229" spans="1:2" ht="15" customHeight="1" x14ac:dyDescent="0.3">
      <c r="A229" s="33" t="s">
        <v>565</v>
      </c>
      <c r="B229" s="33" t="s">
        <v>755</v>
      </c>
    </row>
    <row r="230" spans="1:2" ht="15" customHeight="1" x14ac:dyDescent="0.3">
      <c r="A230" s="33" t="s">
        <v>565</v>
      </c>
      <c r="B230" s="33" t="s">
        <v>756</v>
      </c>
    </row>
    <row r="231" spans="1:2" ht="15" customHeight="1" x14ac:dyDescent="0.3">
      <c r="A231" s="33" t="s">
        <v>565</v>
      </c>
      <c r="B231" s="33" t="s">
        <v>764</v>
      </c>
    </row>
    <row r="232" spans="1:2" ht="15" customHeight="1" x14ac:dyDescent="0.3">
      <c r="A232" s="33" t="s">
        <v>565</v>
      </c>
      <c r="B232" s="33" t="s">
        <v>770</v>
      </c>
    </row>
    <row r="233" spans="1:2" ht="15" customHeight="1" x14ac:dyDescent="0.3">
      <c r="A233" s="33" t="s">
        <v>565</v>
      </c>
      <c r="B233" s="33" t="s">
        <v>782</v>
      </c>
    </row>
    <row r="234" spans="1:2" ht="15" customHeight="1" x14ac:dyDescent="0.3">
      <c r="A234" s="33" t="s">
        <v>565</v>
      </c>
      <c r="B234" s="33" t="s">
        <v>783</v>
      </c>
    </row>
    <row r="235" spans="1:2" ht="15" customHeight="1" x14ac:dyDescent="0.3">
      <c r="A235" s="33" t="s">
        <v>565</v>
      </c>
      <c r="B235" s="33" t="s">
        <v>785</v>
      </c>
    </row>
    <row r="236" spans="1:2" ht="15" customHeight="1" x14ac:dyDescent="0.3">
      <c r="A236" s="33" t="s">
        <v>565</v>
      </c>
      <c r="B236" s="33" t="s">
        <v>2882</v>
      </c>
    </row>
    <row r="237" spans="1:2" ht="15" customHeight="1" x14ac:dyDescent="0.3">
      <c r="A237" s="33" t="s">
        <v>565</v>
      </c>
      <c r="B237" s="33" t="s">
        <v>846</v>
      </c>
    </row>
    <row r="238" spans="1:2" ht="15" customHeight="1" x14ac:dyDescent="0.3">
      <c r="A238" s="33" t="s">
        <v>565</v>
      </c>
      <c r="B238" s="33" t="s">
        <v>2883</v>
      </c>
    </row>
    <row r="239" spans="1:2" ht="15" customHeight="1" x14ac:dyDescent="0.3">
      <c r="A239" s="33" t="s">
        <v>565</v>
      </c>
      <c r="B239" s="33" t="s">
        <v>882</v>
      </c>
    </row>
    <row r="240" spans="1:2" ht="15" customHeight="1" x14ac:dyDescent="0.3">
      <c r="A240" s="33" t="s">
        <v>566</v>
      </c>
      <c r="B240" s="33" t="s">
        <v>899</v>
      </c>
    </row>
    <row r="241" spans="1:2" ht="15" customHeight="1" x14ac:dyDescent="0.3">
      <c r="A241" s="33" t="s">
        <v>566</v>
      </c>
      <c r="B241" s="33" t="s">
        <v>2831</v>
      </c>
    </row>
    <row r="242" spans="1:2" ht="15" customHeight="1" x14ac:dyDescent="0.3">
      <c r="A242" s="33" t="s">
        <v>566</v>
      </c>
      <c r="B242" s="33" t="s">
        <v>733</v>
      </c>
    </row>
    <row r="243" spans="1:2" ht="15" customHeight="1" x14ac:dyDescent="0.3">
      <c r="A243" s="33" t="s">
        <v>566</v>
      </c>
      <c r="B243" s="33" t="s">
        <v>739</v>
      </c>
    </row>
    <row r="244" spans="1:2" ht="15" customHeight="1" x14ac:dyDescent="0.3">
      <c r="A244" s="33" t="s">
        <v>566</v>
      </c>
      <c r="B244" s="33" t="s">
        <v>759</v>
      </c>
    </row>
    <row r="245" spans="1:2" ht="15" customHeight="1" x14ac:dyDescent="0.3">
      <c r="A245" s="33" t="s">
        <v>566</v>
      </c>
      <c r="B245" s="33" t="s">
        <v>795</v>
      </c>
    </row>
    <row r="246" spans="1:2" ht="15" customHeight="1" x14ac:dyDescent="0.3">
      <c r="A246" s="33" t="s">
        <v>566</v>
      </c>
      <c r="B246" s="33" t="s">
        <v>801</v>
      </c>
    </row>
    <row r="247" spans="1:2" ht="15" customHeight="1" x14ac:dyDescent="0.3">
      <c r="A247" s="33" t="s">
        <v>566</v>
      </c>
      <c r="B247" s="33" t="s">
        <v>802</v>
      </c>
    </row>
    <row r="248" spans="1:2" ht="15" customHeight="1" x14ac:dyDescent="0.3">
      <c r="A248" s="33" t="s">
        <v>566</v>
      </c>
      <c r="B248" s="33" t="s">
        <v>805</v>
      </c>
    </row>
    <row r="249" spans="1:2" ht="15" customHeight="1" x14ac:dyDescent="0.3">
      <c r="A249" s="33" t="s">
        <v>566</v>
      </c>
      <c r="B249" s="33" t="s">
        <v>821</v>
      </c>
    </row>
    <row r="250" spans="1:2" ht="15" customHeight="1" x14ac:dyDescent="0.3">
      <c r="A250" s="33" t="s">
        <v>566</v>
      </c>
      <c r="B250" s="33" t="s">
        <v>862</v>
      </c>
    </row>
    <row r="251" spans="1:2" ht="15" customHeight="1" x14ac:dyDescent="0.3">
      <c r="A251" s="33" t="s">
        <v>2884</v>
      </c>
      <c r="B251" s="33" t="s">
        <v>872</v>
      </c>
    </row>
    <row r="252" spans="1:2" ht="15" customHeight="1" x14ac:dyDescent="0.3">
      <c r="A252" s="33" t="s">
        <v>2885</v>
      </c>
      <c r="B252" s="33" t="s">
        <v>2885</v>
      </c>
    </row>
    <row r="253" spans="1:2" ht="15" customHeight="1" x14ac:dyDescent="0.3">
      <c r="A253" s="33" t="s">
        <v>567</v>
      </c>
      <c r="B253" s="33" t="s">
        <v>901</v>
      </c>
    </row>
    <row r="254" spans="1:2" ht="15" customHeight="1" x14ac:dyDescent="0.3">
      <c r="A254" s="33" t="s">
        <v>567</v>
      </c>
      <c r="B254" s="33" t="s">
        <v>703</v>
      </c>
    </row>
    <row r="255" spans="1:2" ht="15" customHeight="1" x14ac:dyDescent="0.3">
      <c r="A255" s="33" t="s">
        <v>567</v>
      </c>
      <c r="B255" s="33" t="s">
        <v>883</v>
      </c>
    </row>
    <row r="256" spans="1:2" ht="15" customHeight="1" x14ac:dyDescent="0.3">
      <c r="A256" s="33" t="s">
        <v>567</v>
      </c>
      <c r="B256" s="33" t="s">
        <v>2831</v>
      </c>
    </row>
    <row r="257" spans="1:2" ht="15" customHeight="1" x14ac:dyDescent="0.3">
      <c r="A257" s="33" t="s">
        <v>567</v>
      </c>
      <c r="B257" s="33" t="s">
        <v>737</v>
      </c>
    </row>
    <row r="258" spans="1:2" ht="15" customHeight="1" x14ac:dyDescent="0.3">
      <c r="A258" s="33" t="s">
        <v>567</v>
      </c>
      <c r="B258" s="33" t="s">
        <v>738</v>
      </c>
    </row>
    <row r="259" spans="1:2" ht="15" customHeight="1" x14ac:dyDescent="0.3">
      <c r="A259" s="33" t="s">
        <v>567</v>
      </c>
      <c r="B259" s="33" t="s">
        <v>747</v>
      </c>
    </row>
    <row r="260" spans="1:2" ht="15" customHeight="1" x14ac:dyDescent="0.3">
      <c r="A260" s="33" t="s">
        <v>567</v>
      </c>
      <c r="B260" s="33" t="s">
        <v>748</v>
      </c>
    </row>
    <row r="261" spans="1:2" ht="15" customHeight="1" x14ac:dyDescent="0.3">
      <c r="A261" s="33" t="s">
        <v>567</v>
      </c>
      <c r="B261" s="33" t="s">
        <v>885</v>
      </c>
    </row>
    <row r="262" spans="1:2" ht="15" customHeight="1" x14ac:dyDescent="0.3">
      <c r="A262" s="33" t="s">
        <v>567</v>
      </c>
      <c r="B262" s="33" t="s">
        <v>2886</v>
      </c>
    </row>
    <row r="263" spans="1:2" ht="15" customHeight="1" x14ac:dyDescent="0.3">
      <c r="A263" s="33" t="s">
        <v>567</v>
      </c>
      <c r="B263" s="33" t="s">
        <v>798</v>
      </c>
    </row>
    <row r="264" spans="1:2" ht="15" customHeight="1" x14ac:dyDescent="0.3">
      <c r="A264" s="33" t="s">
        <v>567</v>
      </c>
      <c r="B264" s="33" t="s">
        <v>847</v>
      </c>
    </row>
    <row r="265" spans="1:2" ht="15" customHeight="1" x14ac:dyDescent="0.3">
      <c r="A265" s="33" t="s">
        <v>567</v>
      </c>
      <c r="B265" s="33" t="s">
        <v>856</v>
      </c>
    </row>
    <row r="266" spans="1:2" ht="15" customHeight="1" x14ac:dyDescent="0.3">
      <c r="A266" s="33" t="s">
        <v>567</v>
      </c>
      <c r="B266" s="33" t="s">
        <v>857</v>
      </c>
    </row>
    <row r="267" spans="1:2" ht="15" customHeight="1" x14ac:dyDescent="0.3">
      <c r="A267" s="33" t="s">
        <v>568</v>
      </c>
      <c r="B267" s="33" t="s">
        <v>902</v>
      </c>
    </row>
    <row r="268" spans="1:2" ht="15" customHeight="1" x14ac:dyDescent="0.3">
      <c r="A268" s="33" t="s">
        <v>568</v>
      </c>
      <c r="B268" s="33" t="s">
        <v>692</v>
      </c>
    </row>
    <row r="269" spans="1:2" ht="15" customHeight="1" x14ac:dyDescent="0.3">
      <c r="A269" s="33" t="s">
        <v>568</v>
      </c>
      <c r="B269" s="33" t="s">
        <v>714</v>
      </c>
    </row>
    <row r="270" spans="1:2" ht="15" customHeight="1" x14ac:dyDescent="0.3">
      <c r="A270" s="33" t="s">
        <v>568</v>
      </c>
      <c r="B270" s="33" t="s">
        <v>716</v>
      </c>
    </row>
    <row r="271" spans="1:2" ht="15" customHeight="1" x14ac:dyDescent="0.3">
      <c r="A271" s="33" t="s">
        <v>568</v>
      </c>
      <c r="B271" s="33" t="s">
        <v>2831</v>
      </c>
    </row>
    <row r="272" spans="1:2" ht="15" customHeight="1" x14ac:dyDescent="0.3">
      <c r="A272" s="33" t="s">
        <v>568</v>
      </c>
      <c r="B272" s="33" t="s">
        <v>869</v>
      </c>
    </row>
    <row r="273" spans="1:2" ht="15" customHeight="1" x14ac:dyDescent="0.3">
      <c r="A273" s="33" t="s">
        <v>568</v>
      </c>
      <c r="B273" s="33" t="s">
        <v>893</v>
      </c>
    </row>
    <row r="274" spans="1:2" ht="15" customHeight="1" x14ac:dyDescent="0.3">
      <c r="A274" s="33" t="s">
        <v>568</v>
      </c>
      <c r="B274" s="33" t="s">
        <v>734</v>
      </c>
    </row>
    <row r="275" spans="1:2" ht="15" customHeight="1" x14ac:dyDescent="0.3">
      <c r="A275" s="33" t="s">
        <v>568</v>
      </c>
      <c r="B275" s="33" t="s">
        <v>735</v>
      </c>
    </row>
    <row r="276" spans="1:2" ht="15" customHeight="1" x14ac:dyDescent="0.3">
      <c r="A276" s="33" t="s">
        <v>568</v>
      </c>
      <c r="B276" s="33" t="s">
        <v>746</v>
      </c>
    </row>
    <row r="277" spans="1:2" ht="15" customHeight="1" x14ac:dyDescent="0.3">
      <c r="A277" s="33" t="s">
        <v>568</v>
      </c>
      <c r="B277" s="33" t="s">
        <v>753</v>
      </c>
    </row>
    <row r="278" spans="1:2" ht="15" customHeight="1" x14ac:dyDescent="0.3">
      <c r="A278" s="33" t="s">
        <v>568</v>
      </c>
      <c r="B278" s="33" t="s">
        <v>2887</v>
      </c>
    </row>
    <row r="279" spans="1:2" ht="15" customHeight="1" x14ac:dyDescent="0.3">
      <c r="A279" s="33" t="s">
        <v>568</v>
      </c>
      <c r="B279" s="33" t="s">
        <v>2888</v>
      </c>
    </row>
    <row r="280" spans="1:2" ht="15" customHeight="1" x14ac:dyDescent="0.3">
      <c r="A280" s="33" t="s">
        <v>568</v>
      </c>
      <c r="B280" s="33" t="s">
        <v>818</v>
      </c>
    </row>
    <row r="281" spans="1:2" ht="15" customHeight="1" x14ac:dyDescent="0.3">
      <c r="A281" s="33" t="s">
        <v>568</v>
      </c>
      <c r="B281" s="33" t="s">
        <v>820</v>
      </c>
    </row>
    <row r="282" spans="1:2" ht="15" customHeight="1" x14ac:dyDescent="0.3">
      <c r="A282" s="33" t="s">
        <v>568</v>
      </c>
      <c r="B282" s="33" t="s">
        <v>873</v>
      </c>
    </row>
    <row r="283" spans="1:2" ht="15" customHeight="1" x14ac:dyDescent="0.3">
      <c r="A283" s="33" t="s">
        <v>568</v>
      </c>
      <c r="B283" s="33" t="s">
        <v>833</v>
      </c>
    </row>
    <row r="284" spans="1:2" ht="15" customHeight="1" x14ac:dyDescent="0.3">
      <c r="A284" s="33" t="s">
        <v>568</v>
      </c>
      <c r="B284" s="33" t="s">
        <v>2889</v>
      </c>
    </row>
  </sheetData>
  <sheetProtection algorithmName="SHA-512" hashValue="eNWjuRwlchk9+0WzcKzA7AosJMk4Qd/mIoQrW+dL7IO4dTBs4IrWrs+Yhdq06xWbjhjxTGuvJg//vJNOg1tbLQ==" saltValue="DRUeFqjw9tb2HfZXbj569A==" spinCount="100000" sheet="1" objects="1" scenarios="1"/>
  <autoFilter ref="A1:B28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C00000"/>
    <pageSetUpPr fitToPage="1"/>
  </sheetPr>
  <dimension ref="A1:H58"/>
  <sheetViews>
    <sheetView zoomScaleNormal="100" workbookViewId="0">
      <pane xSplit="1" ySplit="4" topLeftCell="B39" activePane="bottomRight" state="frozen"/>
      <selection pane="topRight" activeCell="B1" sqref="B1"/>
      <selection pane="bottomLeft" activeCell="A5" sqref="A5"/>
      <selection pane="bottomRight" activeCell="B57" sqref="B57"/>
    </sheetView>
  </sheetViews>
  <sheetFormatPr defaultColWidth="9.109375" defaultRowHeight="13.2" x14ac:dyDescent="0.25"/>
  <cols>
    <col min="1" max="1" width="5.6640625" style="66" customWidth="1"/>
    <col min="2" max="2" width="48" style="66" customWidth="1"/>
    <col min="3" max="3" width="12.6640625" style="66" customWidth="1"/>
    <col min="4" max="4" width="9.44140625" style="66" customWidth="1"/>
    <col min="5" max="5" width="11.109375" style="66" customWidth="1"/>
    <col min="6" max="6" width="10.88671875" style="66" customWidth="1"/>
    <col min="7" max="7" width="10.6640625" style="67" customWidth="1"/>
    <col min="8" max="8" width="27.44140625" style="66" customWidth="1"/>
    <col min="9" max="16384" width="9.109375" style="66"/>
  </cols>
  <sheetData>
    <row r="1" spans="1:8" ht="18" customHeight="1" x14ac:dyDescent="0.25">
      <c r="A1" s="194" t="s">
        <v>1036</v>
      </c>
      <c r="B1" s="194"/>
      <c r="C1" s="194"/>
      <c r="D1" s="194"/>
      <c r="E1" s="194"/>
      <c r="F1" s="194"/>
      <c r="G1" s="194"/>
      <c r="H1" s="194"/>
    </row>
    <row r="2" spans="1:8" ht="7.5" customHeight="1" x14ac:dyDescent="0.25">
      <c r="A2" s="58"/>
    </row>
    <row r="3" spans="1:8" ht="54.75" customHeight="1" x14ac:dyDescent="0.25">
      <c r="A3" s="1" t="s">
        <v>31</v>
      </c>
      <c r="B3" s="1" t="s">
        <v>18</v>
      </c>
      <c r="C3" s="1" t="s">
        <v>32</v>
      </c>
      <c r="D3" s="1" t="s">
        <v>33</v>
      </c>
      <c r="E3" s="1" t="s">
        <v>1</v>
      </c>
      <c r="F3" s="1" t="s">
        <v>189</v>
      </c>
      <c r="G3" s="1" t="s">
        <v>2</v>
      </c>
      <c r="H3" s="1" t="s">
        <v>34</v>
      </c>
    </row>
    <row r="4" spans="1:8" x14ac:dyDescent="0.25">
      <c r="A4" s="59">
        <v>1</v>
      </c>
      <c r="B4" s="59">
        <v>2</v>
      </c>
      <c r="C4" s="59">
        <v>3</v>
      </c>
      <c r="D4" s="59">
        <v>4</v>
      </c>
      <c r="E4" s="59">
        <v>5</v>
      </c>
      <c r="F4" s="59">
        <v>5</v>
      </c>
      <c r="G4" s="59">
        <v>7</v>
      </c>
      <c r="H4" s="59">
        <v>6</v>
      </c>
    </row>
    <row r="5" spans="1:8" ht="14.25" customHeight="1" x14ac:dyDescent="0.25">
      <c r="A5" s="60">
        <v>1</v>
      </c>
      <c r="B5" s="68" t="s">
        <v>2890</v>
      </c>
      <c r="C5" s="68" t="s">
        <v>35</v>
      </c>
      <c r="D5" s="69">
        <v>1</v>
      </c>
      <c r="E5" s="70">
        <v>1</v>
      </c>
      <c r="F5" s="71" t="s">
        <v>23</v>
      </c>
      <c r="G5" s="70" t="s">
        <v>38</v>
      </c>
      <c r="H5" s="72" t="s">
        <v>36</v>
      </c>
    </row>
    <row r="6" spans="1:8" ht="30" customHeight="1" x14ac:dyDescent="0.25">
      <c r="A6" s="60">
        <v>2</v>
      </c>
      <c r="B6" s="68" t="s">
        <v>2891</v>
      </c>
      <c r="C6" s="68" t="s">
        <v>82</v>
      </c>
      <c r="D6" s="69">
        <v>1</v>
      </c>
      <c r="E6" s="70">
        <v>1</v>
      </c>
      <c r="F6" s="71" t="s">
        <v>24</v>
      </c>
      <c r="G6" s="70" t="s">
        <v>17</v>
      </c>
      <c r="H6" s="72" t="s">
        <v>78</v>
      </c>
    </row>
    <row r="7" spans="1:8" ht="45.75" customHeight="1" x14ac:dyDescent="0.25">
      <c r="A7" s="60">
        <v>3</v>
      </c>
      <c r="B7" s="68" t="s">
        <v>2892</v>
      </c>
      <c r="C7" s="68" t="s">
        <v>44</v>
      </c>
      <c r="D7" s="69">
        <v>1</v>
      </c>
      <c r="E7" s="70">
        <v>1</v>
      </c>
      <c r="F7" s="71" t="s">
        <v>94</v>
      </c>
      <c r="G7" s="70" t="s">
        <v>39</v>
      </c>
      <c r="H7" s="72" t="s">
        <v>79</v>
      </c>
    </row>
    <row r="8" spans="1:8" ht="50.25" customHeight="1" x14ac:dyDescent="0.25">
      <c r="A8" s="60">
        <v>4</v>
      </c>
      <c r="B8" s="68" t="s">
        <v>2893</v>
      </c>
      <c r="C8" s="68" t="s">
        <v>44</v>
      </c>
      <c r="D8" s="69">
        <v>1</v>
      </c>
      <c r="E8" s="70">
        <v>1</v>
      </c>
      <c r="F8" s="71" t="s">
        <v>468</v>
      </c>
      <c r="G8" s="70" t="s">
        <v>51</v>
      </c>
      <c r="H8" s="72" t="s">
        <v>80</v>
      </c>
    </row>
    <row r="9" spans="1:8" ht="27.6" x14ac:dyDescent="0.25">
      <c r="A9" s="60">
        <v>5</v>
      </c>
      <c r="B9" s="68" t="s">
        <v>45</v>
      </c>
      <c r="C9" s="68" t="s">
        <v>44</v>
      </c>
      <c r="D9" s="69">
        <v>1</v>
      </c>
      <c r="E9" s="70">
        <v>1</v>
      </c>
      <c r="F9" s="71" t="s">
        <v>468</v>
      </c>
      <c r="G9" s="70" t="s">
        <v>52</v>
      </c>
      <c r="H9" s="72" t="s">
        <v>79</v>
      </c>
    </row>
    <row r="10" spans="1:8" ht="36" x14ac:dyDescent="0.25">
      <c r="A10" s="60">
        <v>6</v>
      </c>
      <c r="B10" s="68" t="s">
        <v>2894</v>
      </c>
      <c r="C10" s="68" t="s">
        <v>35</v>
      </c>
      <c r="D10" s="69">
        <v>1</v>
      </c>
      <c r="E10" s="70">
        <v>1</v>
      </c>
      <c r="F10" s="71" t="s">
        <v>469</v>
      </c>
      <c r="G10" s="70" t="s">
        <v>469</v>
      </c>
      <c r="H10" s="72" t="s">
        <v>2895</v>
      </c>
    </row>
    <row r="11" spans="1:8" ht="36" x14ac:dyDescent="0.25">
      <c r="A11" s="60">
        <v>7</v>
      </c>
      <c r="B11" s="68" t="s">
        <v>1743</v>
      </c>
      <c r="C11" s="68" t="s">
        <v>35</v>
      </c>
      <c r="D11" s="69">
        <v>1</v>
      </c>
      <c r="E11" s="70">
        <v>1</v>
      </c>
      <c r="F11" s="71"/>
      <c r="G11" s="70" t="s">
        <v>1750</v>
      </c>
      <c r="H11" s="72" t="s">
        <v>1744</v>
      </c>
    </row>
    <row r="12" spans="1:8" ht="60" x14ac:dyDescent="0.25">
      <c r="A12" s="60">
        <v>8</v>
      </c>
      <c r="B12" s="68" t="s">
        <v>2896</v>
      </c>
      <c r="C12" s="68"/>
      <c r="D12" s="69"/>
      <c r="E12" s="70"/>
      <c r="F12" s="71"/>
      <c r="G12" s="70" t="s">
        <v>2898</v>
      </c>
      <c r="H12" s="72" t="s">
        <v>2899</v>
      </c>
    </row>
    <row r="13" spans="1:8" ht="27.6" x14ac:dyDescent="0.25">
      <c r="A13" s="60">
        <v>9</v>
      </c>
      <c r="B13" s="68" t="s">
        <v>2897</v>
      </c>
      <c r="C13" s="68" t="s">
        <v>82</v>
      </c>
      <c r="D13" s="69">
        <v>1</v>
      </c>
      <c r="E13" s="70">
        <v>1</v>
      </c>
      <c r="F13" s="71"/>
      <c r="G13" s="70" t="s">
        <v>2901</v>
      </c>
      <c r="H13" s="72" t="s">
        <v>2900</v>
      </c>
    </row>
    <row r="14" spans="1:8" ht="46.5" customHeight="1" x14ac:dyDescent="0.25">
      <c r="A14" s="61">
        <v>10</v>
      </c>
      <c r="B14" s="68" t="s">
        <v>2902</v>
      </c>
      <c r="C14" s="68" t="s">
        <v>82</v>
      </c>
      <c r="D14" s="69">
        <v>0.05</v>
      </c>
      <c r="E14" s="70">
        <v>0.05</v>
      </c>
      <c r="F14" s="71"/>
      <c r="G14" s="70" t="s">
        <v>13</v>
      </c>
      <c r="H14" s="72" t="s">
        <v>37</v>
      </c>
    </row>
    <row r="15" spans="1:8" ht="46.5" customHeight="1" x14ac:dyDescent="0.25">
      <c r="A15" s="61">
        <v>11</v>
      </c>
      <c r="B15" s="68" t="s">
        <v>2903</v>
      </c>
      <c r="C15" s="68" t="s">
        <v>82</v>
      </c>
      <c r="D15" s="69">
        <v>0.1</v>
      </c>
      <c r="E15" s="70">
        <v>0.1</v>
      </c>
      <c r="F15" s="71"/>
      <c r="G15" s="70" t="s">
        <v>14</v>
      </c>
      <c r="H15" s="72" t="s">
        <v>37</v>
      </c>
    </row>
    <row r="16" spans="1:8" ht="45.75" customHeight="1" x14ac:dyDescent="0.25">
      <c r="A16" s="61">
        <v>12</v>
      </c>
      <c r="B16" s="68" t="s">
        <v>2904</v>
      </c>
      <c r="C16" s="68" t="s">
        <v>82</v>
      </c>
      <c r="D16" s="69">
        <v>0.15</v>
      </c>
      <c r="E16" s="70">
        <v>0.15</v>
      </c>
      <c r="F16" s="71"/>
      <c r="G16" s="70" t="s">
        <v>15</v>
      </c>
      <c r="H16" s="72" t="s">
        <v>37</v>
      </c>
    </row>
    <row r="17" spans="1:8" ht="27.6" x14ac:dyDescent="0.25">
      <c r="A17" s="61">
        <v>13</v>
      </c>
      <c r="B17" s="68" t="s">
        <v>1745</v>
      </c>
      <c r="C17" s="68" t="s">
        <v>110</v>
      </c>
      <c r="D17" s="69">
        <v>1</v>
      </c>
      <c r="E17" s="70">
        <v>1</v>
      </c>
      <c r="F17" s="71" t="s">
        <v>106</v>
      </c>
      <c r="G17" s="70" t="s">
        <v>25</v>
      </c>
      <c r="H17" s="72" t="s">
        <v>455</v>
      </c>
    </row>
    <row r="18" spans="1:8" ht="36.75" customHeight="1" x14ac:dyDescent="0.25">
      <c r="A18" s="61">
        <v>14</v>
      </c>
      <c r="B18" s="68" t="s">
        <v>1746</v>
      </c>
      <c r="C18" s="68" t="s">
        <v>110</v>
      </c>
      <c r="D18" s="69">
        <v>2</v>
      </c>
      <c r="E18" s="70">
        <v>2</v>
      </c>
      <c r="F18" s="71" t="s">
        <v>106</v>
      </c>
      <c r="G18" s="70" t="s">
        <v>26</v>
      </c>
      <c r="H18" s="72" t="s">
        <v>687</v>
      </c>
    </row>
    <row r="19" spans="1:8" ht="55.2" x14ac:dyDescent="0.25">
      <c r="A19" s="61">
        <v>15</v>
      </c>
      <c r="B19" s="68" t="s">
        <v>456</v>
      </c>
      <c r="C19" s="68" t="s">
        <v>110</v>
      </c>
      <c r="D19" s="69">
        <v>1</v>
      </c>
      <c r="E19" s="70">
        <v>1</v>
      </c>
      <c r="F19" s="71" t="s">
        <v>184</v>
      </c>
      <c r="G19" s="70" t="s">
        <v>53</v>
      </c>
      <c r="H19" s="72" t="s">
        <v>455</v>
      </c>
    </row>
    <row r="20" spans="1:8" ht="41.4" x14ac:dyDescent="0.25">
      <c r="A20" s="61">
        <v>16</v>
      </c>
      <c r="B20" s="68" t="s">
        <v>1747</v>
      </c>
      <c r="C20" s="68" t="s">
        <v>110</v>
      </c>
      <c r="D20" s="69">
        <v>0.33</v>
      </c>
      <c r="E20" s="70">
        <v>0.33</v>
      </c>
      <c r="F20" s="71"/>
      <c r="G20" s="70" t="s">
        <v>69</v>
      </c>
      <c r="H20" s="72" t="s">
        <v>1748</v>
      </c>
    </row>
    <row r="21" spans="1:8" ht="30.75" customHeight="1" x14ac:dyDescent="0.25">
      <c r="A21" s="61">
        <v>17</v>
      </c>
      <c r="B21" s="68" t="s">
        <v>2905</v>
      </c>
      <c r="C21" s="68" t="s">
        <v>110</v>
      </c>
      <c r="D21" s="69">
        <v>0.33</v>
      </c>
      <c r="E21" s="70">
        <v>0.33</v>
      </c>
      <c r="F21" s="71"/>
      <c r="G21" s="70" t="s">
        <v>70</v>
      </c>
      <c r="H21" s="72" t="s">
        <v>1749</v>
      </c>
    </row>
    <row r="22" spans="1:8" ht="47.25" customHeight="1" x14ac:dyDescent="0.25">
      <c r="A22" s="62" t="s">
        <v>2920</v>
      </c>
      <c r="B22" s="68" t="s">
        <v>457</v>
      </c>
      <c r="C22" s="68" t="s">
        <v>458</v>
      </c>
      <c r="D22" s="69">
        <v>2</v>
      </c>
      <c r="E22" s="70">
        <v>2</v>
      </c>
      <c r="F22" s="71" t="s">
        <v>470</v>
      </c>
      <c r="G22" s="70" t="s">
        <v>472</v>
      </c>
      <c r="H22" s="72" t="s">
        <v>459</v>
      </c>
    </row>
    <row r="23" spans="1:8" ht="48" customHeight="1" x14ac:dyDescent="0.25">
      <c r="A23" s="62" t="s">
        <v>2921</v>
      </c>
      <c r="B23" s="68" t="s">
        <v>457</v>
      </c>
      <c r="C23" s="68" t="s">
        <v>110</v>
      </c>
      <c r="D23" s="69">
        <v>0.5</v>
      </c>
      <c r="E23" s="70">
        <v>0.5</v>
      </c>
      <c r="F23" s="71" t="s">
        <v>471</v>
      </c>
      <c r="G23" s="70" t="s">
        <v>473</v>
      </c>
      <c r="H23" s="72" t="s">
        <v>460</v>
      </c>
    </row>
    <row r="24" spans="1:8" ht="45.75" customHeight="1" x14ac:dyDescent="0.25">
      <c r="A24" s="61">
        <v>19</v>
      </c>
      <c r="B24" s="68" t="s">
        <v>47</v>
      </c>
      <c r="C24" s="68" t="s">
        <v>110</v>
      </c>
      <c r="D24" s="69">
        <v>0.5</v>
      </c>
      <c r="E24" s="70">
        <v>0.5</v>
      </c>
      <c r="F24" s="71"/>
      <c r="G24" s="70" t="s">
        <v>71</v>
      </c>
      <c r="H24" s="72" t="s">
        <v>46</v>
      </c>
    </row>
    <row r="25" spans="1:8" ht="47.25" customHeight="1" x14ac:dyDescent="0.25">
      <c r="A25" s="61">
        <v>20</v>
      </c>
      <c r="B25" s="68" t="s">
        <v>2906</v>
      </c>
      <c r="C25" s="68" t="s">
        <v>110</v>
      </c>
      <c r="D25" s="69">
        <v>2</v>
      </c>
      <c r="E25" s="70">
        <v>2</v>
      </c>
      <c r="F25" s="71" t="s">
        <v>185</v>
      </c>
      <c r="G25" s="70" t="s">
        <v>54</v>
      </c>
      <c r="H25" s="72" t="s">
        <v>461</v>
      </c>
    </row>
    <row r="26" spans="1:8" ht="60" customHeight="1" x14ac:dyDescent="0.25">
      <c r="A26" s="61">
        <v>21</v>
      </c>
      <c r="B26" s="68" t="s">
        <v>2907</v>
      </c>
      <c r="C26" s="68" t="s">
        <v>110</v>
      </c>
      <c r="D26" s="69">
        <v>1</v>
      </c>
      <c r="E26" s="70">
        <v>1</v>
      </c>
      <c r="F26" s="71" t="s">
        <v>224</v>
      </c>
      <c r="G26" s="70" t="s">
        <v>55</v>
      </c>
      <c r="H26" s="72" t="s">
        <v>462</v>
      </c>
    </row>
    <row r="27" spans="1:8" ht="45.75" customHeight="1" x14ac:dyDescent="0.25">
      <c r="A27" s="61">
        <v>22</v>
      </c>
      <c r="B27" s="68" t="s">
        <v>1751</v>
      </c>
      <c r="C27" s="68" t="s">
        <v>82</v>
      </c>
      <c r="D27" s="69">
        <v>1</v>
      </c>
      <c r="E27" s="70">
        <v>1</v>
      </c>
      <c r="F27" s="71"/>
      <c r="G27" s="70" t="s">
        <v>57</v>
      </c>
      <c r="H27" s="72" t="s">
        <v>554</v>
      </c>
    </row>
    <row r="28" spans="1:8" ht="90" customHeight="1" x14ac:dyDescent="0.25">
      <c r="A28" s="63">
        <v>23</v>
      </c>
      <c r="B28" s="68" t="s">
        <v>2908</v>
      </c>
      <c r="C28" s="68" t="s">
        <v>110</v>
      </c>
      <c r="D28" s="69">
        <v>1.5</v>
      </c>
      <c r="E28" s="70">
        <v>1.5</v>
      </c>
      <c r="F28" s="71" t="s">
        <v>95</v>
      </c>
      <c r="G28" s="70" t="s">
        <v>9</v>
      </c>
      <c r="H28" s="72" t="s">
        <v>463</v>
      </c>
    </row>
    <row r="29" spans="1:8" ht="44.25" customHeight="1" x14ac:dyDescent="0.25">
      <c r="A29" s="63">
        <v>24</v>
      </c>
      <c r="B29" s="68" t="s">
        <v>1752</v>
      </c>
      <c r="C29" s="68" t="s">
        <v>110</v>
      </c>
      <c r="D29" s="69">
        <v>0.75</v>
      </c>
      <c r="E29" s="70">
        <v>0.75</v>
      </c>
      <c r="F29" s="71" t="s">
        <v>226</v>
      </c>
      <c r="G29" s="70" t="s">
        <v>58</v>
      </c>
      <c r="H29" s="72" t="s">
        <v>463</v>
      </c>
    </row>
    <row r="30" spans="1:8" ht="74.25" customHeight="1" x14ac:dyDescent="0.25">
      <c r="A30" s="63">
        <v>25</v>
      </c>
      <c r="B30" s="68" t="s">
        <v>1753</v>
      </c>
      <c r="C30" s="68" t="s">
        <v>110</v>
      </c>
      <c r="D30" s="69">
        <v>0.75</v>
      </c>
      <c r="E30" s="70">
        <v>0.75</v>
      </c>
      <c r="F30" s="71" t="s">
        <v>91</v>
      </c>
      <c r="G30" s="70" t="s">
        <v>10</v>
      </c>
      <c r="H30" s="72" t="s">
        <v>463</v>
      </c>
    </row>
    <row r="31" spans="1:8" ht="117.75" customHeight="1" x14ac:dyDescent="0.25">
      <c r="A31" s="63">
        <v>26</v>
      </c>
      <c r="B31" s="68" t="s">
        <v>1754</v>
      </c>
      <c r="C31" s="68" t="s">
        <v>110</v>
      </c>
      <c r="D31" s="69">
        <v>1.5</v>
      </c>
      <c r="E31" s="70">
        <v>1.5</v>
      </c>
      <c r="F31" s="71" t="s">
        <v>187</v>
      </c>
      <c r="G31" s="70" t="s">
        <v>59</v>
      </c>
      <c r="H31" s="72" t="s">
        <v>463</v>
      </c>
    </row>
    <row r="32" spans="1:8" ht="63.75" customHeight="1" x14ac:dyDescent="0.25">
      <c r="A32" s="63">
        <v>27</v>
      </c>
      <c r="B32" s="68" t="s">
        <v>2928</v>
      </c>
      <c r="C32" s="68" t="s">
        <v>110</v>
      </c>
      <c r="D32" s="69">
        <v>0.33</v>
      </c>
      <c r="E32" s="70">
        <v>0.33</v>
      </c>
      <c r="F32" s="71" t="s">
        <v>2909</v>
      </c>
      <c r="G32" s="70" t="s">
        <v>2909</v>
      </c>
      <c r="H32" s="72" t="s">
        <v>2910</v>
      </c>
    </row>
    <row r="33" spans="1:8" ht="63.75" customHeight="1" x14ac:dyDescent="0.25">
      <c r="A33" s="63">
        <v>28</v>
      </c>
      <c r="B33" s="68" t="s">
        <v>1757</v>
      </c>
      <c r="C33" s="68" t="s">
        <v>110</v>
      </c>
      <c r="D33" s="69">
        <v>1</v>
      </c>
      <c r="E33" s="70">
        <v>1</v>
      </c>
      <c r="F33" s="71" t="s">
        <v>188</v>
      </c>
      <c r="G33" s="70" t="s">
        <v>43</v>
      </c>
      <c r="H33" s="72" t="s">
        <v>1755</v>
      </c>
    </row>
    <row r="34" spans="1:8" ht="63.75" customHeight="1" x14ac:dyDescent="0.25">
      <c r="A34" s="63">
        <v>29</v>
      </c>
      <c r="B34" s="68" t="s">
        <v>1756</v>
      </c>
      <c r="C34" s="68" t="s">
        <v>110</v>
      </c>
      <c r="D34" s="69">
        <v>1.5</v>
      </c>
      <c r="E34" s="70">
        <v>1.5</v>
      </c>
      <c r="F34" s="71" t="s">
        <v>188</v>
      </c>
      <c r="G34" s="70" t="s">
        <v>72</v>
      </c>
      <c r="H34" s="72" t="s">
        <v>1755</v>
      </c>
    </row>
    <row r="35" spans="1:8" ht="59.25" customHeight="1" x14ac:dyDescent="0.25">
      <c r="A35" s="63">
        <v>30</v>
      </c>
      <c r="B35" s="68" t="s">
        <v>2913</v>
      </c>
      <c r="C35" s="68" t="s">
        <v>110</v>
      </c>
      <c r="D35" s="69">
        <v>1.5</v>
      </c>
      <c r="E35" s="70">
        <v>1.5</v>
      </c>
      <c r="F35" s="71" t="s">
        <v>474</v>
      </c>
      <c r="G35" s="70" t="s">
        <v>474</v>
      </c>
      <c r="H35" s="72" t="s">
        <v>463</v>
      </c>
    </row>
    <row r="36" spans="1:8" ht="30.75" customHeight="1" x14ac:dyDescent="0.25">
      <c r="A36" s="63">
        <v>31</v>
      </c>
      <c r="B36" s="68" t="s">
        <v>2912</v>
      </c>
      <c r="C36" s="68" t="s">
        <v>110</v>
      </c>
      <c r="D36" s="69">
        <v>0.5</v>
      </c>
      <c r="E36" s="70">
        <v>0.5</v>
      </c>
      <c r="F36" s="71" t="s">
        <v>510</v>
      </c>
      <c r="G36" s="70" t="s">
        <v>60</v>
      </c>
      <c r="H36" s="72" t="s">
        <v>467</v>
      </c>
    </row>
    <row r="37" spans="1:8" ht="28.5" customHeight="1" x14ac:dyDescent="0.25">
      <c r="A37" s="63">
        <v>32</v>
      </c>
      <c r="B37" s="68" t="s">
        <v>2911</v>
      </c>
      <c r="C37" s="68" t="s">
        <v>110</v>
      </c>
      <c r="D37" s="69">
        <v>0.75</v>
      </c>
      <c r="E37" s="70">
        <v>0.75</v>
      </c>
      <c r="F37" s="71" t="s">
        <v>510</v>
      </c>
      <c r="G37" s="70" t="s">
        <v>61</v>
      </c>
      <c r="H37" s="72" t="s">
        <v>467</v>
      </c>
    </row>
    <row r="38" spans="1:8" ht="47.25" customHeight="1" x14ac:dyDescent="0.25">
      <c r="A38" s="64">
        <v>33</v>
      </c>
      <c r="B38" s="68" t="s">
        <v>1758</v>
      </c>
      <c r="C38" s="68" t="s">
        <v>110</v>
      </c>
      <c r="D38" s="69">
        <v>20</v>
      </c>
      <c r="E38" s="70">
        <v>20</v>
      </c>
      <c r="F38" s="71" t="s">
        <v>96</v>
      </c>
      <c r="G38" s="70" t="s">
        <v>40</v>
      </c>
      <c r="H38" s="72"/>
    </row>
    <row r="39" spans="1:8" ht="50.25" customHeight="1" x14ac:dyDescent="0.25">
      <c r="A39" s="64">
        <v>34</v>
      </c>
      <c r="B39" s="68" t="s">
        <v>1759</v>
      </c>
      <c r="C39" s="68" t="s">
        <v>110</v>
      </c>
      <c r="D39" s="69">
        <v>30</v>
      </c>
      <c r="E39" s="70">
        <v>30</v>
      </c>
      <c r="F39" s="71" t="s">
        <v>96</v>
      </c>
      <c r="G39" s="70" t="s">
        <v>62</v>
      </c>
      <c r="H39" s="72"/>
    </row>
    <row r="40" spans="1:8" ht="50.25" customHeight="1" x14ac:dyDescent="0.25">
      <c r="A40" s="64">
        <v>35</v>
      </c>
      <c r="B40" s="68" t="s">
        <v>1760</v>
      </c>
      <c r="C40" s="68" t="s">
        <v>110</v>
      </c>
      <c r="D40" s="69">
        <v>26</v>
      </c>
      <c r="E40" s="70">
        <v>26</v>
      </c>
      <c r="F40" s="71" t="s">
        <v>96</v>
      </c>
      <c r="G40" s="70" t="s">
        <v>63</v>
      </c>
      <c r="H40" s="72"/>
    </row>
    <row r="41" spans="1:8" ht="66" customHeight="1" x14ac:dyDescent="0.25">
      <c r="A41" s="64">
        <v>36</v>
      </c>
      <c r="B41" s="68" t="s">
        <v>1761</v>
      </c>
      <c r="C41" s="68" t="s">
        <v>110</v>
      </c>
      <c r="D41" s="69">
        <v>36</v>
      </c>
      <c r="E41" s="70">
        <v>36</v>
      </c>
      <c r="F41" s="71" t="s">
        <v>96</v>
      </c>
      <c r="G41" s="70" t="s">
        <v>64</v>
      </c>
      <c r="H41" s="72"/>
    </row>
    <row r="42" spans="1:8" ht="50.25" customHeight="1" x14ac:dyDescent="0.25">
      <c r="A42" s="64">
        <v>37</v>
      </c>
      <c r="B42" s="68" t="s">
        <v>2914</v>
      </c>
      <c r="C42" s="68" t="s">
        <v>110</v>
      </c>
      <c r="D42" s="69">
        <v>30</v>
      </c>
      <c r="E42" s="70">
        <v>30</v>
      </c>
      <c r="F42" s="71" t="s">
        <v>96</v>
      </c>
      <c r="G42" s="70" t="s">
        <v>476</v>
      </c>
      <c r="H42" s="72"/>
    </row>
    <row r="43" spans="1:8" ht="50.25" customHeight="1" x14ac:dyDescent="0.25">
      <c r="A43" s="64">
        <v>38</v>
      </c>
      <c r="B43" s="68" t="s">
        <v>2915</v>
      </c>
      <c r="C43" s="68" t="s">
        <v>110</v>
      </c>
      <c r="D43" s="69">
        <v>40</v>
      </c>
      <c r="E43" s="70">
        <v>40</v>
      </c>
      <c r="F43" s="71" t="s">
        <v>96</v>
      </c>
      <c r="G43" s="70" t="s">
        <v>477</v>
      </c>
      <c r="H43" s="72"/>
    </row>
    <row r="44" spans="1:8" ht="51" customHeight="1" x14ac:dyDescent="0.25">
      <c r="A44" s="64">
        <v>39</v>
      </c>
      <c r="B44" s="68" t="s">
        <v>1762</v>
      </c>
      <c r="C44" s="68" t="s">
        <v>110</v>
      </c>
      <c r="D44" s="69">
        <v>5</v>
      </c>
      <c r="E44" s="70">
        <v>5</v>
      </c>
      <c r="F44" s="71" t="s">
        <v>223</v>
      </c>
      <c r="G44" s="70" t="s">
        <v>27</v>
      </c>
      <c r="H44" s="72" t="s">
        <v>48</v>
      </c>
    </row>
    <row r="45" spans="1:8" ht="36" customHeight="1" x14ac:dyDescent="0.25">
      <c r="A45" s="64">
        <v>40</v>
      </c>
      <c r="B45" s="68" t="s">
        <v>111</v>
      </c>
      <c r="C45" s="68" t="s">
        <v>110</v>
      </c>
      <c r="D45" s="69">
        <v>2</v>
      </c>
      <c r="E45" s="70">
        <v>2</v>
      </c>
      <c r="F45" s="71" t="s">
        <v>27</v>
      </c>
      <c r="G45" s="70" t="s">
        <v>65</v>
      </c>
      <c r="H45" s="72" t="s">
        <v>464</v>
      </c>
    </row>
    <row r="46" spans="1:8" ht="27.6" x14ac:dyDescent="0.25">
      <c r="A46" s="64">
        <v>41</v>
      </c>
      <c r="B46" s="68" t="s">
        <v>112</v>
      </c>
      <c r="C46" s="68" t="s">
        <v>110</v>
      </c>
      <c r="D46" s="69">
        <v>4</v>
      </c>
      <c r="E46" s="70">
        <v>4</v>
      </c>
      <c r="F46" s="71" t="s">
        <v>27</v>
      </c>
      <c r="G46" s="70" t="s">
        <v>66</v>
      </c>
      <c r="H46" s="72" t="s">
        <v>464</v>
      </c>
    </row>
    <row r="47" spans="1:8" ht="27.6" x14ac:dyDescent="0.25">
      <c r="A47" s="64">
        <v>42</v>
      </c>
      <c r="B47" s="68" t="s">
        <v>2916</v>
      </c>
      <c r="C47" s="68" t="s">
        <v>110</v>
      </c>
      <c r="D47" s="69">
        <v>6</v>
      </c>
      <c r="E47" s="70">
        <v>6</v>
      </c>
      <c r="F47" s="71" t="s">
        <v>27</v>
      </c>
      <c r="G47" s="70" t="s">
        <v>478</v>
      </c>
      <c r="H47" s="72" t="s">
        <v>464</v>
      </c>
    </row>
    <row r="48" spans="1:8" ht="32.25" customHeight="1" x14ac:dyDescent="0.25">
      <c r="A48" s="64">
        <v>43</v>
      </c>
      <c r="B48" s="68" t="s">
        <v>49</v>
      </c>
      <c r="C48" s="68" t="s">
        <v>82</v>
      </c>
      <c r="D48" s="69">
        <v>2</v>
      </c>
      <c r="E48" s="70">
        <v>2</v>
      </c>
      <c r="F48" s="71" t="s">
        <v>98</v>
      </c>
      <c r="G48" s="70" t="s">
        <v>67</v>
      </c>
      <c r="H48" s="72" t="s">
        <v>465</v>
      </c>
    </row>
    <row r="49" spans="1:8" ht="15.75" customHeight="1" x14ac:dyDescent="0.25">
      <c r="A49" s="64" t="s">
        <v>2918</v>
      </c>
      <c r="B49" s="68" t="s">
        <v>19</v>
      </c>
      <c r="C49" s="68" t="s">
        <v>110</v>
      </c>
      <c r="D49" s="69">
        <v>0.5</v>
      </c>
      <c r="E49" s="70">
        <v>0.5</v>
      </c>
      <c r="F49" s="71" t="s">
        <v>12</v>
      </c>
      <c r="G49" s="70" t="s">
        <v>12</v>
      </c>
      <c r="H49" s="72" t="s">
        <v>1765</v>
      </c>
    </row>
    <row r="50" spans="1:8" ht="30" customHeight="1" x14ac:dyDescent="0.25">
      <c r="A50" s="64" t="s">
        <v>2919</v>
      </c>
      <c r="B50" s="68" t="s">
        <v>2917</v>
      </c>
      <c r="C50" s="68" t="s">
        <v>110</v>
      </c>
      <c r="D50" s="69">
        <v>0.1</v>
      </c>
      <c r="E50" s="70">
        <v>0.1</v>
      </c>
      <c r="F50" s="71" t="s">
        <v>1763</v>
      </c>
      <c r="G50" s="70" t="s">
        <v>1763</v>
      </c>
      <c r="H50" s="72" t="s">
        <v>1764</v>
      </c>
    </row>
    <row r="51" spans="1:8" ht="70.5" customHeight="1" x14ac:dyDescent="0.25">
      <c r="A51" s="64" t="s">
        <v>2923</v>
      </c>
      <c r="B51" s="68" t="s">
        <v>20</v>
      </c>
      <c r="C51" s="68" t="s">
        <v>110</v>
      </c>
      <c r="D51" s="69">
        <v>0.25</v>
      </c>
      <c r="E51" s="70">
        <v>0.25</v>
      </c>
      <c r="F51" s="71" t="s">
        <v>11</v>
      </c>
      <c r="G51" s="70" t="s">
        <v>11</v>
      </c>
      <c r="H51" s="72" t="s">
        <v>1768</v>
      </c>
    </row>
    <row r="52" spans="1:8" ht="70.5" customHeight="1" x14ac:dyDescent="0.25">
      <c r="A52" s="64" t="s">
        <v>2924</v>
      </c>
      <c r="B52" s="68" t="s">
        <v>2922</v>
      </c>
      <c r="C52" s="68" t="s">
        <v>110</v>
      </c>
      <c r="D52" s="69">
        <v>0.1</v>
      </c>
      <c r="E52" s="70">
        <v>0.1</v>
      </c>
      <c r="F52" s="71" t="s">
        <v>1766</v>
      </c>
      <c r="G52" s="70" t="s">
        <v>1766</v>
      </c>
      <c r="H52" s="72" t="s">
        <v>1767</v>
      </c>
    </row>
    <row r="53" spans="1:8" ht="15.75" customHeight="1" x14ac:dyDescent="0.25">
      <c r="A53" s="64">
        <v>46</v>
      </c>
      <c r="B53" s="68" t="s">
        <v>1737</v>
      </c>
      <c r="C53" s="68" t="s">
        <v>110</v>
      </c>
      <c r="D53" s="69">
        <v>0.5</v>
      </c>
      <c r="E53" s="70">
        <v>0.5</v>
      </c>
      <c r="F53" s="71" t="s">
        <v>1738</v>
      </c>
      <c r="G53" s="70" t="s">
        <v>1738</v>
      </c>
      <c r="H53" s="72"/>
    </row>
    <row r="54" spans="1:8" ht="76.5" customHeight="1" x14ac:dyDescent="0.25">
      <c r="A54" s="65">
        <v>47</v>
      </c>
      <c r="B54" s="68" t="s">
        <v>2925</v>
      </c>
      <c r="C54" s="68" t="s">
        <v>110</v>
      </c>
      <c r="D54" s="69">
        <v>1</v>
      </c>
      <c r="E54" s="70">
        <v>1</v>
      </c>
      <c r="F54" s="71" t="s">
        <v>186</v>
      </c>
      <c r="G54" s="70" t="s">
        <v>56</v>
      </c>
      <c r="H54" s="72" t="s">
        <v>555</v>
      </c>
    </row>
    <row r="55" spans="1:8" ht="46.5" customHeight="1" x14ac:dyDescent="0.25">
      <c r="A55" s="65">
        <v>48</v>
      </c>
      <c r="B55" s="68" t="s">
        <v>2926</v>
      </c>
      <c r="C55" s="68" t="s">
        <v>1739</v>
      </c>
      <c r="D55" s="69">
        <v>75</v>
      </c>
      <c r="E55" s="70">
        <v>75</v>
      </c>
      <c r="F55" s="71" t="s">
        <v>1740</v>
      </c>
      <c r="G55" s="70" t="s">
        <v>1741</v>
      </c>
      <c r="H55" s="72" t="s">
        <v>466</v>
      </c>
    </row>
    <row r="56" spans="1:8" ht="44.25" customHeight="1" x14ac:dyDescent="0.25">
      <c r="A56" s="65">
        <v>49</v>
      </c>
      <c r="B56" s="68" t="s">
        <v>2927</v>
      </c>
      <c r="C56" s="68" t="s">
        <v>1739</v>
      </c>
      <c r="D56" s="69">
        <v>100</v>
      </c>
      <c r="E56" s="70">
        <v>100</v>
      </c>
      <c r="F56" s="71" t="s">
        <v>1740</v>
      </c>
      <c r="G56" s="70" t="s">
        <v>1742</v>
      </c>
      <c r="H56" s="72" t="s">
        <v>466</v>
      </c>
    </row>
    <row r="57" spans="1:8" ht="44.25" customHeight="1" x14ac:dyDescent="0.25">
      <c r="A57" s="65">
        <v>50</v>
      </c>
      <c r="B57" s="68" t="s">
        <v>50</v>
      </c>
      <c r="C57" s="68" t="s">
        <v>556</v>
      </c>
      <c r="D57" s="69">
        <v>25</v>
      </c>
      <c r="E57" s="70">
        <v>25</v>
      </c>
      <c r="F57" s="71" t="s">
        <v>227</v>
      </c>
      <c r="G57" s="70" t="s">
        <v>68</v>
      </c>
      <c r="H57" s="72" t="s">
        <v>466</v>
      </c>
    </row>
    <row r="58" spans="1:8" ht="41.4" x14ac:dyDescent="0.25">
      <c r="A58" s="65">
        <v>51</v>
      </c>
      <c r="B58" s="68" t="s">
        <v>553</v>
      </c>
      <c r="C58" s="68" t="s">
        <v>110</v>
      </c>
      <c r="D58" s="69">
        <v>0.3</v>
      </c>
      <c r="E58" s="70">
        <v>0.3</v>
      </c>
      <c r="F58" s="71" t="s">
        <v>686</v>
      </c>
      <c r="G58" s="70"/>
      <c r="H58" s="72" t="s">
        <v>557</v>
      </c>
    </row>
  </sheetData>
  <sheetProtection algorithmName="SHA-512" hashValue="c/+bL+0mKSRoOxb9ym8lYSMPPkXGIxchF34tRpXULmGRTsoS04wlRL3d3CedHOe6m5otSSLVvB5QMrD3/6vfLQ==" saltValue="yjMD4yMIJhZD8Ggov739kw==" spinCount="100000" sheet="1" objects="1" scenarios="1" selectLockedCells="1" autoFilter="0" selectUnlockedCells="1"/>
  <autoFilter ref="A4:H58" xr:uid="{00000000-0009-0000-0000-000003000000}"/>
  <mergeCells count="1">
    <mergeCell ref="A1:H1"/>
  </mergeCells>
  <phoneticPr fontId="9" type="noConversion"/>
  <pageMargins left="0.78740157480314965" right="0.39370078740157483" top="0.59055118110236227" bottom="0.39370078740157483" header="0.51181102362204722" footer="0.51181102362204722"/>
  <pageSetup paperSize="9" scale="74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C00000"/>
  </sheetPr>
  <dimension ref="A1:B86"/>
  <sheetViews>
    <sheetView zoomScale="70" zoomScaleNormal="70" workbookViewId="0">
      <selection activeCell="B39" sqref="B39"/>
    </sheetView>
  </sheetViews>
  <sheetFormatPr defaultColWidth="8.88671875" defaultRowHeight="15.6" outlineLevelRow="1" x14ac:dyDescent="0.3"/>
  <cols>
    <col min="1" max="1" width="11.88671875" style="2" customWidth="1"/>
    <col min="2" max="2" width="112.33203125" style="2" customWidth="1"/>
    <col min="3" max="16384" width="8.88671875" style="2"/>
  </cols>
  <sheetData>
    <row r="1" spans="1:2" x14ac:dyDescent="0.3">
      <c r="A1" s="195" t="s">
        <v>5</v>
      </c>
      <c r="B1" s="195"/>
    </row>
    <row r="2" spans="1:2" outlineLevel="1" x14ac:dyDescent="0.3">
      <c r="A2" s="3" t="s">
        <v>199</v>
      </c>
      <c r="B2" s="4" t="s">
        <v>952</v>
      </c>
    </row>
    <row r="3" spans="1:2" outlineLevel="1" x14ac:dyDescent="0.3">
      <c r="A3" s="3" t="s">
        <v>22</v>
      </c>
      <c r="B3" s="4" t="s">
        <v>953</v>
      </c>
    </row>
    <row r="4" spans="1:2" outlineLevel="1" x14ac:dyDescent="0.3">
      <c r="A4" s="3" t="s">
        <v>190</v>
      </c>
      <c r="B4" s="4" t="s">
        <v>191</v>
      </c>
    </row>
    <row r="6" spans="1:2" x14ac:dyDescent="0.3">
      <c r="A6" s="195" t="s">
        <v>90</v>
      </c>
      <c r="B6" s="195"/>
    </row>
    <row r="7" spans="1:2" outlineLevel="1" x14ac:dyDescent="0.3">
      <c r="A7" s="3" t="s">
        <v>42</v>
      </c>
      <c r="B7" s="4" t="s">
        <v>195</v>
      </c>
    </row>
    <row r="8" spans="1:2" outlineLevel="1" x14ac:dyDescent="0.3">
      <c r="A8" s="3" t="s">
        <v>192</v>
      </c>
      <c r="B8" s="4" t="s">
        <v>234</v>
      </c>
    </row>
    <row r="9" spans="1:2" outlineLevel="1" x14ac:dyDescent="0.3">
      <c r="A9" s="3" t="s">
        <v>184</v>
      </c>
      <c r="B9" s="4" t="s">
        <v>196</v>
      </c>
    </row>
    <row r="10" spans="1:2" outlineLevel="1" x14ac:dyDescent="0.3">
      <c r="A10" s="3" t="s">
        <v>193</v>
      </c>
      <c r="B10" s="4" t="s">
        <v>197</v>
      </c>
    </row>
    <row r="11" spans="1:2" outlineLevel="1" x14ac:dyDescent="0.3">
      <c r="A11" s="3" t="s">
        <v>194</v>
      </c>
      <c r="B11" s="4" t="s">
        <v>198</v>
      </c>
    </row>
    <row r="13" spans="1:2" x14ac:dyDescent="0.3">
      <c r="A13" s="195" t="s">
        <v>200</v>
      </c>
      <c r="B13" s="195"/>
    </row>
    <row r="14" spans="1:2" outlineLevel="1" x14ac:dyDescent="0.3">
      <c r="A14" s="3" t="s">
        <v>205</v>
      </c>
      <c r="B14" s="4" t="s">
        <v>206</v>
      </c>
    </row>
    <row r="15" spans="1:2" outlineLevel="1" x14ac:dyDescent="0.3">
      <c r="A15" s="3" t="s">
        <v>204</v>
      </c>
      <c r="B15" s="4" t="s">
        <v>207</v>
      </c>
    </row>
    <row r="16" spans="1:2" outlineLevel="1" x14ac:dyDescent="0.3">
      <c r="A16" s="3" t="s">
        <v>201</v>
      </c>
      <c r="B16" s="4" t="s">
        <v>208</v>
      </c>
    </row>
    <row r="17" spans="1:2" outlineLevel="1" x14ac:dyDescent="0.3">
      <c r="A17" s="3" t="s">
        <v>202</v>
      </c>
      <c r="B17" s="4" t="s">
        <v>209</v>
      </c>
    </row>
    <row r="18" spans="1:2" outlineLevel="1" x14ac:dyDescent="0.3">
      <c r="A18" s="3" t="s">
        <v>203</v>
      </c>
      <c r="B18" s="4" t="s">
        <v>210</v>
      </c>
    </row>
    <row r="19" spans="1:2" outlineLevel="1" x14ac:dyDescent="0.3">
      <c r="A19" s="3" t="s">
        <v>2959</v>
      </c>
      <c r="B19" s="4" t="s">
        <v>2960</v>
      </c>
    </row>
    <row r="20" spans="1:2" outlineLevel="1" x14ac:dyDescent="0.3">
      <c r="A20" s="7" t="s">
        <v>447</v>
      </c>
      <c r="B20" s="4" t="s">
        <v>412</v>
      </c>
    </row>
    <row r="22" spans="1:2" x14ac:dyDescent="0.3">
      <c r="A22" s="195" t="s">
        <v>211</v>
      </c>
      <c r="B22" s="195"/>
    </row>
    <row r="23" spans="1:2" outlineLevel="1" x14ac:dyDescent="0.3">
      <c r="A23" s="3" t="s">
        <v>212</v>
      </c>
      <c r="B23" s="4" t="s">
        <v>216</v>
      </c>
    </row>
    <row r="24" spans="1:2" outlineLevel="1" x14ac:dyDescent="0.3">
      <c r="A24" s="3" t="s">
        <v>213</v>
      </c>
      <c r="B24" s="4" t="s">
        <v>217</v>
      </c>
    </row>
    <row r="25" spans="1:2" outlineLevel="1" x14ac:dyDescent="0.3">
      <c r="A25" s="3" t="s">
        <v>214</v>
      </c>
      <c r="B25" s="4" t="s">
        <v>218</v>
      </c>
    </row>
    <row r="26" spans="1:2" outlineLevel="1" x14ac:dyDescent="0.3">
      <c r="A26" s="3" t="s">
        <v>240</v>
      </c>
      <c r="B26" s="4" t="s">
        <v>241</v>
      </c>
    </row>
    <row r="27" spans="1:2" outlineLevel="1" x14ac:dyDescent="0.3">
      <c r="A27" s="3" t="s">
        <v>215</v>
      </c>
      <c r="B27" s="4" t="s">
        <v>242</v>
      </c>
    </row>
    <row r="28" spans="1:2" outlineLevel="1" x14ac:dyDescent="0.3"/>
    <row r="29" spans="1:2" x14ac:dyDescent="0.3">
      <c r="A29" s="195" t="s">
        <v>691</v>
      </c>
      <c r="B29" s="195"/>
    </row>
    <row r="30" spans="1:2" outlineLevel="1" x14ac:dyDescent="0.3">
      <c r="A30" s="7" t="s">
        <v>949</v>
      </c>
      <c r="B30" s="4" t="s">
        <v>448</v>
      </c>
    </row>
    <row r="31" spans="1:2" outlineLevel="1" x14ac:dyDescent="0.3">
      <c r="A31" s="3" t="s">
        <v>954</v>
      </c>
      <c r="B31" s="4" t="s">
        <v>955</v>
      </c>
    </row>
    <row r="32" spans="1:2" outlineLevel="1" x14ac:dyDescent="0.3">
      <c r="A32" s="3" t="s">
        <v>948</v>
      </c>
      <c r="B32" s="4" t="s">
        <v>956</v>
      </c>
    </row>
    <row r="34" spans="1:2" x14ac:dyDescent="0.3">
      <c r="A34" s="196" t="s">
        <v>76</v>
      </c>
      <c r="B34" s="197"/>
    </row>
    <row r="35" spans="1:2" outlineLevel="1" x14ac:dyDescent="0.3">
      <c r="A35" s="3" t="s">
        <v>999</v>
      </c>
      <c r="B35" s="4" t="s">
        <v>998</v>
      </c>
    </row>
    <row r="36" spans="1:2" outlineLevel="1" x14ac:dyDescent="0.3">
      <c r="A36" s="3" t="s">
        <v>102</v>
      </c>
      <c r="B36" s="4" t="s">
        <v>219</v>
      </c>
    </row>
    <row r="37" spans="1:2" outlineLevel="1" x14ac:dyDescent="0.3">
      <c r="A37" s="3" t="s">
        <v>103</v>
      </c>
      <c r="B37" s="4" t="s">
        <v>220</v>
      </c>
    </row>
    <row r="38" spans="1:2" outlineLevel="1" x14ac:dyDescent="0.3">
      <c r="A38" s="3" t="s">
        <v>99</v>
      </c>
      <c r="B38" s="4" t="s">
        <v>221</v>
      </c>
    </row>
    <row r="39" spans="1:2" outlineLevel="1" x14ac:dyDescent="0.3">
      <c r="A39" s="3" t="s">
        <v>97</v>
      </c>
      <c r="B39" s="4" t="s">
        <v>222</v>
      </c>
    </row>
    <row r="40" spans="1:2" outlineLevel="1" x14ac:dyDescent="0.3">
      <c r="A40" s="7" t="s">
        <v>449</v>
      </c>
      <c r="B40" s="4" t="s">
        <v>450</v>
      </c>
    </row>
    <row r="41" spans="1:2" outlineLevel="1" x14ac:dyDescent="0.3">
      <c r="A41" s="34" t="s">
        <v>988</v>
      </c>
      <c r="B41" s="4" t="s">
        <v>89</v>
      </c>
    </row>
    <row r="42" spans="1:2" outlineLevel="1" x14ac:dyDescent="0.3">
      <c r="A42" s="3" t="s">
        <v>686</v>
      </c>
      <c r="B42" s="4" t="s">
        <v>689</v>
      </c>
    </row>
    <row r="44" spans="1:2" x14ac:dyDescent="0.3">
      <c r="A44" s="195" t="s">
        <v>87</v>
      </c>
      <c r="B44" s="195"/>
    </row>
    <row r="45" spans="1:2" outlineLevel="1" x14ac:dyDescent="0.3">
      <c r="A45" s="3" t="s">
        <v>23</v>
      </c>
      <c r="B45" s="4" t="s">
        <v>228</v>
      </c>
    </row>
    <row r="46" spans="1:2" outlineLevel="1" x14ac:dyDescent="0.3">
      <c r="A46" s="3" t="s">
        <v>94</v>
      </c>
      <c r="B46" s="4" t="s">
        <v>232</v>
      </c>
    </row>
    <row r="47" spans="1:2" outlineLevel="1" x14ac:dyDescent="0.3">
      <c r="A47" s="3" t="s">
        <v>24</v>
      </c>
      <c r="B47" s="4" t="s">
        <v>229</v>
      </c>
    </row>
    <row r="48" spans="1:2" outlineLevel="1" x14ac:dyDescent="0.3">
      <c r="A48" s="3" t="s">
        <v>489</v>
      </c>
      <c r="B48" s="4" t="s">
        <v>490</v>
      </c>
    </row>
    <row r="49" spans="1:2" outlineLevel="1" x14ac:dyDescent="0.3">
      <c r="A49" s="3" t="s">
        <v>468</v>
      </c>
      <c r="B49" s="4" t="s">
        <v>451</v>
      </c>
    </row>
    <row r="50" spans="1:2" outlineLevel="1" x14ac:dyDescent="0.3">
      <c r="A50" s="3" t="s">
        <v>551</v>
      </c>
      <c r="B50" s="4" t="s">
        <v>552</v>
      </c>
    </row>
    <row r="51" spans="1:2" outlineLevel="1" x14ac:dyDescent="0.3">
      <c r="A51" s="3" t="s">
        <v>491</v>
      </c>
      <c r="B51" s="4" t="s">
        <v>492</v>
      </c>
    </row>
    <row r="52" spans="1:2" outlineLevel="1" x14ac:dyDescent="0.3">
      <c r="A52" s="3" t="s">
        <v>469</v>
      </c>
      <c r="B52" s="4" t="s">
        <v>482</v>
      </c>
    </row>
    <row r="53" spans="1:2" outlineLevel="1" x14ac:dyDescent="0.3">
      <c r="A53" s="3" t="s">
        <v>470</v>
      </c>
      <c r="B53" s="4" t="s">
        <v>483</v>
      </c>
    </row>
    <row r="54" spans="1:2" outlineLevel="1" x14ac:dyDescent="0.3">
      <c r="A54" s="3" t="s">
        <v>471</v>
      </c>
      <c r="B54" s="4" t="s">
        <v>484</v>
      </c>
    </row>
    <row r="55" spans="1:2" outlineLevel="1" x14ac:dyDescent="0.3">
      <c r="A55" s="3" t="s">
        <v>185</v>
      </c>
      <c r="B55" s="4" t="s">
        <v>81</v>
      </c>
    </row>
    <row r="56" spans="1:2" outlineLevel="1" x14ac:dyDescent="0.3">
      <c r="A56" s="3" t="s">
        <v>224</v>
      </c>
      <c r="B56" s="4" t="s">
        <v>225</v>
      </c>
    </row>
    <row r="57" spans="1:2" outlineLevel="1" x14ac:dyDescent="0.3">
      <c r="A57" s="3" t="s">
        <v>186</v>
      </c>
      <c r="B57" s="4" t="s">
        <v>243</v>
      </c>
    </row>
    <row r="58" spans="1:2" outlineLevel="1" x14ac:dyDescent="0.3">
      <c r="A58" s="3" t="s">
        <v>95</v>
      </c>
      <c r="B58" s="4" t="s">
        <v>411</v>
      </c>
    </row>
    <row r="59" spans="1:2" outlineLevel="1" x14ac:dyDescent="0.3">
      <c r="A59" s="3" t="s">
        <v>226</v>
      </c>
      <c r="B59" s="4" t="s">
        <v>230</v>
      </c>
    </row>
    <row r="60" spans="1:2" outlineLevel="1" x14ac:dyDescent="0.3">
      <c r="A60" s="3" t="s">
        <v>91</v>
      </c>
      <c r="B60" s="4" t="s">
        <v>231</v>
      </c>
    </row>
    <row r="61" spans="1:2" outlineLevel="1" x14ac:dyDescent="0.3">
      <c r="A61" s="3" t="s">
        <v>2909</v>
      </c>
      <c r="B61" s="4" t="s">
        <v>2929</v>
      </c>
    </row>
    <row r="62" spans="1:2" outlineLevel="1" x14ac:dyDescent="0.3">
      <c r="A62" s="3" t="s">
        <v>474</v>
      </c>
      <c r="B62" s="4" t="s">
        <v>480</v>
      </c>
    </row>
    <row r="63" spans="1:2" outlineLevel="1" x14ac:dyDescent="0.3">
      <c r="A63" s="3" t="s">
        <v>227</v>
      </c>
      <c r="B63" s="4" t="s">
        <v>50</v>
      </c>
    </row>
    <row r="64" spans="1:2" outlineLevel="1" x14ac:dyDescent="0.3">
      <c r="A64" s="3" t="s">
        <v>475</v>
      </c>
      <c r="B64" s="4" t="s">
        <v>481</v>
      </c>
    </row>
    <row r="65" spans="1:2" outlineLevel="1" x14ac:dyDescent="0.3">
      <c r="A65" s="3" t="s">
        <v>187</v>
      </c>
      <c r="B65" s="4" t="s">
        <v>550</v>
      </c>
    </row>
    <row r="66" spans="1:2" outlineLevel="1" x14ac:dyDescent="0.3">
      <c r="A66" s="3" t="s">
        <v>188</v>
      </c>
      <c r="B66" s="4" t="s">
        <v>511</v>
      </c>
    </row>
    <row r="67" spans="1:2" outlineLevel="1" x14ac:dyDescent="0.3">
      <c r="A67" s="3" t="s">
        <v>510</v>
      </c>
      <c r="B67" s="4" t="s">
        <v>512</v>
      </c>
    </row>
    <row r="68" spans="1:2" outlineLevel="1" x14ac:dyDescent="0.3">
      <c r="A68" s="3" t="s">
        <v>1770</v>
      </c>
      <c r="B68" s="4" t="s">
        <v>1769</v>
      </c>
    </row>
    <row r="69" spans="1:2" outlineLevel="1" x14ac:dyDescent="0.3">
      <c r="A69" s="3" t="s">
        <v>96</v>
      </c>
      <c r="B69" s="4" t="s">
        <v>479</v>
      </c>
    </row>
    <row r="70" spans="1:2" outlineLevel="1" x14ac:dyDescent="0.3">
      <c r="A70" s="3" t="s">
        <v>223</v>
      </c>
      <c r="B70" s="4" t="s">
        <v>233</v>
      </c>
    </row>
    <row r="71" spans="1:2" outlineLevel="1" x14ac:dyDescent="0.3">
      <c r="A71" s="3" t="s">
        <v>27</v>
      </c>
      <c r="B71" s="4" t="s">
        <v>1793</v>
      </c>
    </row>
    <row r="72" spans="1:2" outlineLevel="1" x14ac:dyDescent="0.3">
      <c r="A72" s="3" t="s">
        <v>98</v>
      </c>
      <c r="B72" s="4" t="s">
        <v>1035</v>
      </c>
    </row>
    <row r="73" spans="1:2" outlineLevel="1" x14ac:dyDescent="0.3">
      <c r="A73" s="3" t="s">
        <v>1738</v>
      </c>
      <c r="B73" s="4" t="s">
        <v>1737</v>
      </c>
    </row>
    <row r="74" spans="1:2" outlineLevel="1" x14ac:dyDescent="0.3">
      <c r="A74" s="3" t="s">
        <v>12</v>
      </c>
      <c r="B74" s="4" t="s">
        <v>19</v>
      </c>
    </row>
    <row r="75" spans="1:2" outlineLevel="1" x14ac:dyDescent="0.3">
      <c r="A75" s="3" t="s">
        <v>11</v>
      </c>
      <c r="B75" s="4" t="s">
        <v>20</v>
      </c>
    </row>
    <row r="77" spans="1:2" x14ac:dyDescent="0.3">
      <c r="A77" s="195" t="s">
        <v>497</v>
      </c>
      <c r="B77" s="195"/>
    </row>
    <row r="78" spans="1:2" x14ac:dyDescent="0.3">
      <c r="A78" s="3" t="s">
        <v>413</v>
      </c>
      <c r="B78" s="4" t="s">
        <v>499</v>
      </c>
    </row>
    <row r="79" spans="1:2" x14ac:dyDescent="0.3">
      <c r="A79" s="3" t="s">
        <v>414</v>
      </c>
      <c r="B79" s="4" t="s">
        <v>500</v>
      </c>
    </row>
    <row r="80" spans="1:2" x14ac:dyDescent="0.3">
      <c r="A80" s="3" t="s">
        <v>498</v>
      </c>
      <c r="B80" s="4" t="s">
        <v>501</v>
      </c>
    </row>
    <row r="81" spans="1:2" x14ac:dyDescent="0.3">
      <c r="A81" s="3" t="s">
        <v>1033</v>
      </c>
      <c r="B81" s="4" t="s">
        <v>1034</v>
      </c>
    </row>
    <row r="83" spans="1:2" x14ac:dyDescent="0.3">
      <c r="A83" s="195" t="s">
        <v>502</v>
      </c>
      <c r="B83" s="195"/>
    </row>
    <row r="84" spans="1:2" x14ac:dyDescent="0.3">
      <c r="A84" s="3" t="s">
        <v>42</v>
      </c>
      <c r="B84" s="4" t="s">
        <v>504</v>
      </c>
    </row>
    <row r="85" spans="1:2" x14ac:dyDescent="0.3">
      <c r="A85" s="3" t="s">
        <v>22</v>
      </c>
      <c r="B85" s="4" t="s">
        <v>505</v>
      </c>
    </row>
    <row r="86" spans="1:2" x14ac:dyDescent="0.3">
      <c r="A86" s="3" t="s">
        <v>503</v>
      </c>
      <c r="B86" s="4" t="s">
        <v>506</v>
      </c>
    </row>
  </sheetData>
  <sheetProtection algorithmName="SHA-512" hashValue="NEi8pFoYNTahpW+J+4ropRUS+FUQbiNGclPTZ5U1+Qusm3UveeEaTih4WHXgodKhyp7rC/PR1+EXlIxjIygNsQ==" saltValue="3/HdQzu1mkC0oDsBY8MpFA==" spinCount="100000" sheet="1" objects="1" scenarios="1"/>
  <mergeCells count="9">
    <mergeCell ref="A83:B83"/>
    <mergeCell ref="A44:B44"/>
    <mergeCell ref="A34:B34"/>
    <mergeCell ref="A1:B1"/>
    <mergeCell ref="A6:B6"/>
    <mergeCell ref="A13:B13"/>
    <mergeCell ref="A22:B22"/>
    <mergeCell ref="A77:B77"/>
    <mergeCell ref="A29:B2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58</vt:i4>
      </vt:variant>
    </vt:vector>
  </HeadingPairs>
  <TitlesOfParts>
    <vt:vector size="63" baseType="lpstr">
      <vt:lpstr>УН сводная</vt:lpstr>
      <vt:lpstr>ООП</vt:lpstr>
      <vt:lpstr>Список кафедр</vt:lpstr>
      <vt:lpstr>Нормы УР</vt:lpstr>
      <vt:lpstr>Списки</vt:lpstr>
      <vt:lpstr>блок_ООП</vt:lpstr>
      <vt:lpstr>Вид_ПА_ГИА</vt:lpstr>
      <vt:lpstr>Вид_УР</vt:lpstr>
      <vt:lpstr>ВПИБ</vt:lpstr>
      <vt:lpstr>ВПКП</vt:lpstr>
      <vt:lpstr>ВПКР</vt:lpstr>
      <vt:lpstr>ВПр</vt:lpstr>
      <vt:lpstr>Должность</vt:lpstr>
      <vt:lpstr>КдЭк</vt:lpstr>
      <vt:lpstr>ООП!Код_ООП</vt:lpstr>
      <vt:lpstr>Код_ООП</vt:lpstr>
      <vt:lpstr>Компонета</vt:lpstr>
      <vt:lpstr>КРФРЯ</vt:lpstr>
      <vt:lpstr>Л</vt:lpstr>
      <vt:lpstr>ЛР</vt:lpstr>
      <vt:lpstr>НИРА</vt:lpstr>
      <vt:lpstr>НИРАИ</vt:lpstr>
      <vt:lpstr>НИРМ</vt:lpstr>
      <vt:lpstr>НИРМИн</vt:lpstr>
      <vt:lpstr>ОфВед</vt:lpstr>
      <vt:lpstr>ПАБРС</vt:lpstr>
      <vt:lpstr>ПГ</vt:lpstr>
      <vt:lpstr>ПЗ</vt:lpstr>
      <vt:lpstr>ПрИн</vt:lpstr>
      <vt:lpstr>ПрРЯ</vt:lpstr>
      <vt:lpstr>ПЭФРЯ</vt:lpstr>
      <vt:lpstr>РБ</vt:lpstr>
      <vt:lpstr>РБИ</vt:lpstr>
      <vt:lpstr>РДП</vt:lpstr>
      <vt:lpstr>РефАсп</vt:lpstr>
      <vt:lpstr>РефФил</vt:lpstr>
      <vt:lpstr>РНКР</vt:lpstr>
      <vt:lpstr>РНКРИн</vt:lpstr>
      <vt:lpstr>РПА</vt:lpstr>
      <vt:lpstr>РПП</vt:lpstr>
      <vt:lpstr>РРА</vt:lpstr>
      <vt:lpstr>РРБ</vt:lpstr>
      <vt:lpstr>РРСМ</vt:lpstr>
      <vt:lpstr>РСМ</vt:lpstr>
      <vt:lpstr>РСМИ</vt:lpstr>
      <vt:lpstr>РукИна</vt:lpstr>
      <vt:lpstr>РукПЛ</vt:lpstr>
      <vt:lpstr>РукРФа</vt:lpstr>
      <vt:lpstr>РУП</vt:lpstr>
      <vt:lpstr>РУПЛеч</vt:lpstr>
      <vt:lpstr>СГ</vt:lpstr>
      <vt:lpstr>ТГИЭ</vt:lpstr>
      <vt:lpstr>ТКиРА</vt:lpstr>
      <vt:lpstr>ТКЛВ</vt:lpstr>
      <vt:lpstr>ТКЛД</vt:lpstr>
      <vt:lpstr>ТКЛЗ</vt:lpstr>
      <vt:lpstr>ТУИС</vt:lpstr>
      <vt:lpstr>Уровень_ОП</vt:lpstr>
      <vt:lpstr>Условия_привлечения</vt:lpstr>
      <vt:lpstr>УЭФРЯ</vt:lpstr>
      <vt:lpstr>форма_обучения</vt:lpstr>
      <vt:lpstr>ЦП</vt:lpstr>
      <vt:lpstr>ЧГ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Игнатьев О.В.</dc:creator>
  <cp:keywords>нагрузка</cp:keywords>
  <cp:lastModifiedBy>User</cp:lastModifiedBy>
  <cp:lastPrinted>2018-04-05T12:55:35Z</cp:lastPrinted>
  <dcterms:created xsi:type="dcterms:W3CDTF">1997-08-08T07:41:23Z</dcterms:created>
  <dcterms:modified xsi:type="dcterms:W3CDTF">2025-02-16T17:06:33Z</dcterms:modified>
</cp:coreProperties>
</file>